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dev\alchemyBioworks\Example_Report\"/>
    </mc:Choice>
  </mc:AlternateContent>
  <xr:revisionPtr revIDLastSave="0" documentId="13_ncr:1_{EBAA97FD-F4F8-416B-9CF8-C42B25DCD09C}" xr6:coauthVersionLast="47" xr6:coauthVersionMax="47" xr10:uidLastSave="{00000000-0000-0000-0000-000000000000}"/>
  <bookViews>
    <workbookView xWindow="-110" yWindow="-110" windowWidth="25820" windowHeight="16220" tabRatio="500" activeTab="5" xr2:uid="{00000000-000D-0000-FFFF-FFFF00000000}"/>
  </bookViews>
  <sheets>
    <sheet name="Sample Info" sheetId="1" r:id="rId1"/>
    <sheet name="Sample List" sheetId="5" r:id="rId2"/>
    <sheet name="Zoopl Count" sheetId="2" r:id="rId3"/>
    <sheet name="Zoopl Analysis" sheetId="4" r:id="rId4"/>
    <sheet name="LN Data" sheetId="3" r:id="rId5"/>
    <sheet name="Sheet2" sheetId="11" r:id="rId6"/>
    <sheet name="PivotTable" sheetId="7" state="hidden" r:id="rId7"/>
    <sheet name="Sheet1" sheetId="6" state="hidden" r:id="rId8"/>
    <sheet name="Sheet3" sheetId="10" state="hidden" r:id="rId9"/>
  </sheets>
  <definedNames>
    <definedName name="_xlnm.Print_Area" localSheetId="0">'Sample Info'!$A$1:$F$44</definedName>
    <definedName name="_xlnm.Print_Area" localSheetId="1">'Sample List'!$A$1:$F$10</definedName>
    <definedName name="_xlnm.Print_Area" localSheetId="3">'Zoopl Analysis'!$A$1:$I$341</definedName>
    <definedName name="_xlnm.Print_Area" localSheetId="2">'Zoopl Count'!$A$1:$G$340</definedName>
    <definedName name="_xlnm.Print_Titles" localSheetId="3">'Zoopl Analysis'!$A:$F,'Zoopl Analysis'!$1:$8</definedName>
  </definedNames>
  <calcPr calcId="191029" calcMode="manual"/>
  <pivotCaches>
    <pivotCache cacheId="0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33" i="3" l="1"/>
  <c r="O233" i="3"/>
  <c r="N233" i="3"/>
  <c r="M233" i="3"/>
  <c r="L233" i="3"/>
  <c r="K233" i="3"/>
  <c r="J233" i="3"/>
  <c r="I233" i="3"/>
  <c r="H233" i="3"/>
  <c r="G233" i="3"/>
  <c r="P232" i="3"/>
  <c r="O232" i="3"/>
  <c r="N232" i="3"/>
  <c r="M232" i="3"/>
  <c r="L232" i="3"/>
  <c r="K232" i="3"/>
  <c r="J232" i="3"/>
  <c r="I232" i="3"/>
  <c r="H232" i="3"/>
  <c r="G232" i="3"/>
  <c r="P233" i="4"/>
  <c r="O233" i="4"/>
  <c r="N233" i="4"/>
  <c r="M233" i="4"/>
  <c r="L233" i="4"/>
  <c r="K233" i="4"/>
  <c r="J233" i="4"/>
  <c r="I233" i="4"/>
  <c r="H233" i="4"/>
  <c r="G233" i="4"/>
  <c r="P232" i="4"/>
  <c r="O232" i="4"/>
  <c r="N232" i="4"/>
  <c r="M232" i="4"/>
  <c r="L232" i="4"/>
  <c r="K232" i="4"/>
  <c r="J232" i="4"/>
  <c r="I232" i="4"/>
  <c r="H232" i="4"/>
  <c r="G232" i="4"/>
  <c r="P164" i="3"/>
  <c r="O164" i="3"/>
  <c r="N164" i="3"/>
  <c r="L164" i="3"/>
  <c r="K164" i="3"/>
  <c r="J164" i="3"/>
  <c r="I164" i="3"/>
  <c r="H164" i="3"/>
  <c r="G164" i="3"/>
  <c r="P163" i="3"/>
  <c r="O163" i="3"/>
  <c r="N163" i="3"/>
  <c r="M163" i="3"/>
  <c r="L163" i="3"/>
  <c r="K163" i="3"/>
  <c r="J163" i="3"/>
  <c r="I163" i="3"/>
  <c r="H163" i="3"/>
  <c r="G163" i="3"/>
  <c r="P164" i="4"/>
  <c r="O164" i="4"/>
  <c r="N164" i="4"/>
  <c r="L164" i="4"/>
  <c r="K164" i="4"/>
  <c r="J164" i="4"/>
  <c r="I164" i="4"/>
  <c r="H164" i="4"/>
  <c r="G164" i="4"/>
  <c r="P163" i="4"/>
  <c r="O163" i="4"/>
  <c r="N163" i="4"/>
  <c r="M163" i="4"/>
  <c r="L163" i="4"/>
  <c r="K163" i="4"/>
  <c r="J163" i="4"/>
  <c r="I163" i="4"/>
  <c r="H163" i="4"/>
  <c r="G163" i="4"/>
  <c r="P73" i="3"/>
  <c r="O73" i="3"/>
  <c r="N73" i="3"/>
  <c r="M73" i="3"/>
  <c r="L73" i="3"/>
  <c r="K73" i="3"/>
  <c r="J73" i="3"/>
  <c r="I73" i="3"/>
  <c r="H73" i="3"/>
  <c r="G73" i="3"/>
  <c r="P73" i="4"/>
  <c r="O73" i="4"/>
  <c r="N73" i="4"/>
  <c r="M73" i="4"/>
  <c r="L73" i="4"/>
  <c r="K73" i="4"/>
  <c r="J73" i="4"/>
  <c r="I73" i="4"/>
  <c r="H73" i="4"/>
  <c r="G73" i="4"/>
  <c r="H11" i="3"/>
  <c r="I11" i="3"/>
  <c r="J11" i="3"/>
  <c r="K11" i="3"/>
  <c r="L11" i="3"/>
  <c r="M11" i="3"/>
  <c r="N11" i="3"/>
  <c r="O11" i="3"/>
  <c r="P11" i="3"/>
  <c r="H12" i="3"/>
  <c r="I12" i="3"/>
  <c r="J12" i="3"/>
  <c r="K12" i="3"/>
  <c r="L12" i="3"/>
  <c r="M12" i="3"/>
  <c r="N12" i="3"/>
  <c r="O12" i="3"/>
  <c r="P12" i="3"/>
  <c r="H13" i="3"/>
  <c r="I13" i="3"/>
  <c r="J13" i="3"/>
  <c r="K13" i="3"/>
  <c r="L13" i="3"/>
  <c r="M13" i="3"/>
  <c r="N13" i="3"/>
  <c r="O13" i="3"/>
  <c r="P13" i="3"/>
  <c r="H14" i="3"/>
  <c r="I14" i="3"/>
  <c r="J14" i="3"/>
  <c r="K14" i="3"/>
  <c r="L14" i="3"/>
  <c r="M14" i="3"/>
  <c r="N14" i="3"/>
  <c r="O14" i="3"/>
  <c r="P14" i="3"/>
  <c r="H15" i="3"/>
  <c r="I15" i="3"/>
  <c r="J15" i="3"/>
  <c r="K15" i="3"/>
  <c r="L15" i="3"/>
  <c r="M15" i="3"/>
  <c r="N15" i="3"/>
  <c r="O15" i="3"/>
  <c r="P15" i="3"/>
  <c r="H16" i="3"/>
  <c r="I16" i="3"/>
  <c r="J16" i="3"/>
  <c r="K16" i="3"/>
  <c r="L16" i="3"/>
  <c r="M16" i="3"/>
  <c r="N16" i="3"/>
  <c r="O16" i="3"/>
  <c r="P16" i="3"/>
  <c r="H17" i="3"/>
  <c r="I17" i="3"/>
  <c r="J17" i="3"/>
  <c r="K17" i="3"/>
  <c r="L17" i="3"/>
  <c r="M17" i="3"/>
  <c r="N17" i="3"/>
  <c r="O17" i="3"/>
  <c r="P17" i="3"/>
  <c r="H18" i="3"/>
  <c r="I18" i="3"/>
  <c r="J18" i="3"/>
  <c r="K18" i="3"/>
  <c r="L18" i="3"/>
  <c r="M18" i="3"/>
  <c r="N18" i="3"/>
  <c r="O18" i="3"/>
  <c r="P18" i="3"/>
  <c r="H19" i="3"/>
  <c r="I19" i="3"/>
  <c r="J19" i="3"/>
  <c r="K19" i="3"/>
  <c r="L19" i="3"/>
  <c r="M19" i="3"/>
  <c r="N19" i="3"/>
  <c r="O19" i="3"/>
  <c r="P19" i="3"/>
  <c r="H20" i="3"/>
  <c r="I20" i="3"/>
  <c r="J20" i="3"/>
  <c r="K20" i="3"/>
  <c r="L20" i="3"/>
  <c r="M20" i="3"/>
  <c r="N20" i="3"/>
  <c r="O20" i="3"/>
  <c r="P20" i="3"/>
  <c r="H21" i="3"/>
  <c r="I21" i="3"/>
  <c r="J21" i="3"/>
  <c r="K21" i="3"/>
  <c r="L21" i="3"/>
  <c r="M21" i="3"/>
  <c r="N21" i="3"/>
  <c r="O21" i="3"/>
  <c r="P21" i="3"/>
  <c r="H22" i="3"/>
  <c r="I22" i="3"/>
  <c r="J22" i="3"/>
  <c r="K22" i="3"/>
  <c r="L22" i="3"/>
  <c r="M22" i="3"/>
  <c r="N22" i="3"/>
  <c r="O22" i="3"/>
  <c r="P22" i="3"/>
  <c r="H23" i="3"/>
  <c r="I23" i="3"/>
  <c r="J23" i="3"/>
  <c r="K23" i="3"/>
  <c r="L23" i="3"/>
  <c r="M23" i="3"/>
  <c r="N23" i="3"/>
  <c r="O23" i="3"/>
  <c r="P23" i="3"/>
  <c r="H24" i="3"/>
  <c r="I24" i="3"/>
  <c r="J24" i="3"/>
  <c r="K24" i="3"/>
  <c r="L24" i="3"/>
  <c r="M24" i="3"/>
  <c r="N24" i="3"/>
  <c r="O24" i="3"/>
  <c r="P24" i="3"/>
  <c r="H25" i="3"/>
  <c r="I25" i="3"/>
  <c r="J25" i="3"/>
  <c r="K25" i="3"/>
  <c r="L25" i="3"/>
  <c r="M25" i="3"/>
  <c r="N25" i="3"/>
  <c r="O25" i="3"/>
  <c r="P25" i="3"/>
  <c r="H26" i="3"/>
  <c r="I26" i="3"/>
  <c r="J26" i="3"/>
  <c r="K26" i="3"/>
  <c r="L26" i="3"/>
  <c r="M26" i="3"/>
  <c r="N26" i="3"/>
  <c r="O26" i="3"/>
  <c r="P26" i="3"/>
  <c r="H27" i="3"/>
  <c r="I27" i="3"/>
  <c r="J27" i="3"/>
  <c r="K27" i="3"/>
  <c r="L27" i="3"/>
  <c r="M27" i="3"/>
  <c r="N27" i="3"/>
  <c r="O27" i="3"/>
  <c r="P27" i="3"/>
  <c r="H28" i="3"/>
  <c r="I28" i="3"/>
  <c r="J28" i="3"/>
  <c r="K28" i="3"/>
  <c r="L28" i="3"/>
  <c r="M28" i="3"/>
  <c r="N28" i="3"/>
  <c r="O28" i="3"/>
  <c r="P28" i="3"/>
  <c r="H29" i="3"/>
  <c r="I29" i="3"/>
  <c r="J29" i="3"/>
  <c r="K29" i="3"/>
  <c r="L29" i="3"/>
  <c r="M29" i="3"/>
  <c r="N29" i="3"/>
  <c r="O29" i="3"/>
  <c r="P29" i="3"/>
  <c r="H30" i="3"/>
  <c r="I30" i="3"/>
  <c r="J30" i="3"/>
  <c r="K30" i="3"/>
  <c r="L30" i="3"/>
  <c r="M30" i="3"/>
  <c r="N30" i="3"/>
  <c r="O30" i="3"/>
  <c r="P30" i="3"/>
  <c r="H31" i="3"/>
  <c r="I31" i="3"/>
  <c r="J31" i="3"/>
  <c r="K31" i="3"/>
  <c r="L31" i="3"/>
  <c r="M31" i="3"/>
  <c r="N31" i="3"/>
  <c r="O31" i="3"/>
  <c r="P31" i="3"/>
  <c r="H32" i="3"/>
  <c r="I32" i="3"/>
  <c r="J32" i="3"/>
  <c r="K32" i="3"/>
  <c r="L32" i="3"/>
  <c r="M32" i="3"/>
  <c r="N32" i="3"/>
  <c r="O32" i="3"/>
  <c r="P32" i="3"/>
  <c r="H33" i="3"/>
  <c r="I33" i="3"/>
  <c r="J33" i="3"/>
  <c r="K33" i="3"/>
  <c r="L33" i="3"/>
  <c r="M33" i="3"/>
  <c r="N33" i="3"/>
  <c r="O33" i="3"/>
  <c r="P33" i="3"/>
  <c r="H34" i="3"/>
  <c r="I34" i="3"/>
  <c r="J34" i="3"/>
  <c r="K34" i="3"/>
  <c r="L34" i="3"/>
  <c r="M34" i="3"/>
  <c r="N34" i="3"/>
  <c r="O34" i="3"/>
  <c r="P34" i="3"/>
  <c r="H35" i="3"/>
  <c r="I35" i="3"/>
  <c r="J35" i="3"/>
  <c r="K35" i="3"/>
  <c r="L35" i="3"/>
  <c r="M35" i="3"/>
  <c r="N35" i="3"/>
  <c r="O35" i="3"/>
  <c r="P35" i="3"/>
  <c r="H36" i="3"/>
  <c r="I36" i="3"/>
  <c r="J36" i="3"/>
  <c r="K36" i="3"/>
  <c r="L36" i="3"/>
  <c r="M36" i="3"/>
  <c r="N36" i="3"/>
  <c r="O36" i="3"/>
  <c r="P36" i="3"/>
  <c r="H37" i="3"/>
  <c r="I37" i="3"/>
  <c r="J37" i="3"/>
  <c r="K37" i="3"/>
  <c r="L37" i="3"/>
  <c r="M37" i="3"/>
  <c r="N37" i="3"/>
  <c r="O37" i="3"/>
  <c r="P37" i="3"/>
  <c r="H38" i="3"/>
  <c r="I38" i="3"/>
  <c r="J38" i="3"/>
  <c r="K38" i="3"/>
  <c r="L38" i="3"/>
  <c r="M38" i="3"/>
  <c r="N38" i="3"/>
  <c r="O38" i="3"/>
  <c r="P38" i="3"/>
  <c r="H39" i="3"/>
  <c r="I39" i="3"/>
  <c r="J39" i="3"/>
  <c r="K39" i="3"/>
  <c r="L39" i="3"/>
  <c r="M39" i="3"/>
  <c r="N39" i="3"/>
  <c r="O39" i="3"/>
  <c r="P39" i="3"/>
  <c r="H40" i="3"/>
  <c r="I40" i="3"/>
  <c r="J40" i="3"/>
  <c r="K40" i="3"/>
  <c r="L40" i="3"/>
  <c r="M40" i="3"/>
  <c r="N40" i="3"/>
  <c r="O40" i="3"/>
  <c r="P40" i="3"/>
  <c r="H41" i="3"/>
  <c r="I41" i="3"/>
  <c r="J41" i="3"/>
  <c r="K41" i="3"/>
  <c r="L41" i="3"/>
  <c r="M41" i="3"/>
  <c r="N41" i="3"/>
  <c r="O41" i="3"/>
  <c r="P41" i="3"/>
  <c r="H42" i="3"/>
  <c r="I42" i="3"/>
  <c r="J42" i="3"/>
  <c r="K42" i="3"/>
  <c r="L42" i="3"/>
  <c r="M42" i="3"/>
  <c r="N42" i="3"/>
  <c r="O42" i="3"/>
  <c r="P42" i="3"/>
  <c r="H43" i="3"/>
  <c r="I43" i="3"/>
  <c r="J43" i="3"/>
  <c r="K43" i="3"/>
  <c r="L43" i="3"/>
  <c r="M43" i="3"/>
  <c r="N43" i="3"/>
  <c r="O43" i="3"/>
  <c r="P43" i="3"/>
  <c r="H44" i="3"/>
  <c r="I44" i="3"/>
  <c r="J44" i="3"/>
  <c r="K44" i="3"/>
  <c r="L44" i="3"/>
  <c r="M44" i="3"/>
  <c r="N44" i="3"/>
  <c r="O44" i="3"/>
  <c r="P44" i="3"/>
  <c r="H45" i="3"/>
  <c r="I45" i="3"/>
  <c r="J45" i="3"/>
  <c r="K45" i="3"/>
  <c r="L45" i="3"/>
  <c r="M45" i="3"/>
  <c r="N45" i="3"/>
  <c r="O45" i="3"/>
  <c r="P45" i="3"/>
  <c r="H46" i="3"/>
  <c r="I46" i="3"/>
  <c r="J46" i="3"/>
  <c r="K46" i="3"/>
  <c r="L46" i="3"/>
  <c r="M46" i="3"/>
  <c r="N46" i="3"/>
  <c r="O46" i="3"/>
  <c r="P46" i="3"/>
  <c r="H47" i="3"/>
  <c r="I47" i="3"/>
  <c r="J47" i="3"/>
  <c r="K47" i="3"/>
  <c r="L47" i="3"/>
  <c r="M47" i="3"/>
  <c r="N47" i="3"/>
  <c r="O47" i="3"/>
  <c r="P47" i="3"/>
  <c r="H48" i="3"/>
  <c r="I48" i="3"/>
  <c r="J48" i="3"/>
  <c r="K48" i="3"/>
  <c r="L48" i="3"/>
  <c r="M48" i="3"/>
  <c r="N48" i="3"/>
  <c r="O48" i="3"/>
  <c r="P48" i="3"/>
  <c r="H49" i="3"/>
  <c r="I49" i="3"/>
  <c r="J49" i="3"/>
  <c r="K49" i="3"/>
  <c r="L49" i="3"/>
  <c r="M49" i="3"/>
  <c r="N49" i="3"/>
  <c r="O49" i="3"/>
  <c r="P49" i="3"/>
  <c r="H50" i="3"/>
  <c r="I50" i="3"/>
  <c r="J50" i="3"/>
  <c r="K50" i="3"/>
  <c r="L50" i="3"/>
  <c r="M50" i="3"/>
  <c r="N50" i="3"/>
  <c r="O50" i="3"/>
  <c r="P50" i="3"/>
  <c r="H51" i="3"/>
  <c r="I51" i="3"/>
  <c r="J51" i="3"/>
  <c r="K51" i="3"/>
  <c r="L51" i="3"/>
  <c r="M51" i="3"/>
  <c r="N51" i="3"/>
  <c r="O51" i="3"/>
  <c r="P51" i="3"/>
  <c r="H52" i="3"/>
  <c r="I52" i="3"/>
  <c r="J52" i="3"/>
  <c r="K52" i="3"/>
  <c r="L52" i="3"/>
  <c r="M52" i="3"/>
  <c r="N52" i="3"/>
  <c r="O52" i="3"/>
  <c r="P52" i="3"/>
  <c r="H53" i="3"/>
  <c r="I53" i="3"/>
  <c r="J53" i="3"/>
  <c r="K53" i="3"/>
  <c r="L53" i="3"/>
  <c r="M53" i="3"/>
  <c r="N53" i="3"/>
  <c r="O53" i="3"/>
  <c r="P53" i="3"/>
  <c r="H54" i="3"/>
  <c r="I54" i="3"/>
  <c r="J54" i="3"/>
  <c r="K54" i="3"/>
  <c r="L54" i="3"/>
  <c r="M54" i="3"/>
  <c r="N54" i="3"/>
  <c r="O54" i="3"/>
  <c r="P54" i="3"/>
  <c r="H55" i="3"/>
  <c r="I55" i="3"/>
  <c r="J55" i="3"/>
  <c r="K55" i="3"/>
  <c r="L55" i="3"/>
  <c r="M55" i="3"/>
  <c r="N55" i="3"/>
  <c r="O55" i="3"/>
  <c r="P55" i="3"/>
  <c r="H56" i="3"/>
  <c r="I56" i="3"/>
  <c r="J56" i="3"/>
  <c r="K56" i="3"/>
  <c r="L56" i="3"/>
  <c r="M56" i="3"/>
  <c r="N56" i="3"/>
  <c r="O56" i="3"/>
  <c r="P56" i="3"/>
  <c r="H57" i="3"/>
  <c r="I57" i="3"/>
  <c r="J57" i="3"/>
  <c r="K57" i="3"/>
  <c r="L57" i="3"/>
  <c r="M57" i="3"/>
  <c r="N57" i="3"/>
  <c r="O57" i="3"/>
  <c r="P57" i="3"/>
  <c r="H58" i="3"/>
  <c r="I58" i="3"/>
  <c r="J58" i="3"/>
  <c r="K58" i="3"/>
  <c r="L58" i="3"/>
  <c r="M58" i="3"/>
  <c r="N58" i="3"/>
  <c r="O58" i="3"/>
  <c r="P58" i="3"/>
  <c r="H59" i="3"/>
  <c r="I59" i="3"/>
  <c r="J59" i="3"/>
  <c r="K59" i="3"/>
  <c r="L59" i="3"/>
  <c r="M59" i="3"/>
  <c r="N59" i="3"/>
  <c r="O59" i="3"/>
  <c r="P59" i="3"/>
  <c r="H60" i="3"/>
  <c r="I60" i="3"/>
  <c r="J60" i="3"/>
  <c r="K60" i="3"/>
  <c r="L60" i="3"/>
  <c r="M60" i="3"/>
  <c r="N60" i="3"/>
  <c r="O60" i="3"/>
  <c r="P60" i="3"/>
  <c r="H61" i="3"/>
  <c r="I61" i="3"/>
  <c r="J61" i="3"/>
  <c r="K61" i="3"/>
  <c r="L61" i="3"/>
  <c r="M61" i="3"/>
  <c r="N61" i="3"/>
  <c r="O61" i="3"/>
  <c r="P61" i="3"/>
  <c r="H62" i="3"/>
  <c r="I62" i="3"/>
  <c r="J62" i="3"/>
  <c r="K62" i="3"/>
  <c r="L62" i="3"/>
  <c r="M62" i="3"/>
  <c r="N62" i="3"/>
  <c r="O62" i="3"/>
  <c r="P62" i="3"/>
  <c r="H63" i="3"/>
  <c r="I63" i="3"/>
  <c r="J63" i="3"/>
  <c r="K63" i="3"/>
  <c r="L63" i="3"/>
  <c r="M63" i="3"/>
  <c r="N63" i="3"/>
  <c r="O63" i="3"/>
  <c r="P63" i="3"/>
  <c r="H64" i="3"/>
  <c r="I64" i="3"/>
  <c r="J64" i="3"/>
  <c r="K64" i="3"/>
  <c r="L64" i="3"/>
  <c r="M64" i="3"/>
  <c r="N64" i="3"/>
  <c r="O64" i="3"/>
  <c r="P64" i="3"/>
  <c r="H65" i="3"/>
  <c r="I65" i="3"/>
  <c r="J65" i="3"/>
  <c r="K65" i="3"/>
  <c r="L65" i="3"/>
  <c r="M65" i="3"/>
  <c r="N65" i="3"/>
  <c r="O65" i="3"/>
  <c r="P65" i="3"/>
  <c r="H66" i="3"/>
  <c r="I66" i="3"/>
  <c r="J66" i="3"/>
  <c r="K66" i="3"/>
  <c r="L66" i="3"/>
  <c r="M66" i="3"/>
  <c r="N66" i="3"/>
  <c r="O66" i="3"/>
  <c r="P66" i="3"/>
  <c r="H67" i="3"/>
  <c r="I67" i="3"/>
  <c r="J67" i="3"/>
  <c r="K67" i="3"/>
  <c r="L67" i="3"/>
  <c r="M67" i="3"/>
  <c r="N67" i="3"/>
  <c r="O67" i="3"/>
  <c r="P67" i="3"/>
  <c r="H68" i="3"/>
  <c r="I68" i="3"/>
  <c r="J68" i="3"/>
  <c r="K68" i="3"/>
  <c r="L68" i="3"/>
  <c r="M68" i="3"/>
  <c r="N68" i="3"/>
  <c r="O68" i="3"/>
  <c r="P68" i="3"/>
  <c r="H69" i="3"/>
  <c r="I69" i="3"/>
  <c r="J69" i="3"/>
  <c r="K69" i="3"/>
  <c r="L69" i="3"/>
  <c r="M69" i="3"/>
  <c r="N69" i="3"/>
  <c r="O69" i="3"/>
  <c r="P69" i="3"/>
  <c r="H70" i="3"/>
  <c r="I70" i="3"/>
  <c r="J70" i="3"/>
  <c r="K70" i="3"/>
  <c r="L70" i="3"/>
  <c r="M70" i="3"/>
  <c r="N70" i="3"/>
  <c r="O70" i="3"/>
  <c r="P70" i="3"/>
  <c r="H71" i="3"/>
  <c r="I71" i="3"/>
  <c r="J71" i="3"/>
  <c r="K71" i="3"/>
  <c r="L71" i="3"/>
  <c r="M71" i="3"/>
  <c r="N71" i="3"/>
  <c r="O71" i="3"/>
  <c r="P71" i="3"/>
  <c r="H72" i="3"/>
  <c r="I72" i="3"/>
  <c r="J72" i="3"/>
  <c r="K72" i="3"/>
  <c r="L72" i="3"/>
  <c r="M72" i="3"/>
  <c r="N72" i="3"/>
  <c r="O72" i="3"/>
  <c r="P72" i="3"/>
  <c r="H74" i="3"/>
  <c r="I74" i="3"/>
  <c r="J74" i="3"/>
  <c r="K74" i="3"/>
  <c r="L74" i="3"/>
  <c r="M74" i="3"/>
  <c r="N74" i="3"/>
  <c r="O74" i="3"/>
  <c r="P74" i="3"/>
  <c r="I75" i="3"/>
  <c r="J75" i="3"/>
  <c r="L75" i="3"/>
  <c r="M75" i="3"/>
  <c r="N75" i="3"/>
  <c r="O75" i="3"/>
  <c r="P75" i="3"/>
  <c r="H76" i="3"/>
  <c r="I76" i="3"/>
  <c r="J76" i="3"/>
  <c r="K76" i="3"/>
  <c r="L76" i="3"/>
  <c r="M76" i="3"/>
  <c r="N76" i="3"/>
  <c r="O76" i="3"/>
  <c r="P76" i="3"/>
  <c r="H77" i="3"/>
  <c r="I77" i="3"/>
  <c r="J77" i="3"/>
  <c r="K77" i="3"/>
  <c r="L77" i="3"/>
  <c r="M77" i="3"/>
  <c r="N77" i="3"/>
  <c r="O77" i="3"/>
  <c r="P77" i="3"/>
  <c r="H78" i="3"/>
  <c r="I78" i="3"/>
  <c r="J78" i="3"/>
  <c r="K78" i="3"/>
  <c r="L78" i="3"/>
  <c r="N78" i="3"/>
  <c r="O78" i="3"/>
  <c r="P78" i="3"/>
  <c r="H79" i="3"/>
  <c r="I79" i="3"/>
  <c r="J79" i="3"/>
  <c r="K79" i="3"/>
  <c r="L79" i="3"/>
  <c r="M79" i="3"/>
  <c r="N79" i="3"/>
  <c r="O79" i="3"/>
  <c r="P79" i="3"/>
  <c r="H80" i="3"/>
  <c r="I80" i="3"/>
  <c r="J80" i="3"/>
  <c r="K80" i="3"/>
  <c r="L80" i="3"/>
  <c r="M80" i="3"/>
  <c r="N80" i="3"/>
  <c r="O80" i="3"/>
  <c r="P80" i="3"/>
  <c r="H81" i="3"/>
  <c r="I81" i="3"/>
  <c r="J81" i="3"/>
  <c r="K81" i="3"/>
  <c r="L81" i="3"/>
  <c r="M81" i="3"/>
  <c r="N81" i="3"/>
  <c r="O81" i="3"/>
  <c r="P81" i="3"/>
  <c r="H82" i="3"/>
  <c r="I82" i="3"/>
  <c r="J82" i="3"/>
  <c r="K82" i="3"/>
  <c r="L82" i="3"/>
  <c r="M82" i="3"/>
  <c r="N82" i="3"/>
  <c r="O82" i="3"/>
  <c r="P82" i="3"/>
  <c r="H83" i="3"/>
  <c r="I83" i="3"/>
  <c r="J83" i="3"/>
  <c r="K83" i="3"/>
  <c r="L83" i="3"/>
  <c r="M83" i="3"/>
  <c r="N83" i="3"/>
  <c r="O83" i="3"/>
  <c r="P83" i="3"/>
  <c r="H84" i="3"/>
  <c r="I84" i="3"/>
  <c r="J84" i="3"/>
  <c r="K84" i="3"/>
  <c r="L84" i="3"/>
  <c r="M84" i="3"/>
  <c r="N84" i="3"/>
  <c r="O84" i="3"/>
  <c r="P84" i="3"/>
  <c r="H85" i="3"/>
  <c r="I85" i="3"/>
  <c r="J85" i="3"/>
  <c r="K85" i="3"/>
  <c r="L85" i="3"/>
  <c r="M85" i="3"/>
  <c r="N85" i="3"/>
  <c r="O85" i="3"/>
  <c r="P85" i="3"/>
  <c r="H86" i="3"/>
  <c r="I86" i="3"/>
  <c r="J86" i="3"/>
  <c r="K86" i="3"/>
  <c r="L86" i="3"/>
  <c r="M86" i="3"/>
  <c r="N86" i="3"/>
  <c r="O86" i="3"/>
  <c r="P86" i="3"/>
  <c r="H87" i="3"/>
  <c r="I87" i="3"/>
  <c r="J87" i="3"/>
  <c r="K87" i="3"/>
  <c r="L87" i="3"/>
  <c r="M87" i="3"/>
  <c r="N87" i="3"/>
  <c r="O87" i="3"/>
  <c r="P87" i="3"/>
  <c r="H88" i="3"/>
  <c r="I88" i="3"/>
  <c r="J88" i="3"/>
  <c r="K88" i="3"/>
  <c r="L88" i="3"/>
  <c r="M88" i="3"/>
  <c r="N88" i="3"/>
  <c r="O88" i="3"/>
  <c r="P88" i="3"/>
  <c r="H89" i="3"/>
  <c r="I89" i="3"/>
  <c r="J89" i="3"/>
  <c r="K89" i="3"/>
  <c r="L89" i="3"/>
  <c r="M89" i="3"/>
  <c r="N89" i="3"/>
  <c r="O89" i="3"/>
  <c r="P89" i="3"/>
  <c r="H90" i="3"/>
  <c r="I90" i="3"/>
  <c r="J90" i="3"/>
  <c r="K90" i="3"/>
  <c r="L90" i="3"/>
  <c r="M90" i="3"/>
  <c r="N90" i="3"/>
  <c r="O90" i="3"/>
  <c r="P90" i="3"/>
  <c r="H91" i="3"/>
  <c r="I91" i="3"/>
  <c r="J91" i="3"/>
  <c r="K91" i="3"/>
  <c r="L91" i="3"/>
  <c r="M91" i="3"/>
  <c r="N91" i="3"/>
  <c r="O91" i="3"/>
  <c r="P91" i="3"/>
  <c r="H92" i="3"/>
  <c r="I92" i="3"/>
  <c r="J92" i="3"/>
  <c r="K92" i="3"/>
  <c r="L92" i="3"/>
  <c r="M92" i="3"/>
  <c r="N92" i="3"/>
  <c r="O92" i="3"/>
  <c r="P92" i="3"/>
  <c r="H93" i="3"/>
  <c r="I93" i="3"/>
  <c r="J93" i="3"/>
  <c r="K93" i="3"/>
  <c r="L93" i="3"/>
  <c r="M93" i="3"/>
  <c r="N93" i="3"/>
  <c r="O93" i="3"/>
  <c r="P93" i="3"/>
  <c r="H94" i="3"/>
  <c r="I94" i="3"/>
  <c r="J94" i="3"/>
  <c r="K94" i="3"/>
  <c r="L94" i="3"/>
  <c r="M94" i="3"/>
  <c r="N94" i="3"/>
  <c r="O94" i="3"/>
  <c r="P94" i="3"/>
  <c r="H95" i="3"/>
  <c r="I95" i="3"/>
  <c r="J95" i="3"/>
  <c r="K95" i="3"/>
  <c r="L95" i="3"/>
  <c r="M95" i="3"/>
  <c r="N95" i="3"/>
  <c r="O95" i="3"/>
  <c r="P95" i="3"/>
  <c r="H96" i="3"/>
  <c r="I96" i="3"/>
  <c r="J96" i="3"/>
  <c r="K96" i="3"/>
  <c r="L96" i="3"/>
  <c r="M96" i="3"/>
  <c r="N96" i="3"/>
  <c r="O96" i="3"/>
  <c r="P96" i="3"/>
  <c r="H97" i="3"/>
  <c r="I97" i="3"/>
  <c r="J97" i="3"/>
  <c r="K97" i="3"/>
  <c r="L97" i="3"/>
  <c r="M97" i="3"/>
  <c r="N97" i="3"/>
  <c r="O97" i="3"/>
  <c r="P97" i="3"/>
  <c r="H98" i="3"/>
  <c r="I98" i="3"/>
  <c r="J98" i="3"/>
  <c r="K98" i="3"/>
  <c r="L98" i="3"/>
  <c r="M98" i="3"/>
  <c r="N98" i="3"/>
  <c r="O98" i="3"/>
  <c r="P98" i="3"/>
  <c r="H99" i="3"/>
  <c r="I99" i="3"/>
  <c r="J99" i="3"/>
  <c r="K99" i="3"/>
  <c r="L99" i="3"/>
  <c r="M99" i="3"/>
  <c r="N99" i="3"/>
  <c r="O99" i="3"/>
  <c r="P99" i="3"/>
  <c r="H100" i="3"/>
  <c r="I100" i="3"/>
  <c r="J100" i="3"/>
  <c r="K100" i="3"/>
  <c r="L100" i="3"/>
  <c r="M100" i="3"/>
  <c r="N100" i="3"/>
  <c r="O100" i="3"/>
  <c r="P100" i="3"/>
  <c r="H101" i="3"/>
  <c r="I101" i="3"/>
  <c r="J101" i="3"/>
  <c r="K101" i="3"/>
  <c r="L101" i="3"/>
  <c r="M101" i="3"/>
  <c r="N101" i="3"/>
  <c r="O101" i="3"/>
  <c r="P101" i="3"/>
  <c r="H102" i="3"/>
  <c r="I102" i="3"/>
  <c r="J102" i="3"/>
  <c r="K102" i="3"/>
  <c r="L102" i="3"/>
  <c r="M102" i="3"/>
  <c r="N102" i="3"/>
  <c r="O102" i="3"/>
  <c r="P102" i="3"/>
  <c r="H103" i="3"/>
  <c r="I103" i="3"/>
  <c r="J103" i="3"/>
  <c r="K103" i="3"/>
  <c r="L103" i="3"/>
  <c r="M103" i="3"/>
  <c r="N103" i="3"/>
  <c r="O103" i="3"/>
  <c r="P103" i="3"/>
  <c r="H104" i="3"/>
  <c r="I104" i="3"/>
  <c r="J104" i="3"/>
  <c r="K104" i="3"/>
  <c r="L104" i="3"/>
  <c r="M104" i="3"/>
  <c r="N104" i="3"/>
  <c r="O104" i="3"/>
  <c r="P104" i="3"/>
  <c r="H105" i="3"/>
  <c r="I105" i="3"/>
  <c r="J105" i="3"/>
  <c r="K105" i="3"/>
  <c r="L105" i="3"/>
  <c r="M105" i="3"/>
  <c r="N105" i="3"/>
  <c r="O105" i="3"/>
  <c r="P105" i="3"/>
  <c r="H106" i="3"/>
  <c r="I106" i="3"/>
  <c r="J106" i="3"/>
  <c r="K106" i="3"/>
  <c r="L106" i="3"/>
  <c r="M106" i="3"/>
  <c r="N106" i="3"/>
  <c r="O106" i="3"/>
  <c r="P106" i="3"/>
  <c r="H107" i="3"/>
  <c r="I107" i="3"/>
  <c r="J107" i="3"/>
  <c r="K107" i="3"/>
  <c r="L107" i="3"/>
  <c r="M107" i="3"/>
  <c r="N107" i="3"/>
  <c r="O107" i="3"/>
  <c r="P107" i="3"/>
  <c r="H108" i="3"/>
  <c r="I108" i="3"/>
  <c r="J108" i="3"/>
  <c r="K108" i="3"/>
  <c r="L108" i="3"/>
  <c r="M108" i="3"/>
  <c r="N108" i="3"/>
  <c r="O108" i="3"/>
  <c r="P108" i="3"/>
  <c r="H109" i="3"/>
  <c r="I109" i="3"/>
  <c r="J109" i="3"/>
  <c r="K109" i="3"/>
  <c r="L109" i="3"/>
  <c r="M109" i="3"/>
  <c r="N109" i="3"/>
  <c r="O109" i="3"/>
  <c r="P109" i="3"/>
  <c r="H110" i="3"/>
  <c r="I110" i="3"/>
  <c r="J110" i="3"/>
  <c r="K110" i="3"/>
  <c r="L110" i="3"/>
  <c r="M110" i="3"/>
  <c r="N110" i="3"/>
  <c r="O110" i="3"/>
  <c r="P110" i="3"/>
  <c r="H111" i="3"/>
  <c r="I111" i="3"/>
  <c r="J111" i="3"/>
  <c r="K111" i="3"/>
  <c r="L111" i="3"/>
  <c r="M111" i="3"/>
  <c r="N111" i="3"/>
  <c r="O111" i="3"/>
  <c r="P111" i="3"/>
  <c r="H112" i="3"/>
  <c r="I112" i="3"/>
  <c r="J112" i="3"/>
  <c r="K112" i="3"/>
  <c r="L112" i="3"/>
  <c r="M112" i="3"/>
  <c r="N112" i="3"/>
  <c r="O112" i="3"/>
  <c r="P112" i="3"/>
  <c r="L113" i="3"/>
  <c r="O113" i="3"/>
  <c r="H114" i="3"/>
  <c r="I114" i="3"/>
  <c r="J114" i="3"/>
  <c r="K114" i="3"/>
  <c r="L114" i="3"/>
  <c r="M114" i="3"/>
  <c r="N114" i="3"/>
  <c r="O114" i="3"/>
  <c r="P114" i="3"/>
  <c r="H115" i="3"/>
  <c r="I115" i="3"/>
  <c r="J115" i="3"/>
  <c r="K115" i="3"/>
  <c r="L115" i="3"/>
  <c r="M115" i="3"/>
  <c r="N115" i="3"/>
  <c r="O115" i="3"/>
  <c r="P115" i="3"/>
  <c r="H116" i="3"/>
  <c r="I116" i="3"/>
  <c r="J116" i="3"/>
  <c r="K116" i="3"/>
  <c r="L116" i="3"/>
  <c r="M116" i="3"/>
  <c r="N116" i="3"/>
  <c r="O116" i="3"/>
  <c r="P116" i="3"/>
  <c r="H117" i="3"/>
  <c r="I117" i="3"/>
  <c r="J117" i="3"/>
  <c r="K117" i="3"/>
  <c r="L117" i="3"/>
  <c r="M117" i="3"/>
  <c r="N117" i="3"/>
  <c r="O117" i="3"/>
  <c r="P117" i="3"/>
  <c r="H118" i="3"/>
  <c r="I118" i="3"/>
  <c r="J118" i="3"/>
  <c r="K118" i="3"/>
  <c r="L118" i="3"/>
  <c r="M118" i="3"/>
  <c r="N118" i="3"/>
  <c r="O118" i="3"/>
  <c r="P118" i="3"/>
  <c r="H119" i="3"/>
  <c r="I119" i="3"/>
  <c r="J119" i="3"/>
  <c r="K119" i="3"/>
  <c r="L119" i="3"/>
  <c r="M119" i="3"/>
  <c r="N119" i="3"/>
  <c r="O119" i="3"/>
  <c r="P119" i="3"/>
  <c r="H120" i="3"/>
  <c r="I120" i="3"/>
  <c r="J120" i="3"/>
  <c r="K120" i="3"/>
  <c r="L120" i="3"/>
  <c r="M120" i="3"/>
  <c r="N120" i="3"/>
  <c r="O120" i="3"/>
  <c r="P120" i="3"/>
  <c r="H121" i="3"/>
  <c r="I121" i="3"/>
  <c r="J121" i="3"/>
  <c r="K121" i="3"/>
  <c r="L121" i="3"/>
  <c r="M121" i="3"/>
  <c r="N121" i="3"/>
  <c r="O121" i="3"/>
  <c r="P121" i="3"/>
  <c r="H122" i="3"/>
  <c r="I122" i="3"/>
  <c r="J122" i="3"/>
  <c r="K122" i="3"/>
  <c r="L122" i="3"/>
  <c r="M122" i="3"/>
  <c r="N122" i="3"/>
  <c r="O122" i="3"/>
  <c r="P122" i="3"/>
  <c r="H123" i="3"/>
  <c r="I123" i="3"/>
  <c r="J123" i="3"/>
  <c r="K123" i="3"/>
  <c r="L123" i="3"/>
  <c r="M123" i="3"/>
  <c r="N123" i="3"/>
  <c r="O123" i="3"/>
  <c r="P123" i="3"/>
  <c r="H124" i="3"/>
  <c r="I124" i="3"/>
  <c r="J124" i="3"/>
  <c r="K124" i="3"/>
  <c r="L124" i="3"/>
  <c r="M124" i="3"/>
  <c r="N124" i="3"/>
  <c r="O124" i="3"/>
  <c r="P124" i="3"/>
  <c r="H125" i="3"/>
  <c r="I125" i="3"/>
  <c r="J125" i="3"/>
  <c r="K125" i="3"/>
  <c r="L125" i="3"/>
  <c r="M125" i="3"/>
  <c r="N125" i="3"/>
  <c r="O125" i="3"/>
  <c r="P125" i="3"/>
  <c r="H126" i="3"/>
  <c r="I126" i="3"/>
  <c r="J126" i="3"/>
  <c r="K126" i="3"/>
  <c r="L126" i="3"/>
  <c r="M126" i="3"/>
  <c r="N126" i="3"/>
  <c r="O126" i="3"/>
  <c r="P126" i="3"/>
  <c r="H127" i="3"/>
  <c r="I127" i="3"/>
  <c r="J127" i="3"/>
  <c r="K127" i="3"/>
  <c r="L127" i="3"/>
  <c r="M127" i="3"/>
  <c r="N127" i="3"/>
  <c r="O127" i="3"/>
  <c r="P127" i="3"/>
  <c r="H128" i="3"/>
  <c r="I128" i="3"/>
  <c r="J128" i="3"/>
  <c r="K128" i="3"/>
  <c r="L128" i="3"/>
  <c r="M128" i="3"/>
  <c r="N128" i="3"/>
  <c r="O128" i="3"/>
  <c r="P128" i="3"/>
  <c r="H129" i="3"/>
  <c r="I129" i="3"/>
  <c r="J129" i="3"/>
  <c r="K129" i="3"/>
  <c r="L129" i="3"/>
  <c r="M129" i="3"/>
  <c r="N129" i="3"/>
  <c r="O129" i="3"/>
  <c r="P129" i="3"/>
  <c r="H130" i="3"/>
  <c r="I130" i="3"/>
  <c r="J130" i="3"/>
  <c r="K130" i="3"/>
  <c r="L130" i="3"/>
  <c r="M130" i="3"/>
  <c r="N130" i="3"/>
  <c r="O130" i="3"/>
  <c r="P130" i="3"/>
  <c r="H131" i="3"/>
  <c r="I131" i="3"/>
  <c r="J131" i="3"/>
  <c r="K131" i="3"/>
  <c r="L131" i="3"/>
  <c r="M131" i="3"/>
  <c r="N131" i="3"/>
  <c r="O131" i="3"/>
  <c r="P131" i="3"/>
  <c r="H132" i="3"/>
  <c r="I132" i="3"/>
  <c r="J132" i="3"/>
  <c r="K132" i="3"/>
  <c r="L132" i="3"/>
  <c r="M132" i="3"/>
  <c r="N132" i="3"/>
  <c r="O132" i="3"/>
  <c r="P132" i="3"/>
  <c r="H133" i="3"/>
  <c r="I133" i="3"/>
  <c r="J133" i="3"/>
  <c r="K133" i="3"/>
  <c r="L133" i="3"/>
  <c r="M133" i="3"/>
  <c r="N133" i="3"/>
  <c r="O133" i="3"/>
  <c r="P133" i="3"/>
  <c r="H134" i="3"/>
  <c r="I134" i="3"/>
  <c r="J134" i="3"/>
  <c r="K134" i="3"/>
  <c r="L134" i="3"/>
  <c r="M134" i="3"/>
  <c r="N134" i="3"/>
  <c r="O134" i="3"/>
  <c r="P134" i="3"/>
  <c r="H135" i="3"/>
  <c r="I135" i="3"/>
  <c r="J135" i="3"/>
  <c r="K135" i="3"/>
  <c r="L135" i="3"/>
  <c r="M135" i="3"/>
  <c r="N135" i="3"/>
  <c r="O135" i="3"/>
  <c r="P135" i="3"/>
  <c r="H136" i="3"/>
  <c r="I136" i="3"/>
  <c r="J136" i="3"/>
  <c r="K136" i="3"/>
  <c r="L136" i="3"/>
  <c r="M136" i="3"/>
  <c r="N136" i="3"/>
  <c r="O136" i="3"/>
  <c r="P136" i="3"/>
  <c r="H137" i="3"/>
  <c r="I137" i="3"/>
  <c r="J137" i="3"/>
  <c r="K137" i="3"/>
  <c r="L137" i="3"/>
  <c r="M137" i="3"/>
  <c r="N137" i="3"/>
  <c r="O137" i="3"/>
  <c r="P137" i="3"/>
  <c r="H138" i="3"/>
  <c r="I138" i="3"/>
  <c r="J138" i="3"/>
  <c r="K138" i="3"/>
  <c r="L138" i="3"/>
  <c r="M138" i="3"/>
  <c r="N138" i="3"/>
  <c r="O138" i="3"/>
  <c r="P138" i="3"/>
  <c r="H139" i="3"/>
  <c r="I139" i="3"/>
  <c r="J139" i="3"/>
  <c r="K139" i="3"/>
  <c r="L139" i="3"/>
  <c r="M139" i="3"/>
  <c r="N139" i="3"/>
  <c r="O139" i="3"/>
  <c r="P139" i="3"/>
  <c r="H140" i="3"/>
  <c r="I140" i="3"/>
  <c r="J140" i="3"/>
  <c r="K140" i="3"/>
  <c r="L140" i="3"/>
  <c r="M140" i="3"/>
  <c r="N140" i="3"/>
  <c r="O140" i="3"/>
  <c r="P140" i="3"/>
  <c r="H141" i="3"/>
  <c r="I141" i="3"/>
  <c r="J141" i="3"/>
  <c r="K141" i="3"/>
  <c r="L141" i="3"/>
  <c r="M141" i="3"/>
  <c r="N141" i="3"/>
  <c r="O141" i="3"/>
  <c r="P141" i="3"/>
  <c r="H142" i="3"/>
  <c r="I142" i="3"/>
  <c r="J142" i="3"/>
  <c r="K142" i="3"/>
  <c r="L142" i="3"/>
  <c r="M142" i="3"/>
  <c r="N142" i="3"/>
  <c r="O142" i="3"/>
  <c r="P142" i="3"/>
  <c r="H143" i="3"/>
  <c r="I143" i="3"/>
  <c r="J143" i="3"/>
  <c r="K143" i="3"/>
  <c r="L143" i="3"/>
  <c r="M143" i="3"/>
  <c r="N143" i="3"/>
  <c r="O143" i="3"/>
  <c r="P143" i="3"/>
  <c r="H144" i="3"/>
  <c r="I144" i="3"/>
  <c r="J144" i="3"/>
  <c r="K144" i="3"/>
  <c r="L144" i="3"/>
  <c r="M144" i="3"/>
  <c r="N144" i="3"/>
  <c r="O144" i="3"/>
  <c r="P144" i="3"/>
  <c r="H145" i="3"/>
  <c r="I145" i="3"/>
  <c r="J145" i="3"/>
  <c r="K145" i="3"/>
  <c r="L145" i="3"/>
  <c r="M145" i="3"/>
  <c r="N145" i="3"/>
  <c r="O145" i="3"/>
  <c r="P145" i="3"/>
  <c r="H146" i="3"/>
  <c r="I146" i="3"/>
  <c r="J146" i="3"/>
  <c r="K146" i="3"/>
  <c r="L146" i="3"/>
  <c r="M146" i="3"/>
  <c r="N146" i="3"/>
  <c r="O146" i="3"/>
  <c r="P146" i="3"/>
  <c r="J147" i="3"/>
  <c r="K147" i="3"/>
  <c r="L147" i="3"/>
  <c r="M147" i="3"/>
  <c r="N147" i="3"/>
  <c r="O147" i="3"/>
  <c r="P147" i="3"/>
  <c r="H148" i="3"/>
  <c r="I148" i="3"/>
  <c r="J148" i="3"/>
  <c r="K148" i="3"/>
  <c r="L148" i="3"/>
  <c r="M148" i="3"/>
  <c r="N148" i="3"/>
  <c r="O148" i="3"/>
  <c r="P148" i="3"/>
  <c r="H149" i="3"/>
  <c r="I149" i="3"/>
  <c r="J149" i="3"/>
  <c r="K149" i="3"/>
  <c r="L149" i="3"/>
  <c r="M149" i="3"/>
  <c r="N149" i="3"/>
  <c r="O149" i="3"/>
  <c r="P149" i="3"/>
  <c r="H150" i="3"/>
  <c r="I150" i="3"/>
  <c r="J150" i="3"/>
  <c r="K150" i="3"/>
  <c r="L150" i="3"/>
  <c r="M150" i="3"/>
  <c r="N150" i="3"/>
  <c r="O150" i="3"/>
  <c r="P150" i="3"/>
  <c r="H151" i="3"/>
  <c r="I151" i="3"/>
  <c r="J151" i="3"/>
  <c r="K151" i="3"/>
  <c r="L151" i="3"/>
  <c r="M151" i="3"/>
  <c r="N151" i="3"/>
  <c r="O151" i="3"/>
  <c r="P151" i="3"/>
  <c r="H152" i="3"/>
  <c r="I152" i="3"/>
  <c r="J152" i="3"/>
  <c r="K152" i="3"/>
  <c r="L152" i="3"/>
  <c r="M152" i="3"/>
  <c r="N152" i="3"/>
  <c r="O152" i="3"/>
  <c r="P152" i="3"/>
  <c r="H153" i="3"/>
  <c r="I153" i="3"/>
  <c r="J153" i="3"/>
  <c r="K153" i="3"/>
  <c r="L153" i="3"/>
  <c r="M153" i="3"/>
  <c r="N153" i="3"/>
  <c r="O153" i="3"/>
  <c r="P153" i="3"/>
  <c r="H154" i="3"/>
  <c r="I154" i="3"/>
  <c r="J154" i="3"/>
  <c r="K154" i="3"/>
  <c r="L154" i="3"/>
  <c r="M154" i="3"/>
  <c r="N154" i="3"/>
  <c r="O154" i="3"/>
  <c r="P154" i="3"/>
  <c r="H155" i="3"/>
  <c r="I155" i="3"/>
  <c r="J155" i="3"/>
  <c r="K155" i="3"/>
  <c r="L155" i="3"/>
  <c r="M155" i="3"/>
  <c r="N155" i="3"/>
  <c r="O155" i="3"/>
  <c r="P155" i="3"/>
  <c r="H156" i="3"/>
  <c r="I156" i="3"/>
  <c r="J156" i="3"/>
  <c r="K156" i="3"/>
  <c r="L156" i="3"/>
  <c r="M156" i="3"/>
  <c r="N156" i="3"/>
  <c r="O156" i="3"/>
  <c r="P156" i="3"/>
  <c r="H157" i="3"/>
  <c r="I157" i="3"/>
  <c r="J157" i="3"/>
  <c r="K157" i="3"/>
  <c r="L157" i="3"/>
  <c r="M157" i="3"/>
  <c r="N157" i="3"/>
  <c r="O157" i="3"/>
  <c r="P157" i="3"/>
  <c r="H159" i="3"/>
  <c r="I159" i="3"/>
  <c r="J159" i="3"/>
  <c r="K159" i="3"/>
  <c r="L159" i="3"/>
  <c r="M159" i="3"/>
  <c r="N159" i="3"/>
  <c r="O159" i="3"/>
  <c r="P159" i="3"/>
  <c r="H160" i="3"/>
  <c r="I160" i="3"/>
  <c r="J160" i="3"/>
  <c r="K160" i="3"/>
  <c r="L160" i="3"/>
  <c r="M160" i="3"/>
  <c r="N160" i="3"/>
  <c r="O160" i="3"/>
  <c r="P160" i="3"/>
  <c r="H161" i="3"/>
  <c r="I161" i="3"/>
  <c r="J161" i="3"/>
  <c r="K161" i="3"/>
  <c r="L161" i="3"/>
  <c r="M161" i="3"/>
  <c r="N161" i="3"/>
  <c r="O161" i="3"/>
  <c r="P161" i="3"/>
  <c r="H162" i="3"/>
  <c r="I162" i="3"/>
  <c r="J162" i="3"/>
  <c r="K162" i="3"/>
  <c r="L162" i="3"/>
  <c r="M162" i="3"/>
  <c r="N162" i="3"/>
  <c r="O162" i="3"/>
  <c r="P162" i="3"/>
  <c r="H165" i="3"/>
  <c r="I165" i="3"/>
  <c r="J165" i="3"/>
  <c r="K165" i="3"/>
  <c r="L165" i="3"/>
  <c r="M165" i="3"/>
  <c r="N165" i="3"/>
  <c r="O165" i="3"/>
  <c r="P165" i="3"/>
  <c r="H166" i="3"/>
  <c r="I166" i="3"/>
  <c r="J166" i="3"/>
  <c r="K166" i="3"/>
  <c r="L166" i="3"/>
  <c r="M166" i="3"/>
  <c r="N166" i="3"/>
  <c r="O166" i="3"/>
  <c r="P166" i="3"/>
  <c r="H167" i="3"/>
  <c r="I167" i="3"/>
  <c r="J167" i="3"/>
  <c r="K167" i="3"/>
  <c r="L167" i="3"/>
  <c r="M167" i="3"/>
  <c r="N167" i="3"/>
  <c r="O167" i="3"/>
  <c r="P167" i="3"/>
  <c r="H168" i="3"/>
  <c r="I168" i="3"/>
  <c r="J168" i="3"/>
  <c r="K168" i="3"/>
  <c r="L168" i="3"/>
  <c r="M168" i="3"/>
  <c r="N168" i="3"/>
  <c r="O168" i="3"/>
  <c r="P168" i="3"/>
  <c r="H169" i="3"/>
  <c r="I169" i="3"/>
  <c r="J169" i="3"/>
  <c r="K169" i="3"/>
  <c r="L169" i="3"/>
  <c r="M169" i="3"/>
  <c r="N169" i="3"/>
  <c r="O169" i="3"/>
  <c r="P169" i="3"/>
  <c r="H170" i="3"/>
  <c r="I170" i="3"/>
  <c r="J170" i="3"/>
  <c r="K170" i="3"/>
  <c r="L170" i="3"/>
  <c r="M170" i="3"/>
  <c r="N170" i="3"/>
  <c r="O170" i="3"/>
  <c r="P170" i="3"/>
  <c r="H171" i="3"/>
  <c r="I171" i="3"/>
  <c r="J171" i="3"/>
  <c r="K171" i="3"/>
  <c r="L171" i="3"/>
  <c r="M171" i="3"/>
  <c r="N171" i="3"/>
  <c r="O171" i="3"/>
  <c r="P171" i="3"/>
  <c r="H172" i="3"/>
  <c r="I172" i="3"/>
  <c r="J172" i="3"/>
  <c r="K172" i="3"/>
  <c r="L172" i="3"/>
  <c r="M172" i="3"/>
  <c r="N172" i="3"/>
  <c r="O172" i="3"/>
  <c r="P172" i="3"/>
  <c r="H173" i="3"/>
  <c r="I173" i="3"/>
  <c r="J173" i="3"/>
  <c r="K173" i="3"/>
  <c r="L173" i="3"/>
  <c r="M173" i="3"/>
  <c r="N173" i="3"/>
  <c r="O173" i="3"/>
  <c r="P173" i="3"/>
  <c r="H174" i="3"/>
  <c r="I174" i="3"/>
  <c r="J174" i="3"/>
  <c r="K174" i="3"/>
  <c r="L174" i="3"/>
  <c r="M174" i="3"/>
  <c r="N174" i="3"/>
  <c r="O174" i="3"/>
  <c r="P174" i="3"/>
  <c r="H175" i="3"/>
  <c r="I175" i="3"/>
  <c r="J175" i="3"/>
  <c r="K175" i="3"/>
  <c r="L175" i="3"/>
  <c r="M175" i="3"/>
  <c r="N175" i="3"/>
  <c r="O175" i="3"/>
  <c r="P175" i="3"/>
  <c r="H176" i="3"/>
  <c r="L176" i="3"/>
  <c r="N176" i="3"/>
  <c r="P176" i="3"/>
  <c r="H177" i="3"/>
  <c r="I177" i="3"/>
  <c r="J177" i="3"/>
  <c r="K177" i="3"/>
  <c r="L177" i="3"/>
  <c r="M177" i="3"/>
  <c r="N177" i="3"/>
  <c r="O177" i="3"/>
  <c r="P177" i="3"/>
  <c r="H178" i="3"/>
  <c r="I178" i="3"/>
  <c r="J178" i="3"/>
  <c r="K178" i="3"/>
  <c r="L178" i="3"/>
  <c r="M178" i="3"/>
  <c r="N178" i="3"/>
  <c r="O178" i="3"/>
  <c r="P178" i="3"/>
  <c r="H179" i="3"/>
  <c r="I179" i="3"/>
  <c r="J179" i="3"/>
  <c r="K179" i="3"/>
  <c r="L179" i="3"/>
  <c r="M179" i="3"/>
  <c r="N179" i="3"/>
  <c r="O179" i="3"/>
  <c r="P179" i="3"/>
  <c r="H180" i="3"/>
  <c r="I180" i="3"/>
  <c r="J180" i="3"/>
  <c r="K180" i="3"/>
  <c r="L180" i="3"/>
  <c r="M180" i="3"/>
  <c r="N180" i="3"/>
  <c r="O180" i="3"/>
  <c r="P180" i="3"/>
  <c r="H181" i="3"/>
  <c r="I181" i="3"/>
  <c r="J181" i="3"/>
  <c r="K181" i="3"/>
  <c r="L181" i="3"/>
  <c r="M181" i="3"/>
  <c r="N181" i="3"/>
  <c r="O181" i="3"/>
  <c r="P181" i="3"/>
  <c r="H182" i="3"/>
  <c r="I182" i="3"/>
  <c r="J182" i="3"/>
  <c r="K182" i="3"/>
  <c r="L182" i="3"/>
  <c r="M182" i="3"/>
  <c r="N182" i="3"/>
  <c r="O182" i="3"/>
  <c r="P182" i="3"/>
  <c r="H183" i="3"/>
  <c r="I183" i="3"/>
  <c r="J183" i="3"/>
  <c r="K183" i="3"/>
  <c r="L183" i="3"/>
  <c r="M183" i="3"/>
  <c r="N183" i="3"/>
  <c r="O183" i="3"/>
  <c r="P183" i="3"/>
  <c r="K184" i="3"/>
  <c r="L184" i="3"/>
  <c r="H185" i="3"/>
  <c r="I185" i="3"/>
  <c r="J185" i="3"/>
  <c r="K185" i="3"/>
  <c r="L185" i="3"/>
  <c r="M185" i="3"/>
  <c r="N185" i="3"/>
  <c r="O185" i="3"/>
  <c r="P185" i="3"/>
  <c r="H186" i="3"/>
  <c r="I186" i="3"/>
  <c r="L186" i="3"/>
  <c r="M186" i="3"/>
  <c r="O186" i="3"/>
  <c r="P186" i="3"/>
  <c r="H189" i="3"/>
  <c r="I189" i="3"/>
  <c r="J189" i="3"/>
  <c r="K189" i="3"/>
  <c r="L189" i="3"/>
  <c r="M189" i="3"/>
  <c r="N189" i="3"/>
  <c r="O189" i="3"/>
  <c r="P189" i="3"/>
  <c r="H190" i="3"/>
  <c r="I190" i="3"/>
  <c r="J190" i="3"/>
  <c r="K190" i="3"/>
  <c r="L190" i="3"/>
  <c r="M190" i="3"/>
  <c r="N190" i="3"/>
  <c r="O190" i="3"/>
  <c r="P190" i="3"/>
  <c r="H191" i="3"/>
  <c r="I191" i="3"/>
  <c r="J191" i="3"/>
  <c r="K191" i="3"/>
  <c r="L191" i="3"/>
  <c r="M191" i="3"/>
  <c r="N191" i="3"/>
  <c r="O191" i="3"/>
  <c r="P191" i="3"/>
  <c r="H192" i="3"/>
  <c r="I192" i="3"/>
  <c r="J192" i="3"/>
  <c r="K192" i="3"/>
  <c r="L192" i="3"/>
  <c r="M192" i="3"/>
  <c r="N192" i="3"/>
  <c r="O192" i="3"/>
  <c r="P192" i="3"/>
  <c r="H193" i="3"/>
  <c r="I193" i="3"/>
  <c r="J193" i="3"/>
  <c r="K193" i="3"/>
  <c r="L193" i="3"/>
  <c r="M193" i="3"/>
  <c r="N193" i="3"/>
  <c r="O193" i="3"/>
  <c r="P193" i="3"/>
  <c r="H194" i="3"/>
  <c r="I194" i="3"/>
  <c r="J194" i="3"/>
  <c r="K194" i="3"/>
  <c r="L194" i="3"/>
  <c r="M194" i="3"/>
  <c r="N194" i="3"/>
  <c r="O194" i="3"/>
  <c r="P194" i="3"/>
  <c r="H195" i="3"/>
  <c r="I195" i="3"/>
  <c r="J195" i="3"/>
  <c r="K195" i="3"/>
  <c r="L195" i="3"/>
  <c r="M195" i="3"/>
  <c r="N195" i="3"/>
  <c r="O195" i="3"/>
  <c r="P195" i="3"/>
  <c r="I196" i="3"/>
  <c r="J196" i="3"/>
  <c r="K196" i="3"/>
  <c r="L196" i="3"/>
  <c r="M196" i="3"/>
  <c r="N196" i="3"/>
  <c r="O196" i="3"/>
  <c r="P196" i="3"/>
  <c r="H197" i="3"/>
  <c r="I197" i="3"/>
  <c r="J197" i="3"/>
  <c r="K197" i="3"/>
  <c r="L197" i="3"/>
  <c r="M197" i="3"/>
  <c r="N197" i="3"/>
  <c r="O197" i="3"/>
  <c r="P197" i="3"/>
  <c r="H198" i="3"/>
  <c r="I198" i="3"/>
  <c r="J198" i="3"/>
  <c r="K198" i="3"/>
  <c r="L198" i="3"/>
  <c r="M198" i="3"/>
  <c r="N198" i="3"/>
  <c r="O198" i="3"/>
  <c r="P198" i="3"/>
  <c r="H199" i="3"/>
  <c r="J199" i="3"/>
  <c r="L199" i="3"/>
  <c r="M199" i="3"/>
  <c r="P199" i="3"/>
  <c r="H200" i="3"/>
  <c r="I200" i="3"/>
  <c r="J200" i="3"/>
  <c r="K200" i="3"/>
  <c r="L200" i="3"/>
  <c r="M200" i="3"/>
  <c r="N200" i="3"/>
  <c r="O200" i="3"/>
  <c r="P200" i="3"/>
  <c r="H201" i="3"/>
  <c r="I201" i="3"/>
  <c r="J201" i="3"/>
  <c r="K201" i="3"/>
  <c r="L201" i="3"/>
  <c r="M201" i="3"/>
  <c r="N201" i="3"/>
  <c r="O201" i="3"/>
  <c r="P201" i="3"/>
  <c r="H202" i="3"/>
  <c r="I202" i="3"/>
  <c r="J202" i="3"/>
  <c r="K202" i="3"/>
  <c r="L202" i="3"/>
  <c r="M202" i="3"/>
  <c r="N202" i="3"/>
  <c r="O202" i="3"/>
  <c r="P202" i="3"/>
  <c r="H203" i="3"/>
  <c r="I203" i="3"/>
  <c r="J203" i="3"/>
  <c r="K203" i="3"/>
  <c r="L203" i="3"/>
  <c r="M203" i="3"/>
  <c r="N203" i="3"/>
  <c r="O203" i="3"/>
  <c r="P203" i="3"/>
  <c r="H204" i="3"/>
  <c r="I204" i="3"/>
  <c r="J204" i="3"/>
  <c r="K204" i="3"/>
  <c r="L204" i="3"/>
  <c r="M204" i="3"/>
  <c r="N204" i="3"/>
  <c r="O204" i="3"/>
  <c r="P204" i="3"/>
  <c r="H205" i="3"/>
  <c r="I205" i="3"/>
  <c r="J205" i="3"/>
  <c r="K205" i="3"/>
  <c r="L205" i="3"/>
  <c r="M205" i="3"/>
  <c r="N205" i="3"/>
  <c r="O205" i="3"/>
  <c r="P205" i="3"/>
  <c r="H206" i="3"/>
  <c r="I206" i="3"/>
  <c r="J206" i="3"/>
  <c r="K206" i="3"/>
  <c r="L206" i="3"/>
  <c r="M206" i="3"/>
  <c r="N206" i="3"/>
  <c r="O206" i="3"/>
  <c r="P206" i="3"/>
  <c r="L207" i="3"/>
  <c r="H208" i="3"/>
  <c r="I208" i="3"/>
  <c r="J208" i="3"/>
  <c r="K208" i="3"/>
  <c r="L208" i="3"/>
  <c r="M208" i="3"/>
  <c r="N208" i="3"/>
  <c r="O208" i="3"/>
  <c r="P208" i="3"/>
  <c r="H210" i="3"/>
  <c r="I210" i="3"/>
  <c r="J210" i="3"/>
  <c r="K210" i="3"/>
  <c r="L210" i="3"/>
  <c r="M210" i="3"/>
  <c r="N210" i="3"/>
  <c r="O210" i="3"/>
  <c r="P210" i="3"/>
  <c r="I211" i="3"/>
  <c r="L211" i="3"/>
  <c r="M211" i="3"/>
  <c r="N211" i="3"/>
  <c r="O211" i="3"/>
  <c r="H212" i="3"/>
  <c r="I212" i="3"/>
  <c r="J212" i="3"/>
  <c r="K212" i="3"/>
  <c r="L212" i="3"/>
  <c r="M212" i="3"/>
  <c r="N212" i="3"/>
  <c r="O212" i="3"/>
  <c r="P212" i="3"/>
  <c r="H213" i="3"/>
  <c r="I213" i="3"/>
  <c r="J213" i="3"/>
  <c r="K213" i="3"/>
  <c r="L213" i="3"/>
  <c r="M213" i="3"/>
  <c r="N213" i="3"/>
  <c r="O213" i="3"/>
  <c r="P213" i="3"/>
  <c r="H214" i="3"/>
  <c r="I214" i="3"/>
  <c r="J214" i="3"/>
  <c r="K214" i="3"/>
  <c r="L214" i="3"/>
  <c r="M214" i="3"/>
  <c r="N214" i="3"/>
  <c r="O214" i="3"/>
  <c r="P214" i="3"/>
  <c r="H215" i="3"/>
  <c r="I215" i="3"/>
  <c r="J215" i="3"/>
  <c r="K215" i="3"/>
  <c r="L215" i="3"/>
  <c r="M215" i="3"/>
  <c r="N215" i="3"/>
  <c r="O215" i="3"/>
  <c r="P215" i="3"/>
  <c r="H216" i="3"/>
  <c r="I216" i="3"/>
  <c r="J216" i="3"/>
  <c r="K216" i="3"/>
  <c r="L216" i="3"/>
  <c r="M216" i="3"/>
  <c r="N216" i="3"/>
  <c r="O216" i="3"/>
  <c r="P216" i="3"/>
  <c r="H217" i="3"/>
  <c r="I217" i="3"/>
  <c r="J217" i="3"/>
  <c r="K217" i="3"/>
  <c r="L217" i="3"/>
  <c r="M217" i="3"/>
  <c r="N217" i="3"/>
  <c r="O217" i="3"/>
  <c r="P217" i="3"/>
  <c r="H218" i="3"/>
  <c r="I218" i="3"/>
  <c r="J218" i="3"/>
  <c r="K218" i="3"/>
  <c r="L218" i="3"/>
  <c r="M218" i="3"/>
  <c r="N218" i="3"/>
  <c r="O218" i="3"/>
  <c r="P218" i="3"/>
  <c r="H219" i="3"/>
  <c r="I219" i="3"/>
  <c r="J219" i="3"/>
  <c r="K219" i="3"/>
  <c r="L219" i="3"/>
  <c r="M219" i="3"/>
  <c r="N219" i="3"/>
  <c r="O219" i="3"/>
  <c r="P219" i="3"/>
  <c r="H220" i="3"/>
  <c r="I220" i="3"/>
  <c r="J220" i="3"/>
  <c r="K220" i="3"/>
  <c r="L220" i="3"/>
  <c r="M220" i="3"/>
  <c r="N220" i="3"/>
  <c r="O220" i="3"/>
  <c r="P220" i="3"/>
  <c r="H221" i="3"/>
  <c r="I221" i="3"/>
  <c r="J221" i="3"/>
  <c r="K221" i="3"/>
  <c r="L221" i="3"/>
  <c r="M221" i="3"/>
  <c r="N221" i="3"/>
  <c r="O221" i="3"/>
  <c r="P221" i="3"/>
  <c r="H222" i="3"/>
  <c r="J222" i="3"/>
  <c r="K222" i="3"/>
  <c r="L222" i="3"/>
  <c r="M222" i="3"/>
  <c r="N222" i="3"/>
  <c r="O222" i="3"/>
  <c r="P222" i="3"/>
  <c r="H223" i="3"/>
  <c r="I223" i="3"/>
  <c r="J223" i="3"/>
  <c r="K223" i="3"/>
  <c r="L223" i="3"/>
  <c r="M223" i="3"/>
  <c r="N223" i="3"/>
  <c r="O223" i="3"/>
  <c r="P223" i="3"/>
  <c r="H225" i="3"/>
  <c r="I225" i="3"/>
  <c r="J225" i="3"/>
  <c r="K225" i="3"/>
  <c r="L225" i="3"/>
  <c r="M225" i="3"/>
  <c r="N225" i="3"/>
  <c r="O225" i="3"/>
  <c r="P225" i="3"/>
  <c r="H226" i="3"/>
  <c r="I226" i="3"/>
  <c r="J226" i="3"/>
  <c r="K226" i="3"/>
  <c r="L226" i="3"/>
  <c r="M226" i="3"/>
  <c r="N226" i="3"/>
  <c r="O226" i="3"/>
  <c r="P226" i="3"/>
  <c r="H227" i="3"/>
  <c r="I227" i="3"/>
  <c r="J227" i="3"/>
  <c r="K227" i="3"/>
  <c r="L227" i="3"/>
  <c r="M227" i="3"/>
  <c r="N227" i="3"/>
  <c r="O227" i="3"/>
  <c r="P227" i="3"/>
  <c r="H228" i="3"/>
  <c r="I228" i="3"/>
  <c r="J228" i="3"/>
  <c r="K228" i="3"/>
  <c r="L228" i="3"/>
  <c r="M228" i="3"/>
  <c r="N228" i="3"/>
  <c r="O228" i="3"/>
  <c r="P228" i="3"/>
  <c r="H229" i="3"/>
  <c r="I229" i="3"/>
  <c r="J229" i="3"/>
  <c r="K229" i="3"/>
  <c r="L229" i="3"/>
  <c r="M229" i="3"/>
  <c r="N229" i="3"/>
  <c r="O229" i="3"/>
  <c r="P229" i="3"/>
  <c r="H230" i="3"/>
  <c r="I230" i="3"/>
  <c r="J230" i="3"/>
  <c r="K230" i="3"/>
  <c r="L230" i="3"/>
  <c r="M230" i="3"/>
  <c r="N230" i="3"/>
  <c r="O230" i="3"/>
  <c r="P230" i="3"/>
  <c r="H231" i="3"/>
  <c r="I231" i="3"/>
  <c r="J231" i="3"/>
  <c r="K231" i="3"/>
  <c r="L231" i="3"/>
  <c r="M231" i="3"/>
  <c r="N231" i="3"/>
  <c r="O231" i="3"/>
  <c r="P231" i="3"/>
  <c r="H234" i="3"/>
  <c r="I234" i="3"/>
  <c r="J234" i="3"/>
  <c r="K234" i="3"/>
  <c r="L234" i="3"/>
  <c r="M234" i="3"/>
  <c r="N234" i="3"/>
  <c r="O234" i="3"/>
  <c r="P234" i="3"/>
  <c r="H235" i="3"/>
  <c r="I235" i="3"/>
  <c r="J235" i="3"/>
  <c r="K235" i="3"/>
  <c r="L235" i="3"/>
  <c r="M235" i="3"/>
  <c r="N235" i="3"/>
  <c r="O235" i="3"/>
  <c r="P235" i="3"/>
  <c r="H236" i="3"/>
  <c r="I236" i="3"/>
  <c r="J236" i="3"/>
  <c r="K236" i="3"/>
  <c r="L236" i="3"/>
  <c r="M236" i="3"/>
  <c r="N236" i="3"/>
  <c r="O236" i="3"/>
  <c r="P236" i="3"/>
  <c r="H237" i="3"/>
  <c r="I237" i="3"/>
  <c r="J237" i="3"/>
  <c r="K237" i="3"/>
  <c r="L237" i="3"/>
  <c r="M237" i="3"/>
  <c r="N237" i="3"/>
  <c r="O237" i="3"/>
  <c r="P237" i="3"/>
  <c r="H238" i="3"/>
  <c r="I238" i="3"/>
  <c r="J238" i="3"/>
  <c r="K238" i="3"/>
  <c r="L238" i="3"/>
  <c r="M238" i="3"/>
  <c r="N238" i="3"/>
  <c r="O238" i="3"/>
  <c r="P238" i="3"/>
  <c r="H239" i="3"/>
  <c r="I239" i="3"/>
  <c r="J239" i="3"/>
  <c r="K239" i="3"/>
  <c r="L239" i="3"/>
  <c r="M239" i="3"/>
  <c r="N239" i="3"/>
  <c r="O239" i="3"/>
  <c r="P239" i="3"/>
  <c r="H240" i="3"/>
  <c r="I240" i="3"/>
  <c r="J240" i="3"/>
  <c r="K240" i="3"/>
  <c r="L240" i="3"/>
  <c r="M240" i="3"/>
  <c r="N240" i="3"/>
  <c r="O240" i="3"/>
  <c r="P240" i="3"/>
  <c r="H241" i="3"/>
  <c r="I241" i="3"/>
  <c r="J241" i="3"/>
  <c r="K241" i="3"/>
  <c r="L241" i="3"/>
  <c r="M241" i="3"/>
  <c r="N241" i="3"/>
  <c r="O241" i="3"/>
  <c r="P241" i="3"/>
  <c r="H242" i="3"/>
  <c r="I242" i="3"/>
  <c r="J242" i="3"/>
  <c r="K242" i="3"/>
  <c r="L242" i="3"/>
  <c r="M242" i="3"/>
  <c r="N242" i="3"/>
  <c r="O242" i="3"/>
  <c r="P242" i="3"/>
  <c r="H243" i="3"/>
  <c r="I243" i="3"/>
  <c r="J243" i="3"/>
  <c r="K243" i="3"/>
  <c r="L243" i="3"/>
  <c r="M243" i="3"/>
  <c r="N243" i="3"/>
  <c r="O243" i="3"/>
  <c r="P243" i="3"/>
  <c r="H244" i="3"/>
  <c r="I244" i="3"/>
  <c r="J244" i="3"/>
  <c r="K244" i="3"/>
  <c r="L244" i="3"/>
  <c r="M244" i="3"/>
  <c r="N244" i="3"/>
  <c r="O244" i="3"/>
  <c r="P244" i="3"/>
  <c r="H245" i="3"/>
  <c r="I245" i="3"/>
  <c r="J245" i="3"/>
  <c r="K245" i="3"/>
  <c r="L245" i="3"/>
  <c r="M245" i="3"/>
  <c r="N245" i="3"/>
  <c r="O245" i="3"/>
  <c r="P245" i="3"/>
  <c r="H246" i="3"/>
  <c r="I246" i="3"/>
  <c r="J246" i="3"/>
  <c r="K246" i="3"/>
  <c r="L246" i="3"/>
  <c r="M246" i="3"/>
  <c r="N246" i="3"/>
  <c r="O246" i="3"/>
  <c r="P246" i="3"/>
  <c r="H247" i="3"/>
  <c r="I247" i="3"/>
  <c r="J247" i="3"/>
  <c r="K247" i="3"/>
  <c r="L247" i="3"/>
  <c r="M247" i="3"/>
  <c r="N247" i="3"/>
  <c r="O247" i="3"/>
  <c r="P247" i="3"/>
  <c r="H248" i="3"/>
  <c r="I248" i="3"/>
  <c r="J248" i="3"/>
  <c r="K248" i="3"/>
  <c r="L248" i="3"/>
  <c r="M248" i="3"/>
  <c r="N248" i="3"/>
  <c r="O248" i="3"/>
  <c r="P248" i="3"/>
  <c r="H249" i="3"/>
  <c r="I249" i="3"/>
  <c r="J249" i="3"/>
  <c r="K249" i="3"/>
  <c r="L249" i="3"/>
  <c r="M249" i="3"/>
  <c r="N249" i="3"/>
  <c r="O249" i="3"/>
  <c r="P249" i="3"/>
  <c r="H250" i="3"/>
  <c r="I250" i="3"/>
  <c r="K250" i="3"/>
  <c r="L250" i="3"/>
  <c r="M250" i="3"/>
  <c r="N250" i="3"/>
  <c r="O250" i="3"/>
  <c r="P250" i="3"/>
  <c r="H251" i="3"/>
  <c r="I251" i="3"/>
  <c r="J251" i="3"/>
  <c r="K251" i="3"/>
  <c r="L251" i="3"/>
  <c r="M251" i="3"/>
  <c r="N251" i="3"/>
  <c r="O251" i="3"/>
  <c r="P251" i="3"/>
  <c r="H252" i="3"/>
  <c r="I252" i="3"/>
  <c r="J252" i="3"/>
  <c r="K252" i="3"/>
  <c r="L252" i="3"/>
  <c r="M252" i="3"/>
  <c r="N252" i="3"/>
  <c r="O252" i="3"/>
  <c r="P252" i="3"/>
  <c r="H253" i="3"/>
  <c r="I253" i="3"/>
  <c r="J253" i="3"/>
  <c r="K253" i="3"/>
  <c r="L253" i="3"/>
  <c r="M253" i="3"/>
  <c r="N253" i="3"/>
  <c r="O253" i="3"/>
  <c r="P253" i="3"/>
  <c r="H254" i="3"/>
  <c r="I254" i="3"/>
  <c r="J254" i="3"/>
  <c r="K254" i="3"/>
  <c r="L254" i="3"/>
  <c r="M254" i="3"/>
  <c r="N254" i="3"/>
  <c r="O254" i="3"/>
  <c r="P254" i="3"/>
  <c r="H255" i="3"/>
  <c r="I255" i="3"/>
  <c r="J255" i="3"/>
  <c r="K255" i="3"/>
  <c r="L255" i="3"/>
  <c r="M255" i="3"/>
  <c r="N255" i="3"/>
  <c r="O255" i="3"/>
  <c r="P255" i="3"/>
  <c r="H256" i="3"/>
  <c r="I256" i="3"/>
  <c r="J256" i="3"/>
  <c r="K256" i="3"/>
  <c r="L256" i="3"/>
  <c r="M256" i="3"/>
  <c r="N256" i="3"/>
  <c r="O256" i="3"/>
  <c r="P256" i="3"/>
  <c r="H257" i="3"/>
  <c r="I257" i="3"/>
  <c r="J257" i="3"/>
  <c r="L257" i="3"/>
  <c r="O257" i="3"/>
  <c r="P257" i="3"/>
  <c r="H258" i="3"/>
  <c r="I258" i="3"/>
  <c r="J258" i="3"/>
  <c r="K258" i="3"/>
  <c r="L258" i="3"/>
  <c r="M258" i="3"/>
  <c r="N258" i="3"/>
  <c r="O258" i="3"/>
  <c r="P258" i="3"/>
  <c r="H259" i="3"/>
  <c r="I259" i="3"/>
  <c r="J259" i="3"/>
  <c r="K259" i="3"/>
  <c r="L259" i="3"/>
  <c r="M259" i="3"/>
  <c r="N259" i="3"/>
  <c r="O259" i="3"/>
  <c r="P259" i="3"/>
  <c r="H260" i="3"/>
  <c r="I260" i="3"/>
  <c r="J260" i="3"/>
  <c r="K260" i="3"/>
  <c r="L260" i="3"/>
  <c r="M260" i="3"/>
  <c r="N260" i="3"/>
  <c r="O260" i="3"/>
  <c r="P260" i="3"/>
  <c r="H261" i="3"/>
  <c r="I261" i="3"/>
  <c r="J261" i="3"/>
  <c r="K261" i="3"/>
  <c r="L261" i="3"/>
  <c r="M261" i="3"/>
  <c r="N261" i="3"/>
  <c r="O261" i="3"/>
  <c r="P261" i="3"/>
  <c r="H262" i="3"/>
  <c r="I262" i="3"/>
  <c r="J262" i="3"/>
  <c r="K262" i="3"/>
  <c r="L262" i="3"/>
  <c r="M262" i="3"/>
  <c r="N262" i="3"/>
  <c r="O262" i="3"/>
  <c r="P262" i="3"/>
  <c r="H263" i="3"/>
  <c r="I263" i="3"/>
  <c r="J263" i="3"/>
  <c r="K263" i="3"/>
  <c r="L263" i="3"/>
  <c r="M263" i="3"/>
  <c r="N263" i="3"/>
  <c r="O263" i="3"/>
  <c r="P263" i="3"/>
  <c r="K264" i="3"/>
  <c r="M264" i="3"/>
  <c r="N264" i="3"/>
  <c r="O264" i="3"/>
  <c r="H265" i="3"/>
  <c r="I265" i="3"/>
  <c r="J265" i="3"/>
  <c r="K265" i="3"/>
  <c r="L265" i="3"/>
  <c r="M265" i="3"/>
  <c r="N265" i="3"/>
  <c r="O265" i="3"/>
  <c r="P265" i="3"/>
  <c r="H266" i="3"/>
  <c r="I266" i="3"/>
  <c r="J266" i="3"/>
  <c r="K266" i="3"/>
  <c r="L266" i="3"/>
  <c r="M266" i="3"/>
  <c r="N266" i="3"/>
  <c r="O266" i="3"/>
  <c r="P266" i="3"/>
  <c r="H267" i="3"/>
  <c r="I267" i="3"/>
  <c r="J267" i="3"/>
  <c r="K267" i="3"/>
  <c r="L267" i="3"/>
  <c r="M267" i="3"/>
  <c r="N267" i="3"/>
  <c r="O267" i="3"/>
  <c r="P267" i="3"/>
  <c r="H268" i="3"/>
  <c r="I268" i="3"/>
  <c r="J268" i="3"/>
  <c r="K268" i="3"/>
  <c r="L268" i="3"/>
  <c r="M268" i="3"/>
  <c r="N268" i="3"/>
  <c r="O268" i="3"/>
  <c r="P268" i="3"/>
  <c r="H269" i="3"/>
  <c r="I269" i="3"/>
  <c r="J269" i="3"/>
  <c r="K269" i="3"/>
  <c r="M269" i="3"/>
  <c r="H270" i="3"/>
  <c r="I270" i="3"/>
  <c r="J270" i="3"/>
  <c r="K270" i="3"/>
  <c r="L270" i="3"/>
  <c r="M270" i="3"/>
  <c r="N270" i="3"/>
  <c r="O270" i="3"/>
  <c r="P270" i="3"/>
  <c r="H271" i="3"/>
  <c r="I271" i="3"/>
  <c r="J271" i="3"/>
  <c r="K271" i="3"/>
  <c r="L271" i="3"/>
  <c r="M271" i="3"/>
  <c r="N271" i="3"/>
  <c r="O271" i="3"/>
  <c r="P271" i="3"/>
  <c r="H272" i="3"/>
  <c r="I272" i="3"/>
  <c r="J272" i="3"/>
  <c r="K272" i="3"/>
  <c r="L272" i="3"/>
  <c r="M272" i="3"/>
  <c r="N272" i="3"/>
  <c r="O272" i="3"/>
  <c r="P272" i="3"/>
  <c r="H273" i="3"/>
  <c r="I273" i="3"/>
  <c r="J273" i="3"/>
  <c r="K273" i="3"/>
  <c r="L273" i="3"/>
  <c r="M273" i="3"/>
  <c r="N273" i="3"/>
  <c r="O273" i="3"/>
  <c r="P273" i="3"/>
  <c r="H274" i="3"/>
  <c r="I274" i="3"/>
  <c r="J274" i="3"/>
  <c r="K274" i="3"/>
  <c r="L274" i="3"/>
  <c r="M274" i="3"/>
  <c r="N274" i="3"/>
  <c r="O274" i="3"/>
  <c r="P274" i="3"/>
  <c r="H275" i="3"/>
  <c r="I275" i="3"/>
  <c r="J275" i="3"/>
  <c r="K275" i="3"/>
  <c r="L275" i="3"/>
  <c r="M275" i="3"/>
  <c r="N275" i="3"/>
  <c r="O275" i="3"/>
  <c r="P275" i="3"/>
  <c r="H276" i="3"/>
  <c r="I276" i="3"/>
  <c r="J276" i="3"/>
  <c r="K276" i="3"/>
  <c r="L276" i="3"/>
  <c r="M276" i="3"/>
  <c r="N276" i="3"/>
  <c r="O276" i="3"/>
  <c r="P276" i="3"/>
  <c r="K277" i="3"/>
  <c r="L277" i="3"/>
  <c r="O277" i="3"/>
  <c r="H278" i="3"/>
  <c r="I278" i="3"/>
  <c r="J278" i="3"/>
  <c r="K278" i="3"/>
  <c r="L278" i="3"/>
  <c r="M278" i="3"/>
  <c r="N278" i="3"/>
  <c r="O278" i="3"/>
  <c r="P278" i="3"/>
  <c r="H279" i="3"/>
  <c r="I279" i="3"/>
  <c r="J279" i="3"/>
  <c r="K279" i="3"/>
  <c r="L279" i="3"/>
  <c r="M279" i="3"/>
  <c r="N279" i="3"/>
  <c r="O279" i="3"/>
  <c r="P279" i="3"/>
  <c r="H280" i="3"/>
  <c r="I280" i="3"/>
  <c r="J280" i="3"/>
  <c r="K280" i="3"/>
  <c r="L280" i="3"/>
  <c r="M280" i="3"/>
  <c r="N280" i="3"/>
  <c r="O280" i="3"/>
  <c r="P280" i="3"/>
  <c r="H281" i="3"/>
  <c r="I281" i="3"/>
  <c r="J281" i="3"/>
  <c r="K281" i="3"/>
  <c r="L281" i="3"/>
  <c r="M281" i="3"/>
  <c r="N281" i="3"/>
  <c r="O281" i="3"/>
  <c r="P281" i="3"/>
  <c r="H282" i="3"/>
  <c r="I282" i="3"/>
  <c r="J282" i="3"/>
  <c r="K282" i="3"/>
  <c r="L282" i="3"/>
  <c r="M282" i="3"/>
  <c r="N282" i="3"/>
  <c r="O282" i="3"/>
  <c r="P282" i="3"/>
  <c r="H283" i="3"/>
  <c r="I283" i="3"/>
  <c r="J283" i="3"/>
  <c r="K283" i="3"/>
  <c r="L283" i="3"/>
  <c r="M283" i="3"/>
  <c r="N283" i="3"/>
  <c r="O283" i="3"/>
  <c r="P283" i="3"/>
  <c r="H284" i="3"/>
  <c r="I284" i="3"/>
  <c r="J284" i="3"/>
  <c r="K284" i="3"/>
  <c r="L284" i="3"/>
  <c r="M284" i="3"/>
  <c r="N284" i="3"/>
  <c r="O284" i="3"/>
  <c r="P284" i="3"/>
  <c r="H285" i="3"/>
  <c r="J285" i="3"/>
  <c r="K285" i="3"/>
  <c r="L285" i="3"/>
  <c r="O285" i="3"/>
  <c r="P285" i="3"/>
  <c r="H286" i="3"/>
  <c r="I286" i="3"/>
  <c r="J286" i="3"/>
  <c r="K286" i="3"/>
  <c r="L286" i="3"/>
  <c r="M286" i="3"/>
  <c r="N286" i="3"/>
  <c r="O286" i="3"/>
  <c r="P286" i="3"/>
  <c r="H287" i="3"/>
  <c r="I287" i="3"/>
  <c r="J287" i="3"/>
  <c r="K287" i="3"/>
  <c r="L287" i="3"/>
  <c r="M287" i="3"/>
  <c r="N287" i="3"/>
  <c r="O287" i="3"/>
  <c r="P287" i="3"/>
  <c r="H288" i="3"/>
  <c r="I288" i="3"/>
  <c r="J288" i="3"/>
  <c r="K288" i="3"/>
  <c r="L288" i="3"/>
  <c r="M288" i="3"/>
  <c r="N288" i="3"/>
  <c r="O288" i="3"/>
  <c r="P288" i="3"/>
  <c r="H289" i="3"/>
  <c r="I289" i="3"/>
  <c r="J289" i="3"/>
  <c r="K289" i="3"/>
  <c r="L289" i="3"/>
  <c r="M289" i="3"/>
  <c r="N289" i="3"/>
  <c r="O289" i="3"/>
  <c r="P289" i="3"/>
  <c r="H290" i="3"/>
  <c r="I290" i="3"/>
  <c r="J290" i="3"/>
  <c r="K290" i="3"/>
  <c r="L290" i="3"/>
  <c r="M290" i="3"/>
  <c r="N290" i="3"/>
  <c r="O290" i="3"/>
  <c r="P290" i="3"/>
  <c r="H291" i="3"/>
  <c r="I291" i="3"/>
  <c r="J291" i="3"/>
  <c r="K291" i="3"/>
  <c r="L291" i="3"/>
  <c r="M291" i="3"/>
  <c r="N291" i="3"/>
  <c r="O291" i="3"/>
  <c r="P291" i="3"/>
  <c r="H292" i="3"/>
  <c r="I292" i="3"/>
  <c r="J292" i="3"/>
  <c r="K292" i="3"/>
  <c r="L292" i="3"/>
  <c r="M292" i="3"/>
  <c r="N292" i="3"/>
  <c r="O292" i="3"/>
  <c r="P292" i="3"/>
  <c r="H293" i="3"/>
  <c r="I293" i="3"/>
  <c r="J293" i="3"/>
  <c r="K293" i="3"/>
  <c r="L293" i="3"/>
  <c r="M293" i="3"/>
  <c r="N293" i="3"/>
  <c r="O293" i="3"/>
  <c r="P293" i="3"/>
  <c r="H294" i="3"/>
  <c r="L294" i="3"/>
  <c r="M294" i="3"/>
  <c r="N294" i="3"/>
  <c r="O294" i="3"/>
  <c r="P294" i="3"/>
  <c r="H295" i="3"/>
  <c r="I295" i="3"/>
  <c r="J295" i="3"/>
  <c r="K295" i="3"/>
  <c r="L295" i="3"/>
  <c r="M295" i="3"/>
  <c r="N295" i="3"/>
  <c r="O295" i="3"/>
  <c r="P295" i="3"/>
  <c r="H296" i="3"/>
  <c r="I296" i="3"/>
  <c r="J296" i="3"/>
  <c r="K296" i="3"/>
  <c r="L296" i="3"/>
  <c r="M296" i="3"/>
  <c r="N296" i="3"/>
  <c r="O296" i="3"/>
  <c r="P296" i="3"/>
  <c r="H297" i="3"/>
  <c r="I297" i="3"/>
  <c r="J297" i="3"/>
  <c r="K297" i="3"/>
  <c r="L297" i="3"/>
  <c r="M297" i="3"/>
  <c r="N297" i="3"/>
  <c r="O297" i="3"/>
  <c r="P297" i="3"/>
  <c r="H298" i="3"/>
  <c r="I298" i="3"/>
  <c r="J298" i="3"/>
  <c r="K298" i="3"/>
  <c r="L298" i="3"/>
  <c r="M298" i="3"/>
  <c r="N298" i="3"/>
  <c r="O298" i="3"/>
  <c r="P298" i="3"/>
  <c r="H299" i="3"/>
  <c r="I299" i="3"/>
  <c r="K299" i="3"/>
  <c r="L299" i="3"/>
  <c r="M299" i="3"/>
  <c r="N299" i="3"/>
  <c r="O299" i="3"/>
  <c r="P299" i="3"/>
  <c r="H300" i="3"/>
  <c r="I300" i="3"/>
  <c r="J300" i="3"/>
  <c r="K300" i="3"/>
  <c r="L300" i="3"/>
  <c r="M300" i="3"/>
  <c r="N300" i="3"/>
  <c r="O300" i="3"/>
  <c r="P300" i="3"/>
  <c r="H301" i="3"/>
  <c r="I301" i="3"/>
  <c r="J301" i="3"/>
  <c r="K301" i="3"/>
  <c r="L301" i="3"/>
  <c r="M301" i="3"/>
  <c r="N301" i="3"/>
  <c r="O301" i="3"/>
  <c r="P301" i="3"/>
  <c r="H302" i="3"/>
  <c r="I302" i="3"/>
  <c r="J302" i="3"/>
  <c r="K302" i="3"/>
  <c r="L302" i="3"/>
  <c r="M302" i="3"/>
  <c r="N302" i="3"/>
  <c r="O302" i="3"/>
  <c r="P302" i="3"/>
  <c r="H303" i="3"/>
  <c r="I303" i="3"/>
  <c r="J303" i="3"/>
  <c r="K303" i="3"/>
  <c r="L303" i="3"/>
  <c r="M303" i="3"/>
  <c r="N303" i="3"/>
  <c r="O303" i="3"/>
  <c r="P303" i="3"/>
  <c r="H304" i="3"/>
  <c r="I304" i="3"/>
  <c r="J304" i="3"/>
  <c r="K304" i="3"/>
  <c r="L304" i="3"/>
  <c r="M304" i="3"/>
  <c r="N304" i="3"/>
  <c r="O304" i="3"/>
  <c r="P304" i="3"/>
  <c r="H305" i="3"/>
  <c r="I305" i="3"/>
  <c r="J305" i="3"/>
  <c r="K305" i="3"/>
  <c r="L305" i="3"/>
  <c r="M305" i="3"/>
  <c r="N305" i="3"/>
  <c r="O305" i="3"/>
  <c r="P305" i="3"/>
  <c r="H306" i="3"/>
  <c r="I306" i="3"/>
  <c r="J306" i="3"/>
  <c r="K306" i="3"/>
  <c r="L306" i="3"/>
  <c r="M306" i="3"/>
  <c r="N306" i="3"/>
  <c r="O306" i="3"/>
  <c r="P306" i="3"/>
  <c r="H307" i="3"/>
  <c r="I307" i="3"/>
  <c r="J307" i="3"/>
  <c r="K307" i="3"/>
  <c r="L307" i="3"/>
  <c r="M307" i="3"/>
  <c r="N307" i="3"/>
  <c r="O307" i="3"/>
  <c r="P307" i="3"/>
  <c r="H308" i="3"/>
  <c r="I308" i="3"/>
  <c r="J308" i="3"/>
  <c r="K308" i="3"/>
  <c r="L308" i="3"/>
  <c r="M308" i="3"/>
  <c r="N308" i="3"/>
  <c r="O308" i="3"/>
  <c r="P308" i="3"/>
  <c r="L309" i="3"/>
  <c r="N309" i="3"/>
  <c r="O309" i="3"/>
  <c r="P309" i="3"/>
  <c r="H311" i="3"/>
  <c r="I311" i="3"/>
  <c r="J311" i="3"/>
  <c r="K311" i="3"/>
  <c r="L311" i="3"/>
  <c r="M311" i="3"/>
  <c r="N311" i="3"/>
  <c r="O311" i="3"/>
  <c r="P311" i="3"/>
  <c r="H312" i="3"/>
  <c r="I312" i="3"/>
  <c r="J312" i="3"/>
  <c r="K312" i="3"/>
  <c r="L312" i="3"/>
  <c r="M312" i="3"/>
  <c r="N312" i="3"/>
  <c r="O312" i="3"/>
  <c r="P312" i="3"/>
  <c r="H313" i="3"/>
  <c r="I313" i="3"/>
  <c r="J313" i="3"/>
  <c r="K313" i="3"/>
  <c r="L313" i="3"/>
  <c r="M313" i="3"/>
  <c r="N313" i="3"/>
  <c r="O313" i="3"/>
  <c r="P313" i="3"/>
  <c r="H314" i="3"/>
  <c r="I314" i="3"/>
  <c r="J314" i="3"/>
  <c r="K314" i="3"/>
  <c r="L314" i="3"/>
  <c r="M314" i="3"/>
  <c r="N314" i="3"/>
  <c r="O314" i="3"/>
  <c r="P314" i="3"/>
  <c r="H315" i="3"/>
  <c r="I315" i="3"/>
  <c r="J315" i="3"/>
  <c r="K315" i="3"/>
  <c r="L315" i="3"/>
  <c r="M315" i="3"/>
  <c r="N315" i="3"/>
  <c r="O315" i="3"/>
  <c r="P315" i="3"/>
  <c r="H316" i="3"/>
  <c r="J316" i="3"/>
  <c r="K316" i="3"/>
  <c r="L316" i="3"/>
  <c r="M316" i="3"/>
  <c r="N316" i="3"/>
  <c r="O316" i="3"/>
  <c r="P316" i="3"/>
  <c r="H317" i="3"/>
  <c r="I317" i="3"/>
  <c r="J317" i="3"/>
  <c r="K317" i="3"/>
  <c r="L317" i="3"/>
  <c r="M317" i="3"/>
  <c r="N317" i="3"/>
  <c r="O317" i="3"/>
  <c r="P317" i="3"/>
  <c r="H318" i="3"/>
  <c r="I318" i="3"/>
  <c r="J318" i="3"/>
  <c r="K318" i="3"/>
  <c r="L318" i="3"/>
  <c r="M318" i="3"/>
  <c r="N318" i="3"/>
  <c r="O318" i="3"/>
  <c r="P318" i="3"/>
  <c r="H319" i="3"/>
  <c r="I319" i="3"/>
  <c r="J319" i="3"/>
  <c r="K319" i="3"/>
  <c r="L319" i="3"/>
  <c r="M319" i="3"/>
  <c r="N319" i="3"/>
  <c r="O319" i="3"/>
  <c r="P319" i="3"/>
  <c r="H320" i="3"/>
  <c r="I320" i="3"/>
  <c r="J320" i="3"/>
  <c r="K320" i="3"/>
  <c r="L320" i="3"/>
  <c r="M320" i="3"/>
  <c r="N320" i="3"/>
  <c r="O320" i="3"/>
  <c r="P320" i="3"/>
  <c r="H321" i="3"/>
  <c r="I321" i="3"/>
  <c r="J321" i="3"/>
  <c r="K321" i="3"/>
  <c r="L321" i="3"/>
  <c r="M321" i="3"/>
  <c r="N321" i="3"/>
  <c r="O321" i="3"/>
  <c r="P321" i="3"/>
  <c r="H322" i="3"/>
  <c r="J322" i="3"/>
  <c r="K322" i="3"/>
  <c r="L322" i="3"/>
  <c r="M322" i="3"/>
  <c r="N322" i="3"/>
  <c r="O322" i="3"/>
  <c r="P322" i="3"/>
  <c r="H323" i="3"/>
  <c r="I323" i="3"/>
  <c r="J323" i="3"/>
  <c r="K323" i="3"/>
  <c r="L323" i="3"/>
  <c r="M323" i="3"/>
  <c r="N323" i="3"/>
  <c r="O323" i="3"/>
  <c r="P323" i="3"/>
  <c r="H325" i="3"/>
  <c r="I325" i="3"/>
  <c r="J325" i="3"/>
  <c r="K325" i="3"/>
  <c r="L325" i="3"/>
  <c r="M325" i="3"/>
  <c r="N325" i="3"/>
  <c r="O325" i="3"/>
  <c r="P325" i="3"/>
  <c r="H326" i="3"/>
  <c r="I326" i="3"/>
  <c r="J326" i="3"/>
  <c r="K326" i="3"/>
  <c r="L326" i="3"/>
  <c r="M326" i="3"/>
  <c r="N326" i="3"/>
  <c r="O326" i="3"/>
  <c r="P326" i="3"/>
  <c r="H327" i="3"/>
  <c r="I327" i="3"/>
  <c r="J327" i="3"/>
  <c r="K327" i="3"/>
  <c r="L327" i="3"/>
  <c r="M327" i="3"/>
  <c r="N327" i="3"/>
  <c r="O327" i="3"/>
  <c r="P327" i="3"/>
  <c r="H328" i="3"/>
  <c r="I328" i="3"/>
  <c r="J328" i="3"/>
  <c r="K328" i="3"/>
  <c r="L328" i="3"/>
  <c r="M328" i="3"/>
  <c r="N328" i="3"/>
  <c r="O328" i="3"/>
  <c r="P328" i="3"/>
  <c r="H329" i="3"/>
  <c r="I329" i="3"/>
  <c r="J329" i="3"/>
  <c r="K329" i="3"/>
  <c r="L329" i="3"/>
  <c r="M329" i="3"/>
  <c r="N329" i="3"/>
  <c r="O329" i="3"/>
  <c r="P329" i="3"/>
  <c r="H330" i="3"/>
  <c r="I330" i="3"/>
  <c r="J330" i="3"/>
  <c r="K330" i="3"/>
  <c r="L330" i="3"/>
  <c r="M330" i="3"/>
  <c r="N330" i="3"/>
  <c r="O330" i="3"/>
  <c r="P330" i="3"/>
  <c r="H331" i="3"/>
  <c r="I331" i="3"/>
  <c r="J331" i="3"/>
  <c r="K331" i="3"/>
  <c r="L331" i="3"/>
  <c r="M331" i="3"/>
  <c r="N331" i="3"/>
  <c r="O331" i="3"/>
  <c r="P331" i="3"/>
  <c r="H332" i="3"/>
  <c r="I332" i="3"/>
  <c r="J332" i="3"/>
  <c r="L332" i="3"/>
  <c r="M332" i="3"/>
  <c r="N332" i="3"/>
  <c r="O332" i="3"/>
  <c r="P332" i="3"/>
  <c r="H333" i="3"/>
  <c r="I333" i="3"/>
  <c r="J333" i="3"/>
  <c r="K333" i="3"/>
  <c r="L333" i="3"/>
  <c r="M333" i="3"/>
  <c r="N333" i="3"/>
  <c r="O333" i="3"/>
  <c r="P333" i="3"/>
  <c r="H334" i="3"/>
  <c r="I334" i="3"/>
  <c r="J334" i="3"/>
  <c r="K334" i="3"/>
  <c r="L334" i="3"/>
  <c r="M334" i="3"/>
  <c r="N334" i="3"/>
  <c r="O334" i="3"/>
  <c r="P334" i="3"/>
  <c r="H335" i="3"/>
  <c r="I335" i="3"/>
  <c r="J335" i="3"/>
  <c r="K335" i="3"/>
  <c r="L335" i="3"/>
  <c r="M335" i="3"/>
  <c r="N335" i="3"/>
  <c r="O335" i="3"/>
  <c r="P335" i="3"/>
  <c r="H336" i="3"/>
  <c r="I336" i="3"/>
  <c r="J336" i="3"/>
  <c r="O336" i="3"/>
  <c r="P336" i="3"/>
  <c r="H337" i="3"/>
  <c r="I337" i="3"/>
  <c r="J337" i="3"/>
  <c r="K337" i="3"/>
  <c r="L337" i="3"/>
  <c r="M337" i="3"/>
  <c r="N337" i="3"/>
  <c r="O337" i="3"/>
  <c r="P337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4" i="3"/>
  <c r="G75" i="3"/>
  <c r="G76" i="3"/>
  <c r="G77" i="3"/>
  <c r="G79" i="3"/>
  <c r="G80" i="3"/>
  <c r="G81" i="3"/>
  <c r="G82" i="3"/>
  <c r="G83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9" i="3"/>
  <c r="G160" i="3"/>
  <c r="G161" i="3"/>
  <c r="G162" i="3"/>
  <c r="G165" i="3"/>
  <c r="G166" i="3"/>
  <c r="G167" i="3"/>
  <c r="G168" i="3"/>
  <c r="G169" i="3"/>
  <c r="G170" i="3"/>
  <c r="G171" i="3"/>
  <c r="G172" i="3"/>
  <c r="G173" i="3"/>
  <c r="G175" i="3"/>
  <c r="G177" i="3"/>
  <c r="G178" i="3"/>
  <c r="G179" i="3"/>
  <c r="G180" i="3"/>
  <c r="G181" i="3"/>
  <c r="G182" i="3"/>
  <c r="G183" i="3"/>
  <c r="G184" i="3"/>
  <c r="G185" i="3"/>
  <c r="G189" i="3"/>
  <c r="G190" i="3"/>
  <c r="G191" i="3"/>
  <c r="G193" i="3"/>
  <c r="G195" i="3"/>
  <c r="G197" i="3"/>
  <c r="G198" i="3"/>
  <c r="G200" i="3"/>
  <c r="G201" i="3"/>
  <c r="G202" i="3"/>
  <c r="G203" i="3"/>
  <c r="G204" i="3"/>
  <c r="G205" i="3"/>
  <c r="G206" i="3"/>
  <c r="G208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5" i="3"/>
  <c r="G226" i="3"/>
  <c r="G227" i="3"/>
  <c r="G228" i="3"/>
  <c r="G229" i="3"/>
  <c r="G230" i="3"/>
  <c r="G231" i="3"/>
  <c r="G234" i="3"/>
  <c r="G235" i="3"/>
  <c r="G236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6" i="3"/>
  <c r="G287" i="3"/>
  <c r="G288" i="3"/>
  <c r="G289" i="3"/>
  <c r="G290" i="3"/>
  <c r="G291" i="3"/>
  <c r="G292" i="3"/>
  <c r="G293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H11" i="4"/>
  <c r="I11" i="4"/>
  <c r="J11" i="4"/>
  <c r="K11" i="4"/>
  <c r="L11" i="4"/>
  <c r="M11" i="4"/>
  <c r="N11" i="4"/>
  <c r="O11" i="4"/>
  <c r="P11" i="4"/>
  <c r="H12" i="4"/>
  <c r="I12" i="4"/>
  <c r="J12" i="4"/>
  <c r="K12" i="4"/>
  <c r="L12" i="4"/>
  <c r="M12" i="4"/>
  <c r="N12" i="4"/>
  <c r="O12" i="4"/>
  <c r="P12" i="4"/>
  <c r="H13" i="4"/>
  <c r="I13" i="4"/>
  <c r="J13" i="4"/>
  <c r="K13" i="4"/>
  <c r="L13" i="4"/>
  <c r="M13" i="4"/>
  <c r="N13" i="4"/>
  <c r="O13" i="4"/>
  <c r="P13" i="4"/>
  <c r="H14" i="4"/>
  <c r="I14" i="4"/>
  <c r="J14" i="4"/>
  <c r="K14" i="4"/>
  <c r="L14" i="4"/>
  <c r="M14" i="4"/>
  <c r="N14" i="4"/>
  <c r="O14" i="4"/>
  <c r="P14" i="4"/>
  <c r="H15" i="4"/>
  <c r="I15" i="4"/>
  <c r="J15" i="4"/>
  <c r="K15" i="4"/>
  <c r="L15" i="4"/>
  <c r="M15" i="4"/>
  <c r="N15" i="4"/>
  <c r="O15" i="4"/>
  <c r="P15" i="4"/>
  <c r="H16" i="4"/>
  <c r="I16" i="4"/>
  <c r="J16" i="4"/>
  <c r="K16" i="4"/>
  <c r="L16" i="4"/>
  <c r="M16" i="4"/>
  <c r="N16" i="4"/>
  <c r="O16" i="4"/>
  <c r="P16" i="4"/>
  <c r="H17" i="4"/>
  <c r="I17" i="4"/>
  <c r="J17" i="4"/>
  <c r="K17" i="4"/>
  <c r="L17" i="4"/>
  <c r="M17" i="4"/>
  <c r="N17" i="4"/>
  <c r="O17" i="4"/>
  <c r="P17" i="4"/>
  <c r="H18" i="4"/>
  <c r="I18" i="4"/>
  <c r="J18" i="4"/>
  <c r="K18" i="4"/>
  <c r="L18" i="4"/>
  <c r="M18" i="4"/>
  <c r="N18" i="4"/>
  <c r="O18" i="4"/>
  <c r="P18" i="4"/>
  <c r="H19" i="4"/>
  <c r="I19" i="4"/>
  <c r="J19" i="4"/>
  <c r="K19" i="4"/>
  <c r="L19" i="4"/>
  <c r="M19" i="4"/>
  <c r="N19" i="4"/>
  <c r="O19" i="4"/>
  <c r="P19" i="4"/>
  <c r="H20" i="4"/>
  <c r="I20" i="4"/>
  <c r="J20" i="4"/>
  <c r="K20" i="4"/>
  <c r="L20" i="4"/>
  <c r="M20" i="4"/>
  <c r="N20" i="4"/>
  <c r="O20" i="4"/>
  <c r="P20" i="4"/>
  <c r="H21" i="4"/>
  <c r="I21" i="4"/>
  <c r="J21" i="4"/>
  <c r="K21" i="4"/>
  <c r="L21" i="4"/>
  <c r="M21" i="4"/>
  <c r="N21" i="4"/>
  <c r="O21" i="4"/>
  <c r="P21" i="4"/>
  <c r="H22" i="4"/>
  <c r="I22" i="4"/>
  <c r="J22" i="4"/>
  <c r="K22" i="4"/>
  <c r="L22" i="4"/>
  <c r="M22" i="4"/>
  <c r="N22" i="4"/>
  <c r="O22" i="4"/>
  <c r="P22" i="4"/>
  <c r="H23" i="4"/>
  <c r="I23" i="4"/>
  <c r="J23" i="4"/>
  <c r="K23" i="4"/>
  <c r="L23" i="4"/>
  <c r="M23" i="4"/>
  <c r="N23" i="4"/>
  <c r="O23" i="4"/>
  <c r="P23" i="4"/>
  <c r="H24" i="4"/>
  <c r="I24" i="4"/>
  <c r="J24" i="4"/>
  <c r="K24" i="4"/>
  <c r="L24" i="4"/>
  <c r="M24" i="4"/>
  <c r="N24" i="4"/>
  <c r="O24" i="4"/>
  <c r="P24" i="4"/>
  <c r="H25" i="4"/>
  <c r="I25" i="4"/>
  <c r="J25" i="4"/>
  <c r="K25" i="4"/>
  <c r="L25" i="4"/>
  <c r="M25" i="4"/>
  <c r="N25" i="4"/>
  <c r="O25" i="4"/>
  <c r="P25" i="4"/>
  <c r="H26" i="4"/>
  <c r="I26" i="4"/>
  <c r="J26" i="4"/>
  <c r="K26" i="4"/>
  <c r="L26" i="4"/>
  <c r="M26" i="4"/>
  <c r="N26" i="4"/>
  <c r="O26" i="4"/>
  <c r="P26" i="4"/>
  <c r="H27" i="4"/>
  <c r="I27" i="4"/>
  <c r="J27" i="4"/>
  <c r="K27" i="4"/>
  <c r="L27" i="4"/>
  <c r="M27" i="4"/>
  <c r="N27" i="4"/>
  <c r="O27" i="4"/>
  <c r="P27" i="4"/>
  <c r="H28" i="4"/>
  <c r="I28" i="4"/>
  <c r="J28" i="4"/>
  <c r="K28" i="4"/>
  <c r="L28" i="4"/>
  <c r="M28" i="4"/>
  <c r="N28" i="4"/>
  <c r="O28" i="4"/>
  <c r="P28" i="4"/>
  <c r="H29" i="4"/>
  <c r="I29" i="4"/>
  <c r="J29" i="4"/>
  <c r="K29" i="4"/>
  <c r="L29" i="4"/>
  <c r="M29" i="4"/>
  <c r="N29" i="4"/>
  <c r="O29" i="4"/>
  <c r="P29" i="4"/>
  <c r="H30" i="4"/>
  <c r="I30" i="4"/>
  <c r="J30" i="4"/>
  <c r="K30" i="4"/>
  <c r="L30" i="4"/>
  <c r="M30" i="4"/>
  <c r="N30" i="4"/>
  <c r="O30" i="4"/>
  <c r="P30" i="4"/>
  <c r="H31" i="4"/>
  <c r="I31" i="4"/>
  <c r="J31" i="4"/>
  <c r="K31" i="4"/>
  <c r="L31" i="4"/>
  <c r="M31" i="4"/>
  <c r="N31" i="4"/>
  <c r="O31" i="4"/>
  <c r="P31" i="4"/>
  <c r="H32" i="4"/>
  <c r="I32" i="4"/>
  <c r="J32" i="4"/>
  <c r="K32" i="4"/>
  <c r="L32" i="4"/>
  <c r="M32" i="4"/>
  <c r="N32" i="4"/>
  <c r="O32" i="4"/>
  <c r="P32" i="4"/>
  <c r="H33" i="4"/>
  <c r="I33" i="4"/>
  <c r="J33" i="4"/>
  <c r="K33" i="4"/>
  <c r="L33" i="4"/>
  <c r="M33" i="4"/>
  <c r="N33" i="4"/>
  <c r="O33" i="4"/>
  <c r="P33" i="4"/>
  <c r="H34" i="4"/>
  <c r="I34" i="4"/>
  <c r="J34" i="4"/>
  <c r="K34" i="4"/>
  <c r="L34" i="4"/>
  <c r="M34" i="4"/>
  <c r="N34" i="4"/>
  <c r="O34" i="4"/>
  <c r="P34" i="4"/>
  <c r="H35" i="4"/>
  <c r="I35" i="4"/>
  <c r="J35" i="4"/>
  <c r="K35" i="4"/>
  <c r="L35" i="4"/>
  <c r="M35" i="4"/>
  <c r="N35" i="4"/>
  <c r="O35" i="4"/>
  <c r="P35" i="4"/>
  <c r="H36" i="4"/>
  <c r="I36" i="4"/>
  <c r="J36" i="4"/>
  <c r="K36" i="4"/>
  <c r="L36" i="4"/>
  <c r="M36" i="4"/>
  <c r="N36" i="4"/>
  <c r="O36" i="4"/>
  <c r="P36" i="4"/>
  <c r="H37" i="4"/>
  <c r="I37" i="4"/>
  <c r="J37" i="4"/>
  <c r="K37" i="4"/>
  <c r="L37" i="4"/>
  <c r="M37" i="4"/>
  <c r="N37" i="4"/>
  <c r="O37" i="4"/>
  <c r="P37" i="4"/>
  <c r="H38" i="4"/>
  <c r="I38" i="4"/>
  <c r="J38" i="4"/>
  <c r="K38" i="4"/>
  <c r="L38" i="4"/>
  <c r="M38" i="4"/>
  <c r="N38" i="4"/>
  <c r="O38" i="4"/>
  <c r="P38" i="4"/>
  <c r="H39" i="4"/>
  <c r="I39" i="4"/>
  <c r="J39" i="4"/>
  <c r="K39" i="4"/>
  <c r="L39" i="4"/>
  <c r="M39" i="4"/>
  <c r="N39" i="4"/>
  <c r="O39" i="4"/>
  <c r="P39" i="4"/>
  <c r="H40" i="4"/>
  <c r="I40" i="4"/>
  <c r="J40" i="4"/>
  <c r="K40" i="4"/>
  <c r="L40" i="4"/>
  <c r="M40" i="4"/>
  <c r="N40" i="4"/>
  <c r="O40" i="4"/>
  <c r="P40" i="4"/>
  <c r="H41" i="4"/>
  <c r="I41" i="4"/>
  <c r="J41" i="4"/>
  <c r="K41" i="4"/>
  <c r="L41" i="4"/>
  <c r="M41" i="4"/>
  <c r="N41" i="4"/>
  <c r="O41" i="4"/>
  <c r="P41" i="4"/>
  <c r="H42" i="4"/>
  <c r="I42" i="4"/>
  <c r="J42" i="4"/>
  <c r="K42" i="4"/>
  <c r="L42" i="4"/>
  <c r="M42" i="4"/>
  <c r="N42" i="4"/>
  <c r="O42" i="4"/>
  <c r="P42" i="4"/>
  <c r="H43" i="4"/>
  <c r="I43" i="4"/>
  <c r="J43" i="4"/>
  <c r="K43" i="4"/>
  <c r="L43" i="4"/>
  <c r="M43" i="4"/>
  <c r="N43" i="4"/>
  <c r="O43" i="4"/>
  <c r="P43" i="4"/>
  <c r="H44" i="4"/>
  <c r="I44" i="4"/>
  <c r="J44" i="4"/>
  <c r="K44" i="4"/>
  <c r="L44" i="4"/>
  <c r="M44" i="4"/>
  <c r="N44" i="4"/>
  <c r="O44" i="4"/>
  <c r="P44" i="4"/>
  <c r="H45" i="4"/>
  <c r="I45" i="4"/>
  <c r="J45" i="4"/>
  <c r="K45" i="4"/>
  <c r="L45" i="4"/>
  <c r="M45" i="4"/>
  <c r="N45" i="4"/>
  <c r="O45" i="4"/>
  <c r="P45" i="4"/>
  <c r="H46" i="4"/>
  <c r="I46" i="4"/>
  <c r="J46" i="4"/>
  <c r="K46" i="4"/>
  <c r="L46" i="4"/>
  <c r="M46" i="4"/>
  <c r="N46" i="4"/>
  <c r="O46" i="4"/>
  <c r="P46" i="4"/>
  <c r="H47" i="4"/>
  <c r="I47" i="4"/>
  <c r="J47" i="4"/>
  <c r="K47" i="4"/>
  <c r="L47" i="4"/>
  <c r="M47" i="4"/>
  <c r="N47" i="4"/>
  <c r="O47" i="4"/>
  <c r="P47" i="4"/>
  <c r="H48" i="4"/>
  <c r="I48" i="4"/>
  <c r="J48" i="4"/>
  <c r="K48" i="4"/>
  <c r="L48" i="4"/>
  <c r="M48" i="4"/>
  <c r="N48" i="4"/>
  <c r="O48" i="4"/>
  <c r="P48" i="4"/>
  <c r="H49" i="4"/>
  <c r="I49" i="4"/>
  <c r="J49" i="4"/>
  <c r="K49" i="4"/>
  <c r="L49" i="4"/>
  <c r="M49" i="4"/>
  <c r="N49" i="4"/>
  <c r="O49" i="4"/>
  <c r="P49" i="4"/>
  <c r="H50" i="4"/>
  <c r="I50" i="4"/>
  <c r="J50" i="4"/>
  <c r="K50" i="4"/>
  <c r="L50" i="4"/>
  <c r="M50" i="4"/>
  <c r="N50" i="4"/>
  <c r="O50" i="4"/>
  <c r="P50" i="4"/>
  <c r="H51" i="4"/>
  <c r="I51" i="4"/>
  <c r="J51" i="4"/>
  <c r="K51" i="4"/>
  <c r="L51" i="4"/>
  <c r="M51" i="4"/>
  <c r="N51" i="4"/>
  <c r="O51" i="4"/>
  <c r="P51" i="4"/>
  <c r="H52" i="4"/>
  <c r="I52" i="4"/>
  <c r="J52" i="4"/>
  <c r="K52" i="4"/>
  <c r="L52" i="4"/>
  <c r="M52" i="4"/>
  <c r="N52" i="4"/>
  <c r="O52" i="4"/>
  <c r="P52" i="4"/>
  <c r="H53" i="4"/>
  <c r="I53" i="4"/>
  <c r="J53" i="4"/>
  <c r="K53" i="4"/>
  <c r="L53" i="4"/>
  <c r="M53" i="4"/>
  <c r="N53" i="4"/>
  <c r="O53" i="4"/>
  <c r="P53" i="4"/>
  <c r="H54" i="4"/>
  <c r="I54" i="4"/>
  <c r="J54" i="4"/>
  <c r="K54" i="4"/>
  <c r="L54" i="4"/>
  <c r="M54" i="4"/>
  <c r="N54" i="4"/>
  <c r="O54" i="4"/>
  <c r="P54" i="4"/>
  <c r="H55" i="4"/>
  <c r="I55" i="4"/>
  <c r="J55" i="4"/>
  <c r="K55" i="4"/>
  <c r="L55" i="4"/>
  <c r="M55" i="4"/>
  <c r="N55" i="4"/>
  <c r="O55" i="4"/>
  <c r="P55" i="4"/>
  <c r="H56" i="4"/>
  <c r="I56" i="4"/>
  <c r="J56" i="4"/>
  <c r="K56" i="4"/>
  <c r="L56" i="4"/>
  <c r="M56" i="4"/>
  <c r="N56" i="4"/>
  <c r="O56" i="4"/>
  <c r="P56" i="4"/>
  <c r="H57" i="4"/>
  <c r="I57" i="4"/>
  <c r="J57" i="4"/>
  <c r="K57" i="4"/>
  <c r="L57" i="4"/>
  <c r="M57" i="4"/>
  <c r="N57" i="4"/>
  <c r="O57" i="4"/>
  <c r="P57" i="4"/>
  <c r="H58" i="4"/>
  <c r="I58" i="4"/>
  <c r="J58" i="4"/>
  <c r="K58" i="4"/>
  <c r="L58" i="4"/>
  <c r="M58" i="4"/>
  <c r="N58" i="4"/>
  <c r="O58" i="4"/>
  <c r="P58" i="4"/>
  <c r="H59" i="4"/>
  <c r="I59" i="4"/>
  <c r="J59" i="4"/>
  <c r="K59" i="4"/>
  <c r="L59" i="4"/>
  <c r="M59" i="4"/>
  <c r="N59" i="4"/>
  <c r="O59" i="4"/>
  <c r="P59" i="4"/>
  <c r="H60" i="4"/>
  <c r="I60" i="4"/>
  <c r="J60" i="4"/>
  <c r="K60" i="4"/>
  <c r="L60" i="4"/>
  <c r="M60" i="4"/>
  <c r="N60" i="4"/>
  <c r="O60" i="4"/>
  <c r="P60" i="4"/>
  <c r="H61" i="4"/>
  <c r="I61" i="4"/>
  <c r="J61" i="4"/>
  <c r="K61" i="4"/>
  <c r="L61" i="4"/>
  <c r="M61" i="4"/>
  <c r="N61" i="4"/>
  <c r="O61" i="4"/>
  <c r="P61" i="4"/>
  <c r="H62" i="4"/>
  <c r="I62" i="4"/>
  <c r="J62" i="4"/>
  <c r="K62" i="4"/>
  <c r="L62" i="4"/>
  <c r="M62" i="4"/>
  <c r="N62" i="4"/>
  <c r="O62" i="4"/>
  <c r="P62" i="4"/>
  <c r="H63" i="4"/>
  <c r="I63" i="4"/>
  <c r="J63" i="4"/>
  <c r="K63" i="4"/>
  <c r="L63" i="4"/>
  <c r="M63" i="4"/>
  <c r="N63" i="4"/>
  <c r="O63" i="4"/>
  <c r="P63" i="4"/>
  <c r="H64" i="4"/>
  <c r="I64" i="4"/>
  <c r="J64" i="4"/>
  <c r="K64" i="4"/>
  <c r="L64" i="4"/>
  <c r="M64" i="4"/>
  <c r="N64" i="4"/>
  <c r="O64" i="4"/>
  <c r="P64" i="4"/>
  <c r="H65" i="4"/>
  <c r="I65" i="4"/>
  <c r="J65" i="4"/>
  <c r="K65" i="4"/>
  <c r="L65" i="4"/>
  <c r="M65" i="4"/>
  <c r="N65" i="4"/>
  <c r="O65" i="4"/>
  <c r="P65" i="4"/>
  <c r="H66" i="4"/>
  <c r="I66" i="4"/>
  <c r="J66" i="4"/>
  <c r="K66" i="4"/>
  <c r="L66" i="4"/>
  <c r="M66" i="4"/>
  <c r="N66" i="4"/>
  <c r="O66" i="4"/>
  <c r="P66" i="4"/>
  <c r="H67" i="4"/>
  <c r="I67" i="4"/>
  <c r="J67" i="4"/>
  <c r="K67" i="4"/>
  <c r="L67" i="4"/>
  <c r="M67" i="4"/>
  <c r="N67" i="4"/>
  <c r="O67" i="4"/>
  <c r="P67" i="4"/>
  <c r="H68" i="4"/>
  <c r="I68" i="4"/>
  <c r="J68" i="4"/>
  <c r="K68" i="4"/>
  <c r="L68" i="4"/>
  <c r="M68" i="4"/>
  <c r="N68" i="4"/>
  <c r="O68" i="4"/>
  <c r="P68" i="4"/>
  <c r="H69" i="4"/>
  <c r="I69" i="4"/>
  <c r="J69" i="4"/>
  <c r="K69" i="4"/>
  <c r="L69" i="4"/>
  <c r="M69" i="4"/>
  <c r="N69" i="4"/>
  <c r="O69" i="4"/>
  <c r="P69" i="4"/>
  <c r="H70" i="4"/>
  <c r="I70" i="4"/>
  <c r="J70" i="4"/>
  <c r="K70" i="4"/>
  <c r="L70" i="4"/>
  <c r="M70" i="4"/>
  <c r="N70" i="4"/>
  <c r="O70" i="4"/>
  <c r="P70" i="4"/>
  <c r="H71" i="4"/>
  <c r="I71" i="4"/>
  <c r="J71" i="4"/>
  <c r="K71" i="4"/>
  <c r="L71" i="4"/>
  <c r="M71" i="4"/>
  <c r="N71" i="4"/>
  <c r="O71" i="4"/>
  <c r="P71" i="4"/>
  <c r="H72" i="4"/>
  <c r="I72" i="4"/>
  <c r="J72" i="4"/>
  <c r="K72" i="4"/>
  <c r="L72" i="4"/>
  <c r="M72" i="4"/>
  <c r="N72" i="4"/>
  <c r="O72" i="4"/>
  <c r="P72" i="4"/>
  <c r="H74" i="4"/>
  <c r="I74" i="4"/>
  <c r="J74" i="4"/>
  <c r="K74" i="4"/>
  <c r="L74" i="4"/>
  <c r="M74" i="4"/>
  <c r="N74" i="4"/>
  <c r="O74" i="4"/>
  <c r="P74" i="4"/>
  <c r="I75" i="4"/>
  <c r="J75" i="4"/>
  <c r="L75" i="4"/>
  <c r="M75" i="4"/>
  <c r="N75" i="4"/>
  <c r="O75" i="4"/>
  <c r="P75" i="4"/>
  <c r="H76" i="4"/>
  <c r="I76" i="4"/>
  <c r="J76" i="4"/>
  <c r="K76" i="4"/>
  <c r="L76" i="4"/>
  <c r="M76" i="4"/>
  <c r="N76" i="4"/>
  <c r="O76" i="4"/>
  <c r="P76" i="4"/>
  <c r="H77" i="4"/>
  <c r="I77" i="4"/>
  <c r="J77" i="4"/>
  <c r="K77" i="4"/>
  <c r="L77" i="4"/>
  <c r="M77" i="4"/>
  <c r="N77" i="4"/>
  <c r="O77" i="4"/>
  <c r="P77" i="4"/>
  <c r="H78" i="4"/>
  <c r="I78" i="4"/>
  <c r="J78" i="4"/>
  <c r="K78" i="4"/>
  <c r="L78" i="4"/>
  <c r="N78" i="4"/>
  <c r="O78" i="4"/>
  <c r="P78" i="4"/>
  <c r="H79" i="4"/>
  <c r="I79" i="4"/>
  <c r="J79" i="4"/>
  <c r="K79" i="4"/>
  <c r="L79" i="4"/>
  <c r="M79" i="4"/>
  <c r="N79" i="4"/>
  <c r="O79" i="4"/>
  <c r="P79" i="4"/>
  <c r="H80" i="4"/>
  <c r="I80" i="4"/>
  <c r="J80" i="4"/>
  <c r="K80" i="4"/>
  <c r="L80" i="4"/>
  <c r="M80" i="4"/>
  <c r="N80" i="4"/>
  <c r="O80" i="4"/>
  <c r="P80" i="4"/>
  <c r="H81" i="4"/>
  <c r="I81" i="4"/>
  <c r="J81" i="4"/>
  <c r="K81" i="4"/>
  <c r="L81" i="4"/>
  <c r="M81" i="4"/>
  <c r="N81" i="4"/>
  <c r="O81" i="4"/>
  <c r="P81" i="4"/>
  <c r="H82" i="4"/>
  <c r="I82" i="4"/>
  <c r="J82" i="4"/>
  <c r="K82" i="4"/>
  <c r="L82" i="4"/>
  <c r="M82" i="4"/>
  <c r="N82" i="4"/>
  <c r="O82" i="4"/>
  <c r="P82" i="4"/>
  <c r="H83" i="4"/>
  <c r="I83" i="4"/>
  <c r="J83" i="4"/>
  <c r="K83" i="4"/>
  <c r="L83" i="4"/>
  <c r="M83" i="4"/>
  <c r="N83" i="4"/>
  <c r="O83" i="4"/>
  <c r="P83" i="4"/>
  <c r="H84" i="4"/>
  <c r="I84" i="4"/>
  <c r="J84" i="4"/>
  <c r="K84" i="4"/>
  <c r="L84" i="4"/>
  <c r="M84" i="4"/>
  <c r="N84" i="4"/>
  <c r="O84" i="4"/>
  <c r="P84" i="4"/>
  <c r="H85" i="4"/>
  <c r="I85" i="4"/>
  <c r="J85" i="4"/>
  <c r="K85" i="4"/>
  <c r="L85" i="4"/>
  <c r="M85" i="4"/>
  <c r="N85" i="4"/>
  <c r="O85" i="4"/>
  <c r="P85" i="4"/>
  <c r="H86" i="4"/>
  <c r="I86" i="4"/>
  <c r="J86" i="4"/>
  <c r="K86" i="4"/>
  <c r="L86" i="4"/>
  <c r="M86" i="4"/>
  <c r="N86" i="4"/>
  <c r="O86" i="4"/>
  <c r="P86" i="4"/>
  <c r="H87" i="4"/>
  <c r="I87" i="4"/>
  <c r="J87" i="4"/>
  <c r="K87" i="4"/>
  <c r="L87" i="4"/>
  <c r="M87" i="4"/>
  <c r="N87" i="4"/>
  <c r="O87" i="4"/>
  <c r="P87" i="4"/>
  <c r="H88" i="4"/>
  <c r="I88" i="4"/>
  <c r="J88" i="4"/>
  <c r="K88" i="4"/>
  <c r="L88" i="4"/>
  <c r="M88" i="4"/>
  <c r="N88" i="4"/>
  <c r="O88" i="4"/>
  <c r="P88" i="4"/>
  <c r="H89" i="4"/>
  <c r="I89" i="4"/>
  <c r="J89" i="4"/>
  <c r="K89" i="4"/>
  <c r="L89" i="4"/>
  <c r="M89" i="4"/>
  <c r="N89" i="4"/>
  <c r="O89" i="4"/>
  <c r="P89" i="4"/>
  <c r="H90" i="4"/>
  <c r="I90" i="4"/>
  <c r="J90" i="4"/>
  <c r="K90" i="4"/>
  <c r="L90" i="4"/>
  <c r="M90" i="4"/>
  <c r="N90" i="4"/>
  <c r="O90" i="4"/>
  <c r="P90" i="4"/>
  <c r="H91" i="4"/>
  <c r="I91" i="4"/>
  <c r="J91" i="4"/>
  <c r="K91" i="4"/>
  <c r="L91" i="4"/>
  <c r="M91" i="4"/>
  <c r="N91" i="4"/>
  <c r="O91" i="4"/>
  <c r="P91" i="4"/>
  <c r="H92" i="4"/>
  <c r="I92" i="4"/>
  <c r="J92" i="4"/>
  <c r="K92" i="4"/>
  <c r="L92" i="4"/>
  <c r="M92" i="4"/>
  <c r="N92" i="4"/>
  <c r="O92" i="4"/>
  <c r="P92" i="4"/>
  <c r="H93" i="4"/>
  <c r="I93" i="4"/>
  <c r="J93" i="4"/>
  <c r="K93" i="4"/>
  <c r="L93" i="4"/>
  <c r="M93" i="4"/>
  <c r="N93" i="4"/>
  <c r="O93" i="4"/>
  <c r="P93" i="4"/>
  <c r="H94" i="4"/>
  <c r="I94" i="4"/>
  <c r="J94" i="4"/>
  <c r="K94" i="4"/>
  <c r="L94" i="4"/>
  <c r="M94" i="4"/>
  <c r="N94" i="4"/>
  <c r="O94" i="4"/>
  <c r="P94" i="4"/>
  <c r="H95" i="4"/>
  <c r="I95" i="4"/>
  <c r="J95" i="4"/>
  <c r="K95" i="4"/>
  <c r="L95" i="4"/>
  <c r="M95" i="4"/>
  <c r="N95" i="4"/>
  <c r="O95" i="4"/>
  <c r="P95" i="4"/>
  <c r="H96" i="4"/>
  <c r="I96" i="4"/>
  <c r="J96" i="4"/>
  <c r="K96" i="4"/>
  <c r="L96" i="4"/>
  <c r="M96" i="4"/>
  <c r="N96" i="4"/>
  <c r="O96" i="4"/>
  <c r="P96" i="4"/>
  <c r="H97" i="4"/>
  <c r="I97" i="4"/>
  <c r="J97" i="4"/>
  <c r="K97" i="4"/>
  <c r="L97" i="4"/>
  <c r="M97" i="4"/>
  <c r="N97" i="4"/>
  <c r="O97" i="4"/>
  <c r="P97" i="4"/>
  <c r="H98" i="4"/>
  <c r="I98" i="4"/>
  <c r="J98" i="4"/>
  <c r="K98" i="4"/>
  <c r="L98" i="4"/>
  <c r="M98" i="4"/>
  <c r="N98" i="4"/>
  <c r="O98" i="4"/>
  <c r="P98" i="4"/>
  <c r="H99" i="4"/>
  <c r="I99" i="4"/>
  <c r="J99" i="4"/>
  <c r="K99" i="4"/>
  <c r="L99" i="4"/>
  <c r="M99" i="4"/>
  <c r="N99" i="4"/>
  <c r="O99" i="4"/>
  <c r="P99" i="4"/>
  <c r="H100" i="4"/>
  <c r="I100" i="4"/>
  <c r="J100" i="4"/>
  <c r="K100" i="4"/>
  <c r="L100" i="4"/>
  <c r="M100" i="4"/>
  <c r="N100" i="4"/>
  <c r="O100" i="4"/>
  <c r="P100" i="4"/>
  <c r="H101" i="4"/>
  <c r="I101" i="4"/>
  <c r="J101" i="4"/>
  <c r="K101" i="4"/>
  <c r="L101" i="4"/>
  <c r="M101" i="4"/>
  <c r="N101" i="4"/>
  <c r="O101" i="4"/>
  <c r="P101" i="4"/>
  <c r="H102" i="4"/>
  <c r="I102" i="4"/>
  <c r="J102" i="4"/>
  <c r="K102" i="4"/>
  <c r="L102" i="4"/>
  <c r="M102" i="4"/>
  <c r="N102" i="4"/>
  <c r="O102" i="4"/>
  <c r="P102" i="4"/>
  <c r="H103" i="4"/>
  <c r="I103" i="4"/>
  <c r="J103" i="4"/>
  <c r="K103" i="4"/>
  <c r="L103" i="4"/>
  <c r="M103" i="4"/>
  <c r="N103" i="4"/>
  <c r="O103" i="4"/>
  <c r="P103" i="4"/>
  <c r="H104" i="4"/>
  <c r="I104" i="4"/>
  <c r="J104" i="4"/>
  <c r="K104" i="4"/>
  <c r="L104" i="4"/>
  <c r="M104" i="4"/>
  <c r="N104" i="4"/>
  <c r="O104" i="4"/>
  <c r="P104" i="4"/>
  <c r="H105" i="4"/>
  <c r="I105" i="4"/>
  <c r="J105" i="4"/>
  <c r="K105" i="4"/>
  <c r="L105" i="4"/>
  <c r="M105" i="4"/>
  <c r="N105" i="4"/>
  <c r="O105" i="4"/>
  <c r="P105" i="4"/>
  <c r="H106" i="4"/>
  <c r="I106" i="4"/>
  <c r="J106" i="4"/>
  <c r="K106" i="4"/>
  <c r="L106" i="4"/>
  <c r="M106" i="4"/>
  <c r="N106" i="4"/>
  <c r="O106" i="4"/>
  <c r="P106" i="4"/>
  <c r="H107" i="4"/>
  <c r="I107" i="4"/>
  <c r="J107" i="4"/>
  <c r="K107" i="4"/>
  <c r="L107" i="4"/>
  <c r="M107" i="4"/>
  <c r="N107" i="4"/>
  <c r="O107" i="4"/>
  <c r="P107" i="4"/>
  <c r="H108" i="4"/>
  <c r="I108" i="4"/>
  <c r="J108" i="4"/>
  <c r="K108" i="4"/>
  <c r="L108" i="4"/>
  <c r="M108" i="4"/>
  <c r="N108" i="4"/>
  <c r="O108" i="4"/>
  <c r="P108" i="4"/>
  <c r="H109" i="4"/>
  <c r="I109" i="4"/>
  <c r="J109" i="4"/>
  <c r="K109" i="4"/>
  <c r="L109" i="4"/>
  <c r="M109" i="4"/>
  <c r="N109" i="4"/>
  <c r="O109" i="4"/>
  <c r="P109" i="4"/>
  <c r="H110" i="4"/>
  <c r="I110" i="4"/>
  <c r="J110" i="4"/>
  <c r="K110" i="4"/>
  <c r="L110" i="4"/>
  <c r="M110" i="4"/>
  <c r="N110" i="4"/>
  <c r="O110" i="4"/>
  <c r="P110" i="4"/>
  <c r="H111" i="4"/>
  <c r="I111" i="4"/>
  <c r="J111" i="4"/>
  <c r="K111" i="4"/>
  <c r="L111" i="4"/>
  <c r="M111" i="4"/>
  <c r="N111" i="4"/>
  <c r="O111" i="4"/>
  <c r="P111" i="4"/>
  <c r="H112" i="4"/>
  <c r="I112" i="4"/>
  <c r="J112" i="4"/>
  <c r="K112" i="4"/>
  <c r="L112" i="4"/>
  <c r="M112" i="4"/>
  <c r="N112" i="4"/>
  <c r="O112" i="4"/>
  <c r="P112" i="4"/>
  <c r="L113" i="4"/>
  <c r="O113" i="4"/>
  <c r="H114" i="4"/>
  <c r="I114" i="4"/>
  <c r="J114" i="4"/>
  <c r="K114" i="4"/>
  <c r="L114" i="4"/>
  <c r="M114" i="4"/>
  <c r="N114" i="4"/>
  <c r="O114" i="4"/>
  <c r="P114" i="4"/>
  <c r="H115" i="4"/>
  <c r="I115" i="4"/>
  <c r="J115" i="4"/>
  <c r="K115" i="4"/>
  <c r="L115" i="4"/>
  <c r="M115" i="4"/>
  <c r="N115" i="4"/>
  <c r="O115" i="4"/>
  <c r="P115" i="4"/>
  <c r="H116" i="4"/>
  <c r="I116" i="4"/>
  <c r="J116" i="4"/>
  <c r="K116" i="4"/>
  <c r="L116" i="4"/>
  <c r="M116" i="4"/>
  <c r="N116" i="4"/>
  <c r="O116" i="4"/>
  <c r="P116" i="4"/>
  <c r="H117" i="4"/>
  <c r="I117" i="4"/>
  <c r="J117" i="4"/>
  <c r="K117" i="4"/>
  <c r="L117" i="4"/>
  <c r="M117" i="4"/>
  <c r="N117" i="4"/>
  <c r="O117" i="4"/>
  <c r="P117" i="4"/>
  <c r="H118" i="4"/>
  <c r="I118" i="4"/>
  <c r="J118" i="4"/>
  <c r="K118" i="4"/>
  <c r="L118" i="4"/>
  <c r="M118" i="4"/>
  <c r="N118" i="4"/>
  <c r="O118" i="4"/>
  <c r="P118" i="4"/>
  <c r="H119" i="4"/>
  <c r="I119" i="4"/>
  <c r="J119" i="4"/>
  <c r="K119" i="4"/>
  <c r="L119" i="4"/>
  <c r="M119" i="4"/>
  <c r="N119" i="4"/>
  <c r="O119" i="4"/>
  <c r="P119" i="4"/>
  <c r="H120" i="4"/>
  <c r="I120" i="4"/>
  <c r="J120" i="4"/>
  <c r="K120" i="4"/>
  <c r="L120" i="4"/>
  <c r="M120" i="4"/>
  <c r="N120" i="4"/>
  <c r="O120" i="4"/>
  <c r="P120" i="4"/>
  <c r="H121" i="4"/>
  <c r="I121" i="4"/>
  <c r="J121" i="4"/>
  <c r="K121" i="4"/>
  <c r="L121" i="4"/>
  <c r="M121" i="4"/>
  <c r="N121" i="4"/>
  <c r="O121" i="4"/>
  <c r="P121" i="4"/>
  <c r="H122" i="4"/>
  <c r="I122" i="4"/>
  <c r="J122" i="4"/>
  <c r="K122" i="4"/>
  <c r="L122" i="4"/>
  <c r="M122" i="4"/>
  <c r="N122" i="4"/>
  <c r="O122" i="4"/>
  <c r="P122" i="4"/>
  <c r="H123" i="4"/>
  <c r="I123" i="4"/>
  <c r="J123" i="4"/>
  <c r="K123" i="4"/>
  <c r="L123" i="4"/>
  <c r="M123" i="4"/>
  <c r="N123" i="4"/>
  <c r="O123" i="4"/>
  <c r="P123" i="4"/>
  <c r="H124" i="4"/>
  <c r="I124" i="4"/>
  <c r="J124" i="4"/>
  <c r="K124" i="4"/>
  <c r="L124" i="4"/>
  <c r="M124" i="4"/>
  <c r="N124" i="4"/>
  <c r="O124" i="4"/>
  <c r="P124" i="4"/>
  <c r="H125" i="4"/>
  <c r="I125" i="4"/>
  <c r="J125" i="4"/>
  <c r="K125" i="4"/>
  <c r="L125" i="4"/>
  <c r="M125" i="4"/>
  <c r="N125" i="4"/>
  <c r="O125" i="4"/>
  <c r="P125" i="4"/>
  <c r="H126" i="4"/>
  <c r="I126" i="4"/>
  <c r="J126" i="4"/>
  <c r="K126" i="4"/>
  <c r="L126" i="4"/>
  <c r="M126" i="4"/>
  <c r="N126" i="4"/>
  <c r="O126" i="4"/>
  <c r="P126" i="4"/>
  <c r="H127" i="4"/>
  <c r="I127" i="4"/>
  <c r="J127" i="4"/>
  <c r="K127" i="4"/>
  <c r="L127" i="4"/>
  <c r="M127" i="4"/>
  <c r="N127" i="4"/>
  <c r="O127" i="4"/>
  <c r="P127" i="4"/>
  <c r="H128" i="4"/>
  <c r="I128" i="4"/>
  <c r="J128" i="4"/>
  <c r="K128" i="4"/>
  <c r="L128" i="4"/>
  <c r="M128" i="4"/>
  <c r="N128" i="4"/>
  <c r="O128" i="4"/>
  <c r="P128" i="4"/>
  <c r="H129" i="4"/>
  <c r="I129" i="4"/>
  <c r="J129" i="4"/>
  <c r="K129" i="4"/>
  <c r="L129" i="4"/>
  <c r="M129" i="4"/>
  <c r="N129" i="4"/>
  <c r="O129" i="4"/>
  <c r="P129" i="4"/>
  <c r="H130" i="4"/>
  <c r="I130" i="4"/>
  <c r="J130" i="4"/>
  <c r="K130" i="4"/>
  <c r="L130" i="4"/>
  <c r="M130" i="4"/>
  <c r="N130" i="4"/>
  <c r="O130" i="4"/>
  <c r="P130" i="4"/>
  <c r="H131" i="4"/>
  <c r="I131" i="4"/>
  <c r="J131" i="4"/>
  <c r="K131" i="4"/>
  <c r="L131" i="4"/>
  <c r="M131" i="4"/>
  <c r="N131" i="4"/>
  <c r="O131" i="4"/>
  <c r="P131" i="4"/>
  <c r="H132" i="4"/>
  <c r="I132" i="4"/>
  <c r="J132" i="4"/>
  <c r="K132" i="4"/>
  <c r="L132" i="4"/>
  <c r="M132" i="4"/>
  <c r="N132" i="4"/>
  <c r="O132" i="4"/>
  <c r="P132" i="4"/>
  <c r="H133" i="4"/>
  <c r="I133" i="4"/>
  <c r="J133" i="4"/>
  <c r="K133" i="4"/>
  <c r="L133" i="4"/>
  <c r="M133" i="4"/>
  <c r="N133" i="4"/>
  <c r="O133" i="4"/>
  <c r="P133" i="4"/>
  <c r="H134" i="4"/>
  <c r="I134" i="4"/>
  <c r="J134" i="4"/>
  <c r="K134" i="4"/>
  <c r="L134" i="4"/>
  <c r="M134" i="4"/>
  <c r="N134" i="4"/>
  <c r="O134" i="4"/>
  <c r="P134" i="4"/>
  <c r="H135" i="4"/>
  <c r="I135" i="4"/>
  <c r="J135" i="4"/>
  <c r="K135" i="4"/>
  <c r="L135" i="4"/>
  <c r="M135" i="4"/>
  <c r="N135" i="4"/>
  <c r="O135" i="4"/>
  <c r="P135" i="4"/>
  <c r="H136" i="4"/>
  <c r="I136" i="4"/>
  <c r="J136" i="4"/>
  <c r="K136" i="4"/>
  <c r="L136" i="4"/>
  <c r="M136" i="4"/>
  <c r="N136" i="4"/>
  <c r="O136" i="4"/>
  <c r="P136" i="4"/>
  <c r="H137" i="4"/>
  <c r="I137" i="4"/>
  <c r="J137" i="4"/>
  <c r="K137" i="4"/>
  <c r="L137" i="4"/>
  <c r="M137" i="4"/>
  <c r="N137" i="4"/>
  <c r="O137" i="4"/>
  <c r="P137" i="4"/>
  <c r="H138" i="4"/>
  <c r="I138" i="4"/>
  <c r="J138" i="4"/>
  <c r="K138" i="4"/>
  <c r="L138" i="4"/>
  <c r="M138" i="4"/>
  <c r="N138" i="4"/>
  <c r="O138" i="4"/>
  <c r="P138" i="4"/>
  <c r="H139" i="4"/>
  <c r="I139" i="4"/>
  <c r="J139" i="4"/>
  <c r="K139" i="4"/>
  <c r="L139" i="4"/>
  <c r="M139" i="4"/>
  <c r="N139" i="4"/>
  <c r="O139" i="4"/>
  <c r="P139" i="4"/>
  <c r="H140" i="4"/>
  <c r="I140" i="4"/>
  <c r="J140" i="4"/>
  <c r="K140" i="4"/>
  <c r="L140" i="4"/>
  <c r="M140" i="4"/>
  <c r="N140" i="4"/>
  <c r="O140" i="4"/>
  <c r="P140" i="4"/>
  <c r="H141" i="4"/>
  <c r="I141" i="4"/>
  <c r="J141" i="4"/>
  <c r="K141" i="4"/>
  <c r="L141" i="4"/>
  <c r="M141" i="4"/>
  <c r="N141" i="4"/>
  <c r="O141" i="4"/>
  <c r="P141" i="4"/>
  <c r="H142" i="4"/>
  <c r="I142" i="4"/>
  <c r="J142" i="4"/>
  <c r="K142" i="4"/>
  <c r="L142" i="4"/>
  <c r="M142" i="4"/>
  <c r="N142" i="4"/>
  <c r="O142" i="4"/>
  <c r="P142" i="4"/>
  <c r="H143" i="4"/>
  <c r="I143" i="4"/>
  <c r="J143" i="4"/>
  <c r="K143" i="4"/>
  <c r="L143" i="4"/>
  <c r="M143" i="4"/>
  <c r="N143" i="4"/>
  <c r="O143" i="4"/>
  <c r="P143" i="4"/>
  <c r="H144" i="4"/>
  <c r="I144" i="4"/>
  <c r="J144" i="4"/>
  <c r="K144" i="4"/>
  <c r="L144" i="4"/>
  <c r="M144" i="4"/>
  <c r="N144" i="4"/>
  <c r="O144" i="4"/>
  <c r="P144" i="4"/>
  <c r="H145" i="4"/>
  <c r="I145" i="4"/>
  <c r="J145" i="4"/>
  <c r="K145" i="4"/>
  <c r="L145" i="4"/>
  <c r="M145" i="4"/>
  <c r="N145" i="4"/>
  <c r="O145" i="4"/>
  <c r="P145" i="4"/>
  <c r="H146" i="4"/>
  <c r="I146" i="4"/>
  <c r="J146" i="4"/>
  <c r="K146" i="4"/>
  <c r="L146" i="4"/>
  <c r="M146" i="4"/>
  <c r="N146" i="4"/>
  <c r="O146" i="4"/>
  <c r="P146" i="4"/>
  <c r="J147" i="4"/>
  <c r="K147" i="4"/>
  <c r="L147" i="4"/>
  <c r="M147" i="4"/>
  <c r="N147" i="4"/>
  <c r="O147" i="4"/>
  <c r="P147" i="4"/>
  <c r="H148" i="4"/>
  <c r="I148" i="4"/>
  <c r="J148" i="4"/>
  <c r="K148" i="4"/>
  <c r="L148" i="4"/>
  <c r="M148" i="4"/>
  <c r="N148" i="4"/>
  <c r="O148" i="4"/>
  <c r="P148" i="4"/>
  <c r="H149" i="4"/>
  <c r="I149" i="4"/>
  <c r="J149" i="4"/>
  <c r="K149" i="4"/>
  <c r="L149" i="4"/>
  <c r="M149" i="4"/>
  <c r="N149" i="4"/>
  <c r="O149" i="4"/>
  <c r="P149" i="4"/>
  <c r="H150" i="4"/>
  <c r="I150" i="4"/>
  <c r="J150" i="4"/>
  <c r="K150" i="4"/>
  <c r="L150" i="4"/>
  <c r="M150" i="4"/>
  <c r="N150" i="4"/>
  <c r="O150" i="4"/>
  <c r="P150" i="4"/>
  <c r="H151" i="4"/>
  <c r="I151" i="4"/>
  <c r="J151" i="4"/>
  <c r="K151" i="4"/>
  <c r="L151" i="4"/>
  <c r="M151" i="4"/>
  <c r="N151" i="4"/>
  <c r="O151" i="4"/>
  <c r="P151" i="4"/>
  <c r="H152" i="4"/>
  <c r="I152" i="4"/>
  <c r="J152" i="4"/>
  <c r="K152" i="4"/>
  <c r="L152" i="4"/>
  <c r="M152" i="4"/>
  <c r="N152" i="4"/>
  <c r="O152" i="4"/>
  <c r="P152" i="4"/>
  <c r="H153" i="4"/>
  <c r="I153" i="4"/>
  <c r="J153" i="4"/>
  <c r="K153" i="4"/>
  <c r="L153" i="4"/>
  <c r="M153" i="4"/>
  <c r="N153" i="4"/>
  <c r="O153" i="4"/>
  <c r="P153" i="4"/>
  <c r="H154" i="4"/>
  <c r="I154" i="4"/>
  <c r="J154" i="4"/>
  <c r="K154" i="4"/>
  <c r="L154" i="4"/>
  <c r="M154" i="4"/>
  <c r="N154" i="4"/>
  <c r="O154" i="4"/>
  <c r="P154" i="4"/>
  <c r="H155" i="4"/>
  <c r="I155" i="4"/>
  <c r="J155" i="4"/>
  <c r="K155" i="4"/>
  <c r="L155" i="4"/>
  <c r="M155" i="4"/>
  <c r="N155" i="4"/>
  <c r="O155" i="4"/>
  <c r="P155" i="4"/>
  <c r="H156" i="4"/>
  <c r="I156" i="4"/>
  <c r="J156" i="4"/>
  <c r="K156" i="4"/>
  <c r="L156" i="4"/>
  <c r="M156" i="4"/>
  <c r="N156" i="4"/>
  <c r="O156" i="4"/>
  <c r="P156" i="4"/>
  <c r="H157" i="4"/>
  <c r="I157" i="4"/>
  <c r="J157" i="4"/>
  <c r="K157" i="4"/>
  <c r="L157" i="4"/>
  <c r="M157" i="4"/>
  <c r="N157" i="4"/>
  <c r="O157" i="4"/>
  <c r="P157" i="4"/>
  <c r="H159" i="4"/>
  <c r="I159" i="4"/>
  <c r="J159" i="4"/>
  <c r="K159" i="4"/>
  <c r="L159" i="4"/>
  <c r="M159" i="4"/>
  <c r="N159" i="4"/>
  <c r="O159" i="4"/>
  <c r="P159" i="4"/>
  <c r="H160" i="4"/>
  <c r="I160" i="4"/>
  <c r="J160" i="4"/>
  <c r="K160" i="4"/>
  <c r="L160" i="4"/>
  <c r="M160" i="4"/>
  <c r="N160" i="4"/>
  <c r="O160" i="4"/>
  <c r="P160" i="4"/>
  <c r="H161" i="4"/>
  <c r="I161" i="4"/>
  <c r="J161" i="4"/>
  <c r="K161" i="4"/>
  <c r="L161" i="4"/>
  <c r="M161" i="4"/>
  <c r="N161" i="4"/>
  <c r="O161" i="4"/>
  <c r="P161" i="4"/>
  <c r="H162" i="4"/>
  <c r="I162" i="4"/>
  <c r="J162" i="4"/>
  <c r="K162" i="4"/>
  <c r="L162" i="4"/>
  <c r="M162" i="4"/>
  <c r="N162" i="4"/>
  <c r="O162" i="4"/>
  <c r="P162" i="4"/>
  <c r="H165" i="4"/>
  <c r="I165" i="4"/>
  <c r="J165" i="4"/>
  <c r="K165" i="4"/>
  <c r="L165" i="4"/>
  <c r="M165" i="4"/>
  <c r="N165" i="4"/>
  <c r="O165" i="4"/>
  <c r="P165" i="4"/>
  <c r="H166" i="4"/>
  <c r="I166" i="4"/>
  <c r="J166" i="4"/>
  <c r="K166" i="4"/>
  <c r="L166" i="4"/>
  <c r="M166" i="4"/>
  <c r="N166" i="4"/>
  <c r="O166" i="4"/>
  <c r="P166" i="4"/>
  <c r="H167" i="4"/>
  <c r="I167" i="4"/>
  <c r="J167" i="4"/>
  <c r="K167" i="4"/>
  <c r="L167" i="4"/>
  <c r="M167" i="4"/>
  <c r="N167" i="4"/>
  <c r="O167" i="4"/>
  <c r="P167" i="4"/>
  <c r="H168" i="4"/>
  <c r="I168" i="4"/>
  <c r="J168" i="4"/>
  <c r="K168" i="4"/>
  <c r="L168" i="4"/>
  <c r="M168" i="4"/>
  <c r="N168" i="4"/>
  <c r="O168" i="4"/>
  <c r="P168" i="4"/>
  <c r="H169" i="4"/>
  <c r="I169" i="4"/>
  <c r="J169" i="4"/>
  <c r="K169" i="4"/>
  <c r="L169" i="4"/>
  <c r="M169" i="4"/>
  <c r="N169" i="4"/>
  <c r="O169" i="4"/>
  <c r="P169" i="4"/>
  <c r="H170" i="4"/>
  <c r="I170" i="4"/>
  <c r="J170" i="4"/>
  <c r="K170" i="4"/>
  <c r="L170" i="4"/>
  <c r="M170" i="4"/>
  <c r="N170" i="4"/>
  <c r="O170" i="4"/>
  <c r="P170" i="4"/>
  <c r="H171" i="4"/>
  <c r="I171" i="4"/>
  <c r="J171" i="4"/>
  <c r="K171" i="4"/>
  <c r="L171" i="4"/>
  <c r="M171" i="4"/>
  <c r="N171" i="4"/>
  <c r="O171" i="4"/>
  <c r="P171" i="4"/>
  <c r="H172" i="4"/>
  <c r="I172" i="4"/>
  <c r="J172" i="4"/>
  <c r="K172" i="4"/>
  <c r="L172" i="4"/>
  <c r="M172" i="4"/>
  <c r="N172" i="4"/>
  <c r="O172" i="4"/>
  <c r="P172" i="4"/>
  <c r="H173" i="4"/>
  <c r="I173" i="4"/>
  <c r="J173" i="4"/>
  <c r="K173" i="4"/>
  <c r="L173" i="4"/>
  <c r="M173" i="4"/>
  <c r="N173" i="4"/>
  <c r="O173" i="4"/>
  <c r="P173" i="4"/>
  <c r="H174" i="4"/>
  <c r="I174" i="4"/>
  <c r="J174" i="4"/>
  <c r="K174" i="4"/>
  <c r="L174" i="4"/>
  <c r="M174" i="4"/>
  <c r="N174" i="4"/>
  <c r="O174" i="4"/>
  <c r="P174" i="4"/>
  <c r="H175" i="4"/>
  <c r="I175" i="4"/>
  <c r="J175" i="4"/>
  <c r="K175" i="4"/>
  <c r="L175" i="4"/>
  <c r="M175" i="4"/>
  <c r="N175" i="4"/>
  <c r="O175" i="4"/>
  <c r="P175" i="4"/>
  <c r="H176" i="4"/>
  <c r="L176" i="4"/>
  <c r="N176" i="4"/>
  <c r="P176" i="4"/>
  <c r="H177" i="4"/>
  <c r="I177" i="4"/>
  <c r="J177" i="4"/>
  <c r="K177" i="4"/>
  <c r="L177" i="4"/>
  <c r="M177" i="4"/>
  <c r="N177" i="4"/>
  <c r="O177" i="4"/>
  <c r="P177" i="4"/>
  <c r="H178" i="4"/>
  <c r="I178" i="4"/>
  <c r="J178" i="4"/>
  <c r="K178" i="4"/>
  <c r="L178" i="4"/>
  <c r="M178" i="4"/>
  <c r="N178" i="4"/>
  <c r="O178" i="4"/>
  <c r="P178" i="4"/>
  <c r="H179" i="4"/>
  <c r="I179" i="4"/>
  <c r="J179" i="4"/>
  <c r="K179" i="4"/>
  <c r="L179" i="4"/>
  <c r="M179" i="4"/>
  <c r="N179" i="4"/>
  <c r="O179" i="4"/>
  <c r="P179" i="4"/>
  <c r="H180" i="4"/>
  <c r="I180" i="4"/>
  <c r="J180" i="4"/>
  <c r="K180" i="4"/>
  <c r="L180" i="4"/>
  <c r="M180" i="4"/>
  <c r="N180" i="4"/>
  <c r="O180" i="4"/>
  <c r="P180" i="4"/>
  <c r="H181" i="4"/>
  <c r="I181" i="4"/>
  <c r="J181" i="4"/>
  <c r="K181" i="4"/>
  <c r="L181" i="4"/>
  <c r="M181" i="4"/>
  <c r="N181" i="4"/>
  <c r="O181" i="4"/>
  <c r="P181" i="4"/>
  <c r="H182" i="4"/>
  <c r="I182" i="4"/>
  <c r="J182" i="4"/>
  <c r="K182" i="4"/>
  <c r="L182" i="4"/>
  <c r="M182" i="4"/>
  <c r="N182" i="4"/>
  <c r="O182" i="4"/>
  <c r="P182" i="4"/>
  <c r="H183" i="4"/>
  <c r="I183" i="4"/>
  <c r="J183" i="4"/>
  <c r="K183" i="4"/>
  <c r="L183" i="4"/>
  <c r="M183" i="4"/>
  <c r="N183" i="4"/>
  <c r="O183" i="4"/>
  <c r="P183" i="4"/>
  <c r="K184" i="4"/>
  <c r="L184" i="4"/>
  <c r="H185" i="4"/>
  <c r="I185" i="4"/>
  <c r="J185" i="4"/>
  <c r="K185" i="4"/>
  <c r="L185" i="4"/>
  <c r="M185" i="4"/>
  <c r="N185" i="4"/>
  <c r="O185" i="4"/>
  <c r="P185" i="4"/>
  <c r="H186" i="4"/>
  <c r="I186" i="4"/>
  <c r="L186" i="4"/>
  <c r="M186" i="4"/>
  <c r="O186" i="4"/>
  <c r="P186" i="4"/>
  <c r="H189" i="4"/>
  <c r="I189" i="4"/>
  <c r="J189" i="4"/>
  <c r="K189" i="4"/>
  <c r="L189" i="4"/>
  <c r="M189" i="4"/>
  <c r="N189" i="4"/>
  <c r="O189" i="4"/>
  <c r="P189" i="4"/>
  <c r="H190" i="4"/>
  <c r="I190" i="4"/>
  <c r="J190" i="4"/>
  <c r="K190" i="4"/>
  <c r="L190" i="4"/>
  <c r="M190" i="4"/>
  <c r="N190" i="4"/>
  <c r="O190" i="4"/>
  <c r="P190" i="4"/>
  <c r="H191" i="4"/>
  <c r="I191" i="4"/>
  <c r="J191" i="4"/>
  <c r="K191" i="4"/>
  <c r="L191" i="4"/>
  <c r="M191" i="4"/>
  <c r="N191" i="4"/>
  <c r="O191" i="4"/>
  <c r="P191" i="4"/>
  <c r="H192" i="4"/>
  <c r="I192" i="4"/>
  <c r="J192" i="4"/>
  <c r="K192" i="4"/>
  <c r="L192" i="4"/>
  <c r="M192" i="4"/>
  <c r="N192" i="4"/>
  <c r="O192" i="4"/>
  <c r="P192" i="4"/>
  <c r="H193" i="4"/>
  <c r="I193" i="4"/>
  <c r="J193" i="4"/>
  <c r="K193" i="4"/>
  <c r="L193" i="4"/>
  <c r="M193" i="4"/>
  <c r="N193" i="4"/>
  <c r="O193" i="4"/>
  <c r="P193" i="4"/>
  <c r="H194" i="4"/>
  <c r="I194" i="4"/>
  <c r="J194" i="4"/>
  <c r="K194" i="4"/>
  <c r="L194" i="4"/>
  <c r="M194" i="4"/>
  <c r="N194" i="4"/>
  <c r="O194" i="4"/>
  <c r="P194" i="4"/>
  <c r="H195" i="4"/>
  <c r="I195" i="4"/>
  <c r="J195" i="4"/>
  <c r="K195" i="4"/>
  <c r="L195" i="4"/>
  <c r="M195" i="4"/>
  <c r="N195" i="4"/>
  <c r="O195" i="4"/>
  <c r="P195" i="4"/>
  <c r="I196" i="4"/>
  <c r="J196" i="4"/>
  <c r="K196" i="4"/>
  <c r="L196" i="4"/>
  <c r="M196" i="4"/>
  <c r="N196" i="4"/>
  <c r="O196" i="4"/>
  <c r="P196" i="4"/>
  <c r="H197" i="4"/>
  <c r="I197" i="4"/>
  <c r="J197" i="4"/>
  <c r="K197" i="4"/>
  <c r="L197" i="4"/>
  <c r="M197" i="4"/>
  <c r="N197" i="4"/>
  <c r="O197" i="4"/>
  <c r="P197" i="4"/>
  <c r="H198" i="4"/>
  <c r="I198" i="4"/>
  <c r="J198" i="4"/>
  <c r="K198" i="4"/>
  <c r="L198" i="4"/>
  <c r="M198" i="4"/>
  <c r="N198" i="4"/>
  <c r="O198" i="4"/>
  <c r="P198" i="4"/>
  <c r="H199" i="4"/>
  <c r="J199" i="4"/>
  <c r="L199" i="4"/>
  <c r="M199" i="4"/>
  <c r="P199" i="4"/>
  <c r="H200" i="4"/>
  <c r="I200" i="4"/>
  <c r="J200" i="4"/>
  <c r="K200" i="4"/>
  <c r="L200" i="4"/>
  <c r="M200" i="4"/>
  <c r="N200" i="4"/>
  <c r="O200" i="4"/>
  <c r="P200" i="4"/>
  <c r="H201" i="4"/>
  <c r="I201" i="4"/>
  <c r="J201" i="4"/>
  <c r="K201" i="4"/>
  <c r="L201" i="4"/>
  <c r="M201" i="4"/>
  <c r="N201" i="4"/>
  <c r="O201" i="4"/>
  <c r="P201" i="4"/>
  <c r="H202" i="4"/>
  <c r="I202" i="4"/>
  <c r="J202" i="4"/>
  <c r="K202" i="4"/>
  <c r="L202" i="4"/>
  <c r="M202" i="4"/>
  <c r="N202" i="4"/>
  <c r="O202" i="4"/>
  <c r="P202" i="4"/>
  <c r="H203" i="4"/>
  <c r="I203" i="4"/>
  <c r="J203" i="4"/>
  <c r="K203" i="4"/>
  <c r="L203" i="4"/>
  <c r="M203" i="4"/>
  <c r="N203" i="4"/>
  <c r="O203" i="4"/>
  <c r="P203" i="4"/>
  <c r="H204" i="4"/>
  <c r="I204" i="4"/>
  <c r="J204" i="4"/>
  <c r="K204" i="4"/>
  <c r="L204" i="4"/>
  <c r="M204" i="4"/>
  <c r="N204" i="4"/>
  <c r="O204" i="4"/>
  <c r="P204" i="4"/>
  <c r="H205" i="4"/>
  <c r="I205" i="4"/>
  <c r="J205" i="4"/>
  <c r="K205" i="4"/>
  <c r="L205" i="4"/>
  <c r="M205" i="4"/>
  <c r="N205" i="4"/>
  <c r="O205" i="4"/>
  <c r="P205" i="4"/>
  <c r="H206" i="4"/>
  <c r="I206" i="4"/>
  <c r="J206" i="4"/>
  <c r="K206" i="4"/>
  <c r="L206" i="4"/>
  <c r="M206" i="4"/>
  <c r="N206" i="4"/>
  <c r="O206" i="4"/>
  <c r="P206" i="4"/>
  <c r="L207" i="4"/>
  <c r="H208" i="4"/>
  <c r="I208" i="4"/>
  <c r="J208" i="4"/>
  <c r="K208" i="4"/>
  <c r="L208" i="4"/>
  <c r="M208" i="4"/>
  <c r="N208" i="4"/>
  <c r="O208" i="4"/>
  <c r="P208" i="4"/>
  <c r="H210" i="4"/>
  <c r="I210" i="4"/>
  <c r="J210" i="4"/>
  <c r="K210" i="4"/>
  <c r="L210" i="4"/>
  <c r="M210" i="4"/>
  <c r="N210" i="4"/>
  <c r="O210" i="4"/>
  <c r="P210" i="4"/>
  <c r="I211" i="4"/>
  <c r="L211" i="4"/>
  <c r="M211" i="4"/>
  <c r="N211" i="4"/>
  <c r="O211" i="4"/>
  <c r="H212" i="4"/>
  <c r="I212" i="4"/>
  <c r="J212" i="4"/>
  <c r="K212" i="4"/>
  <c r="L212" i="4"/>
  <c r="M212" i="4"/>
  <c r="N212" i="4"/>
  <c r="O212" i="4"/>
  <c r="P212" i="4"/>
  <c r="H213" i="4"/>
  <c r="I213" i="4"/>
  <c r="J213" i="4"/>
  <c r="K213" i="4"/>
  <c r="L213" i="4"/>
  <c r="M213" i="4"/>
  <c r="N213" i="4"/>
  <c r="O213" i="4"/>
  <c r="P213" i="4"/>
  <c r="H214" i="4"/>
  <c r="I214" i="4"/>
  <c r="J214" i="4"/>
  <c r="K214" i="4"/>
  <c r="L214" i="4"/>
  <c r="M214" i="4"/>
  <c r="N214" i="4"/>
  <c r="O214" i="4"/>
  <c r="P214" i="4"/>
  <c r="H215" i="4"/>
  <c r="I215" i="4"/>
  <c r="J215" i="4"/>
  <c r="K215" i="4"/>
  <c r="L215" i="4"/>
  <c r="M215" i="4"/>
  <c r="N215" i="4"/>
  <c r="O215" i="4"/>
  <c r="P215" i="4"/>
  <c r="H216" i="4"/>
  <c r="I216" i="4"/>
  <c r="J216" i="4"/>
  <c r="K216" i="4"/>
  <c r="L216" i="4"/>
  <c r="M216" i="4"/>
  <c r="N216" i="4"/>
  <c r="O216" i="4"/>
  <c r="P216" i="4"/>
  <c r="H217" i="4"/>
  <c r="I217" i="4"/>
  <c r="J217" i="4"/>
  <c r="K217" i="4"/>
  <c r="L217" i="4"/>
  <c r="M217" i="4"/>
  <c r="N217" i="4"/>
  <c r="O217" i="4"/>
  <c r="P217" i="4"/>
  <c r="H218" i="4"/>
  <c r="I218" i="4"/>
  <c r="J218" i="4"/>
  <c r="K218" i="4"/>
  <c r="L218" i="4"/>
  <c r="M218" i="4"/>
  <c r="N218" i="4"/>
  <c r="O218" i="4"/>
  <c r="P218" i="4"/>
  <c r="H219" i="4"/>
  <c r="I219" i="4"/>
  <c r="J219" i="4"/>
  <c r="K219" i="4"/>
  <c r="L219" i="4"/>
  <c r="M219" i="4"/>
  <c r="N219" i="4"/>
  <c r="O219" i="4"/>
  <c r="P219" i="4"/>
  <c r="H220" i="4"/>
  <c r="I220" i="4"/>
  <c r="J220" i="4"/>
  <c r="K220" i="4"/>
  <c r="L220" i="4"/>
  <c r="M220" i="4"/>
  <c r="N220" i="4"/>
  <c r="O220" i="4"/>
  <c r="P220" i="4"/>
  <c r="H221" i="4"/>
  <c r="I221" i="4"/>
  <c r="J221" i="4"/>
  <c r="K221" i="4"/>
  <c r="L221" i="4"/>
  <c r="M221" i="4"/>
  <c r="N221" i="4"/>
  <c r="O221" i="4"/>
  <c r="P221" i="4"/>
  <c r="H222" i="4"/>
  <c r="J222" i="4"/>
  <c r="K222" i="4"/>
  <c r="L222" i="4"/>
  <c r="M222" i="4"/>
  <c r="N222" i="4"/>
  <c r="O222" i="4"/>
  <c r="P222" i="4"/>
  <c r="H223" i="4"/>
  <c r="I223" i="4"/>
  <c r="J223" i="4"/>
  <c r="K223" i="4"/>
  <c r="L223" i="4"/>
  <c r="M223" i="4"/>
  <c r="N223" i="4"/>
  <c r="O223" i="4"/>
  <c r="P223" i="4"/>
  <c r="H225" i="4"/>
  <c r="I225" i="4"/>
  <c r="J225" i="4"/>
  <c r="K225" i="4"/>
  <c r="L225" i="4"/>
  <c r="M225" i="4"/>
  <c r="N225" i="4"/>
  <c r="O225" i="4"/>
  <c r="P225" i="4"/>
  <c r="H226" i="4"/>
  <c r="I226" i="4"/>
  <c r="J226" i="4"/>
  <c r="K226" i="4"/>
  <c r="L226" i="4"/>
  <c r="M226" i="4"/>
  <c r="N226" i="4"/>
  <c r="O226" i="4"/>
  <c r="P226" i="4"/>
  <c r="H227" i="4"/>
  <c r="I227" i="4"/>
  <c r="J227" i="4"/>
  <c r="K227" i="4"/>
  <c r="L227" i="4"/>
  <c r="M227" i="4"/>
  <c r="N227" i="4"/>
  <c r="O227" i="4"/>
  <c r="P227" i="4"/>
  <c r="H228" i="4"/>
  <c r="I228" i="4"/>
  <c r="J228" i="4"/>
  <c r="K228" i="4"/>
  <c r="L228" i="4"/>
  <c r="M228" i="4"/>
  <c r="N228" i="4"/>
  <c r="O228" i="4"/>
  <c r="P228" i="4"/>
  <c r="H229" i="4"/>
  <c r="I229" i="4"/>
  <c r="J229" i="4"/>
  <c r="K229" i="4"/>
  <c r="L229" i="4"/>
  <c r="M229" i="4"/>
  <c r="N229" i="4"/>
  <c r="O229" i="4"/>
  <c r="P229" i="4"/>
  <c r="H230" i="4"/>
  <c r="I230" i="4"/>
  <c r="J230" i="4"/>
  <c r="K230" i="4"/>
  <c r="L230" i="4"/>
  <c r="M230" i="4"/>
  <c r="N230" i="4"/>
  <c r="O230" i="4"/>
  <c r="P230" i="4"/>
  <c r="H231" i="4"/>
  <c r="I231" i="4"/>
  <c r="J231" i="4"/>
  <c r="K231" i="4"/>
  <c r="L231" i="4"/>
  <c r="M231" i="4"/>
  <c r="N231" i="4"/>
  <c r="O231" i="4"/>
  <c r="P231" i="4"/>
  <c r="H234" i="4"/>
  <c r="I234" i="4"/>
  <c r="J234" i="4"/>
  <c r="K234" i="4"/>
  <c r="L234" i="4"/>
  <c r="M234" i="4"/>
  <c r="N234" i="4"/>
  <c r="O234" i="4"/>
  <c r="P234" i="4"/>
  <c r="H235" i="4"/>
  <c r="I235" i="4"/>
  <c r="J235" i="4"/>
  <c r="K235" i="4"/>
  <c r="L235" i="4"/>
  <c r="M235" i="4"/>
  <c r="N235" i="4"/>
  <c r="O235" i="4"/>
  <c r="P235" i="4"/>
  <c r="H236" i="4"/>
  <c r="I236" i="4"/>
  <c r="J236" i="4"/>
  <c r="K236" i="4"/>
  <c r="L236" i="4"/>
  <c r="M236" i="4"/>
  <c r="N236" i="4"/>
  <c r="O236" i="4"/>
  <c r="P236" i="4"/>
  <c r="H237" i="4"/>
  <c r="I237" i="4"/>
  <c r="J237" i="4"/>
  <c r="K237" i="4"/>
  <c r="L237" i="4"/>
  <c r="M237" i="4"/>
  <c r="N237" i="4"/>
  <c r="O237" i="4"/>
  <c r="P237" i="4"/>
  <c r="H238" i="4"/>
  <c r="I238" i="4"/>
  <c r="J238" i="4"/>
  <c r="K238" i="4"/>
  <c r="L238" i="4"/>
  <c r="M238" i="4"/>
  <c r="N238" i="4"/>
  <c r="O238" i="4"/>
  <c r="P238" i="4"/>
  <c r="H239" i="4"/>
  <c r="I239" i="4"/>
  <c r="J239" i="4"/>
  <c r="K239" i="4"/>
  <c r="L239" i="4"/>
  <c r="M239" i="4"/>
  <c r="N239" i="4"/>
  <c r="O239" i="4"/>
  <c r="P239" i="4"/>
  <c r="H240" i="4"/>
  <c r="I240" i="4"/>
  <c r="J240" i="4"/>
  <c r="K240" i="4"/>
  <c r="L240" i="4"/>
  <c r="M240" i="4"/>
  <c r="N240" i="4"/>
  <c r="O240" i="4"/>
  <c r="P240" i="4"/>
  <c r="H241" i="4"/>
  <c r="I241" i="4"/>
  <c r="J241" i="4"/>
  <c r="K241" i="4"/>
  <c r="L241" i="4"/>
  <c r="M241" i="4"/>
  <c r="N241" i="4"/>
  <c r="O241" i="4"/>
  <c r="P241" i="4"/>
  <c r="H242" i="4"/>
  <c r="I242" i="4"/>
  <c r="J242" i="4"/>
  <c r="K242" i="4"/>
  <c r="L242" i="4"/>
  <c r="M242" i="4"/>
  <c r="N242" i="4"/>
  <c r="O242" i="4"/>
  <c r="P242" i="4"/>
  <c r="H243" i="4"/>
  <c r="I243" i="4"/>
  <c r="J243" i="4"/>
  <c r="K243" i="4"/>
  <c r="L243" i="4"/>
  <c r="M243" i="4"/>
  <c r="N243" i="4"/>
  <c r="O243" i="4"/>
  <c r="P243" i="4"/>
  <c r="H244" i="4"/>
  <c r="I244" i="4"/>
  <c r="J244" i="4"/>
  <c r="K244" i="4"/>
  <c r="L244" i="4"/>
  <c r="M244" i="4"/>
  <c r="N244" i="4"/>
  <c r="O244" i="4"/>
  <c r="P244" i="4"/>
  <c r="H245" i="4"/>
  <c r="I245" i="4"/>
  <c r="J245" i="4"/>
  <c r="K245" i="4"/>
  <c r="L245" i="4"/>
  <c r="M245" i="4"/>
  <c r="N245" i="4"/>
  <c r="O245" i="4"/>
  <c r="P245" i="4"/>
  <c r="H246" i="4"/>
  <c r="I246" i="4"/>
  <c r="J246" i="4"/>
  <c r="K246" i="4"/>
  <c r="L246" i="4"/>
  <c r="M246" i="4"/>
  <c r="N246" i="4"/>
  <c r="O246" i="4"/>
  <c r="P246" i="4"/>
  <c r="H247" i="4"/>
  <c r="I247" i="4"/>
  <c r="J247" i="4"/>
  <c r="K247" i="4"/>
  <c r="L247" i="4"/>
  <c r="M247" i="4"/>
  <c r="N247" i="4"/>
  <c r="O247" i="4"/>
  <c r="P247" i="4"/>
  <c r="H248" i="4"/>
  <c r="I248" i="4"/>
  <c r="J248" i="4"/>
  <c r="K248" i="4"/>
  <c r="L248" i="4"/>
  <c r="M248" i="4"/>
  <c r="N248" i="4"/>
  <c r="O248" i="4"/>
  <c r="P248" i="4"/>
  <c r="H249" i="4"/>
  <c r="I249" i="4"/>
  <c r="J249" i="4"/>
  <c r="K249" i="4"/>
  <c r="L249" i="4"/>
  <c r="M249" i="4"/>
  <c r="N249" i="4"/>
  <c r="O249" i="4"/>
  <c r="P249" i="4"/>
  <c r="H250" i="4"/>
  <c r="I250" i="4"/>
  <c r="K250" i="4"/>
  <c r="L250" i="4"/>
  <c r="M250" i="4"/>
  <c r="N250" i="4"/>
  <c r="O250" i="4"/>
  <c r="P250" i="4"/>
  <c r="H251" i="4"/>
  <c r="I251" i="4"/>
  <c r="J251" i="4"/>
  <c r="K251" i="4"/>
  <c r="L251" i="4"/>
  <c r="M251" i="4"/>
  <c r="N251" i="4"/>
  <c r="O251" i="4"/>
  <c r="P251" i="4"/>
  <c r="H252" i="4"/>
  <c r="I252" i="4"/>
  <c r="J252" i="4"/>
  <c r="K252" i="4"/>
  <c r="L252" i="4"/>
  <c r="M252" i="4"/>
  <c r="N252" i="4"/>
  <c r="O252" i="4"/>
  <c r="P252" i="4"/>
  <c r="H253" i="4"/>
  <c r="I253" i="4"/>
  <c r="J253" i="4"/>
  <c r="K253" i="4"/>
  <c r="L253" i="4"/>
  <c r="M253" i="4"/>
  <c r="N253" i="4"/>
  <c r="O253" i="4"/>
  <c r="P253" i="4"/>
  <c r="H254" i="4"/>
  <c r="I254" i="4"/>
  <c r="J254" i="4"/>
  <c r="K254" i="4"/>
  <c r="L254" i="4"/>
  <c r="M254" i="4"/>
  <c r="N254" i="4"/>
  <c r="O254" i="4"/>
  <c r="P254" i="4"/>
  <c r="H255" i="4"/>
  <c r="I255" i="4"/>
  <c r="J255" i="4"/>
  <c r="K255" i="4"/>
  <c r="L255" i="4"/>
  <c r="M255" i="4"/>
  <c r="N255" i="4"/>
  <c r="O255" i="4"/>
  <c r="P255" i="4"/>
  <c r="H256" i="4"/>
  <c r="I256" i="4"/>
  <c r="J256" i="4"/>
  <c r="K256" i="4"/>
  <c r="L256" i="4"/>
  <c r="M256" i="4"/>
  <c r="N256" i="4"/>
  <c r="O256" i="4"/>
  <c r="P256" i="4"/>
  <c r="H257" i="4"/>
  <c r="I257" i="4"/>
  <c r="J257" i="4"/>
  <c r="L257" i="4"/>
  <c r="O257" i="4"/>
  <c r="P257" i="4"/>
  <c r="H258" i="4"/>
  <c r="I258" i="4"/>
  <c r="J258" i="4"/>
  <c r="K258" i="4"/>
  <c r="L258" i="4"/>
  <c r="M258" i="4"/>
  <c r="N258" i="4"/>
  <c r="O258" i="4"/>
  <c r="P258" i="4"/>
  <c r="H259" i="4"/>
  <c r="I259" i="4"/>
  <c r="J259" i="4"/>
  <c r="K259" i="4"/>
  <c r="L259" i="4"/>
  <c r="M259" i="4"/>
  <c r="N259" i="4"/>
  <c r="O259" i="4"/>
  <c r="P259" i="4"/>
  <c r="H260" i="4"/>
  <c r="I260" i="4"/>
  <c r="J260" i="4"/>
  <c r="K260" i="4"/>
  <c r="L260" i="4"/>
  <c r="M260" i="4"/>
  <c r="N260" i="4"/>
  <c r="O260" i="4"/>
  <c r="P260" i="4"/>
  <c r="H261" i="4"/>
  <c r="I261" i="4"/>
  <c r="J261" i="4"/>
  <c r="K261" i="4"/>
  <c r="L261" i="4"/>
  <c r="M261" i="4"/>
  <c r="N261" i="4"/>
  <c r="O261" i="4"/>
  <c r="P261" i="4"/>
  <c r="H262" i="4"/>
  <c r="I262" i="4"/>
  <c r="J262" i="4"/>
  <c r="K262" i="4"/>
  <c r="L262" i="4"/>
  <c r="M262" i="4"/>
  <c r="N262" i="4"/>
  <c r="O262" i="4"/>
  <c r="P262" i="4"/>
  <c r="H263" i="4"/>
  <c r="I263" i="4"/>
  <c r="J263" i="4"/>
  <c r="K263" i="4"/>
  <c r="L263" i="4"/>
  <c r="M263" i="4"/>
  <c r="N263" i="4"/>
  <c r="O263" i="4"/>
  <c r="P263" i="4"/>
  <c r="K264" i="4"/>
  <c r="M264" i="4"/>
  <c r="N264" i="4"/>
  <c r="O264" i="4"/>
  <c r="H265" i="4"/>
  <c r="I265" i="4"/>
  <c r="J265" i="4"/>
  <c r="K265" i="4"/>
  <c r="L265" i="4"/>
  <c r="M265" i="4"/>
  <c r="N265" i="4"/>
  <c r="O265" i="4"/>
  <c r="P265" i="4"/>
  <c r="H266" i="4"/>
  <c r="I266" i="4"/>
  <c r="J266" i="4"/>
  <c r="K266" i="4"/>
  <c r="L266" i="4"/>
  <c r="M266" i="4"/>
  <c r="N266" i="4"/>
  <c r="O266" i="4"/>
  <c r="P266" i="4"/>
  <c r="H267" i="4"/>
  <c r="I267" i="4"/>
  <c r="J267" i="4"/>
  <c r="K267" i="4"/>
  <c r="L267" i="4"/>
  <c r="M267" i="4"/>
  <c r="N267" i="4"/>
  <c r="O267" i="4"/>
  <c r="P267" i="4"/>
  <c r="H268" i="4"/>
  <c r="I268" i="4"/>
  <c r="J268" i="4"/>
  <c r="K268" i="4"/>
  <c r="L268" i="4"/>
  <c r="M268" i="4"/>
  <c r="N268" i="4"/>
  <c r="O268" i="4"/>
  <c r="P268" i="4"/>
  <c r="H269" i="4"/>
  <c r="I269" i="4"/>
  <c r="J269" i="4"/>
  <c r="K269" i="4"/>
  <c r="M269" i="4"/>
  <c r="H270" i="4"/>
  <c r="I270" i="4"/>
  <c r="J270" i="4"/>
  <c r="K270" i="4"/>
  <c r="L270" i="4"/>
  <c r="M270" i="4"/>
  <c r="N270" i="4"/>
  <c r="O270" i="4"/>
  <c r="P270" i="4"/>
  <c r="H271" i="4"/>
  <c r="I271" i="4"/>
  <c r="J271" i="4"/>
  <c r="K271" i="4"/>
  <c r="L271" i="4"/>
  <c r="M271" i="4"/>
  <c r="N271" i="4"/>
  <c r="O271" i="4"/>
  <c r="P271" i="4"/>
  <c r="H272" i="4"/>
  <c r="I272" i="4"/>
  <c r="J272" i="4"/>
  <c r="K272" i="4"/>
  <c r="L272" i="4"/>
  <c r="M272" i="4"/>
  <c r="N272" i="4"/>
  <c r="O272" i="4"/>
  <c r="P272" i="4"/>
  <c r="H273" i="4"/>
  <c r="I273" i="4"/>
  <c r="J273" i="4"/>
  <c r="K273" i="4"/>
  <c r="L273" i="4"/>
  <c r="M273" i="4"/>
  <c r="N273" i="4"/>
  <c r="O273" i="4"/>
  <c r="P273" i="4"/>
  <c r="H274" i="4"/>
  <c r="I274" i="4"/>
  <c r="J274" i="4"/>
  <c r="K274" i="4"/>
  <c r="L274" i="4"/>
  <c r="M274" i="4"/>
  <c r="N274" i="4"/>
  <c r="O274" i="4"/>
  <c r="P274" i="4"/>
  <c r="H275" i="4"/>
  <c r="I275" i="4"/>
  <c r="J275" i="4"/>
  <c r="K275" i="4"/>
  <c r="L275" i="4"/>
  <c r="M275" i="4"/>
  <c r="N275" i="4"/>
  <c r="O275" i="4"/>
  <c r="P275" i="4"/>
  <c r="H276" i="4"/>
  <c r="I276" i="4"/>
  <c r="J276" i="4"/>
  <c r="K276" i="4"/>
  <c r="L276" i="4"/>
  <c r="M276" i="4"/>
  <c r="N276" i="4"/>
  <c r="O276" i="4"/>
  <c r="P276" i="4"/>
  <c r="K277" i="4"/>
  <c r="L277" i="4"/>
  <c r="O277" i="4"/>
  <c r="H278" i="4"/>
  <c r="I278" i="4"/>
  <c r="J278" i="4"/>
  <c r="K278" i="4"/>
  <c r="L278" i="4"/>
  <c r="M278" i="4"/>
  <c r="N278" i="4"/>
  <c r="O278" i="4"/>
  <c r="P278" i="4"/>
  <c r="H279" i="4"/>
  <c r="I279" i="4"/>
  <c r="J279" i="4"/>
  <c r="K279" i="4"/>
  <c r="L279" i="4"/>
  <c r="M279" i="4"/>
  <c r="N279" i="4"/>
  <c r="O279" i="4"/>
  <c r="P279" i="4"/>
  <c r="H280" i="4"/>
  <c r="I280" i="4"/>
  <c r="J280" i="4"/>
  <c r="K280" i="4"/>
  <c r="L280" i="4"/>
  <c r="M280" i="4"/>
  <c r="N280" i="4"/>
  <c r="O280" i="4"/>
  <c r="P280" i="4"/>
  <c r="H281" i="4"/>
  <c r="I281" i="4"/>
  <c r="J281" i="4"/>
  <c r="K281" i="4"/>
  <c r="L281" i="4"/>
  <c r="M281" i="4"/>
  <c r="N281" i="4"/>
  <c r="O281" i="4"/>
  <c r="P281" i="4"/>
  <c r="H282" i="4"/>
  <c r="I282" i="4"/>
  <c r="J282" i="4"/>
  <c r="K282" i="4"/>
  <c r="L282" i="4"/>
  <c r="M282" i="4"/>
  <c r="N282" i="4"/>
  <c r="O282" i="4"/>
  <c r="P282" i="4"/>
  <c r="H283" i="4"/>
  <c r="I283" i="4"/>
  <c r="J283" i="4"/>
  <c r="K283" i="4"/>
  <c r="L283" i="4"/>
  <c r="M283" i="4"/>
  <c r="N283" i="4"/>
  <c r="O283" i="4"/>
  <c r="P283" i="4"/>
  <c r="H284" i="4"/>
  <c r="I284" i="4"/>
  <c r="J284" i="4"/>
  <c r="K284" i="4"/>
  <c r="L284" i="4"/>
  <c r="M284" i="4"/>
  <c r="N284" i="4"/>
  <c r="O284" i="4"/>
  <c r="P284" i="4"/>
  <c r="H285" i="4"/>
  <c r="J285" i="4"/>
  <c r="K285" i="4"/>
  <c r="L285" i="4"/>
  <c r="O285" i="4"/>
  <c r="P285" i="4"/>
  <c r="H286" i="4"/>
  <c r="I286" i="4"/>
  <c r="J286" i="4"/>
  <c r="K286" i="4"/>
  <c r="L286" i="4"/>
  <c r="M286" i="4"/>
  <c r="N286" i="4"/>
  <c r="O286" i="4"/>
  <c r="P286" i="4"/>
  <c r="H287" i="4"/>
  <c r="I287" i="4"/>
  <c r="J287" i="4"/>
  <c r="K287" i="4"/>
  <c r="L287" i="4"/>
  <c r="M287" i="4"/>
  <c r="N287" i="4"/>
  <c r="O287" i="4"/>
  <c r="P287" i="4"/>
  <c r="H288" i="4"/>
  <c r="I288" i="4"/>
  <c r="J288" i="4"/>
  <c r="K288" i="4"/>
  <c r="L288" i="4"/>
  <c r="M288" i="4"/>
  <c r="N288" i="4"/>
  <c r="O288" i="4"/>
  <c r="P288" i="4"/>
  <c r="H289" i="4"/>
  <c r="I289" i="4"/>
  <c r="J289" i="4"/>
  <c r="K289" i="4"/>
  <c r="L289" i="4"/>
  <c r="M289" i="4"/>
  <c r="N289" i="4"/>
  <c r="O289" i="4"/>
  <c r="P289" i="4"/>
  <c r="H290" i="4"/>
  <c r="I290" i="4"/>
  <c r="J290" i="4"/>
  <c r="K290" i="4"/>
  <c r="L290" i="4"/>
  <c r="M290" i="4"/>
  <c r="N290" i="4"/>
  <c r="O290" i="4"/>
  <c r="P290" i="4"/>
  <c r="H291" i="4"/>
  <c r="I291" i="4"/>
  <c r="J291" i="4"/>
  <c r="K291" i="4"/>
  <c r="L291" i="4"/>
  <c r="M291" i="4"/>
  <c r="N291" i="4"/>
  <c r="O291" i="4"/>
  <c r="P291" i="4"/>
  <c r="H292" i="4"/>
  <c r="I292" i="4"/>
  <c r="J292" i="4"/>
  <c r="K292" i="4"/>
  <c r="L292" i="4"/>
  <c r="M292" i="4"/>
  <c r="N292" i="4"/>
  <c r="O292" i="4"/>
  <c r="P292" i="4"/>
  <c r="H293" i="4"/>
  <c r="I293" i="4"/>
  <c r="J293" i="4"/>
  <c r="K293" i="4"/>
  <c r="L293" i="4"/>
  <c r="M293" i="4"/>
  <c r="N293" i="4"/>
  <c r="O293" i="4"/>
  <c r="P293" i="4"/>
  <c r="H294" i="4"/>
  <c r="L294" i="4"/>
  <c r="M294" i="4"/>
  <c r="N294" i="4"/>
  <c r="O294" i="4"/>
  <c r="P294" i="4"/>
  <c r="H295" i="4"/>
  <c r="I295" i="4"/>
  <c r="J295" i="4"/>
  <c r="K295" i="4"/>
  <c r="L295" i="4"/>
  <c r="M295" i="4"/>
  <c r="N295" i="4"/>
  <c r="O295" i="4"/>
  <c r="P295" i="4"/>
  <c r="H296" i="4"/>
  <c r="I296" i="4"/>
  <c r="J296" i="4"/>
  <c r="K296" i="4"/>
  <c r="L296" i="4"/>
  <c r="M296" i="4"/>
  <c r="N296" i="4"/>
  <c r="O296" i="4"/>
  <c r="P296" i="4"/>
  <c r="H297" i="4"/>
  <c r="I297" i="4"/>
  <c r="J297" i="4"/>
  <c r="K297" i="4"/>
  <c r="L297" i="4"/>
  <c r="M297" i="4"/>
  <c r="N297" i="4"/>
  <c r="O297" i="4"/>
  <c r="P297" i="4"/>
  <c r="H298" i="4"/>
  <c r="I298" i="4"/>
  <c r="J298" i="4"/>
  <c r="K298" i="4"/>
  <c r="L298" i="4"/>
  <c r="M298" i="4"/>
  <c r="N298" i="4"/>
  <c r="O298" i="4"/>
  <c r="P298" i="4"/>
  <c r="H299" i="4"/>
  <c r="I299" i="4"/>
  <c r="K299" i="4"/>
  <c r="L299" i="4"/>
  <c r="M299" i="4"/>
  <c r="N299" i="4"/>
  <c r="O299" i="4"/>
  <c r="P299" i="4"/>
  <c r="H300" i="4"/>
  <c r="I300" i="4"/>
  <c r="J300" i="4"/>
  <c r="K300" i="4"/>
  <c r="L300" i="4"/>
  <c r="M300" i="4"/>
  <c r="N300" i="4"/>
  <c r="O300" i="4"/>
  <c r="P300" i="4"/>
  <c r="H301" i="4"/>
  <c r="I301" i="4"/>
  <c r="J301" i="4"/>
  <c r="K301" i="4"/>
  <c r="L301" i="4"/>
  <c r="M301" i="4"/>
  <c r="N301" i="4"/>
  <c r="O301" i="4"/>
  <c r="P301" i="4"/>
  <c r="H302" i="4"/>
  <c r="I302" i="4"/>
  <c r="J302" i="4"/>
  <c r="K302" i="4"/>
  <c r="L302" i="4"/>
  <c r="M302" i="4"/>
  <c r="N302" i="4"/>
  <c r="O302" i="4"/>
  <c r="P302" i="4"/>
  <c r="H303" i="4"/>
  <c r="I303" i="4"/>
  <c r="J303" i="4"/>
  <c r="K303" i="4"/>
  <c r="L303" i="4"/>
  <c r="M303" i="4"/>
  <c r="N303" i="4"/>
  <c r="O303" i="4"/>
  <c r="P303" i="4"/>
  <c r="H304" i="4"/>
  <c r="I304" i="4"/>
  <c r="J304" i="4"/>
  <c r="K304" i="4"/>
  <c r="L304" i="4"/>
  <c r="M304" i="4"/>
  <c r="N304" i="4"/>
  <c r="O304" i="4"/>
  <c r="P304" i="4"/>
  <c r="H305" i="4"/>
  <c r="I305" i="4"/>
  <c r="J305" i="4"/>
  <c r="K305" i="4"/>
  <c r="L305" i="4"/>
  <c r="M305" i="4"/>
  <c r="N305" i="4"/>
  <c r="O305" i="4"/>
  <c r="P305" i="4"/>
  <c r="H306" i="4"/>
  <c r="I306" i="4"/>
  <c r="J306" i="4"/>
  <c r="K306" i="4"/>
  <c r="L306" i="4"/>
  <c r="M306" i="4"/>
  <c r="N306" i="4"/>
  <c r="O306" i="4"/>
  <c r="P306" i="4"/>
  <c r="H307" i="4"/>
  <c r="I307" i="4"/>
  <c r="J307" i="4"/>
  <c r="K307" i="4"/>
  <c r="L307" i="4"/>
  <c r="M307" i="4"/>
  <c r="N307" i="4"/>
  <c r="O307" i="4"/>
  <c r="P307" i="4"/>
  <c r="H308" i="4"/>
  <c r="I308" i="4"/>
  <c r="J308" i="4"/>
  <c r="K308" i="4"/>
  <c r="L308" i="4"/>
  <c r="M308" i="4"/>
  <c r="N308" i="4"/>
  <c r="O308" i="4"/>
  <c r="P308" i="4"/>
  <c r="L309" i="4"/>
  <c r="N309" i="4"/>
  <c r="O309" i="4"/>
  <c r="P309" i="4"/>
  <c r="H311" i="4"/>
  <c r="I311" i="4"/>
  <c r="J311" i="4"/>
  <c r="K311" i="4"/>
  <c r="L311" i="4"/>
  <c r="M311" i="4"/>
  <c r="N311" i="4"/>
  <c r="O311" i="4"/>
  <c r="P311" i="4"/>
  <c r="H312" i="4"/>
  <c r="I312" i="4"/>
  <c r="J312" i="4"/>
  <c r="K312" i="4"/>
  <c r="L312" i="4"/>
  <c r="M312" i="4"/>
  <c r="N312" i="4"/>
  <c r="O312" i="4"/>
  <c r="P312" i="4"/>
  <c r="H313" i="4"/>
  <c r="I313" i="4"/>
  <c r="J313" i="4"/>
  <c r="K313" i="4"/>
  <c r="L313" i="4"/>
  <c r="M313" i="4"/>
  <c r="N313" i="4"/>
  <c r="O313" i="4"/>
  <c r="P313" i="4"/>
  <c r="H314" i="4"/>
  <c r="I314" i="4"/>
  <c r="J314" i="4"/>
  <c r="K314" i="4"/>
  <c r="L314" i="4"/>
  <c r="M314" i="4"/>
  <c r="N314" i="4"/>
  <c r="O314" i="4"/>
  <c r="P314" i="4"/>
  <c r="H315" i="4"/>
  <c r="I315" i="4"/>
  <c r="J315" i="4"/>
  <c r="K315" i="4"/>
  <c r="L315" i="4"/>
  <c r="M315" i="4"/>
  <c r="N315" i="4"/>
  <c r="O315" i="4"/>
  <c r="P315" i="4"/>
  <c r="H316" i="4"/>
  <c r="J316" i="4"/>
  <c r="K316" i="4"/>
  <c r="L316" i="4"/>
  <c r="M316" i="4"/>
  <c r="N316" i="4"/>
  <c r="O316" i="4"/>
  <c r="P316" i="4"/>
  <c r="H317" i="4"/>
  <c r="I317" i="4"/>
  <c r="J317" i="4"/>
  <c r="K317" i="4"/>
  <c r="L317" i="4"/>
  <c r="M317" i="4"/>
  <c r="N317" i="4"/>
  <c r="O317" i="4"/>
  <c r="P317" i="4"/>
  <c r="H318" i="4"/>
  <c r="I318" i="4"/>
  <c r="J318" i="4"/>
  <c r="K318" i="4"/>
  <c r="L318" i="4"/>
  <c r="M318" i="4"/>
  <c r="N318" i="4"/>
  <c r="O318" i="4"/>
  <c r="P318" i="4"/>
  <c r="H319" i="4"/>
  <c r="I319" i="4"/>
  <c r="J319" i="4"/>
  <c r="K319" i="4"/>
  <c r="L319" i="4"/>
  <c r="M319" i="4"/>
  <c r="N319" i="4"/>
  <c r="O319" i="4"/>
  <c r="P319" i="4"/>
  <c r="H320" i="4"/>
  <c r="I320" i="4"/>
  <c r="J320" i="4"/>
  <c r="K320" i="4"/>
  <c r="L320" i="4"/>
  <c r="M320" i="4"/>
  <c r="N320" i="4"/>
  <c r="O320" i="4"/>
  <c r="P320" i="4"/>
  <c r="H321" i="4"/>
  <c r="I321" i="4"/>
  <c r="J321" i="4"/>
  <c r="K321" i="4"/>
  <c r="L321" i="4"/>
  <c r="M321" i="4"/>
  <c r="N321" i="4"/>
  <c r="O321" i="4"/>
  <c r="P321" i="4"/>
  <c r="H322" i="4"/>
  <c r="J322" i="4"/>
  <c r="K322" i="4"/>
  <c r="L322" i="4"/>
  <c r="M322" i="4"/>
  <c r="N322" i="4"/>
  <c r="O322" i="4"/>
  <c r="P322" i="4"/>
  <c r="H323" i="4"/>
  <c r="I323" i="4"/>
  <c r="J323" i="4"/>
  <c r="K323" i="4"/>
  <c r="L323" i="4"/>
  <c r="M323" i="4"/>
  <c r="N323" i="4"/>
  <c r="O323" i="4"/>
  <c r="P323" i="4"/>
  <c r="H325" i="4"/>
  <c r="I325" i="4"/>
  <c r="J325" i="4"/>
  <c r="K325" i="4"/>
  <c r="L325" i="4"/>
  <c r="M325" i="4"/>
  <c r="N325" i="4"/>
  <c r="O325" i="4"/>
  <c r="P325" i="4"/>
  <c r="H326" i="4"/>
  <c r="I326" i="4"/>
  <c r="J326" i="4"/>
  <c r="K326" i="4"/>
  <c r="L326" i="4"/>
  <c r="M326" i="4"/>
  <c r="N326" i="4"/>
  <c r="O326" i="4"/>
  <c r="P326" i="4"/>
  <c r="H327" i="4"/>
  <c r="I327" i="4"/>
  <c r="J327" i="4"/>
  <c r="K327" i="4"/>
  <c r="L327" i="4"/>
  <c r="M327" i="4"/>
  <c r="N327" i="4"/>
  <c r="O327" i="4"/>
  <c r="P327" i="4"/>
  <c r="H328" i="4"/>
  <c r="I328" i="4"/>
  <c r="J328" i="4"/>
  <c r="K328" i="4"/>
  <c r="L328" i="4"/>
  <c r="M328" i="4"/>
  <c r="N328" i="4"/>
  <c r="O328" i="4"/>
  <c r="P328" i="4"/>
  <c r="H329" i="4"/>
  <c r="I329" i="4"/>
  <c r="J329" i="4"/>
  <c r="K329" i="4"/>
  <c r="L329" i="4"/>
  <c r="M329" i="4"/>
  <c r="N329" i="4"/>
  <c r="O329" i="4"/>
  <c r="P329" i="4"/>
  <c r="H330" i="4"/>
  <c r="I330" i="4"/>
  <c r="J330" i="4"/>
  <c r="K330" i="4"/>
  <c r="L330" i="4"/>
  <c r="M330" i="4"/>
  <c r="N330" i="4"/>
  <c r="O330" i="4"/>
  <c r="P330" i="4"/>
  <c r="H331" i="4"/>
  <c r="I331" i="4"/>
  <c r="J331" i="4"/>
  <c r="K331" i="4"/>
  <c r="L331" i="4"/>
  <c r="M331" i="4"/>
  <c r="N331" i="4"/>
  <c r="O331" i="4"/>
  <c r="P331" i="4"/>
  <c r="H332" i="4"/>
  <c r="I332" i="4"/>
  <c r="J332" i="4"/>
  <c r="L332" i="4"/>
  <c r="M332" i="4"/>
  <c r="N332" i="4"/>
  <c r="O332" i="4"/>
  <c r="P332" i="4"/>
  <c r="H333" i="4"/>
  <c r="I333" i="4"/>
  <c r="J333" i="4"/>
  <c r="K333" i="4"/>
  <c r="L333" i="4"/>
  <c r="M333" i="4"/>
  <c r="N333" i="4"/>
  <c r="O333" i="4"/>
  <c r="P333" i="4"/>
  <c r="H334" i="4"/>
  <c r="I334" i="4"/>
  <c r="J334" i="4"/>
  <c r="K334" i="4"/>
  <c r="L334" i="4"/>
  <c r="M334" i="4"/>
  <c r="N334" i="4"/>
  <c r="O334" i="4"/>
  <c r="P334" i="4"/>
  <c r="H335" i="4"/>
  <c r="I335" i="4"/>
  <c r="J335" i="4"/>
  <c r="K335" i="4"/>
  <c r="L335" i="4"/>
  <c r="M335" i="4"/>
  <c r="N335" i="4"/>
  <c r="O335" i="4"/>
  <c r="P335" i="4"/>
  <c r="H336" i="4"/>
  <c r="I336" i="4"/>
  <c r="J336" i="4"/>
  <c r="O336" i="4"/>
  <c r="P336" i="4"/>
  <c r="H337" i="4"/>
  <c r="I337" i="4"/>
  <c r="J337" i="4"/>
  <c r="K337" i="4"/>
  <c r="L337" i="4"/>
  <c r="M337" i="4"/>
  <c r="N337" i="4"/>
  <c r="O337" i="4"/>
  <c r="P337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4" i="4"/>
  <c r="G75" i="4"/>
  <c r="G76" i="4"/>
  <c r="G77" i="4"/>
  <c r="G79" i="4"/>
  <c r="G80" i="4"/>
  <c r="G81" i="4"/>
  <c r="G82" i="4"/>
  <c r="G83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9" i="4"/>
  <c r="G160" i="4"/>
  <c r="G161" i="4"/>
  <c r="G162" i="4"/>
  <c r="G165" i="4"/>
  <c r="G166" i="4"/>
  <c r="G167" i="4"/>
  <c r="G168" i="4"/>
  <c r="G169" i="4"/>
  <c r="G170" i="4"/>
  <c r="G171" i="4"/>
  <c r="G172" i="4"/>
  <c r="G173" i="4"/>
  <c r="G175" i="4"/>
  <c r="G177" i="4"/>
  <c r="G178" i="4"/>
  <c r="G179" i="4"/>
  <c r="G180" i="4"/>
  <c r="G181" i="4"/>
  <c r="G182" i="4"/>
  <c r="G183" i="4"/>
  <c r="G184" i="4"/>
  <c r="G185" i="4"/>
  <c r="G189" i="4"/>
  <c r="G190" i="4"/>
  <c r="G191" i="4"/>
  <c r="G193" i="4"/>
  <c r="G195" i="4"/>
  <c r="G197" i="4"/>
  <c r="G198" i="4"/>
  <c r="G200" i="4"/>
  <c r="G201" i="4"/>
  <c r="G202" i="4"/>
  <c r="G203" i="4"/>
  <c r="G204" i="4"/>
  <c r="G205" i="4"/>
  <c r="G206" i="4"/>
  <c r="G208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5" i="4"/>
  <c r="G226" i="4"/>
  <c r="G227" i="4"/>
  <c r="G228" i="4"/>
  <c r="G229" i="4"/>
  <c r="G230" i="4"/>
  <c r="G231" i="4"/>
  <c r="G234" i="4"/>
  <c r="G235" i="4"/>
  <c r="G236" i="4"/>
  <c r="G237" i="4"/>
  <c r="G237" i="3" s="1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6" i="4"/>
  <c r="G287" i="4"/>
  <c r="G288" i="4"/>
  <c r="G289" i="4"/>
  <c r="G290" i="4"/>
  <c r="G291" i="4"/>
  <c r="G292" i="4"/>
  <c r="G293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11" i="4"/>
  <c r="P10" i="3"/>
  <c r="P9" i="3"/>
  <c r="P7" i="3"/>
  <c r="O10" i="3"/>
  <c r="N10" i="3"/>
  <c r="M10" i="3"/>
  <c r="O9" i="3"/>
  <c r="N9" i="3"/>
  <c r="M9" i="3"/>
  <c r="O7" i="3"/>
  <c r="N7" i="3"/>
  <c r="M7" i="3"/>
  <c r="L10" i="3"/>
  <c r="K10" i="3"/>
  <c r="J10" i="3"/>
  <c r="L9" i="3"/>
  <c r="K9" i="3"/>
  <c r="J9" i="3"/>
  <c r="L7" i="3"/>
  <c r="K7" i="3"/>
  <c r="J7" i="3"/>
  <c r="P10" i="4"/>
  <c r="O10" i="4"/>
  <c r="N10" i="4"/>
  <c r="M10" i="4"/>
  <c r="P9" i="4"/>
  <c r="O9" i="4"/>
  <c r="N9" i="4"/>
  <c r="M9" i="4"/>
  <c r="P7" i="4"/>
  <c r="O7" i="4"/>
  <c r="N7" i="4"/>
  <c r="M7" i="4"/>
  <c r="P6" i="4"/>
  <c r="O6" i="4"/>
  <c r="N6" i="4"/>
  <c r="M6" i="4"/>
  <c r="L10" i="4"/>
  <c r="K10" i="4"/>
  <c r="J10" i="4"/>
  <c r="L9" i="4"/>
  <c r="K9" i="4"/>
  <c r="J9" i="4"/>
  <c r="L7" i="4"/>
  <c r="K7" i="4"/>
  <c r="J7" i="4"/>
  <c r="L6" i="4"/>
  <c r="K6" i="4"/>
  <c r="J6" i="4"/>
  <c r="P339" i="2"/>
  <c r="O339" i="2"/>
  <c r="P338" i="2"/>
  <c r="O338" i="2"/>
  <c r="N339" i="2"/>
  <c r="M339" i="2"/>
  <c r="N338" i="2"/>
  <c r="M338" i="2"/>
  <c r="L339" i="2"/>
  <c r="K339" i="2"/>
  <c r="J339" i="2"/>
  <c r="L338" i="2"/>
  <c r="K338" i="2"/>
  <c r="J338" i="2"/>
  <c r="P113" i="4" l="1"/>
  <c r="P113" i="3" s="1"/>
  <c r="P158" i="4"/>
  <c r="P158" i="3" s="1"/>
  <c r="P184" i="4"/>
  <c r="P184" i="3" s="1"/>
  <c r="P187" i="4"/>
  <c r="P187" i="3" s="1"/>
  <c r="P188" i="4"/>
  <c r="P188" i="3" s="1"/>
  <c r="P207" i="4"/>
  <c r="P207" i="3" s="1"/>
  <c r="P209" i="4"/>
  <c r="P209" i="3" s="1"/>
  <c r="P211" i="4"/>
  <c r="P211" i="3" s="1"/>
  <c r="P224" i="4"/>
  <c r="P224" i="3" s="1"/>
  <c r="P264" i="4"/>
  <c r="P264" i="3" s="1"/>
  <c r="P269" i="4"/>
  <c r="P269" i="3" s="1"/>
  <c r="P277" i="4"/>
  <c r="P277" i="3" s="1"/>
  <c r="P310" i="4"/>
  <c r="P310" i="3" s="1"/>
  <c r="P324" i="4"/>
  <c r="P324" i="3" s="1"/>
  <c r="O158" i="4"/>
  <c r="O158" i="3" s="1"/>
  <c r="O176" i="4"/>
  <c r="O176" i="3" s="1"/>
  <c r="O184" i="4"/>
  <c r="O184" i="3" s="1"/>
  <c r="O187" i="4"/>
  <c r="O187" i="3" s="1"/>
  <c r="O188" i="4"/>
  <c r="O188" i="3" s="1"/>
  <c r="O199" i="4"/>
  <c r="O199" i="3" s="1"/>
  <c r="O207" i="4"/>
  <c r="O207" i="3" s="1"/>
  <c r="O209" i="4"/>
  <c r="O209" i="3" s="1"/>
  <c r="O224" i="4"/>
  <c r="O224" i="3" s="1"/>
  <c r="O269" i="4"/>
  <c r="O269" i="3" s="1"/>
  <c r="O310" i="4"/>
  <c r="O310" i="3" s="1"/>
  <c r="O324" i="4"/>
  <c r="O324" i="3" s="1"/>
  <c r="N113" i="4"/>
  <c r="N113" i="3" s="1"/>
  <c r="N158" i="4"/>
  <c r="N158" i="3" s="1"/>
  <c r="N184" i="4"/>
  <c r="N184" i="3" s="1"/>
  <c r="N186" i="4"/>
  <c r="N186" i="3" s="1"/>
  <c r="N187" i="4"/>
  <c r="N187" i="3" s="1"/>
  <c r="N188" i="4"/>
  <c r="N188" i="3" s="1"/>
  <c r="N199" i="4"/>
  <c r="N199" i="3" s="1"/>
  <c r="N207" i="4"/>
  <c r="N207" i="3" s="1"/>
  <c r="N209" i="4"/>
  <c r="N209" i="3" s="1"/>
  <c r="N224" i="4"/>
  <c r="N224" i="3" s="1"/>
  <c r="N257" i="4"/>
  <c r="N257" i="3" s="1"/>
  <c r="N269" i="4"/>
  <c r="N269" i="3" s="1"/>
  <c r="N277" i="4"/>
  <c r="N277" i="3" s="1"/>
  <c r="N285" i="4"/>
  <c r="N285" i="3" s="1"/>
  <c r="N310" i="4"/>
  <c r="N310" i="3" s="1"/>
  <c r="N324" i="4"/>
  <c r="N324" i="3" s="1"/>
  <c r="N336" i="4"/>
  <c r="N336" i="3" s="1"/>
  <c r="M164" i="4"/>
  <c r="M164" i="3" s="1"/>
  <c r="M78" i="4"/>
  <c r="M78" i="3" s="1"/>
  <c r="M113" i="4"/>
  <c r="M113" i="3" s="1"/>
  <c r="M158" i="4"/>
  <c r="M158" i="3" s="1"/>
  <c r="M176" i="4"/>
  <c r="M176" i="3" s="1"/>
  <c r="M184" i="4"/>
  <c r="M184" i="3" s="1"/>
  <c r="M187" i="4"/>
  <c r="M187" i="3" s="1"/>
  <c r="M188" i="4"/>
  <c r="M188" i="3" s="1"/>
  <c r="M207" i="4"/>
  <c r="M207" i="3" s="1"/>
  <c r="M209" i="4"/>
  <c r="M209" i="3" s="1"/>
  <c r="M224" i="4"/>
  <c r="M224" i="3" s="1"/>
  <c r="M257" i="4"/>
  <c r="M257" i="3" s="1"/>
  <c r="M277" i="4"/>
  <c r="M277" i="3" s="1"/>
  <c r="M285" i="4"/>
  <c r="M285" i="3" s="1"/>
  <c r="M309" i="4"/>
  <c r="M309" i="3" s="1"/>
  <c r="M310" i="4"/>
  <c r="M310" i="3" s="1"/>
  <c r="M324" i="4"/>
  <c r="M324" i="3" s="1"/>
  <c r="M336" i="4"/>
  <c r="M336" i="3" s="1"/>
  <c r="L158" i="4"/>
  <c r="L158" i="3" s="1"/>
  <c r="L187" i="4"/>
  <c r="L187" i="3" s="1"/>
  <c r="L188" i="4"/>
  <c r="L188" i="3" s="1"/>
  <c r="L209" i="4"/>
  <c r="L209" i="3" s="1"/>
  <c r="L224" i="4"/>
  <c r="L224" i="3" s="1"/>
  <c r="L264" i="4"/>
  <c r="L264" i="3" s="1"/>
  <c r="L269" i="4"/>
  <c r="L269" i="3" s="1"/>
  <c r="L310" i="4"/>
  <c r="L310" i="3" s="1"/>
  <c r="L324" i="4"/>
  <c r="L324" i="3" s="1"/>
  <c r="L336" i="4"/>
  <c r="L336" i="3" s="1"/>
  <c r="K75" i="4"/>
  <c r="K75" i="3" s="1"/>
  <c r="K113" i="4"/>
  <c r="K113" i="3" s="1"/>
  <c r="K158" i="4"/>
  <c r="K158" i="3" s="1"/>
  <c r="K176" i="4"/>
  <c r="K176" i="3" s="1"/>
  <c r="K186" i="4"/>
  <c r="K186" i="3" s="1"/>
  <c r="K187" i="4"/>
  <c r="K187" i="3" s="1"/>
  <c r="K188" i="4"/>
  <c r="K188" i="3" s="1"/>
  <c r="K199" i="4"/>
  <c r="K199" i="3" s="1"/>
  <c r="K207" i="4"/>
  <c r="K207" i="3" s="1"/>
  <c r="K209" i="4"/>
  <c r="K209" i="3" s="1"/>
  <c r="K211" i="4"/>
  <c r="K211" i="3" s="1"/>
  <c r="K224" i="4"/>
  <c r="K224" i="3" s="1"/>
  <c r="K257" i="4"/>
  <c r="K257" i="3" s="1"/>
  <c r="K294" i="4"/>
  <c r="K294" i="3" s="1"/>
  <c r="K309" i="4"/>
  <c r="K309" i="3" s="1"/>
  <c r="K310" i="4"/>
  <c r="K310" i="3" s="1"/>
  <c r="K324" i="4"/>
  <c r="K324" i="3" s="1"/>
  <c r="K332" i="4"/>
  <c r="K332" i="3" s="1"/>
  <c r="K336" i="4"/>
  <c r="K336" i="3" s="1"/>
  <c r="J113" i="4"/>
  <c r="J113" i="3" s="1"/>
  <c r="J158" i="4"/>
  <c r="J158" i="3" s="1"/>
  <c r="J176" i="4"/>
  <c r="J176" i="3" s="1"/>
  <c r="J184" i="4"/>
  <c r="J184" i="3" s="1"/>
  <c r="J186" i="4"/>
  <c r="J186" i="3" s="1"/>
  <c r="J187" i="4"/>
  <c r="J187" i="3" s="1"/>
  <c r="J188" i="4"/>
  <c r="J188" i="3" s="1"/>
  <c r="J207" i="4"/>
  <c r="J207" i="3" s="1"/>
  <c r="J209" i="4"/>
  <c r="J209" i="3" s="1"/>
  <c r="J211" i="4"/>
  <c r="J211" i="3" s="1"/>
  <c r="J224" i="4"/>
  <c r="J224" i="3" s="1"/>
  <c r="J250" i="4"/>
  <c r="J250" i="3" s="1"/>
  <c r="J264" i="4"/>
  <c r="J264" i="3" s="1"/>
  <c r="J277" i="4"/>
  <c r="J277" i="3" s="1"/>
  <c r="J294" i="4"/>
  <c r="J294" i="3" s="1"/>
  <c r="J299" i="4"/>
  <c r="J299" i="3" s="1"/>
  <c r="J309" i="4"/>
  <c r="J309" i="3" s="1"/>
  <c r="J310" i="4"/>
  <c r="J310" i="3" s="1"/>
  <c r="J324" i="4"/>
  <c r="J324" i="3" s="1"/>
  <c r="J339" i="3"/>
  <c r="J338" i="3"/>
  <c r="K339" i="3"/>
  <c r="K338" i="3"/>
  <c r="L339" i="3"/>
  <c r="L338" i="3"/>
  <c r="M339" i="3"/>
  <c r="M338" i="3"/>
  <c r="N339" i="3"/>
  <c r="N338" i="3"/>
  <c r="O339" i="3"/>
  <c r="O338" i="3"/>
  <c r="P339" i="3"/>
  <c r="P338" i="3"/>
  <c r="J339" i="4"/>
  <c r="J340" i="4" s="1"/>
  <c r="J338" i="4"/>
  <c r="K339" i="4"/>
  <c r="K340" i="4" s="1"/>
  <c r="K338" i="4"/>
  <c r="L339" i="4"/>
  <c r="L340" i="4" s="1"/>
  <c r="L338" i="4"/>
  <c r="M339" i="4"/>
  <c r="M340" i="4" s="1"/>
  <c r="M338" i="4"/>
  <c r="N339" i="4"/>
  <c r="N340" i="4" s="1"/>
  <c r="N338" i="4"/>
  <c r="O339" i="4"/>
  <c r="O340" i="4" s="1"/>
  <c r="O338" i="4"/>
  <c r="P339" i="4"/>
  <c r="P340" i="4" s="1"/>
  <c r="P338" i="4"/>
  <c r="P341" i="4" l="1"/>
  <c r="O341" i="4"/>
  <c r="N341" i="4"/>
  <c r="M341" i="4"/>
  <c r="L341" i="4"/>
  <c r="K341" i="4"/>
  <c r="J341" i="4"/>
  <c r="H7" i="4" l="1"/>
  <c r="I7" i="4"/>
  <c r="G7" i="4"/>
  <c r="H7" i="3"/>
  <c r="I7" i="3"/>
  <c r="G7" i="3"/>
  <c r="H6" i="4" l="1"/>
  <c r="I6" i="4"/>
  <c r="G6" i="4"/>
  <c r="G27" i="1" l="1"/>
  <c r="P8" i="2" l="1"/>
  <c r="O8" i="2"/>
  <c r="N8" i="2"/>
  <c r="M8" i="2"/>
  <c r="L8" i="2"/>
  <c r="K8" i="2"/>
  <c r="J8" i="2"/>
  <c r="G8" i="2"/>
  <c r="H8" i="2"/>
  <c r="I8" i="2"/>
  <c r="H9" i="4"/>
  <c r="I9" i="4"/>
  <c r="I113" i="4" l="1"/>
  <c r="I113" i="3" s="1"/>
  <c r="I147" i="4"/>
  <c r="I147" i="3" s="1"/>
  <c r="I158" i="4"/>
  <c r="I158" i="3" s="1"/>
  <c r="I176" i="4"/>
  <c r="I176" i="3" s="1"/>
  <c r="I184" i="4"/>
  <c r="I184" i="3" s="1"/>
  <c r="I187" i="4"/>
  <c r="I187" i="3" s="1"/>
  <c r="I188" i="4"/>
  <c r="I188" i="3" s="1"/>
  <c r="I199" i="4"/>
  <c r="I199" i="3" s="1"/>
  <c r="I207" i="4"/>
  <c r="I207" i="3" s="1"/>
  <c r="I209" i="4"/>
  <c r="I209" i="3" s="1"/>
  <c r="I222" i="4"/>
  <c r="I222" i="3" s="1"/>
  <c r="I224" i="4"/>
  <c r="I224" i="3" s="1"/>
  <c r="I264" i="4"/>
  <c r="I264" i="3" s="1"/>
  <c r="I277" i="4"/>
  <c r="I277" i="3" s="1"/>
  <c r="I285" i="4"/>
  <c r="I285" i="3" s="1"/>
  <c r="I294" i="4"/>
  <c r="I294" i="3" s="1"/>
  <c r="I309" i="4"/>
  <c r="I309" i="3" s="1"/>
  <c r="I310" i="4"/>
  <c r="I310" i="3" s="1"/>
  <c r="I316" i="4"/>
  <c r="I316" i="3" s="1"/>
  <c r="I322" i="4"/>
  <c r="I322" i="3" s="1"/>
  <c r="I324" i="4"/>
  <c r="I324" i="3" s="1"/>
  <c r="H75" i="4"/>
  <c r="H75" i="3" s="1"/>
  <c r="H113" i="4"/>
  <c r="H113" i="3" s="1"/>
  <c r="H147" i="4"/>
  <c r="H147" i="3" s="1"/>
  <c r="H158" i="4"/>
  <c r="H158" i="3" s="1"/>
  <c r="H184" i="4"/>
  <c r="H184" i="3" s="1"/>
  <c r="H187" i="4"/>
  <c r="H187" i="3" s="1"/>
  <c r="H188" i="4"/>
  <c r="H188" i="3" s="1"/>
  <c r="H196" i="4"/>
  <c r="H196" i="3" s="1"/>
  <c r="H207" i="4"/>
  <c r="H207" i="3" s="1"/>
  <c r="H209" i="4"/>
  <c r="H209" i="3" s="1"/>
  <c r="H211" i="4"/>
  <c r="H211" i="3" s="1"/>
  <c r="H224" i="4"/>
  <c r="H224" i="3" s="1"/>
  <c r="H264" i="4"/>
  <c r="H264" i="3" s="1"/>
  <c r="H277" i="4"/>
  <c r="H277" i="3" s="1"/>
  <c r="H309" i="4"/>
  <c r="H309" i="3" s="1"/>
  <c r="H310" i="4"/>
  <c r="H310" i="3" s="1"/>
  <c r="H324" i="4"/>
  <c r="H324" i="3" s="1"/>
  <c r="J8" i="3"/>
  <c r="J8" i="4"/>
  <c r="K8" i="3"/>
  <c r="K8" i="4"/>
  <c r="L8" i="3"/>
  <c r="L8" i="4"/>
  <c r="M8" i="3"/>
  <c r="M8" i="4"/>
  <c r="N8" i="3"/>
  <c r="N8" i="4"/>
  <c r="O8" i="3"/>
  <c r="O8" i="4"/>
  <c r="P8" i="3"/>
  <c r="P8" i="4"/>
  <c r="I8" i="3"/>
  <c r="I8" i="4"/>
  <c r="H8" i="3"/>
  <c r="H8" i="4"/>
  <c r="G8" i="3"/>
  <c r="G8" i="4"/>
  <c r="H10" i="3" l="1"/>
  <c r="I10" i="3"/>
  <c r="I10" i="4" l="1"/>
  <c r="I9" i="3"/>
  <c r="G9" i="3"/>
  <c r="H9" i="3"/>
  <c r="H10" i="4"/>
  <c r="H338" i="2" l="1"/>
  <c r="I338" i="2"/>
  <c r="H339" i="2"/>
  <c r="I339" i="2"/>
  <c r="H169" i="10"/>
  <c r="F4" i="10"/>
  <c r="F6" i="10"/>
  <c r="G169" i="10" l="1"/>
  <c r="G131" i="10"/>
  <c r="H133" i="10"/>
  <c r="H132" i="10"/>
  <c r="G134" i="10"/>
  <c r="H131" i="10"/>
  <c r="H134" i="10"/>
  <c r="G132" i="10"/>
  <c r="H10" i="6"/>
  <c r="I10" i="6"/>
  <c r="J10" i="6"/>
  <c r="K10" i="6"/>
  <c r="L10" i="6"/>
  <c r="H11" i="6"/>
  <c r="I11" i="6"/>
  <c r="J11" i="6"/>
  <c r="K11" i="6"/>
  <c r="L11" i="6"/>
  <c r="H12" i="6"/>
  <c r="I12" i="6"/>
  <c r="J12" i="6"/>
  <c r="K12" i="6"/>
  <c r="L12" i="6"/>
  <c r="H13" i="6"/>
  <c r="I13" i="6"/>
  <c r="J13" i="6"/>
  <c r="K13" i="6"/>
  <c r="L13" i="6"/>
  <c r="H14" i="6"/>
  <c r="I14" i="6"/>
  <c r="J14" i="6"/>
  <c r="K14" i="6"/>
  <c r="L14" i="6"/>
  <c r="H15" i="6"/>
  <c r="I15" i="6"/>
  <c r="J15" i="6"/>
  <c r="K15" i="6"/>
  <c r="L15" i="6"/>
  <c r="H16" i="6"/>
  <c r="I16" i="6"/>
  <c r="J16" i="6"/>
  <c r="K16" i="6"/>
  <c r="L16" i="6"/>
  <c r="H18" i="6"/>
  <c r="I18" i="6"/>
  <c r="J18" i="6"/>
  <c r="K18" i="6"/>
  <c r="L18" i="6"/>
  <c r="H19" i="6"/>
  <c r="I19" i="6"/>
  <c r="J19" i="6"/>
  <c r="K19" i="6"/>
  <c r="L19" i="6"/>
  <c r="H20" i="6"/>
  <c r="I20" i="6"/>
  <c r="J20" i="6"/>
  <c r="K20" i="6"/>
  <c r="L20" i="6"/>
  <c r="H21" i="6"/>
  <c r="I21" i="6"/>
  <c r="J21" i="6"/>
  <c r="K21" i="6"/>
  <c r="L21" i="6"/>
  <c r="H22" i="6"/>
  <c r="I22" i="6"/>
  <c r="J22" i="6"/>
  <c r="K22" i="6"/>
  <c r="L22" i="6"/>
  <c r="H23" i="6"/>
  <c r="I23" i="6"/>
  <c r="J23" i="6"/>
  <c r="K23" i="6"/>
  <c r="L23" i="6"/>
  <c r="H24" i="6"/>
  <c r="I24" i="6"/>
  <c r="J24" i="6"/>
  <c r="K24" i="6"/>
  <c r="L24" i="6"/>
  <c r="H25" i="6"/>
  <c r="I25" i="6"/>
  <c r="J25" i="6"/>
  <c r="K25" i="6"/>
  <c r="L25" i="6"/>
  <c r="H26" i="6"/>
  <c r="I26" i="6"/>
  <c r="J26" i="6"/>
  <c r="K26" i="6"/>
  <c r="L26" i="6"/>
  <c r="H27" i="6"/>
  <c r="I27" i="6"/>
  <c r="J27" i="6"/>
  <c r="K27" i="6"/>
  <c r="L27" i="6"/>
  <c r="H29" i="6"/>
  <c r="I29" i="6"/>
  <c r="J29" i="6"/>
  <c r="K29" i="6"/>
  <c r="L29" i="6"/>
  <c r="H30" i="6"/>
  <c r="I30" i="6"/>
  <c r="J30" i="6"/>
  <c r="K30" i="6"/>
  <c r="L30" i="6"/>
  <c r="H32" i="6"/>
  <c r="I32" i="6"/>
  <c r="J32" i="6"/>
  <c r="K32" i="6"/>
  <c r="L32" i="6"/>
  <c r="H33" i="6"/>
  <c r="K33" i="6"/>
  <c r="L33" i="6"/>
  <c r="H34" i="6"/>
  <c r="H35" i="6"/>
  <c r="I35" i="6"/>
  <c r="J35" i="6"/>
  <c r="K35" i="6"/>
  <c r="L35" i="6"/>
  <c r="H36" i="6"/>
  <c r="I36" i="6"/>
  <c r="J36" i="6"/>
  <c r="K36" i="6"/>
  <c r="L36" i="6"/>
  <c r="H37" i="6"/>
  <c r="I37" i="6"/>
  <c r="J37" i="6"/>
  <c r="K37" i="6"/>
  <c r="L37" i="6"/>
  <c r="H38" i="6"/>
  <c r="I38" i="6"/>
  <c r="J38" i="6"/>
  <c r="K38" i="6"/>
  <c r="L38" i="6"/>
  <c r="H39" i="6"/>
  <c r="I39" i="6"/>
  <c r="J39" i="6"/>
  <c r="K39" i="6"/>
  <c r="L39" i="6"/>
  <c r="H40" i="6"/>
  <c r="I40" i="6"/>
  <c r="J40" i="6"/>
  <c r="K40" i="6"/>
  <c r="L40" i="6"/>
  <c r="H41" i="6"/>
  <c r="I41" i="6"/>
  <c r="J41" i="6"/>
  <c r="K41" i="6"/>
  <c r="L41" i="6"/>
  <c r="H42" i="6"/>
  <c r="I42" i="6"/>
  <c r="J42" i="6"/>
  <c r="K42" i="6"/>
  <c r="L42" i="6"/>
  <c r="H43" i="6"/>
  <c r="I43" i="6"/>
  <c r="J43" i="6"/>
  <c r="K43" i="6"/>
  <c r="L43" i="6"/>
  <c r="H44" i="6"/>
  <c r="I44" i="6"/>
  <c r="J44" i="6"/>
  <c r="K44" i="6"/>
  <c r="L44" i="6"/>
  <c r="H45" i="6"/>
  <c r="I45" i="6"/>
  <c r="J45" i="6"/>
  <c r="K45" i="6"/>
  <c r="L45" i="6"/>
  <c r="H46" i="6"/>
  <c r="I46" i="6"/>
  <c r="J46" i="6"/>
  <c r="K46" i="6"/>
  <c r="L46" i="6"/>
  <c r="H47" i="6"/>
  <c r="I47" i="6"/>
  <c r="J47" i="6"/>
  <c r="K47" i="6"/>
  <c r="L47" i="6"/>
  <c r="H48" i="6"/>
  <c r="I48" i="6"/>
  <c r="J48" i="6"/>
  <c r="K48" i="6"/>
  <c r="L48" i="6"/>
  <c r="H50" i="6"/>
  <c r="I50" i="6"/>
  <c r="J50" i="6"/>
  <c r="K50" i="6"/>
  <c r="L50" i="6"/>
  <c r="H52" i="6"/>
  <c r="I52" i="6"/>
  <c r="J52" i="6"/>
  <c r="K52" i="6"/>
  <c r="L52" i="6"/>
  <c r="H53" i="6"/>
  <c r="I53" i="6"/>
  <c r="J53" i="6"/>
  <c r="K53" i="6"/>
  <c r="L53" i="6"/>
  <c r="H54" i="6"/>
  <c r="I54" i="6"/>
  <c r="J54" i="6"/>
  <c r="K54" i="6"/>
  <c r="L54" i="6"/>
  <c r="H55" i="6"/>
  <c r="I55" i="6"/>
  <c r="J55" i="6"/>
  <c r="K55" i="6"/>
  <c r="L55" i="6"/>
  <c r="H56" i="6"/>
  <c r="I56" i="6"/>
  <c r="J56" i="6"/>
  <c r="K56" i="6"/>
  <c r="L56" i="6"/>
  <c r="H57" i="6"/>
  <c r="I57" i="6"/>
  <c r="J57" i="6"/>
  <c r="K57" i="6"/>
  <c r="L57" i="6"/>
  <c r="H59" i="6"/>
  <c r="I59" i="6"/>
  <c r="J59" i="6"/>
  <c r="K59" i="6"/>
  <c r="L59" i="6"/>
  <c r="H60" i="6"/>
  <c r="I60" i="6"/>
  <c r="J60" i="6"/>
  <c r="K60" i="6"/>
  <c r="L60" i="6"/>
  <c r="H61" i="6"/>
  <c r="I61" i="6"/>
  <c r="J61" i="6"/>
  <c r="K61" i="6"/>
  <c r="L61" i="6"/>
  <c r="H62" i="6"/>
  <c r="I62" i="6"/>
  <c r="J62" i="6"/>
  <c r="K62" i="6"/>
  <c r="L62" i="6"/>
  <c r="H63" i="6"/>
  <c r="I63" i="6"/>
  <c r="J63" i="6"/>
  <c r="K63" i="6"/>
  <c r="L63" i="6"/>
  <c r="H64" i="6"/>
  <c r="I64" i="6"/>
  <c r="K64" i="6"/>
  <c r="L64" i="6"/>
  <c r="H65" i="6"/>
  <c r="I65" i="6"/>
  <c r="J65" i="6"/>
  <c r="K65" i="6"/>
  <c r="L65" i="6"/>
  <c r="H66" i="6"/>
  <c r="I66" i="6"/>
  <c r="J66" i="6"/>
  <c r="K66" i="6"/>
  <c r="L66" i="6"/>
  <c r="H68" i="6"/>
  <c r="I68" i="6"/>
  <c r="J68" i="6"/>
  <c r="K68" i="6"/>
  <c r="L68" i="6"/>
  <c r="H69" i="6"/>
  <c r="I69" i="6"/>
  <c r="J69" i="6"/>
  <c r="K69" i="6"/>
  <c r="L69" i="6"/>
  <c r="H70" i="6"/>
  <c r="I70" i="6"/>
  <c r="J70" i="6"/>
  <c r="K70" i="6"/>
  <c r="L70" i="6"/>
  <c r="H71" i="6"/>
  <c r="I71" i="6"/>
  <c r="J71" i="6"/>
  <c r="K71" i="6"/>
  <c r="L71" i="6"/>
  <c r="H72" i="6"/>
  <c r="I72" i="6"/>
  <c r="J72" i="6"/>
  <c r="K72" i="6"/>
  <c r="L72" i="6"/>
  <c r="H73" i="6"/>
  <c r="I73" i="6"/>
  <c r="J73" i="6"/>
  <c r="K73" i="6"/>
  <c r="L73" i="6"/>
  <c r="H74" i="6"/>
  <c r="I74" i="6"/>
  <c r="J74" i="6"/>
  <c r="K74" i="6"/>
  <c r="L74" i="6"/>
  <c r="H75" i="6"/>
  <c r="I75" i="6"/>
  <c r="J75" i="6"/>
  <c r="K75" i="6"/>
  <c r="L75" i="6"/>
  <c r="H76" i="6"/>
  <c r="I76" i="6"/>
  <c r="J76" i="6"/>
  <c r="K76" i="6"/>
  <c r="L76" i="6"/>
  <c r="H77" i="6"/>
  <c r="I77" i="6"/>
  <c r="J77" i="6"/>
  <c r="K77" i="6"/>
  <c r="L77" i="6"/>
  <c r="H79" i="6"/>
  <c r="I79" i="6"/>
  <c r="J79" i="6"/>
  <c r="K79" i="6"/>
  <c r="L79" i="6"/>
  <c r="L82" i="6"/>
  <c r="J85" i="6"/>
  <c r="L85" i="6"/>
  <c r="H86" i="6"/>
  <c r="I86" i="6"/>
  <c r="H87" i="6"/>
  <c r="I87" i="6"/>
  <c r="J87" i="6"/>
  <c r="K87" i="6"/>
  <c r="L87" i="6"/>
  <c r="H88" i="6"/>
  <c r="J88" i="6"/>
  <c r="H89" i="6"/>
  <c r="I89" i="6"/>
  <c r="J89" i="6"/>
  <c r="K89" i="6"/>
  <c r="L89" i="6"/>
  <c r="H91" i="6"/>
  <c r="I91" i="6"/>
  <c r="J91" i="6"/>
  <c r="K91" i="6"/>
  <c r="L91" i="6"/>
  <c r="H93" i="6"/>
  <c r="I93" i="6"/>
  <c r="J93" i="6"/>
  <c r="K93" i="6"/>
  <c r="L93" i="6"/>
  <c r="J95" i="6"/>
  <c r="K95" i="6"/>
  <c r="L95" i="6"/>
  <c r="H97" i="6"/>
  <c r="I97" i="6"/>
  <c r="J97" i="6"/>
  <c r="K97" i="6"/>
  <c r="L97" i="6"/>
  <c r="H102" i="6"/>
  <c r="I102" i="6"/>
  <c r="J102" i="6"/>
  <c r="K102" i="6"/>
  <c r="L102" i="6"/>
  <c r="H105" i="6"/>
  <c r="I105" i="6"/>
  <c r="J105" i="6"/>
  <c r="K105" i="6"/>
  <c r="L105" i="6"/>
  <c r="K108" i="6"/>
  <c r="H109" i="6"/>
  <c r="I109" i="6"/>
  <c r="J109" i="6"/>
  <c r="K109" i="6"/>
  <c r="L109" i="6"/>
  <c r="H110" i="6"/>
  <c r="I110" i="6"/>
  <c r="J110" i="6"/>
  <c r="K110" i="6"/>
  <c r="L110" i="6"/>
  <c r="H111" i="6"/>
  <c r="I111" i="6"/>
  <c r="J111" i="6"/>
  <c r="K111" i="6"/>
  <c r="L111" i="6"/>
  <c r="H112" i="6"/>
  <c r="I112" i="6"/>
  <c r="J112" i="6"/>
  <c r="K112" i="6"/>
  <c r="L112" i="6"/>
  <c r="H113" i="6"/>
  <c r="I113" i="6"/>
  <c r="J113" i="6"/>
  <c r="K113" i="6"/>
  <c r="L113" i="6"/>
  <c r="H115" i="6"/>
  <c r="I115" i="6"/>
  <c r="J115" i="6"/>
  <c r="K115" i="6"/>
  <c r="L115" i="6"/>
  <c r="H117" i="6"/>
  <c r="I117" i="6"/>
  <c r="J117" i="6"/>
  <c r="K117" i="6"/>
  <c r="L117" i="6"/>
  <c r="H118" i="6"/>
  <c r="I118" i="6"/>
  <c r="J118" i="6"/>
  <c r="K118" i="6"/>
  <c r="L118" i="6"/>
  <c r="H119" i="6"/>
  <c r="I119" i="6"/>
  <c r="J119" i="6"/>
  <c r="K119" i="6"/>
  <c r="L119" i="6"/>
  <c r="H120" i="6"/>
  <c r="I120" i="6"/>
  <c r="J120" i="6"/>
  <c r="K120" i="6"/>
  <c r="L120" i="6"/>
  <c r="H123" i="6"/>
  <c r="I123" i="6"/>
  <c r="H124" i="6"/>
  <c r="I124" i="6"/>
  <c r="J124" i="6"/>
  <c r="K124" i="6"/>
  <c r="L124" i="6"/>
  <c r="H125" i="6"/>
  <c r="I125" i="6"/>
  <c r="J125" i="6"/>
  <c r="K125" i="6"/>
  <c r="L125" i="6"/>
  <c r="H126" i="6"/>
  <c r="I126" i="6"/>
  <c r="J126" i="6"/>
  <c r="K126" i="6"/>
  <c r="L126" i="6"/>
  <c r="H128" i="6"/>
  <c r="I128" i="6"/>
  <c r="J128" i="6"/>
  <c r="K128" i="6"/>
  <c r="L128" i="6"/>
  <c r="H130" i="6"/>
  <c r="I130" i="6"/>
  <c r="J130" i="6"/>
  <c r="K130" i="6"/>
  <c r="L130" i="6"/>
  <c r="H131" i="6"/>
  <c r="I131" i="6"/>
  <c r="K131" i="6"/>
  <c r="L131" i="6"/>
  <c r="H132" i="6"/>
  <c r="I132" i="6"/>
  <c r="J132" i="6"/>
  <c r="K132" i="6"/>
  <c r="L132" i="6"/>
  <c r="I133" i="6"/>
  <c r="J133" i="6"/>
  <c r="K133" i="6"/>
  <c r="L133" i="6"/>
  <c r="H134" i="6"/>
  <c r="I134" i="6"/>
  <c r="J134" i="6"/>
  <c r="K134" i="6"/>
  <c r="L134" i="6"/>
  <c r="H135" i="6"/>
  <c r="I135" i="6"/>
  <c r="J135" i="6"/>
  <c r="K135" i="6"/>
  <c r="L135" i="6"/>
  <c r="H137" i="6"/>
  <c r="I137" i="6"/>
  <c r="J137" i="6"/>
  <c r="K137" i="6"/>
  <c r="L137" i="6"/>
  <c r="H138" i="6"/>
  <c r="I138" i="6"/>
  <c r="J138" i="6"/>
  <c r="K138" i="6"/>
  <c r="L138" i="6"/>
  <c r="H139" i="6"/>
  <c r="I139" i="6"/>
  <c r="J139" i="6"/>
  <c r="K139" i="6"/>
  <c r="L139" i="6"/>
  <c r="H140" i="6"/>
  <c r="I140" i="6"/>
  <c r="J140" i="6"/>
  <c r="K140" i="6"/>
  <c r="L140" i="6"/>
  <c r="H141" i="6"/>
  <c r="I141" i="6"/>
  <c r="J141" i="6"/>
  <c r="K141" i="6"/>
  <c r="L141" i="6"/>
  <c r="I142" i="6"/>
  <c r="J142" i="6"/>
  <c r="K142" i="6"/>
  <c r="L142" i="6"/>
  <c r="H143" i="6"/>
  <c r="I143" i="6"/>
  <c r="J143" i="6"/>
  <c r="K143" i="6"/>
  <c r="L143" i="6"/>
  <c r="H144" i="6"/>
  <c r="I144" i="6"/>
  <c r="J144" i="6"/>
  <c r="K144" i="6"/>
  <c r="H145" i="6"/>
  <c r="I145" i="6"/>
  <c r="J145" i="6"/>
  <c r="K145" i="6"/>
  <c r="L145" i="6"/>
  <c r="L146" i="6"/>
  <c r="H147" i="6"/>
  <c r="I147" i="6"/>
  <c r="J147" i="6"/>
  <c r="K147" i="6"/>
  <c r="L147" i="6"/>
  <c r="H149" i="6"/>
  <c r="I149" i="6"/>
  <c r="J149" i="6"/>
  <c r="K149" i="6"/>
  <c r="L149" i="6"/>
  <c r="H150" i="6"/>
  <c r="I150" i="6"/>
  <c r="J150" i="6"/>
  <c r="K150" i="6"/>
  <c r="L150" i="6"/>
  <c r="H151" i="6"/>
  <c r="I151" i="6"/>
  <c r="J151" i="6"/>
  <c r="K151" i="6"/>
  <c r="L151" i="6"/>
  <c r="H152" i="6"/>
  <c r="I152" i="6"/>
  <c r="J152" i="6"/>
  <c r="K152" i="6"/>
  <c r="L152" i="6"/>
  <c r="H153" i="6"/>
  <c r="J153" i="6"/>
  <c r="K153" i="6"/>
  <c r="L153" i="6"/>
  <c r="H157" i="6"/>
  <c r="I157" i="6"/>
  <c r="J157" i="6"/>
  <c r="K157" i="6"/>
  <c r="L157" i="6"/>
  <c r="H158" i="6"/>
  <c r="I158" i="6"/>
  <c r="J158" i="6"/>
  <c r="K158" i="6"/>
  <c r="L158" i="6"/>
  <c r="H159" i="6"/>
  <c r="I159" i="6"/>
  <c r="J159" i="6"/>
  <c r="K159" i="6"/>
  <c r="L159" i="6"/>
  <c r="H160" i="6"/>
  <c r="I160" i="6"/>
  <c r="J160" i="6"/>
  <c r="K160" i="6"/>
  <c r="L160" i="6"/>
  <c r="H161" i="6"/>
  <c r="I161" i="6"/>
  <c r="J161" i="6"/>
  <c r="K161" i="6"/>
  <c r="L161" i="6"/>
  <c r="H163" i="6"/>
  <c r="I163" i="6"/>
  <c r="J163" i="6"/>
  <c r="K163" i="6"/>
  <c r="L163" i="6"/>
  <c r="H164" i="6"/>
  <c r="I164" i="6"/>
  <c r="J164" i="6"/>
  <c r="K164" i="6"/>
  <c r="L164" i="6"/>
  <c r="H166" i="6"/>
  <c r="I166" i="6"/>
  <c r="J166" i="6"/>
  <c r="K166" i="6"/>
  <c r="L166" i="6"/>
  <c r="H167" i="6"/>
  <c r="I167" i="6"/>
  <c r="J167" i="6"/>
  <c r="K167" i="6"/>
  <c r="L167" i="6"/>
  <c r="H168" i="6"/>
  <c r="I168" i="6"/>
  <c r="J168" i="6"/>
  <c r="K168" i="6"/>
  <c r="L168" i="6"/>
  <c r="H169" i="6"/>
  <c r="I169" i="6"/>
  <c r="J169" i="6"/>
  <c r="K169" i="6"/>
  <c r="L169" i="6"/>
  <c r="H170" i="6"/>
  <c r="I170" i="6"/>
  <c r="J170" i="6"/>
  <c r="K170" i="6"/>
  <c r="L170" i="6"/>
  <c r="H171" i="6"/>
  <c r="I171" i="6"/>
  <c r="J171" i="6"/>
  <c r="K171" i="6"/>
  <c r="L171" i="6"/>
  <c r="H172" i="6"/>
  <c r="I172" i="6"/>
  <c r="J172" i="6"/>
  <c r="K172" i="6"/>
  <c r="L172" i="6"/>
  <c r="H173" i="6"/>
  <c r="I173" i="6"/>
  <c r="J173" i="6"/>
  <c r="K173" i="6"/>
  <c r="L173" i="6"/>
  <c r="H174" i="6"/>
  <c r="I174" i="6"/>
  <c r="J174" i="6"/>
  <c r="K174" i="6"/>
  <c r="L174" i="6"/>
  <c r="H175" i="6"/>
  <c r="I175" i="6"/>
  <c r="J175" i="6"/>
  <c r="K175" i="6"/>
  <c r="L175" i="6"/>
  <c r="H176" i="6"/>
  <c r="I176" i="6"/>
  <c r="J176" i="6"/>
  <c r="K176" i="6"/>
  <c r="L176" i="6"/>
  <c r="H177" i="6"/>
  <c r="I177" i="6"/>
  <c r="J177" i="6"/>
  <c r="K177" i="6"/>
  <c r="L177" i="6"/>
  <c r="H178" i="6"/>
  <c r="I178" i="6"/>
  <c r="J178" i="6"/>
  <c r="K178" i="6"/>
  <c r="L178" i="6"/>
  <c r="H179" i="6"/>
  <c r="I179" i="6"/>
  <c r="J179" i="6"/>
  <c r="K179" i="6"/>
  <c r="L179" i="6"/>
  <c r="H180" i="6"/>
  <c r="I180" i="6"/>
  <c r="J180" i="6"/>
  <c r="K180" i="6"/>
  <c r="L180" i="6"/>
  <c r="H181" i="6"/>
  <c r="I181" i="6"/>
  <c r="J181" i="6"/>
  <c r="K181" i="6"/>
  <c r="L181" i="6"/>
  <c r="J182" i="6"/>
  <c r="K182" i="6"/>
  <c r="H183" i="6"/>
  <c r="I183" i="6"/>
  <c r="J183" i="6"/>
  <c r="K183" i="6"/>
  <c r="L183" i="6"/>
  <c r="H186" i="6"/>
  <c r="I186" i="6"/>
  <c r="J186" i="6"/>
  <c r="K186" i="6"/>
  <c r="L186" i="6"/>
  <c r="H187" i="6"/>
  <c r="I187" i="6"/>
  <c r="J187" i="6"/>
  <c r="K187" i="6"/>
  <c r="L187" i="6"/>
  <c r="I188" i="6"/>
  <c r="J188" i="6"/>
  <c r="K188" i="6"/>
  <c r="I189" i="6"/>
  <c r="K189" i="6"/>
  <c r="L189" i="6"/>
  <c r="H191" i="6"/>
  <c r="I191" i="6"/>
  <c r="J191" i="6"/>
  <c r="K191" i="6"/>
  <c r="L191" i="6"/>
  <c r="H192" i="6"/>
  <c r="I192" i="6"/>
  <c r="J192" i="6"/>
  <c r="K192" i="6"/>
  <c r="L192" i="6"/>
  <c r="H193" i="6"/>
  <c r="I193" i="6"/>
  <c r="J193" i="6"/>
  <c r="K193" i="6"/>
  <c r="L193" i="6"/>
  <c r="H194" i="6"/>
  <c r="I194" i="6"/>
  <c r="J194" i="6"/>
  <c r="K194" i="6"/>
  <c r="L194" i="6"/>
  <c r="H195" i="6"/>
  <c r="I195" i="6"/>
  <c r="J195" i="6"/>
  <c r="K195" i="6"/>
  <c r="L195" i="6"/>
  <c r="H197" i="6"/>
  <c r="I197" i="6"/>
  <c r="J197" i="6"/>
  <c r="K197" i="6"/>
  <c r="L197" i="6"/>
  <c r="H198" i="6"/>
  <c r="I198" i="6"/>
  <c r="J198" i="6"/>
  <c r="K198" i="6"/>
  <c r="L198" i="6"/>
  <c r="H200" i="6"/>
  <c r="I200" i="6"/>
  <c r="J200" i="6"/>
  <c r="K200" i="6"/>
  <c r="L200" i="6"/>
  <c r="H201" i="6"/>
  <c r="I201" i="6"/>
  <c r="J201" i="6"/>
  <c r="K201" i="6"/>
  <c r="L201" i="6"/>
  <c r="H202" i="6"/>
  <c r="I202" i="6"/>
  <c r="J202" i="6"/>
  <c r="K202" i="6"/>
  <c r="L202" i="6"/>
  <c r="H203" i="6"/>
  <c r="I203" i="6"/>
  <c r="J203" i="6"/>
  <c r="K203" i="6"/>
  <c r="L203" i="6"/>
  <c r="H204" i="6"/>
  <c r="I204" i="6"/>
  <c r="J204" i="6"/>
  <c r="K204" i="6"/>
  <c r="L204" i="6"/>
  <c r="H205" i="6"/>
  <c r="I205" i="6"/>
  <c r="J205" i="6"/>
  <c r="K205" i="6"/>
  <c r="L205" i="6"/>
  <c r="L206" i="6"/>
  <c r="I207" i="6"/>
  <c r="H208" i="6"/>
  <c r="I208" i="6"/>
  <c r="J208" i="6"/>
  <c r="K208" i="6"/>
  <c r="L208" i="6"/>
  <c r="H209" i="6"/>
  <c r="I209" i="6"/>
  <c r="J209" i="6"/>
  <c r="K209" i="6"/>
  <c r="L209" i="6"/>
  <c r="I210" i="6"/>
  <c r="L210" i="6"/>
  <c r="H211" i="6"/>
  <c r="I211" i="6"/>
  <c r="J211" i="6"/>
  <c r="K211" i="6"/>
  <c r="L211" i="6"/>
  <c r="H214" i="6"/>
  <c r="I214" i="6"/>
  <c r="J214" i="6"/>
  <c r="K214" i="6"/>
  <c r="L214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2" i="6"/>
  <c r="G33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50" i="6"/>
  <c r="G52" i="6"/>
  <c r="G53" i="6"/>
  <c r="G54" i="6"/>
  <c r="G55" i="6"/>
  <c r="G56" i="6"/>
  <c r="G57" i="6"/>
  <c r="G59" i="6"/>
  <c r="G60" i="6"/>
  <c r="G61" i="6"/>
  <c r="G62" i="6"/>
  <c r="G63" i="6"/>
  <c r="G64" i="6"/>
  <c r="G65" i="6"/>
  <c r="G66" i="6"/>
  <c r="G68" i="6"/>
  <c r="G69" i="6"/>
  <c r="G70" i="6"/>
  <c r="G71" i="6"/>
  <c r="G72" i="6"/>
  <c r="G73" i="6"/>
  <c r="G74" i="6"/>
  <c r="G75" i="6"/>
  <c r="G76" i="6"/>
  <c r="G77" i="6"/>
  <c r="G79" i="6"/>
  <c r="G81" i="6"/>
  <c r="G85" i="6"/>
  <c r="G87" i="6"/>
  <c r="G89" i="6"/>
  <c r="G91" i="6"/>
  <c r="G93" i="6"/>
  <c r="G94" i="6"/>
  <c r="G95" i="6"/>
  <c r="G96" i="6"/>
  <c r="G97" i="6"/>
  <c r="G98" i="6"/>
  <c r="G102" i="6"/>
  <c r="G104" i="6"/>
  <c r="G105" i="6"/>
  <c r="G107" i="6"/>
  <c r="G108" i="6"/>
  <c r="G109" i="6"/>
  <c r="G110" i="6"/>
  <c r="G111" i="6"/>
  <c r="G112" i="6"/>
  <c r="G113" i="6"/>
  <c r="G115" i="6"/>
  <c r="G117" i="6"/>
  <c r="G118" i="6"/>
  <c r="G119" i="6"/>
  <c r="G120" i="6"/>
  <c r="G123" i="6"/>
  <c r="G124" i="6"/>
  <c r="G125" i="6"/>
  <c r="G126" i="6"/>
  <c r="G128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5" i="6"/>
  <c r="G147" i="6"/>
  <c r="G149" i="6"/>
  <c r="G150" i="6"/>
  <c r="G151" i="6"/>
  <c r="G152" i="6"/>
  <c r="G153" i="6"/>
  <c r="G157" i="6"/>
  <c r="G158" i="6"/>
  <c r="G159" i="6"/>
  <c r="G160" i="6"/>
  <c r="G161" i="6"/>
  <c r="G163" i="6"/>
  <c r="G164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6" i="6"/>
  <c r="G187" i="6"/>
  <c r="G188" i="6"/>
  <c r="G189" i="6"/>
  <c r="G191" i="6"/>
  <c r="G192" i="6"/>
  <c r="G193" i="6"/>
  <c r="G194" i="6"/>
  <c r="G195" i="6"/>
  <c r="G197" i="6"/>
  <c r="G198" i="6"/>
  <c r="G200" i="6"/>
  <c r="G201" i="6"/>
  <c r="G202" i="6"/>
  <c r="G203" i="6"/>
  <c r="G204" i="6"/>
  <c r="G205" i="6"/>
  <c r="G206" i="6"/>
  <c r="G208" i="6"/>
  <c r="G209" i="6"/>
  <c r="G210" i="6"/>
  <c r="G211" i="6"/>
  <c r="G214" i="6"/>
  <c r="G10" i="6"/>
  <c r="H89" i="10" l="1"/>
  <c r="H186" i="10"/>
  <c r="G30" i="10"/>
  <c r="H13" i="10"/>
  <c r="H17" i="10"/>
  <c r="H21" i="10"/>
  <c r="H25" i="10"/>
  <c r="H29" i="10"/>
  <c r="H33" i="10"/>
  <c r="H38" i="10"/>
  <c r="H42" i="10"/>
  <c r="H46" i="10"/>
  <c r="H105" i="10"/>
  <c r="H95" i="10"/>
  <c r="H164" i="10"/>
  <c r="H168" i="10"/>
  <c r="H173" i="10"/>
  <c r="H177" i="10"/>
  <c r="H189" i="10"/>
  <c r="H193" i="10"/>
  <c r="H10" i="10"/>
  <c r="H14" i="10"/>
  <c r="H18" i="10"/>
  <c r="H22" i="10"/>
  <c r="H26" i="10"/>
  <c r="H30" i="10"/>
  <c r="H35" i="10"/>
  <c r="H39" i="10"/>
  <c r="H43" i="10"/>
  <c r="H47" i="10"/>
  <c r="H53" i="10"/>
  <c r="H57" i="10"/>
  <c r="H61" i="10"/>
  <c r="H65" i="10"/>
  <c r="H69" i="10"/>
  <c r="H73" i="10"/>
  <c r="H77" i="10"/>
  <c r="H87" i="10"/>
  <c r="H91" i="10"/>
  <c r="H102" i="10"/>
  <c r="H106" i="10"/>
  <c r="H110" i="10"/>
  <c r="H115" i="10"/>
  <c r="H122" i="10"/>
  <c r="H128" i="10"/>
  <c r="H136" i="10"/>
  <c r="H140" i="10"/>
  <c r="H144" i="10"/>
  <c r="H148" i="10"/>
  <c r="H152" i="10"/>
  <c r="H156" i="10"/>
  <c r="H161" i="10"/>
  <c r="H165" i="10"/>
  <c r="H170" i="10"/>
  <c r="H174" i="10"/>
  <c r="H178" i="10"/>
  <c r="H190" i="10"/>
  <c r="H194" i="10"/>
  <c r="H198" i="10"/>
  <c r="H202" i="10"/>
  <c r="H206" i="10"/>
  <c r="H60" i="10"/>
  <c r="H72" i="10"/>
  <c r="H86" i="10"/>
  <c r="H113" i="10"/>
  <c r="H135" i="10"/>
  <c r="H147" i="10"/>
  <c r="H160" i="10"/>
  <c r="H185" i="10"/>
  <c r="H197" i="10"/>
  <c r="H56" i="10"/>
  <c r="H68" i="10"/>
  <c r="H81" i="10"/>
  <c r="H109" i="10"/>
  <c r="H127" i="10"/>
  <c r="H143" i="10"/>
  <c r="H155" i="10"/>
  <c r="H201" i="10"/>
  <c r="G163" i="10"/>
  <c r="H12" i="10"/>
  <c r="H16" i="10"/>
  <c r="H20" i="10"/>
  <c r="H24" i="10"/>
  <c r="H28" i="10"/>
  <c r="H32" i="10"/>
  <c r="H37" i="10"/>
  <c r="H41" i="10"/>
  <c r="H45" i="10"/>
  <c r="H50" i="10"/>
  <c r="H55" i="10"/>
  <c r="H59" i="10"/>
  <c r="H63" i="10"/>
  <c r="H67" i="10"/>
  <c r="H71" i="10"/>
  <c r="H75" i="10"/>
  <c r="H85" i="10"/>
  <c r="H94" i="10"/>
  <c r="H98" i="10"/>
  <c r="H104" i="10"/>
  <c r="H112" i="10"/>
  <c r="H120" i="10"/>
  <c r="H125" i="10"/>
  <c r="H130" i="10"/>
  <c r="H138" i="10"/>
  <c r="H142" i="10"/>
  <c r="H146" i="10"/>
  <c r="H150" i="10"/>
  <c r="H154" i="10"/>
  <c r="H158" i="10"/>
  <c r="H163" i="10"/>
  <c r="H167" i="10"/>
  <c r="H172" i="10"/>
  <c r="H176" i="10"/>
  <c r="H180" i="10"/>
  <c r="H184" i="10"/>
  <c r="H188" i="10"/>
  <c r="H192" i="10"/>
  <c r="H196" i="10"/>
  <c r="H200" i="10"/>
  <c r="H204" i="10"/>
  <c r="H208" i="10"/>
  <c r="G172" i="10"/>
  <c r="H52" i="10"/>
  <c r="H64" i="10"/>
  <c r="H76" i="10"/>
  <c r="H121" i="10"/>
  <c r="H139" i="10"/>
  <c r="H205" i="10"/>
  <c r="H11" i="10"/>
  <c r="H15" i="10"/>
  <c r="H19" i="10"/>
  <c r="H23" i="10"/>
  <c r="H27" i="10"/>
  <c r="H31" i="10"/>
  <c r="H36" i="10"/>
  <c r="H40" i="10"/>
  <c r="H44" i="10"/>
  <c r="H48" i="10"/>
  <c r="H54" i="10"/>
  <c r="H58" i="10"/>
  <c r="H62" i="10"/>
  <c r="H66" i="10"/>
  <c r="H70" i="10"/>
  <c r="H74" i="10"/>
  <c r="H79" i="10"/>
  <c r="H93" i="10"/>
  <c r="H97" i="10"/>
  <c r="H107" i="10"/>
  <c r="H111" i="10"/>
  <c r="H117" i="10"/>
  <c r="H123" i="10"/>
  <c r="H129" i="10"/>
  <c r="H137" i="10"/>
  <c r="H141" i="10"/>
  <c r="H149" i="10"/>
  <c r="H157" i="10"/>
  <c r="H166" i="10"/>
  <c r="H171" i="10"/>
  <c r="H175" i="10"/>
  <c r="H179" i="10"/>
  <c r="H183" i="10"/>
  <c r="H191" i="10"/>
  <c r="H199" i="10"/>
  <c r="H207" i="10"/>
  <c r="G183" i="10"/>
  <c r="N29" i="6"/>
  <c r="M29" i="6"/>
  <c r="L9" i="6"/>
  <c r="K9" i="6"/>
  <c r="J9" i="6"/>
  <c r="I9" i="6"/>
  <c r="H9" i="6"/>
  <c r="G9" i="6"/>
  <c r="G29" i="10"/>
  <c r="G36" i="10"/>
  <c r="G22" i="10"/>
  <c r="G127" i="10"/>
  <c r="G18" i="10"/>
  <c r="G19" i="10"/>
  <c r="G20" i="10"/>
  <c r="G21" i="10"/>
  <c r="G23" i="10"/>
  <c r="G24" i="10"/>
  <c r="G25" i="10"/>
  <c r="G26" i="10"/>
  <c r="G27" i="10"/>
  <c r="G37" i="10"/>
  <c r="G38" i="10"/>
  <c r="G39" i="10"/>
  <c r="G40" i="10"/>
  <c r="G41" i="10"/>
  <c r="G42" i="10"/>
  <c r="G43" i="10"/>
  <c r="G44" i="10"/>
  <c r="G45" i="10"/>
  <c r="G46" i="10"/>
  <c r="G47" i="10"/>
  <c r="G9" i="4"/>
  <c r="G50" i="10"/>
  <c r="G52" i="10"/>
  <c r="G53" i="10"/>
  <c r="G54" i="10"/>
  <c r="G55" i="10"/>
  <c r="G56" i="10"/>
  <c r="G57" i="10"/>
  <c r="G60" i="10"/>
  <c r="G62" i="10"/>
  <c r="G63" i="10"/>
  <c r="G65" i="10"/>
  <c r="G66" i="10"/>
  <c r="G68" i="10"/>
  <c r="G69" i="10"/>
  <c r="G70" i="10"/>
  <c r="G73" i="10"/>
  <c r="G74" i="10"/>
  <c r="G76" i="10"/>
  <c r="G77" i="10"/>
  <c r="G79" i="10"/>
  <c r="G87" i="10"/>
  <c r="G89" i="10"/>
  <c r="G91" i="10"/>
  <c r="G93" i="10"/>
  <c r="G97" i="10"/>
  <c r="G102" i="10"/>
  <c r="G105" i="10"/>
  <c r="G109" i="10"/>
  <c r="G110" i="10"/>
  <c r="G111" i="10"/>
  <c r="G112" i="10"/>
  <c r="G113" i="10"/>
  <c r="G115" i="10"/>
  <c r="G117" i="10"/>
  <c r="G121" i="10"/>
  <c r="G122" i="10"/>
  <c r="G123" i="10"/>
  <c r="G125" i="10"/>
  <c r="G129" i="10"/>
  <c r="G135" i="10"/>
  <c r="G136" i="10"/>
  <c r="G137" i="10"/>
  <c r="G144" i="10"/>
  <c r="G146" i="10"/>
  <c r="G147" i="10"/>
  <c r="G148" i="10"/>
  <c r="G149" i="10"/>
  <c r="G154" i="10"/>
  <c r="G155" i="10"/>
  <c r="G156" i="10"/>
  <c r="G157" i="10"/>
  <c r="G158" i="10"/>
  <c r="G160" i="10"/>
  <c r="G161" i="10"/>
  <c r="G164" i="10"/>
  <c r="G165" i="10"/>
  <c r="G166" i="10"/>
  <c r="G167" i="10"/>
  <c r="G170" i="10"/>
  <c r="G171" i="10"/>
  <c r="G173" i="10"/>
  <c r="G174" i="10"/>
  <c r="G175" i="10"/>
  <c r="G176" i="10"/>
  <c r="G177" i="10"/>
  <c r="G178" i="10"/>
  <c r="G180" i="10"/>
  <c r="G184" i="10"/>
  <c r="G188" i="10"/>
  <c r="G189" i="10"/>
  <c r="G190" i="10"/>
  <c r="G191" i="10"/>
  <c r="G192" i="10"/>
  <c r="G194" i="10"/>
  <c r="G196" i="10"/>
  <c r="G197" i="10"/>
  <c r="G198" i="10"/>
  <c r="G199" i="10"/>
  <c r="G201" i="10"/>
  <c r="G204" i="10"/>
  <c r="G205" i="10"/>
  <c r="G208" i="10"/>
  <c r="G339" i="2"/>
  <c r="F248" i="3"/>
  <c r="F9" i="3"/>
  <c r="F8" i="3"/>
  <c r="F7" i="3"/>
  <c r="F7" i="4"/>
  <c r="F6" i="4"/>
  <c r="G338" i="2"/>
  <c r="G78" i="4" l="1"/>
  <c r="G78" i="3" s="1"/>
  <c r="G84" i="4"/>
  <c r="G84" i="3" s="1"/>
  <c r="G113" i="4"/>
  <c r="G113" i="3" s="1"/>
  <c r="G158" i="4"/>
  <c r="G158" i="3" s="1"/>
  <c r="G174" i="4"/>
  <c r="G174" i="3" s="1"/>
  <c r="G176" i="4"/>
  <c r="G176" i="3" s="1"/>
  <c r="G186" i="4"/>
  <c r="G186" i="3" s="1"/>
  <c r="G187" i="4"/>
  <c r="G187" i="3" s="1"/>
  <c r="G188" i="4"/>
  <c r="G188" i="3" s="1"/>
  <c r="G192" i="4"/>
  <c r="G192" i="3" s="1"/>
  <c r="G194" i="4"/>
  <c r="G194" i="3" s="1"/>
  <c r="G196" i="4"/>
  <c r="G196" i="3" s="1"/>
  <c r="G199" i="4"/>
  <c r="G199" i="3" s="1"/>
  <c r="G207" i="4"/>
  <c r="G207" i="3" s="1"/>
  <c r="G209" i="4"/>
  <c r="G209" i="3" s="1"/>
  <c r="G224" i="4"/>
  <c r="G224" i="3" s="1"/>
  <c r="G264" i="4"/>
  <c r="G264" i="3" s="1"/>
  <c r="G285" i="4"/>
  <c r="G285" i="3" s="1"/>
  <c r="G294" i="4"/>
  <c r="G294" i="3" s="1"/>
  <c r="G309" i="4"/>
  <c r="G309" i="3" s="1"/>
  <c r="G310" i="4"/>
  <c r="G310" i="3" s="1"/>
  <c r="G324" i="4"/>
  <c r="G324" i="3" s="1"/>
  <c r="G140" i="10"/>
  <c r="H104" i="6"/>
  <c r="H84" i="10"/>
  <c r="I67" i="6"/>
  <c r="G48" i="10" l="1"/>
  <c r="G200" i="10"/>
  <c r="G61" i="10"/>
  <c r="G59" i="10"/>
  <c r="G138" i="10"/>
  <c r="K104" i="6"/>
  <c r="K31" i="6"/>
  <c r="K94" i="6"/>
  <c r="J94" i="6"/>
  <c r="J104" i="6"/>
  <c r="J207" i="6"/>
  <c r="J196" i="6"/>
  <c r="I98" i="6"/>
  <c r="I104" i="6"/>
  <c r="I94" i="6"/>
  <c r="I108" i="6"/>
  <c r="I153" i="6"/>
  <c r="H196" i="6"/>
  <c r="H94" i="6"/>
  <c r="L94" i="6"/>
  <c r="L67" i="6"/>
  <c r="L104" i="6"/>
  <c r="K81" i="6"/>
  <c r="K206" i="6"/>
  <c r="H206" i="6"/>
  <c r="H81" i="6"/>
  <c r="J189" i="6"/>
  <c r="J81" i="6"/>
  <c r="J206" i="6"/>
  <c r="L196" i="6"/>
  <c r="L81" i="6"/>
  <c r="I206" i="6"/>
  <c r="I85" i="6"/>
  <c r="I17" i="6"/>
  <c r="I81" i="6"/>
  <c r="H133" i="6"/>
  <c r="H142" i="6"/>
  <c r="G142" i="10"/>
  <c r="J64" i="6"/>
  <c r="J136" i="6"/>
  <c r="J107" i="6"/>
  <c r="J123" i="6"/>
  <c r="J106" i="6"/>
  <c r="H107" i="6"/>
  <c r="H95" i="6"/>
  <c r="H136" i="6"/>
  <c r="I136" i="6"/>
  <c r="I146" i="6"/>
  <c r="I107" i="6"/>
  <c r="I95" i="6"/>
  <c r="I106" i="6"/>
  <c r="L136" i="6"/>
  <c r="L107" i="6"/>
  <c r="L98" i="6"/>
  <c r="K106" i="6"/>
  <c r="K155" i="6"/>
  <c r="K136" i="6"/>
  <c r="K107" i="6"/>
  <c r="K123" i="6"/>
  <c r="K207" i="6"/>
  <c r="H188" i="6"/>
  <c r="H17" i="6"/>
  <c r="H189" i="6"/>
  <c r="L31" i="6"/>
  <c r="L58" i="6"/>
  <c r="L123" i="6"/>
  <c r="L108" i="6"/>
  <c r="L188" i="6"/>
  <c r="H98" i="6"/>
  <c r="H82" i="6"/>
  <c r="H184" i="6"/>
  <c r="H58" i="6"/>
  <c r="H31" i="6"/>
  <c r="H85" i="6"/>
  <c r="H28" i="6"/>
  <c r="I196" i="6"/>
  <c r="I33" i="6"/>
  <c r="I28" i="6"/>
  <c r="L28" i="6"/>
  <c r="L17" i="6"/>
  <c r="J28" i="6"/>
  <c r="J17" i="6"/>
  <c r="J98" i="6"/>
  <c r="J184" i="6"/>
  <c r="J31" i="6"/>
  <c r="J33" i="6"/>
  <c r="K85" i="6"/>
  <c r="K28" i="6"/>
  <c r="K17" i="6"/>
  <c r="K98" i="6"/>
  <c r="H155" i="6"/>
  <c r="G88" i="6"/>
  <c r="G144" i="6"/>
  <c r="G207" i="6"/>
  <c r="I82" i="6"/>
  <c r="I88" i="6"/>
  <c r="K88" i="6"/>
  <c r="K146" i="6"/>
  <c r="J146" i="6"/>
  <c r="H212" i="6"/>
  <c r="H146" i="6"/>
  <c r="K67" i="6"/>
  <c r="K210" i="6"/>
  <c r="K213" i="6"/>
  <c r="I84" i="6"/>
  <c r="I184" i="6"/>
  <c r="I58" i="6"/>
  <c r="I122" i="6"/>
  <c r="I190" i="6"/>
  <c r="I90" i="6"/>
  <c r="H8" i="10"/>
  <c r="K101" i="6"/>
  <c r="K122" i="6"/>
  <c r="H207" i="6"/>
  <c r="H190" i="6"/>
  <c r="J101" i="6"/>
  <c r="J122" i="6"/>
  <c r="J108" i="6"/>
  <c r="J58" i="6"/>
  <c r="J190" i="6"/>
  <c r="L207" i="6"/>
  <c r="L34" i="6"/>
  <c r="L190" i="6"/>
  <c r="I8" i="10"/>
  <c r="G58" i="6"/>
  <c r="G8" i="10"/>
  <c r="H67" i="6"/>
  <c r="H84" i="6"/>
  <c r="H103" i="6"/>
  <c r="H210" i="6"/>
  <c r="J67" i="6"/>
  <c r="J210" i="6"/>
  <c r="J82" i="6"/>
  <c r="J84" i="6"/>
  <c r="H213" i="6"/>
  <c r="L212" i="6"/>
  <c r="K190" i="6"/>
  <c r="K184" i="6"/>
  <c r="K196" i="6"/>
  <c r="I212" i="6"/>
  <c r="I185" i="6"/>
  <c r="I148" i="6"/>
  <c r="I34" i="6"/>
  <c r="I96" i="6"/>
  <c r="I103" i="6"/>
  <c r="J34" i="6"/>
  <c r="J185" i="6"/>
  <c r="J155" i="6"/>
  <c r="J96" i="6"/>
  <c r="J103" i="6"/>
  <c r="J148" i="6"/>
  <c r="J86" i="6"/>
  <c r="K82" i="6"/>
  <c r="K96" i="6"/>
  <c r="K103" i="6"/>
  <c r="K148" i="6"/>
  <c r="K156" i="6"/>
  <c r="K34" i="6"/>
  <c r="K86" i="6"/>
  <c r="K84" i="6"/>
  <c r="L148" i="6"/>
  <c r="L86" i="6"/>
  <c r="L103" i="6"/>
  <c r="H154" i="6"/>
  <c r="H185" i="6"/>
  <c r="H148" i="6"/>
  <c r="H49" i="6"/>
  <c r="G34" i="6"/>
  <c r="G103" i="6"/>
  <c r="G196" i="6"/>
  <c r="G82" i="6"/>
  <c r="J121" i="6"/>
  <c r="J51" i="6"/>
  <c r="J131" i="6"/>
  <c r="I31" i="6"/>
  <c r="I51" i="6"/>
  <c r="I127" i="6"/>
  <c r="I199" i="6"/>
  <c r="I101" i="6"/>
  <c r="I121" i="6"/>
  <c r="L101" i="6"/>
  <c r="L121" i="6"/>
  <c r="L144" i="6"/>
  <c r="L96" i="6"/>
  <c r="L51" i="6"/>
  <c r="L155" i="6"/>
  <c r="L184" i="6"/>
  <c r="L185" i="6"/>
  <c r="L49" i="6"/>
  <c r="L78" i="6"/>
  <c r="L84" i="6"/>
  <c r="L88" i="6"/>
  <c r="L106" i="6"/>
  <c r="L122" i="6"/>
  <c r="L162" i="6"/>
  <c r="K212" i="6"/>
  <c r="K58" i="6"/>
  <c r="K185" i="6"/>
  <c r="K114" i="6"/>
  <c r="K90" i="6"/>
  <c r="K121" i="6"/>
  <c r="K51" i="6"/>
  <c r="H96" i="6"/>
  <c r="H108" i="6"/>
  <c r="H51" i="6"/>
  <c r="H121" i="6"/>
  <c r="H106" i="6"/>
  <c r="H122" i="6"/>
  <c r="H199" i="6"/>
  <c r="H101" i="6"/>
  <c r="H78" i="6"/>
  <c r="H90" i="6"/>
  <c r="H127" i="6"/>
  <c r="J213" i="6"/>
  <c r="G106" i="6"/>
  <c r="G184" i="6"/>
  <c r="G101" i="6"/>
  <c r="G51" i="6"/>
  <c r="G67" i="6"/>
  <c r="G190" i="6"/>
  <c r="G185" i="6"/>
  <c r="G86" i="6"/>
  <c r="G49" i="6"/>
  <c r="G100" i="6"/>
  <c r="G146" i="6"/>
  <c r="G84" i="6"/>
  <c r="G31" i="6"/>
  <c r="G127" i="6"/>
  <c r="G122" i="6"/>
  <c r="G114" i="6"/>
  <c r="G213" i="6"/>
  <c r="G212" i="6"/>
  <c r="L99" i="6"/>
  <c r="L154" i="6"/>
  <c r="L199" i="6"/>
  <c r="L116" i="6"/>
  <c r="L83" i="6"/>
  <c r="L100" i="6"/>
  <c r="L182" i="6"/>
  <c r="L80" i="6"/>
  <c r="L92" i="6"/>
  <c r="L156" i="6"/>
  <c r="L129" i="6"/>
  <c r="L90" i="6"/>
  <c r="L127" i="6"/>
  <c r="L165" i="6"/>
  <c r="L114" i="6"/>
  <c r="I78" i="6"/>
  <c r="I83" i="6"/>
  <c r="I92" i="6"/>
  <c r="I99" i="6"/>
  <c r="I100" i="6"/>
  <c r="I116" i="6"/>
  <c r="I156" i="6"/>
  <c r="I182" i="6"/>
  <c r="I80" i="6"/>
  <c r="I155" i="6"/>
  <c r="I154" i="6"/>
  <c r="I165" i="6"/>
  <c r="I129" i="6"/>
  <c r="I49" i="6"/>
  <c r="I162" i="6"/>
  <c r="I114" i="6"/>
  <c r="L213" i="6"/>
  <c r="G121" i="6"/>
  <c r="G129" i="6"/>
  <c r="G165" i="6"/>
  <c r="G80" i="6"/>
  <c r="G92" i="6"/>
  <c r="G116" i="6"/>
  <c r="G148" i="6"/>
  <c r="G156" i="6"/>
  <c r="G99" i="6"/>
  <c r="G199" i="6"/>
  <c r="G78" i="6"/>
  <c r="G90" i="6"/>
  <c r="G154" i="6"/>
  <c r="G162" i="6"/>
  <c r="G83" i="6"/>
  <c r="G155" i="6"/>
  <c r="J99" i="6"/>
  <c r="J100" i="6"/>
  <c r="J116" i="6"/>
  <c r="J156" i="6"/>
  <c r="J162" i="6"/>
  <c r="J165" i="6"/>
  <c r="J80" i="6"/>
  <c r="J92" i="6"/>
  <c r="J114" i="6"/>
  <c r="J127" i="6"/>
  <c r="J90" i="6"/>
  <c r="J129" i="6"/>
  <c r="J49" i="6"/>
  <c r="J78" i="6"/>
  <c r="J83" i="6"/>
  <c r="J154" i="6"/>
  <c r="J199" i="6"/>
  <c r="H83" i="6"/>
  <c r="H100" i="6"/>
  <c r="H156" i="6"/>
  <c r="H116" i="6"/>
  <c r="H80" i="6"/>
  <c r="H92" i="6"/>
  <c r="H182" i="6"/>
  <c r="H165" i="6"/>
  <c r="H99" i="6"/>
  <c r="H129" i="6"/>
  <c r="H114" i="6"/>
  <c r="H162" i="6"/>
  <c r="K80" i="6"/>
  <c r="K92" i="6"/>
  <c r="K127" i="6"/>
  <c r="K49" i="6"/>
  <c r="K129" i="6"/>
  <c r="K154" i="6"/>
  <c r="K199" i="6"/>
  <c r="K78" i="6"/>
  <c r="K83" i="6"/>
  <c r="K99" i="6"/>
  <c r="K100" i="6"/>
  <c r="K116" i="6"/>
  <c r="K162" i="6"/>
  <c r="K165" i="6"/>
  <c r="I213" i="6"/>
  <c r="J212" i="6"/>
  <c r="G10" i="4" l="1"/>
  <c r="H96" i="10"/>
  <c r="H100" i="10"/>
  <c r="H82" i="10"/>
  <c r="H103" i="10"/>
  <c r="H108" i="10"/>
  <c r="H90" i="10"/>
  <c r="H182" i="10"/>
  <c r="G71" i="10"/>
  <c r="G75" i="10"/>
  <c r="G179" i="10"/>
  <c r="G72" i="10"/>
  <c r="G32" i="10"/>
  <c r="K216" i="6"/>
  <c r="H215" i="6"/>
  <c r="J216" i="6"/>
  <c r="I215" i="6"/>
  <c r="L216" i="6"/>
  <c r="J215" i="6"/>
  <c r="I216" i="6"/>
  <c r="G216" i="6"/>
  <c r="G215" i="6"/>
  <c r="L215" i="6"/>
  <c r="K215" i="6"/>
  <c r="H216" i="6"/>
  <c r="I339" i="4" l="1"/>
  <c r="G35" i="10"/>
  <c r="G168" i="10"/>
  <c r="G104" i="10"/>
  <c r="G14" i="10"/>
  <c r="G12" i="10"/>
  <c r="G13" i="10"/>
  <c r="G11" i="3"/>
  <c r="G11" i="10"/>
  <c r="G10" i="10"/>
  <c r="G10" i="3"/>
  <c r="G16" i="10"/>
  <c r="G15" i="10"/>
  <c r="G202" i="10"/>
  <c r="G139" i="10"/>
  <c r="G130" i="10"/>
  <c r="G81" i="10"/>
  <c r="H338" i="4"/>
  <c r="H339" i="4"/>
  <c r="I338" i="4"/>
  <c r="G95" i="10"/>
  <c r="G64" i="10"/>
  <c r="G120" i="10"/>
  <c r="G107" i="10"/>
  <c r="G133" i="10"/>
  <c r="G98" i="10"/>
  <c r="G186" i="10"/>
  <c r="G185" i="10"/>
  <c r="G33" i="10"/>
  <c r="G85" i="10"/>
  <c r="G17" i="10"/>
  <c r="G28" i="10"/>
  <c r="G150" i="10"/>
  <c r="G94" i="10"/>
  <c r="G88" i="10"/>
  <c r="G86" i="10"/>
  <c r="G152" i="10"/>
  <c r="G206" i="10"/>
  <c r="G207" i="10"/>
  <c r="G96" i="10"/>
  <c r="H153" i="10"/>
  <c r="H151" i="10"/>
  <c r="H145" i="10"/>
  <c r="H126" i="10"/>
  <c r="G141" i="10"/>
  <c r="G162" i="10"/>
  <c r="G108" i="10"/>
  <c r="G31" i="10"/>
  <c r="G119" i="10"/>
  <c r="H114" i="10"/>
  <c r="H101" i="10"/>
  <c r="H78" i="10"/>
  <c r="H162" i="10"/>
  <c r="H51" i="10"/>
  <c r="H124" i="10"/>
  <c r="H116" i="10"/>
  <c r="G203" i="10"/>
  <c r="H80" i="10"/>
  <c r="H49" i="10"/>
  <c r="H118" i="10"/>
  <c r="H119" i="10"/>
  <c r="H34" i="10"/>
  <c r="H88" i="10"/>
  <c r="H187" i="10"/>
  <c r="H203" i="10"/>
  <c r="H99" i="10"/>
  <c r="H92" i="10"/>
  <c r="H159" i="10"/>
  <c r="H83" i="10"/>
  <c r="G128" i="10"/>
  <c r="H195" i="10"/>
  <c r="H181" i="10"/>
  <c r="G182" i="10"/>
  <c r="G106" i="10"/>
  <c r="G49" i="10"/>
  <c r="G126" i="10"/>
  <c r="G99" i="10"/>
  <c r="G80" i="10"/>
  <c r="G100" i="10"/>
  <c r="G151" i="10"/>
  <c r="G143" i="10"/>
  <c r="G51" i="10"/>
  <c r="G124" i="10"/>
  <c r="G114" i="10"/>
  <c r="G116" i="10"/>
  <c r="G34" i="10"/>
  <c r="G153" i="10"/>
  <c r="G187" i="10"/>
  <c r="G101" i="10"/>
  <c r="G92" i="10"/>
  <c r="G195" i="10"/>
  <c r="G90" i="10"/>
  <c r="G82" i="10"/>
  <c r="G145" i="10"/>
  <c r="G193" i="10"/>
  <c r="G67" i="10"/>
  <c r="G84" i="10"/>
  <c r="G181" i="10"/>
  <c r="G118" i="10"/>
  <c r="G159" i="10"/>
  <c r="G78" i="10"/>
  <c r="G103" i="10"/>
  <c r="G83" i="10"/>
  <c r="G58" i="10"/>
  <c r="G339" i="4"/>
  <c r="G338" i="4"/>
  <c r="I338" i="3" l="1"/>
  <c r="I340" i="4" s="1"/>
  <c r="I341" i="4" s="1"/>
  <c r="I339" i="3"/>
  <c r="H209" i="10"/>
  <c r="H210" i="10"/>
  <c r="H211" i="10"/>
  <c r="H339" i="3"/>
  <c r="H338" i="3"/>
  <c r="H340" i="4" s="1"/>
  <c r="H341" i="4" s="1"/>
  <c r="G209" i="10"/>
  <c r="G338" i="3"/>
  <c r="G217" i="6" s="1"/>
  <c r="G218" i="6" s="1"/>
  <c r="G210" i="10"/>
  <c r="G211" i="10"/>
  <c r="G339" i="3"/>
  <c r="H213" i="10" l="1"/>
  <c r="H212" i="10"/>
  <c r="G340" i="4"/>
  <c r="L217" i="6"/>
  <c r="L218" i="6" s="1"/>
  <c r="J217" i="6"/>
  <c r="J218" i="6" s="1"/>
  <c r="H217" i="6"/>
  <c r="H218" i="6" s="1"/>
  <c r="I217" i="6"/>
  <c r="I218" i="6" s="1"/>
  <c r="K217" i="6"/>
  <c r="K218" i="6" s="1"/>
  <c r="H215" i="10" l="1"/>
  <c r="H214" i="10"/>
  <c r="G212" i="10"/>
  <c r="G213" i="10"/>
  <c r="G341" i="4"/>
  <c r="G214" i="10" l="1"/>
  <c r="G215" i="10"/>
</calcChain>
</file>

<file path=xl/sharedStrings.xml><?xml version="1.0" encoding="utf-8"?>
<sst xmlns="http://schemas.openxmlformats.org/spreadsheetml/2006/main" count="3345" uniqueCount="472">
  <si>
    <t>Date:</t>
  </si>
  <si>
    <t>Time:</t>
  </si>
  <si>
    <t>Gear used:</t>
  </si>
  <si>
    <t>Net diameter:</t>
  </si>
  <si>
    <t>Zooplankton Data Sheet : Raw Count Data</t>
  </si>
  <si>
    <t>Liriope</t>
  </si>
  <si>
    <t>Bassia</t>
  </si>
  <si>
    <t>Phylum:</t>
  </si>
  <si>
    <t>Cnidaria</t>
  </si>
  <si>
    <t>Arthropoda</t>
  </si>
  <si>
    <t>Order:</t>
  </si>
  <si>
    <t>Calanoida</t>
  </si>
  <si>
    <t>Family:</t>
  </si>
  <si>
    <t>Acartiidae</t>
  </si>
  <si>
    <t>Genus:</t>
  </si>
  <si>
    <t>Acartia</t>
  </si>
  <si>
    <t>Calanidae</t>
  </si>
  <si>
    <t>Calanus</t>
  </si>
  <si>
    <t>Canthocalanus</t>
  </si>
  <si>
    <t>Undinula</t>
  </si>
  <si>
    <t>Candacia</t>
  </si>
  <si>
    <t>Centropages</t>
  </si>
  <si>
    <t>Clausocalanus</t>
  </si>
  <si>
    <t>Candaciidae</t>
  </si>
  <si>
    <t>Centropagidae</t>
  </si>
  <si>
    <t>Clausocalanidae</t>
  </si>
  <si>
    <t>Eucalanidae</t>
  </si>
  <si>
    <t>Subeucalanus</t>
  </si>
  <si>
    <t>Paracalanidae</t>
  </si>
  <si>
    <t>Acrocalanus</t>
  </si>
  <si>
    <t>Paracalanus</t>
  </si>
  <si>
    <t>Pontellidae</t>
  </si>
  <si>
    <t>Labidocera</t>
  </si>
  <si>
    <t>Temoridae</t>
  </si>
  <si>
    <t>Temora</t>
  </si>
  <si>
    <t>Cyclopoida</t>
  </si>
  <si>
    <t>Corycaeidae</t>
  </si>
  <si>
    <t>Corycaeus</t>
  </si>
  <si>
    <t>Oithonidae</t>
  </si>
  <si>
    <t>Oithona</t>
  </si>
  <si>
    <t>Poecilostomatoida</t>
  </si>
  <si>
    <t>Oncaeidae</t>
  </si>
  <si>
    <t>Oncaea</t>
  </si>
  <si>
    <t>Harpacticoida</t>
  </si>
  <si>
    <t>Ectinosomatidae</t>
  </si>
  <si>
    <t>Microsetella</t>
  </si>
  <si>
    <t>Euterpinidae</t>
  </si>
  <si>
    <t>Euterpina</t>
  </si>
  <si>
    <t>Chaetognatha</t>
  </si>
  <si>
    <t>Aphragmophora</t>
  </si>
  <si>
    <t>Sagittidae</t>
  </si>
  <si>
    <t>Aidanosagitta</t>
  </si>
  <si>
    <t>Flaccisagitta</t>
  </si>
  <si>
    <t>Serratosagitta</t>
  </si>
  <si>
    <t>Chordata</t>
  </si>
  <si>
    <t>Fritillaridae</t>
  </si>
  <si>
    <t>Fritillarinae</t>
  </si>
  <si>
    <t>Fritillaria</t>
  </si>
  <si>
    <t>Oikopleuridae</t>
  </si>
  <si>
    <t>Oikopleurinae</t>
  </si>
  <si>
    <t>Oikopleura</t>
  </si>
  <si>
    <t>Doliolida</t>
  </si>
  <si>
    <t>Doliolidae</t>
  </si>
  <si>
    <t>Doliolum</t>
  </si>
  <si>
    <t>Salpida</t>
  </si>
  <si>
    <t>Salpidae</t>
  </si>
  <si>
    <t>Thalia</t>
  </si>
  <si>
    <t>Diplostraca</t>
  </si>
  <si>
    <t>Podonidae</t>
  </si>
  <si>
    <t>Evadne</t>
  </si>
  <si>
    <t>Podon</t>
  </si>
  <si>
    <t>Sididae</t>
  </si>
  <si>
    <t>Penilia</t>
  </si>
  <si>
    <t>Ctenophora</t>
  </si>
  <si>
    <t>Pleurobrachia</t>
  </si>
  <si>
    <t>Beroe</t>
  </si>
  <si>
    <t>Annelida</t>
  </si>
  <si>
    <t>Tomopteris</t>
  </si>
  <si>
    <t>Polychaete larvae</t>
  </si>
  <si>
    <t>Class:</t>
  </si>
  <si>
    <t>Branchiopoda</t>
  </si>
  <si>
    <t>Ostracoda</t>
  </si>
  <si>
    <t>Total Number of Taxa:</t>
  </si>
  <si>
    <t>Total individuals:</t>
  </si>
  <si>
    <t>Copepoda</t>
  </si>
  <si>
    <t>Hydrozoa</t>
  </si>
  <si>
    <t>Tentaculata</t>
  </si>
  <si>
    <t>Nuda</t>
  </si>
  <si>
    <t>Polychaeta</t>
  </si>
  <si>
    <t>Pyrocypris</t>
  </si>
  <si>
    <t>Myodocopida</t>
  </si>
  <si>
    <t>Cypridinidae</t>
  </si>
  <si>
    <t>Cirripedia</t>
  </si>
  <si>
    <t>Cirripede nauplii</t>
  </si>
  <si>
    <t>Malacostraca</t>
  </si>
  <si>
    <t>Mysidacea</t>
  </si>
  <si>
    <t>Mysids</t>
  </si>
  <si>
    <t>Amphipoda</t>
  </si>
  <si>
    <t>Amphipods</t>
  </si>
  <si>
    <t>Decapoda</t>
  </si>
  <si>
    <t>Other ostracods</t>
  </si>
  <si>
    <t>Other annelids</t>
  </si>
  <si>
    <t>Other ctenophores</t>
  </si>
  <si>
    <t>Other branchiopods</t>
  </si>
  <si>
    <t>Other calanoids</t>
  </si>
  <si>
    <t>Other cyclopoids</t>
  </si>
  <si>
    <t>Other poecilostomatoids</t>
  </si>
  <si>
    <t>Other harpacticoids</t>
  </si>
  <si>
    <t>Anomuran larvae</t>
  </si>
  <si>
    <t>Megalopa larvae</t>
  </si>
  <si>
    <t>Zoea larvae</t>
  </si>
  <si>
    <t>Penaeid larvae</t>
  </si>
  <si>
    <t>Lucifer</t>
  </si>
  <si>
    <t>Caridean larvae</t>
  </si>
  <si>
    <t>Mollusca</t>
  </si>
  <si>
    <t>Gastropoda</t>
  </si>
  <si>
    <t>Bivalvia</t>
  </si>
  <si>
    <t>Cephalopoda</t>
  </si>
  <si>
    <t>Cephalopod larvae</t>
  </si>
  <si>
    <t>Bryozoa</t>
  </si>
  <si>
    <t>Cyphonautes larvae</t>
  </si>
  <si>
    <t>Phyllosoma larvae</t>
  </si>
  <si>
    <t>Phoronida</t>
  </si>
  <si>
    <t>Actinotrocha larvae</t>
  </si>
  <si>
    <t>Rotifera</t>
  </si>
  <si>
    <t>Rotifers</t>
  </si>
  <si>
    <t>Echinodermata</t>
  </si>
  <si>
    <t>Echinopluteus larvae</t>
  </si>
  <si>
    <t>Bipinnaria larvae</t>
  </si>
  <si>
    <t>Larvacea</t>
  </si>
  <si>
    <t>Thaliacea</t>
  </si>
  <si>
    <t>Pisces</t>
  </si>
  <si>
    <t>Fish larvae</t>
  </si>
  <si>
    <t>Fish eggs</t>
  </si>
  <si>
    <t>Taxa diversity Index (H'):</t>
  </si>
  <si>
    <t>Eveness Index (J'):</t>
  </si>
  <si>
    <t>Sum OLOG(O):</t>
  </si>
  <si>
    <t>Tow type:</t>
  </si>
  <si>
    <t>cm</t>
  </si>
  <si>
    <t>Net mesh:</t>
  </si>
  <si>
    <r>
      <rPr>
        <sz val="12"/>
        <color theme="1"/>
        <rFont val="Symbol"/>
        <family val="1"/>
        <charset val="2"/>
      </rPr>
      <t>m</t>
    </r>
    <r>
      <rPr>
        <sz val="12"/>
        <color theme="1"/>
        <rFont val="Calibri"/>
        <family val="2"/>
        <scheme val="minor"/>
      </rPr>
      <t>m</t>
    </r>
  </si>
  <si>
    <t>Tow distance(m):</t>
  </si>
  <si>
    <r>
      <t>m</t>
    </r>
    <r>
      <rPr>
        <vertAlign val="superscript"/>
        <sz val="12"/>
        <color theme="1"/>
        <rFont val="Calibri"/>
        <family val="2"/>
        <scheme val="minor"/>
      </rPr>
      <t>2</t>
    </r>
  </si>
  <si>
    <t>Split factor:</t>
  </si>
  <si>
    <t>Mouth surface area:</t>
  </si>
  <si>
    <t>Log(n) of Zooplankton data for Diversity calculations</t>
  </si>
  <si>
    <t>…………………………………………..</t>
  </si>
  <si>
    <t>ALCHEMY Laboratory &amp; Services Sdn. Bhd. (Company No: 903112 K)</t>
  </si>
  <si>
    <r>
      <t>326B, 1</t>
    </r>
    <r>
      <rPr>
        <vertAlign val="superscript"/>
        <sz val="9"/>
        <color theme="1"/>
        <rFont val="Arial"/>
        <family val="2"/>
      </rPr>
      <t>st</t>
    </r>
    <r>
      <rPr>
        <sz val="9"/>
        <color theme="1"/>
        <rFont val="Arial"/>
        <family val="2"/>
      </rPr>
      <t xml:space="preserve"> Floor, Lot 2520, Jalan Hiliran, Mukim Losong,</t>
    </r>
  </si>
  <si>
    <t xml:space="preserve"> 20300, Kuala Terengganu, Terengganu, Malaysia.</t>
  </si>
  <si>
    <t>Authorized by:</t>
  </si>
  <si>
    <t>Ciliophora</t>
  </si>
  <si>
    <t>Polyhymenophorea</t>
  </si>
  <si>
    <t>Oligotrichida</t>
  </si>
  <si>
    <t>Codonellidae</t>
  </si>
  <si>
    <t>Tintinnopsis</t>
  </si>
  <si>
    <t>Copepod nauplii</t>
  </si>
  <si>
    <t>Calanoid copepodite</t>
  </si>
  <si>
    <t>Cyclopoid copepodite</t>
  </si>
  <si>
    <t>Copepod egg sac</t>
  </si>
  <si>
    <t>Pseudodiaptomidae</t>
  </si>
  <si>
    <t>Pseudodiaptomus</t>
  </si>
  <si>
    <t>Unknown</t>
  </si>
  <si>
    <t>Gastropod spat</t>
  </si>
  <si>
    <t>Bivalve spat</t>
  </si>
  <si>
    <t>Overall density(units/l):</t>
  </si>
  <si>
    <t>Density in units per litre</t>
  </si>
  <si>
    <t>ALCHEMY Laboratory &amp; Services Sdn Bhd</t>
  </si>
  <si>
    <t>Tintinnid</t>
  </si>
  <si>
    <t>Nannocalanus</t>
  </si>
  <si>
    <t>Calanopia</t>
  </si>
  <si>
    <t>Cosmocalanus</t>
  </si>
  <si>
    <t>Siphonophore</t>
  </si>
  <si>
    <t>Parvocalanus</t>
  </si>
  <si>
    <t>Stomatopod larvae</t>
  </si>
  <si>
    <t>Stomatopod laevae</t>
  </si>
  <si>
    <t>Euchaetidae</t>
  </si>
  <si>
    <t>Euchaeta</t>
  </si>
  <si>
    <t>Sagittoidea</t>
  </si>
  <si>
    <t>Cnidarian</t>
  </si>
  <si>
    <t>Arietellidae</t>
  </si>
  <si>
    <t>Metacalanus</t>
  </si>
  <si>
    <t>Malacostracan larvae</t>
  </si>
  <si>
    <t>Triconia</t>
  </si>
  <si>
    <t>Lucifer protozoea</t>
  </si>
  <si>
    <t>Ophiuroid larvae</t>
  </si>
  <si>
    <t>Isopoda</t>
  </si>
  <si>
    <t>Isopod</t>
  </si>
  <si>
    <t>Radiozoa</t>
  </si>
  <si>
    <t>Acantharia</t>
  </si>
  <si>
    <t>Arthracanthida</t>
  </si>
  <si>
    <t>Acanthometridae</t>
  </si>
  <si>
    <t>Acanthometron</t>
  </si>
  <si>
    <t>Carcinus larvae</t>
  </si>
  <si>
    <t>Family: Clytemnestridae</t>
  </si>
  <si>
    <t>Genus: Clytemnestra</t>
  </si>
  <si>
    <t>Client Name:</t>
  </si>
  <si>
    <t>Client Address:</t>
  </si>
  <si>
    <t>Filtered volume:</t>
  </si>
  <si>
    <t>(see results table)</t>
  </si>
  <si>
    <t>Method of Analysis:</t>
  </si>
  <si>
    <t>Comments:</t>
  </si>
  <si>
    <t>Marine Biologist</t>
  </si>
  <si>
    <t>Foraminifera</t>
  </si>
  <si>
    <t>Globothalamea</t>
  </si>
  <si>
    <t>Rotaliida</t>
  </si>
  <si>
    <t>Discorbidae</t>
  </si>
  <si>
    <t>Discorbis</t>
  </si>
  <si>
    <t>based on APHA 10200 G</t>
  </si>
  <si>
    <t>`</t>
  </si>
  <si>
    <t>Sample Marking:</t>
  </si>
  <si>
    <t>Reference ID:</t>
  </si>
  <si>
    <t>Client:</t>
  </si>
  <si>
    <t>Institution:</t>
  </si>
  <si>
    <t>Description:</t>
  </si>
  <si>
    <t>Date Received</t>
  </si>
  <si>
    <t>Sample Marking</t>
  </si>
  <si>
    <t>Reference ID</t>
  </si>
  <si>
    <t>Report No.</t>
  </si>
  <si>
    <t>Hyprid</t>
  </si>
  <si>
    <t>Family: Longipedidae</t>
  </si>
  <si>
    <t>Genus: Longipedia</t>
  </si>
  <si>
    <t>Calocalanus</t>
  </si>
  <si>
    <t>Family: Pectinariidae</t>
  </si>
  <si>
    <t>Genus: Pectinaria</t>
  </si>
  <si>
    <t>Macruran larvae</t>
  </si>
  <si>
    <t>SOP No.: ALC_B_002</t>
  </si>
  <si>
    <t>Number of samples:</t>
  </si>
  <si>
    <t>SAMM NO. 554</t>
  </si>
  <si>
    <t>Date Received:</t>
  </si>
  <si>
    <t>Zooplankton Data Sheet : Analysed Zooplankton samples</t>
  </si>
  <si>
    <t>Type of Sample:</t>
  </si>
  <si>
    <t>Volume filtered (l):</t>
  </si>
  <si>
    <t xml:space="preserve"> Pectinariidae</t>
  </si>
  <si>
    <t xml:space="preserve"> Pectinaria</t>
  </si>
  <si>
    <t xml:space="preserve"> Clytemnestra</t>
  </si>
  <si>
    <t>Clytemnestridae</t>
  </si>
  <si>
    <t>Longipedia</t>
  </si>
  <si>
    <t>Longipedidae</t>
  </si>
  <si>
    <t>*</t>
  </si>
  <si>
    <t>Row Labels</t>
  </si>
  <si>
    <t>(blank)</t>
  </si>
  <si>
    <t>Grand Total</t>
  </si>
  <si>
    <t>Values</t>
  </si>
  <si>
    <t>Sum of BZ10344</t>
  </si>
  <si>
    <t>Sum of BZ10342</t>
  </si>
  <si>
    <t>Sum of BZ10343</t>
  </si>
  <si>
    <t>Sum of BZ10339</t>
  </si>
  <si>
    <t>Sum of BZ10340</t>
  </si>
  <si>
    <t>Sum of BZ10341</t>
  </si>
  <si>
    <t>Appendicularia</t>
  </si>
  <si>
    <t>Copelata</t>
  </si>
  <si>
    <t>Hexanauplia</t>
  </si>
  <si>
    <t>Hyperiid</t>
  </si>
  <si>
    <t>C1</t>
  </si>
  <si>
    <t>Total Volume filtered (l):</t>
  </si>
  <si>
    <t>Replicates:</t>
  </si>
  <si>
    <t>Mean density(units/l):</t>
  </si>
  <si>
    <t>SD:</t>
  </si>
  <si>
    <t>Mean Taxa Diversity (H'):</t>
  </si>
  <si>
    <t>Mean Eveness Index (J'):</t>
  </si>
  <si>
    <t>S2</t>
  </si>
  <si>
    <t>S5</t>
  </si>
  <si>
    <t>Report no:</t>
  </si>
  <si>
    <t>Pages:</t>
  </si>
  <si>
    <t>Zooplankton: Sample Information</t>
  </si>
  <si>
    <t>CERTIFICATE OF ANALYSIS</t>
  </si>
  <si>
    <t>Clytemnestra</t>
  </si>
  <si>
    <t>Pectinaria</t>
  </si>
  <si>
    <t>Family: Miraciidae</t>
  </si>
  <si>
    <r>
      <t xml:space="preserve">Genus: </t>
    </r>
    <r>
      <rPr>
        <i/>
        <sz val="10"/>
        <color theme="1"/>
        <rFont val="Calibri"/>
        <family val="2"/>
        <scheme val="minor"/>
      </rPr>
      <t>Clytemnestra</t>
    </r>
  </si>
  <si>
    <t>Macrosetella</t>
  </si>
  <si>
    <t>Halocyprida</t>
  </si>
  <si>
    <t>Halocyprididae</t>
  </si>
  <si>
    <t>Euconchoecia</t>
  </si>
  <si>
    <t>Trachymedusae</t>
  </si>
  <si>
    <t>Rhopalonematidae</t>
  </si>
  <si>
    <t>Aglaura</t>
  </si>
  <si>
    <t>Limnomedusae</t>
  </si>
  <si>
    <t>Geryoniidae</t>
  </si>
  <si>
    <t>Leptothecata</t>
  </si>
  <si>
    <t>Campanulariidae</t>
  </si>
  <si>
    <t>Obelia</t>
  </si>
  <si>
    <t>Siphonophorae</t>
  </si>
  <si>
    <t>Nemertea</t>
  </si>
  <si>
    <t>Pilidium larvae</t>
  </si>
  <si>
    <t>Sapphirina</t>
  </si>
  <si>
    <t>Sapphirinidae</t>
  </si>
  <si>
    <t>Salpa</t>
  </si>
  <si>
    <t>Lobata</t>
  </si>
  <si>
    <t>Bolinopsidae</t>
  </si>
  <si>
    <t>Date of Analysis</t>
  </si>
  <si>
    <t>Actinula larvae</t>
  </si>
  <si>
    <t>Globigerinidae</t>
  </si>
  <si>
    <t>Globigerina</t>
  </si>
  <si>
    <t>Tortanidae</t>
  </si>
  <si>
    <t>Tortanus</t>
  </si>
  <si>
    <t>Eucalanus</t>
  </si>
  <si>
    <t>Doliolaria larvae</t>
  </si>
  <si>
    <t>Family: Laophontidae</t>
  </si>
  <si>
    <t>Copilia</t>
  </si>
  <si>
    <t xml:space="preserve">Miracia </t>
  </si>
  <si>
    <t xml:space="preserve">Neocalanus </t>
  </si>
  <si>
    <t>Scyphozoa</t>
  </si>
  <si>
    <t>Ephyra larvae</t>
  </si>
  <si>
    <t>Pteropoda</t>
  </si>
  <si>
    <t xml:space="preserve"> Tel: +609- 622 4166, Fax: +609- 622 4177</t>
  </si>
  <si>
    <t>Gastropod larvae</t>
  </si>
  <si>
    <t xml:space="preserve">The details above are provided by the client. The reported results refer to sample(s) submitted by client only. </t>
  </si>
  <si>
    <t>Pontella</t>
  </si>
  <si>
    <t>Muhammad Firdaus bin Daud</t>
  </si>
  <si>
    <t>BSc. (Marine Science)</t>
  </si>
  <si>
    <t>Creseidae</t>
  </si>
  <si>
    <t>Creseis</t>
  </si>
  <si>
    <t>Vertical</t>
  </si>
  <si>
    <t>Bivalve  larvae</t>
  </si>
  <si>
    <t>Luciferidae</t>
  </si>
  <si>
    <t>Plankton net</t>
  </si>
  <si>
    <t>Oligotrichea</t>
  </si>
  <si>
    <t>Choreotrichida</t>
  </si>
  <si>
    <t>Beroida</t>
  </si>
  <si>
    <t>Beroidae</t>
  </si>
  <si>
    <t>Phyllodocida</t>
  </si>
  <si>
    <t>Tomopteridae</t>
  </si>
  <si>
    <t>Terebellida</t>
  </si>
  <si>
    <t>Onychopoda</t>
  </si>
  <si>
    <t>Ctenopoda</t>
  </si>
  <si>
    <t>Cypridina</t>
  </si>
  <si>
    <t>Tachidiidae</t>
  </si>
  <si>
    <t>Family:Peltidiidae</t>
  </si>
  <si>
    <t xml:space="preserve">Genus: </t>
  </si>
  <si>
    <t xml:space="preserve">Onychocamptus </t>
  </si>
  <si>
    <t>Hyperiidae</t>
  </si>
  <si>
    <t>Leptostraca</t>
  </si>
  <si>
    <t>Nebaliidae</t>
  </si>
  <si>
    <t>Nebalia</t>
  </si>
  <si>
    <t>Aglantha</t>
  </si>
  <si>
    <t>Anthozoa larvae</t>
  </si>
  <si>
    <t>Pseudocalanus</t>
  </si>
  <si>
    <t>Psedocalanus</t>
  </si>
  <si>
    <t>Marine Water</t>
  </si>
  <si>
    <t>Eurytemora</t>
  </si>
  <si>
    <t>Aetideidae</t>
  </si>
  <si>
    <t>Aetideus</t>
  </si>
  <si>
    <t>Pontellina</t>
  </si>
  <si>
    <t>Cavolinia</t>
  </si>
  <si>
    <t>Cavoliniinae</t>
  </si>
  <si>
    <t>Platyhelminthes</t>
  </si>
  <si>
    <t>Mesocalanus</t>
  </si>
  <si>
    <t>Globorotaliidae</t>
  </si>
  <si>
    <t>Globorotalia</t>
  </si>
  <si>
    <t>Bolivinitinae</t>
  </si>
  <si>
    <t>Bolivina</t>
  </si>
  <si>
    <t>Orbulininae</t>
  </si>
  <si>
    <t>Orbulina</t>
  </si>
  <si>
    <t>Baculogypsina</t>
  </si>
  <si>
    <t>Calcarinidae</t>
  </si>
  <si>
    <t>Tubothalamea</t>
  </si>
  <si>
    <t>Miliolida</t>
  </si>
  <si>
    <t>Spiroloculinidae</t>
  </si>
  <si>
    <t>Spiroloculina</t>
  </si>
  <si>
    <t>Nodosariata</t>
  </si>
  <si>
    <t>Vaginulinida</t>
  </si>
  <si>
    <t>Vaginulinidae</t>
  </si>
  <si>
    <t>Planularia</t>
  </si>
  <si>
    <t>Lenticulina</t>
  </si>
  <si>
    <t>Vaginulina</t>
  </si>
  <si>
    <t>Codonella</t>
  </si>
  <si>
    <t>Codonellopsis</t>
  </si>
  <si>
    <t>Codonellopsidae</t>
  </si>
  <si>
    <t>Stenosemella</t>
  </si>
  <si>
    <t>Distyocystidae</t>
  </si>
  <si>
    <t>Distyocysta</t>
  </si>
  <si>
    <t>Epiplocylididae</t>
  </si>
  <si>
    <t>Epiplocylis</t>
  </si>
  <si>
    <t>Eutintinnidae</t>
  </si>
  <si>
    <t>Eutintinnus</t>
  </si>
  <si>
    <t>Metacylididae</t>
  </si>
  <si>
    <t>Metacylis</t>
  </si>
  <si>
    <t>Helicostomella</t>
  </si>
  <si>
    <t>Ptychocylidae</t>
  </si>
  <si>
    <t>Favella</t>
  </si>
  <si>
    <t>Rhabdonellidae</t>
  </si>
  <si>
    <t>Rhabdonella</t>
  </si>
  <si>
    <t>Tintinnidae</t>
  </si>
  <si>
    <t>Salpingella</t>
  </si>
  <si>
    <t>Undellididae</t>
  </si>
  <si>
    <t>Undella</t>
  </si>
  <si>
    <t>Proplectella</t>
  </si>
  <si>
    <t>Bolinopsis</t>
  </si>
  <si>
    <t>Cydippida</t>
  </si>
  <si>
    <t>Cydippidae</t>
  </si>
  <si>
    <t>Trematoda</t>
  </si>
  <si>
    <r>
      <t xml:space="preserve">Nemertea </t>
    </r>
    <r>
      <rPr>
        <b/>
        <i/>
        <sz val="10"/>
        <color theme="1"/>
        <rFont val="Calibri"/>
        <family val="2"/>
        <scheme val="minor"/>
      </rPr>
      <t>incertea sedis</t>
    </r>
  </si>
  <si>
    <t>Planaria</t>
  </si>
  <si>
    <t>Nematoda</t>
  </si>
  <si>
    <t>Nematode</t>
  </si>
  <si>
    <t>Clausidiidae</t>
  </si>
  <si>
    <t>Hemicyclops</t>
  </si>
  <si>
    <t>Harpacticidae</t>
  </si>
  <si>
    <t>Peltidiidae</t>
  </si>
  <si>
    <t>Laophontidae</t>
  </si>
  <si>
    <t>Miraciidae</t>
  </si>
  <si>
    <t>Harpacticus</t>
  </si>
  <si>
    <t>Zaus</t>
  </si>
  <si>
    <t>Tigriopus</t>
  </si>
  <si>
    <t>Monstrilloida</t>
  </si>
  <si>
    <t>Monstrilloidae</t>
  </si>
  <si>
    <t>Monstrilla</t>
  </si>
  <si>
    <t>Cymbasoma</t>
  </si>
  <si>
    <t>Gammariidae</t>
  </si>
  <si>
    <t>Vaginulida</t>
  </si>
  <si>
    <t>Distyocstidae</t>
  </si>
  <si>
    <t>Family: Harpacticidae</t>
  </si>
  <si>
    <t>Gammaridae</t>
  </si>
  <si>
    <r>
      <t>Nemertea</t>
    </r>
    <r>
      <rPr>
        <b/>
        <i/>
        <sz val="11"/>
        <color theme="1"/>
        <rFont val="Calibri"/>
        <family val="2"/>
        <scheme val="minor"/>
      </rPr>
      <t xml:space="preserve"> incertea sedis</t>
    </r>
  </si>
  <si>
    <t>Bolivinitidae</t>
  </si>
  <si>
    <t xml:space="preserve">Family: </t>
  </si>
  <si>
    <r>
      <t xml:space="preserve">Nemertea </t>
    </r>
    <r>
      <rPr>
        <b/>
        <i/>
        <sz val="11"/>
        <color theme="1"/>
        <rFont val="Calibri"/>
        <family val="2"/>
        <scheme val="minor"/>
      </rPr>
      <t>Incertea sedis</t>
    </r>
  </si>
  <si>
    <t>Planulae larvae</t>
  </si>
  <si>
    <t>Decapod protozoaea</t>
  </si>
  <si>
    <t>Augaptilidae</t>
  </si>
  <si>
    <t>Haloptilus</t>
  </si>
  <si>
    <t>Canuellidae</t>
  </si>
  <si>
    <t>Canuella</t>
  </si>
  <si>
    <t>Family: Canuellidae</t>
  </si>
  <si>
    <t>TR/BZ/14748/25 - TR/BZ/14757/25</t>
  </si>
  <si>
    <t>Permulab Sdn. Bhd.</t>
  </si>
  <si>
    <t>A-G-16, Merchant Square@Tropicana,</t>
  </si>
  <si>
    <t>Jalan Tropicana Selatan 1, PJU 3,</t>
  </si>
  <si>
    <t>47410 Petaling Jaya,</t>
  </si>
  <si>
    <t>Selangor</t>
  </si>
  <si>
    <t>PLW-25-274014-1</t>
  </si>
  <si>
    <t>PLW-25-274014-1 - PLW-25-274014-5, PLW-25-274016-1 - PLW-25-274016-5</t>
  </si>
  <si>
    <t>PLW-25-274014-2</t>
  </si>
  <si>
    <t>PLW-25-274014-3</t>
  </si>
  <si>
    <t>PLW-25-274014-4</t>
  </si>
  <si>
    <t>PLW-25-274014-5</t>
  </si>
  <si>
    <t>PLW-25-274016-1</t>
  </si>
  <si>
    <t>PLW-25-274016-2</t>
  </si>
  <si>
    <t>PLW-25-274016-3</t>
  </si>
  <si>
    <t>PLW-25-274016-4</t>
  </si>
  <si>
    <t>PLW-25-274016-5</t>
  </si>
  <si>
    <t>BZ14748</t>
  </si>
  <si>
    <t>BZ14749</t>
  </si>
  <si>
    <t>BZ14750</t>
  </si>
  <si>
    <t>BZ14751</t>
  </si>
  <si>
    <t>BZ14752</t>
  </si>
  <si>
    <t>BZ14753</t>
  </si>
  <si>
    <t>BZ14754</t>
  </si>
  <si>
    <t>BZ14755</t>
  </si>
  <si>
    <t>BZ14756</t>
  </si>
  <si>
    <t>BZ14757</t>
  </si>
  <si>
    <t>TR/BZ/14748/25</t>
  </si>
  <si>
    <t>TR/BZ/14749/25</t>
  </si>
  <si>
    <t>TR/BZ/14750/25</t>
  </si>
  <si>
    <t>TR/BZ/14751/25</t>
  </si>
  <si>
    <t>TR/BZ/14752/25</t>
  </si>
  <si>
    <t>TR/BZ/14753/25</t>
  </si>
  <si>
    <t>TR/BZ/14754/25</t>
  </si>
  <si>
    <t>TR/BZ/14755/25</t>
  </si>
  <si>
    <t>TR/BZ/14756/25</t>
  </si>
  <si>
    <t>TR/BZ/14757/25</t>
  </si>
  <si>
    <t>Nemertea incertea sedis</t>
  </si>
  <si>
    <t>Phylum</t>
  </si>
  <si>
    <t>Class</t>
  </si>
  <si>
    <t>Order</t>
  </si>
  <si>
    <t>Genus</t>
  </si>
  <si>
    <t>Family</t>
  </si>
  <si>
    <t>Species</t>
  </si>
  <si>
    <t>UniqueID</t>
  </si>
  <si>
    <t>Pectinariidae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</si>
</sst>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67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charset val="129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  <font>
      <sz val="12"/>
      <color theme="1"/>
      <name val="Symbol"/>
      <family val="1"/>
      <charset val="2"/>
    </font>
    <font>
      <b/>
      <sz val="14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Arial"/>
      <family val="2"/>
    </font>
    <font>
      <vertAlign val="superscript"/>
      <sz val="9"/>
      <color theme="1"/>
      <name val="Arial"/>
      <family val="2"/>
    </font>
    <font>
      <sz val="9"/>
      <color theme="1"/>
      <name val="Times New Roman"/>
      <family val="1"/>
    </font>
    <font>
      <sz val="12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/>
      <bottom style="double">
        <color auto="1"/>
      </bottom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dotted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indexed="64"/>
      </right>
      <top style="double">
        <color auto="1"/>
      </top>
      <bottom/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auto="1"/>
      </bottom>
      <diagonal/>
    </border>
  </borders>
  <cellStyleXfs count="345">
    <xf numFmtId="0" fontId="0" fillId="0" borderId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</cellStyleXfs>
  <cellXfs count="275">
    <xf numFmtId="0" fontId="0" fillId="0" borderId="0" xfId="0"/>
    <xf numFmtId="0" fontId="42" fillId="0" borderId="0" xfId="0" applyFont="1"/>
    <xf numFmtId="0" fontId="46" fillId="0" borderId="0" xfId="0" applyFont="1"/>
    <xf numFmtId="0" fontId="46" fillId="0" borderId="7" xfId="0" applyFont="1" applyBorder="1" applyAlignment="1">
      <alignment horizontal="right"/>
    </xf>
    <xf numFmtId="0" fontId="46" fillId="0" borderId="4" xfId="0" applyFont="1" applyBorder="1"/>
    <xf numFmtId="0" fontId="46" fillId="0" borderId="6" xfId="0" applyFont="1" applyBorder="1" applyAlignment="1">
      <alignment horizontal="right"/>
    </xf>
    <xf numFmtId="0" fontId="47" fillId="0" borderId="0" xfId="0" applyFont="1"/>
    <xf numFmtId="0" fontId="47" fillId="0" borderId="2" xfId="0" applyFont="1" applyBorder="1"/>
    <xf numFmtId="0" fontId="47" fillId="0" borderId="0" xfId="0" applyFont="1" applyAlignment="1">
      <alignment horizontal="right"/>
    </xf>
    <xf numFmtId="0" fontId="47" fillId="0" borderId="7" xfId="0" applyFont="1" applyBorder="1"/>
    <xf numFmtId="0" fontId="48" fillId="0" borderId="7" xfId="0" applyFont="1" applyBorder="1"/>
    <xf numFmtId="0" fontId="47" fillId="0" borderId="0" xfId="0" applyFont="1" applyAlignment="1">
      <alignment horizontal="left"/>
    </xf>
    <xf numFmtId="0" fontId="49" fillId="0" borderId="0" xfId="0" applyFont="1" applyAlignment="1">
      <alignment horizontal="right"/>
    </xf>
    <xf numFmtId="0" fontId="46" fillId="0" borderId="0" xfId="0" applyFont="1" applyAlignment="1">
      <alignment horizontal="left"/>
    </xf>
    <xf numFmtId="0" fontId="47" fillId="0" borderId="1" xfId="0" applyFont="1" applyBorder="1"/>
    <xf numFmtId="0" fontId="46" fillId="0" borderId="8" xfId="0" applyFont="1" applyBorder="1" applyAlignment="1">
      <alignment horizontal="right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48" fillId="0" borderId="0" xfId="0" applyFont="1"/>
    <xf numFmtId="0" fontId="46" fillId="0" borderId="1" xfId="0" applyFont="1" applyBorder="1" applyAlignment="1">
      <alignment horizontal="right"/>
    </xf>
    <xf numFmtId="0" fontId="46" fillId="0" borderId="0" xfId="0" applyFont="1" applyAlignment="1">
      <alignment horizontal="right"/>
    </xf>
    <xf numFmtId="0" fontId="52" fillId="0" borderId="0" xfId="0" applyFont="1"/>
    <xf numFmtId="0" fontId="46" fillId="0" borderId="13" xfId="0" applyFont="1" applyBorder="1" applyAlignment="1">
      <alignment horizontal="center"/>
    </xf>
    <xf numFmtId="2" fontId="47" fillId="0" borderId="13" xfId="0" applyNumberFormat="1" applyFont="1" applyBorder="1"/>
    <xf numFmtId="0" fontId="47" fillId="0" borderId="15" xfId="0" applyFont="1" applyBorder="1"/>
    <xf numFmtId="0" fontId="53" fillId="0" borderId="0" xfId="0" applyFont="1"/>
    <xf numFmtId="0" fontId="54" fillId="0" borderId="0" xfId="0" applyFont="1" applyAlignment="1">
      <alignment horizontal="left" vertical="center"/>
    </xf>
    <xf numFmtId="0" fontId="56" fillId="0" borderId="0" xfId="0" applyFont="1" applyAlignment="1">
      <alignment horizontal="left" vertical="center"/>
    </xf>
    <xf numFmtId="0" fontId="46" fillId="0" borderId="0" xfId="0" applyFont="1" applyAlignment="1">
      <alignment horizontal="center"/>
    </xf>
    <xf numFmtId="0" fontId="54" fillId="0" borderId="0" xfId="0" applyFont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15" fontId="0" fillId="0" borderId="0" xfId="0" applyNumberFormat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2" fontId="47" fillId="0" borderId="2" xfId="0" applyNumberFormat="1" applyFont="1" applyBorder="1"/>
    <xf numFmtId="164" fontId="46" fillId="0" borderId="13" xfId="0" applyNumberFormat="1" applyFont="1" applyBorder="1"/>
    <xf numFmtId="165" fontId="47" fillId="0" borderId="13" xfId="0" applyNumberFormat="1" applyFont="1" applyBorder="1"/>
    <xf numFmtId="0" fontId="41" fillId="0" borderId="0" xfId="0" applyFont="1"/>
    <xf numFmtId="0" fontId="41" fillId="0" borderId="0" xfId="0" applyFont="1" applyAlignment="1">
      <alignment horizontal="right"/>
    </xf>
    <xf numFmtId="0" fontId="40" fillId="0" borderId="0" xfId="0" applyFont="1"/>
    <xf numFmtId="0" fontId="39" fillId="0" borderId="0" xfId="0" applyFont="1"/>
    <xf numFmtId="0" fontId="39" fillId="0" borderId="0" xfId="0" applyFont="1" applyAlignment="1">
      <alignment horizontal="right"/>
    </xf>
    <xf numFmtId="0" fontId="39" fillId="0" borderId="0" xfId="0" applyFont="1" applyAlignment="1">
      <alignment horizontal="left"/>
    </xf>
    <xf numFmtId="0" fontId="38" fillId="0" borderId="0" xfId="0" applyFont="1"/>
    <xf numFmtId="0" fontId="37" fillId="0" borderId="0" xfId="0" applyFont="1"/>
    <xf numFmtId="0" fontId="37" fillId="0" borderId="0" xfId="0" applyFont="1" applyAlignment="1">
      <alignment horizontal="right"/>
    </xf>
    <xf numFmtId="0" fontId="0" fillId="0" borderId="7" xfId="0" applyBorder="1"/>
    <xf numFmtId="0" fontId="0" fillId="0" borderId="0" xfId="0" applyAlignment="1">
      <alignment horizontal="left"/>
    </xf>
    <xf numFmtId="0" fontId="57" fillId="0" borderId="0" xfId="0" applyFont="1"/>
    <xf numFmtId="0" fontId="37" fillId="0" borderId="0" xfId="0" applyFont="1" applyAlignment="1">
      <alignment horizontal="left"/>
    </xf>
    <xf numFmtId="0" fontId="0" fillId="0" borderId="17" xfId="0" applyBorder="1"/>
    <xf numFmtId="0" fontId="0" fillId="0" borderId="0" xfId="0" applyAlignment="1">
      <alignment horizontal="center"/>
    </xf>
    <xf numFmtId="0" fontId="42" fillId="0" borderId="0" xfId="0" applyFont="1" applyAlignment="1">
      <alignment horizontal="right"/>
    </xf>
    <xf numFmtId="0" fontId="36" fillId="0" borderId="0" xfId="0" applyFont="1" applyAlignment="1">
      <alignment horizontal="left"/>
    </xf>
    <xf numFmtId="0" fontId="36" fillId="0" borderId="0" xfId="0" applyFont="1"/>
    <xf numFmtId="0" fontId="35" fillId="0" borderId="0" xfId="0" applyFont="1"/>
    <xf numFmtId="0" fontId="58" fillId="0" borderId="0" xfId="0" applyFont="1"/>
    <xf numFmtId="0" fontId="59" fillId="0" borderId="0" xfId="0" applyFont="1"/>
    <xf numFmtId="0" fontId="58" fillId="0" borderId="7" xfId="0" applyFont="1" applyBorder="1" applyAlignment="1">
      <alignment horizontal="right"/>
    </xf>
    <xf numFmtId="0" fontId="58" fillId="0" borderId="4" xfId="0" applyFont="1" applyBorder="1"/>
    <xf numFmtId="0" fontId="58" fillId="0" borderId="6" xfId="0" applyFont="1" applyBorder="1" applyAlignment="1">
      <alignment horizontal="right"/>
    </xf>
    <xf numFmtId="0" fontId="59" fillId="0" borderId="0" xfId="0" applyFont="1" applyAlignment="1">
      <alignment horizontal="right"/>
    </xf>
    <xf numFmtId="0" fontId="60" fillId="0" borderId="0" xfId="0" applyFont="1"/>
    <xf numFmtId="0" fontId="60" fillId="0" borderId="7" xfId="0" applyFont="1" applyBorder="1"/>
    <xf numFmtId="0" fontId="59" fillId="0" borderId="7" xfId="0" applyFont="1" applyBorder="1"/>
    <xf numFmtId="1" fontId="59" fillId="0" borderId="13" xfId="0" applyNumberFormat="1" applyFont="1" applyBorder="1"/>
    <xf numFmtId="2" fontId="47" fillId="0" borderId="3" xfId="0" applyNumberFormat="1" applyFont="1" applyBorder="1"/>
    <xf numFmtId="0" fontId="0" fillId="0" borderId="18" xfId="0" applyBorder="1"/>
    <xf numFmtId="0" fontId="0" fillId="0" borderId="18" xfId="0" applyBorder="1" applyAlignment="1">
      <alignment horizontal="center"/>
    </xf>
    <xf numFmtId="0" fontId="0" fillId="0" borderId="1" xfId="0" applyBorder="1"/>
    <xf numFmtId="0" fontId="61" fillId="0" borderId="0" xfId="0" applyFont="1" applyAlignment="1">
      <alignment horizontal="center"/>
    </xf>
    <xf numFmtId="0" fontId="0" fillId="0" borderId="19" xfId="0" applyBorder="1"/>
    <xf numFmtId="165" fontId="47" fillId="0" borderId="0" xfId="0" applyNumberFormat="1" applyFont="1"/>
    <xf numFmtId="2" fontId="47" fillId="0" borderId="0" xfId="0" applyNumberFormat="1" applyFont="1"/>
    <xf numFmtId="164" fontId="46" fillId="0" borderId="0" xfId="0" applyNumberFormat="1" applyFont="1"/>
    <xf numFmtId="1" fontId="46" fillId="0" borderId="4" xfId="0" applyNumberFormat="1" applyFont="1" applyBorder="1"/>
    <xf numFmtId="0" fontId="62" fillId="0" borderId="7" xfId="0" applyFont="1" applyBorder="1"/>
    <xf numFmtId="0" fontId="62" fillId="0" borderId="0" xfId="0" applyFont="1"/>
    <xf numFmtId="0" fontId="46" fillId="0" borderId="0" xfId="0" applyFont="1" applyAlignment="1">
      <alignment horizontal="right" vertical="top"/>
    </xf>
    <xf numFmtId="0" fontId="34" fillId="0" borderId="0" xfId="0" applyFont="1"/>
    <xf numFmtId="0" fontId="33" fillId="0" borderId="0" xfId="0" applyFont="1" applyAlignment="1">
      <alignment horizontal="right"/>
    </xf>
    <xf numFmtId="0" fontId="32" fillId="0" borderId="0" xfId="0" applyFont="1"/>
    <xf numFmtId="0" fontId="46" fillId="0" borderId="4" xfId="0" applyFont="1" applyBorder="1" applyAlignment="1">
      <alignment horizontal="right"/>
    </xf>
    <xf numFmtId="0" fontId="37" fillId="0" borderId="4" xfId="0" applyFont="1" applyBorder="1" applyAlignment="1">
      <alignment horizontal="right"/>
    </xf>
    <xf numFmtId="0" fontId="37" fillId="0" borderId="6" xfId="0" applyFont="1" applyBorder="1" applyAlignment="1">
      <alignment horizontal="right"/>
    </xf>
    <xf numFmtId="0" fontId="46" fillId="0" borderId="14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46" fillId="0" borderId="16" xfId="0" applyFont="1" applyBorder="1" applyAlignment="1">
      <alignment horizontal="right"/>
    </xf>
    <xf numFmtId="0" fontId="46" fillId="0" borderId="16" xfId="0" applyFont="1" applyBorder="1"/>
    <xf numFmtId="0" fontId="30" fillId="0" borderId="16" xfId="0" applyFont="1" applyBorder="1"/>
    <xf numFmtId="0" fontId="30" fillId="0" borderId="0" xfId="0" applyFont="1" applyAlignment="1">
      <alignment horizontal="right"/>
    </xf>
    <xf numFmtId="0" fontId="30" fillId="0" borderId="0" xfId="0" applyFont="1"/>
    <xf numFmtId="0" fontId="30" fillId="0" borderId="7" xfId="0" applyFont="1" applyBorder="1"/>
    <xf numFmtId="0" fontId="29" fillId="0" borderId="0" xfId="0" applyFont="1"/>
    <xf numFmtId="0" fontId="0" fillId="0" borderId="2" xfId="0" applyBorder="1"/>
    <xf numFmtId="0" fontId="46" fillId="0" borderId="7" xfId="0" applyFont="1" applyBorder="1"/>
    <xf numFmtId="2" fontId="0" fillId="0" borderId="0" xfId="0" applyNumberFormat="1"/>
    <xf numFmtId="165" fontId="0" fillId="0" borderId="0" xfId="0" applyNumberFormat="1"/>
    <xf numFmtId="14" fontId="46" fillId="0" borderId="7" xfId="0" applyNumberFormat="1" applyFont="1" applyBorder="1" applyAlignment="1">
      <alignment horizontal="right"/>
    </xf>
    <xf numFmtId="0" fontId="37" fillId="0" borderId="7" xfId="0" applyFont="1" applyBorder="1" applyAlignment="1">
      <alignment horizontal="right"/>
    </xf>
    <xf numFmtId="0" fontId="37" fillId="0" borderId="7" xfId="0" applyFont="1" applyBorder="1" applyAlignment="1">
      <alignment horizontal="left"/>
    </xf>
    <xf numFmtId="0" fontId="39" fillId="0" borderId="7" xfId="0" applyFont="1" applyBorder="1" applyAlignment="1">
      <alignment horizontal="right"/>
    </xf>
    <xf numFmtId="0" fontId="39" fillId="0" borderId="7" xfId="0" applyFont="1" applyBorder="1" applyAlignment="1">
      <alignment horizontal="left"/>
    </xf>
    <xf numFmtId="14" fontId="47" fillId="0" borderId="7" xfId="0" applyNumberFormat="1" applyFont="1" applyBorder="1"/>
    <xf numFmtId="0" fontId="29" fillId="0" borderId="7" xfId="0" applyFont="1" applyBorder="1"/>
    <xf numFmtId="0" fontId="31" fillId="0" borderId="7" xfId="0" applyFont="1" applyBorder="1"/>
    <xf numFmtId="0" fontId="28" fillId="0" borderId="7" xfId="0" applyFont="1" applyBorder="1"/>
    <xf numFmtId="0" fontId="39" fillId="0" borderId="7" xfId="0" applyFont="1" applyBorder="1"/>
    <xf numFmtId="0" fontId="40" fillId="0" borderId="7" xfId="0" applyFont="1" applyBorder="1"/>
    <xf numFmtId="0" fontId="28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166" fontId="47" fillId="0" borderId="7" xfId="0" applyNumberFormat="1" applyFont="1" applyBorder="1"/>
    <xf numFmtId="0" fontId="0" fillId="0" borderId="21" xfId="0" applyBorder="1"/>
    <xf numFmtId="0" fontId="58" fillId="0" borderId="0" xfId="0" applyFont="1" applyAlignment="1">
      <alignment vertical="center"/>
    </xf>
    <xf numFmtId="0" fontId="58" fillId="0" borderId="7" xfId="0" applyFont="1" applyBorder="1" applyAlignment="1">
      <alignment horizontal="right" vertical="center"/>
    </xf>
    <xf numFmtId="0" fontId="0" fillId="0" borderId="0" xfId="0" applyAlignment="1">
      <alignment vertical="center"/>
    </xf>
    <xf numFmtId="0" fontId="47" fillId="0" borderId="0" xfId="0" applyFont="1" applyAlignment="1">
      <alignment horizontal="center"/>
    </xf>
    <xf numFmtId="0" fontId="42" fillId="0" borderId="1" xfId="0" applyFont="1" applyBorder="1" applyAlignment="1">
      <alignment horizontal="center"/>
    </xf>
    <xf numFmtId="1" fontId="46" fillId="0" borderId="14" xfId="0" applyNumberFormat="1" applyFont="1" applyBorder="1" applyAlignment="1">
      <alignment horizontal="center"/>
    </xf>
    <xf numFmtId="166" fontId="46" fillId="0" borderId="0" xfId="0" applyNumberFormat="1" applyFont="1" applyAlignment="1">
      <alignment horizontal="right"/>
    </xf>
    <xf numFmtId="166" fontId="46" fillId="0" borderId="0" xfId="0" applyNumberFormat="1" applyFont="1"/>
    <xf numFmtId="166" fontId="25" fillId="0" borderId="0" xfId="0" applyNumberFormat="1" applyFont="1"/>
    <xf numFmtId="166" fontId="25" fillId="0" borderId="20" xfId="0" applyNumberFormat="1" applyFont="1" applyBorder="1" applyAlignment="1">
      <alignment horizontal="right"/>
    </xf>
    <xf numFmtId="166" fontId="46" fillId="0" borderId="7" xfId="0" applyNumberFormat="1" applyFont="1" applyBorder="1" applyAlignment="1">
      <alignment horizontal="right"/>
    </xf>
    <xf numFmtId="166" fontId="41" fillId="0" borderId="0" xfId="0" applyNumberFormat="1" applyFont="1" applyAlignment="1">
      <alignment horizontal="right"/>
    </xf>
    <xf numFmtId="166" fontId="39" fillId="0" borderId="0" xfId="0" applyNumberFormat="1" applyFont="1"/>
    <xf numFmtId="166" fontId="39" fillId="0" borderId="7" xfId="0" applyNumberFormat="1" applyFont="1" applyBorder="1" applyAlignment="1">
      <alignment horizontal="right"/>
    </xf>
    <xf numFmtId="166" fontId="47" fillId="0" borderId="0" xfId="0" applyNumberFormat="1" applyFont="1"/>
    <xf numFmtId="166" fontId="47" fillId="0" borderId="0" xfId="0" applyNumberFormat="1" applyFont="1" applyAlignment="1">
      <alignment horizontal="right"/>
    </xf>
    <xf numFmtId="2" fontId="46" fillId="0" borderId="0" xfId="0" applyNumberFormat="1" applyFont="1" applyAlignment="1">
      <alignment horizontal="right"/>
    </xf>
    <xf numFmtId="2" fontId="46" fillId="0" borderId="0" xfId="0" applyNumberFormat="1" applyFont="1"/>
    <xf numFmtId="2" fontId="46" fillId="0" borderId="7" xfId="0" applyNumberFormat="1" applyFont="1" applyBorder="1"/>
    <xf numFmtId="2" fontId="47" fillId="0" borderId="7" xfId="0" applyNumberFormat="1" applyFont="1" applyBorder="1"/>
    <xf numFmtId="2" fontId="47" fillId="0" borderId="0" xfId="0" applyNumberFormat="1" applyFont="1" applyAlignment="1">
      <alignment horizontal="right"/>
    </xf>
    <xf numFmtId="2" fontId="48" fillId="0" borderId="7" xfId="0" applyNumberFormat="1" applyFont="1" applyBorder="1"/>
    <xf numFmtId="2" fontId="29" fillId="0" borderId="0" xfId="0" applyNumberFormat="1" applyFont="1"/>
    <xf numFmtId="2" fontId="29" fillId="0" borderId="7" xfId="0" applyNumberFormat="1" applyFont="1" applyBorder="1"/>
    <xf numFmtId="2" fontId="47" fillId="0" borderId="0" xfId="0" applyNumberFormat="1" applyFont="1" applyAlignment="1">
      <alignment horizontal="left"/>
    </xf>
    <xf numFmtId="2" fontId="62" fillId="0" borderId="7" xfId="0" applyNumberFormat="1" applyFont="1" applyBorder="1"/>
    <xf numFmtId="2" fontId="31" fillId="0" borderId="7" xfId="0" applyNumberFormat="1" applyFont="1" applyBorder="1"/>
    <xf numFmtId="2" fontId="49" fillId="0" borderId="0" xfId="0" applyNumberFormat="1" applyFont="1" applyAlignment="1">
      <alignment horizontal="right"/>
    </xf>
    <xf numFmtId="2" fontId="38" fillId="0" borderId="0" xfId="0" applyNumberFormat="1" applyFont="1"/>
    <xf numFmtId="2" fontId="35" fillId="0" borderId="0" xfId="0" applyNumberFormat="1" applyFont="1"/>
    <xf numFmtId="2" fontId="39" fillId="0" borderId="7" xfId="0" applyNumberFormat="1" applyFont="1" applyBorder="1"/>
    <xf numFmtId="2" fontId="46" fillId="0" borderId="0" xfId="0" applyNumberFormat="1" applyFont="1" applyAlignment="1">
      <alignment horizontal="right" vertical="top"/>
    </xf>
    <xf numFmtId="2" fontId="40" fillId="0" borderId="7" xfId="0" applyNumberFormat="1" applyFont="1" applyBorder="1"/>
    <xf numFmtId="2" fontId="30" fillId="0" borderId="0" xfId="0" applyNumberFormat="1" applyFont="1"/>
    <xf numFmtId="2" fontId="30" fillId="0" borderId="7" xfId="0" applyNumberFormat="1" applyFont="1" applyBorder="1"/>
    <xf numFmtId="2" fontId="30" fillId="0" borderId="0" xfId="0" applyNumberFormat="1" applyFont="1" applyAlignment="1">
      <alignment horizontal="right"/>
    </xf>
    <xf numFmtId="2" fontId="46" fillId="0" borderId="0" xfId="0" applyNumberFormat="1" applyFont="1" applyAlignment="1">
      <alignment horizontal="left"/>
    </xf>
    <xf numFmtId="2" fontId="47" fillId="0" borderId="22" xfId="0" applyNumberFormat="1" applyFont="1" applyBorder="1"/>
    <xf numFmtId="0" fontId="58" fillId="0" borderId="13" xfId="0" applyFont="1" applyBorder="1" applyAlignment="1">
      <alignment horizontal="center"/>
    </xf>
    <xf numFmtId="0" fontId="46" fillId="0" borderId="0" xfId="0" applyFont="1" applyAlignment="1">
      <alignment horizontal="center" vertical="center"/>
    </xf>
    <xf numFmtId="0" fontId="46" fillId="0" borderId="2" xfId="0" applyFont="1" applyBorder="1" applyAlignment="1">
      <alignment horizontal="center" vertical="center"/>
    </xf>
    <xf numFmtId="2" fontId="46" fillId="0" borderId="0" xfId="0" applyNumberFormat="1" applyFont="1" applyAlignment="1">
      <alignment horizontal="center" vertical="center"/>
    </xf>
    <xf numFmtId="1" fontId="46" fillId="0" borderId="4" xfId="0" applyNumberFormat="1" applyFont="1" applyBorder="1" applyAlignment="1">
      <alignment horizontal="center" vertical="center"/>
    </xf>
    <xf numFmtId="1" fontId="46" fillId="0" borderId="5" xfId="0" applyNumberFormat="1" applyFont="1" applyBorder="1" applyAlignment="1">
      <alignment horizontal="center" vertical="center"/>
    </xf>
    <xf numFmtId="0" fontId="46" fillId="0" borderId="7" xfId="0" applyFont="1" applyBorder="1" applyAlignment="1">
      <alignment horizontal="right" vertical="center"/>
    </xf>
    <xf numFmtId="2" fontId="46" fillId="0" borderId="7" xfId="0" applyNumberFormat="1" applyFont="1" applyBorder="1" applyAlignment="1">
      <alignment horizontal="right" vertical="center"/>
    </xf>
    <xf numFmtId="1" fontId="46" fillId="0" borderId="6" xfId="0" applyNumberFormat="1" applyFont="1" applyBorder="1" applyAlignment="1">
      <alignment horizontal="right" vertical="center"/>
    </xf>
    <xf numFmtId="0" fontId="24" fillId="0" borderId="0" xfId="0" applyFont="1"/>
    <xf numFmtId="0" fontId="24" fillId="0" borderId="0" xfId="0" applyFont="1" applyAlignment="1">
      <alignment horizontal="right"/>
    </xf>
    <xf numFmtId="166" fontId="48" fillId="0" borderId="7" xfId="0" applyNumberFormat="1" applyFont="1" applyBorder="1" applyAlignment="1">
      <alignment horizontal="left"/>
    </xf>
    <xf numFmtId="166" fontId="48" fillId="0" borderId="7" xfId="0" applyNumberFormat="1" applyFont="1" applyBorder="1"/>
    <xf numFmtId="0" fontId="23" fillId="0" borderId="0" xfId="0" applyFont="1"/>
    <xf numFmtId="0" fontId="23" fillId="0" borderId="0" xfId="0" applyFont="1" applyAlignment="1">
      <alignment horizontal="right"/>
    </xf>
    <xf numFmtId="2" fontId="23" fillId="0" borderId="0" xfId="0" applyNumberFormat="1" applyFont="1" applyAlignment="1">
      <alignment horizontal="right"/>
    </xf>
    <xf numFmtId="2" fontId="23" fillId="0" borderId="0" xfId="0" applyNumberFormat="1" applyFont="1"/>
    <xf numFmtId="2" fontId="23" fillId="0" borderId="7" xfId="0" applyNumberFormat="1" applyFont="1" applyBorder="1"/>
    <xf numFmtId="165" fontId="47" fillId="0" borderId="7" xfId="0" applyNumberFormat="1" applyFont="1" applyBorder="1"/>
    <xf numFmtId="0" fontId="22" fillId="0" borderId="0" xfId="0" applyFont="1"/>
    <xf numFmtId="0" fontId="21" fillId="0" borderId="0" xfId="0" applyFont="1"/>
    <xf numFmtId="0" fontId="21" fillId="0" borderId="0" xfId="0" applyFont="1" applyAlignment="1">
      <alignment horizontal="right"/>
    </xf>
    <xf numFmtId="0" fontId="21" fillId="0" borderId="0" xfId="0" applyFont="1" applyAlignment="1">
      <alignment horizontal="left"/>
    </xf>
    <xf numFmtId="0" fontId="21" fillId="0" borderId="7" xfId="0" applyFont="1" applyBorder="1"/>
    <xf numFmtId="0" fontId="20" fillId="0" borderId="0" xfId="0" applyFont="1" applyAlignment="1">
      <alignment horizontal="right"/>
    </xf>
    <xf numFmtId="0" fontId="20" fillId="0" borderId="0" xfId="0" applyFont="1"/>
    <xf numFmtId="0" fontId="20" fillId="0" borderId="7" xfId="0" applyFont="1" applyBorder="1"/>
    <xf numFmtId="0" fontId="19" fillId="0" borderId="0" xfId="0" applyFont="1" applyAlignment="1">
      <alignment horizontal="right"/>
    </xf>
    <xf numFmtId="0" fontId="19" fillId="0" borderId="0" xfId="0" applyFont="1"/>
    <xf numFmtId="0" fontId="19" fillId="0" borderId="7" xfId="0" applyFont="1" applyBorder="1"/>
    <xf numFmtId="165" fontId="47" fillId="0" borderId="20" xfId="0" applyNumberFormat="1" applyFont="1" applyBorder="1"/>
    <xf numFmtId="0" fontId="18" fillId="0" borderId="0" xfId="0" applyFont="1"/>
    <xf numFmtId="0" fontId="18" fillId="0" borderId="0" xfId="0" applyFont="1" applyAlignment="1">
      <alignment horizontal="right"/>
    </xf>
    <xf numFmtId="0" fontId="18" fillId="0" borderId="7" xfId="0" applyFont="1" applyBorder="1"/>
    <xf numFmtId="2" fontId="18" fillId="0" borderId="0" xfId="0" applyNumberFormat="1" applyFont="1"/>
    <xf numFmtId="2" fontId="18" fillId="0" borderId="0" xfId="0" applyNumberFormat="1" applyFont="1" applyAlignment="1">
      <alignment horizontal="right"/>
    </xf>
    <xf numFmtId="2" fontId="18" fillId="0" borderId="7" xfId="0" applyNumberFormat="1" applyFont="1" applyBorder="1"/>
    <xf numFmtId="0" fontId="17" fillId="0" borderId="0" xfId="0" applyFont="1"/>
    <xf numFmtId="0" fontId="17" fillId="0" borderId="7" xfId="0" applyFont="1" applyBorder="1"/>
    <xf numFmtId="0" fontId="17" fillId="0" borderId="0" xfId="0" applyFont="1" applyAlignment="1">
      <alignment horizontal="right"/>
    </xf>
    <xf numFmtId="0" fontId="48" fillId="0" borderId="0" xfId="0" applyFont="1" applyAlignment="1">
      <alignment horizontal="left"/>
    </xf>
    <xf numFmtId="0" fontId="17" fillId="0" borderId="7" xfId="0" applyFont="1" applyBorder="1" applyAlignment="1">
      <alignment horizontal="right"/>
    </xf>
    <xf numFmtId="0" fontId="48" fillId="0" borderId="7" xfId="0" applyFont="1" applyBorder="1" applyAlignment="1">
      <alignment horizontal="left"/>
    </xf>
    <xf numFmtId="0" fontId="16" fillId="0" borderId="0" xfId="0" applyFont="1"/>
    <xf numFmtId="0" fontId="16" fillId="0" borderId="0" xfId="0" applyFont="1" applyAlignment="1">
      <alignment horizontal="right"/>
    </xf>
    <xf numFmtId="0" fontId="16" fillId="0" borderId="0" xfId="0" applyFont="1" applyAlignment="1">
      <alignment horizontal="left"/>
    </xf>
    <xf numFmtId="0" fontId="16" fillId="0" borderId="7" xfId="0" applyFont="1" applyBorder="1"/>
    <xf numFmtId="0" fontId="15" fillId="0" borderId="0" xfId="0" applyFont="1"/>
    <xf numFmtId="0" fontId="15" fillId="0" borderId="7" xfId="0" applyFont="1" applyBorder="1"/>
    <xf numFmtId="165" fontId="14" fillId="0" borderId="7" xfId="0" applyNumberFormat="1" applyFont="1" applyBorder="1"/>
    <xf numFmtId="0" fontId="13" fillId="0" borderId="0" xfId="0" applyFont="1"/>
    <xf numFmtId="0" fontId="13" fillId="0" borderId="0" xfId="0" applyFont="1" applyAlignment="1">
      <alignment horizontal="right"/>
    </xf>
    <xf numFmtId="0" fontId="63" fillId="0" borderId="10" xfId="0" applyFont="1" applyBorder="1"/>
    <xf numFmtId="0" fontId="12" fillId="0" borderId="0" xfId="0" applyFont="1"/>
    <xf numFmtId="0" fontId="12" fillId="0" borderId="0" xfId="0" applyFont="1" applyAlignment="1">
      <alignment horizontal="right"/>
    </xf>
    <xf numFmtId="0" fontId="11" fillId="0" borderId="0" xfId="0" applyFont="1" applyAlignment="1">
      <alignment horizontal="right"/>
    </xf>
    <xf numFmtId="0" fontId="11" fillId="0" borderId="0" xfId="0" applyFont="1"/>
    <xf numFmtId="0" fontId="10" fillId="0" borderId="0" xfId="0" applyFont="1"/>
    <xf numFmtId="0" fontId="10" fillId="0" borderId="0" xfId="0" applyFont="1" applyAlignment="1">
      <alignment horizontal="right"/>
    </xf>
    <xf numFmtId="0" fontId="10" fillId="0" borderId="0" xfId="0" applyFont="1" applyAlignment="1">
      <alignment horizontal="left"/>
    </xf>
    <xf numFmtId="15" fontId="0" fillId="0" borderId="10" xfId="0" applyNumberFormat="1" applyBorder="1" applyAlignment="1">
      <alignment horizontal="left"/>
    </xf>
    <xf numFmtId="0" fontId="64" fillId="0" borderId="0" xfId="0" applyFont="1" applyAlignment="1">
      <alignment horizontal="center"/>
    </xf>
    <xf numFmtId="164" fontId="46" fillId="0" borderId="14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9" fillId="0" borderId="2" xfId="0" applyFont="1" applyBorder="1"/>
    <xf numFmtId="0" fontId="9" fillId="0" borderId="0" xfId="0" applyFont="1"/>
    <xf numFmtId="14" fontId="58" fillId="0" borderId="13" xfId="0" applyNumberFormat="1" applyFont="1" applyBorder="1" applyAlignment="1">
      <alignment horizontal="center"/>
    </xf>
    <xf numFmtId="20" fontId="58" fillId="0" borderId="13" xfId="0" applyNumberFormat="1" applyFont="1" applyBorder="1" applyAlignment="1">
      <alignment horizontal="center"/>
    </xf>
    <xf numFmtId="164" fontId="58" fillId="0" borderId="13" xfId="0" applyNumberFormat="1" applyFont="1" applyBorder="1" applyAlignment="1">
      <alignment horizontal="center"/>
    </xf>
    <xf numFmtId="1" fontId="58" fillId="0" borderId="14" xfId="0" applyNumberFormat="1" applyFont="1" applyBorder="1" applyAlignment="1">
      <alignment horizontal="center"/>
    </xf>
    <xf numFmtId="0" fontId="59" fillId="0" borderId="13" xfId="0" applyFont="1" applyBorder="1" applyAlignment="1">
      <alignment horizontal="center" vertical="center"/>
    </xf>
    <xf numFmtId="164" fontId="46" fillId="0" borderId="2" xfId="0" applyNumberFormat="1" applyFont="1" applyBorder="1" applyAlignment="1">
      <alignment horizontal="center" vertical="center"/>
    </xf>
    <xf numFmtId="0" fontId="11" fillId="0" borderId="7" xfId="0" applyFont="1" applyBorder="1"/>
    <xf numFmtId="0" fontId="12" fillId="0" borderId="7" xfId="0" applyFont="1" applyBorder="1"/>
    <xf numFmtId="0" fontId="10" fillId="0" borderId="7" xfId="0" applyFont="1" applyBorder="1"/>
    <xf numFmtId="0" fontId="13" fillId="0" borderId="7" xfId="0" applyFont="1" applyBorder="1"/>
    <xf numFmtId="0" fontId="8" fillId="0" borderId="0" xfId="0" applyFont="1"/>
    <xf numFmtId="0" fontId="59" fillId="0" borderId="0" xfId="0" applyFont="1" applyAlignment="1">
      <alignment horizontal="center"/>
    </xf>
    <xf numFmtId="0" fontId="7" fillId="0" borderId="7" xfId="0" applyFont="1" applyBorder="1"/>
    <xf numFmtId="0" fontId="7" fillId="0" borderId="0" xfId="0" applyFont="1"/>
    <xf numFmtId="2" fontId="6" fillId="0" borderId="0" xfId="0" applyNumberFormat="1" applyFont="1"/>
    <xf numFmtId="0" fontId="6" fillId="0" borderId="0" xfId="0" applyFont="1"/>
    <xf numFmtId="0" fontId="5" fillId="0" borderId="0" xfId="0" applyFont="1"/>
    <xf numFmtId="0" fontId="4" fillId="0" borderId="0" xfId="0" applyFont="1"/>
    <xf numFmtId="166" fontId="4" fillId="0" borderId="0" xfId="0" applyNumberFormat="1" applyFont="1"/>
    <xf numFmtId="2" fontId="4" fillId="0" borderId="7" xfId="0" applyNumberFormat="1" applyFont="1" applyBorder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2" fontId="4" fillId="0" borderId="0" xfId="0" applyNumberFormat="1" applyFont="1"/>
    <xf numFmtId="2" fontId="4" fillId="0" borderId="0" xfId="0" applyNumberFormat="1" applyFont="1" applyAlignment="1">
      <alignment horizontal="left"/>
    </xf>
    <xf numFmtId="0" fontId="59" fillId="0" borderId="0" xfId="0" applyFont="1" applyAlignment="1">
      <alignment horizontal="left"/>
    </xf>
    <xf numFmtId="0" fontId="60" fillId="0" borderId="0" xfId="0" applyFont="1" applyAlignment="1">
      <alignment horizontal="left"/>
    </xf>
    <xf numFmtId="0" fontId="58" fillId="0" borderId="0" xfId="0" applyFont="1" applyAlignment="1">
      <alignment horizontal="right"/>
    </xf>
    <xf numFmtId="0" fontId="26" fillId="0" borderId="0" xfId="0" applyFont="1" applyAlignment="1">
      <alignment horizontal="right"/>
    </xf>
    <xf numFmtId="0" fontId="53" fillId="0" borderId="0" xfId="0" applyFont="1" applyAlignment="1">
      <alignment horizontal="right"/>
    </xf>
    <xf numFmtId="0" fontId="66" fillId="0" borderId="0" xfId="0" applyFont="1" applyAlignment="1">
      <alignment horizontal="right"/>
    </xf>
    <xf numFmtId="0" fontId="66" fillId="0" borderId="0" xfId="0" applyFont="1" applyAlignment="1">
      <alignment horizontal="left"/>
    </xf>
    <xf numFmtId="1" fontId="66" fillId="0" borderId="13" xfId="0" applyNumberFormat="1" applyFont="1" applyBorder="1"/>
    <xf numFmtId="0" fontId="66" fillId="0" borderId="0" xfId="0" applyFont="1"/>
    <xf numFmtId="0" fontId="59" fillId="0" borderId="16" xfId="0" applyFont="1" applyBorder="1" applyAlignment="1">
      <alignment horizontal="right"/>
    </xf>
    <xf numFmtId="0" fontId="58" fillId="0" borderId="16" xfId="0" applyFont="1" applyBorder="1"/>
    <xf numFmtId="0" fontId="59" fillId="0" borderId="16" xfId="0" applyFont="1" applyBorder="1"/>
    <xf numFmtId="0" fontId="60" fillId="0" borderId="16" xfId="0" applyFont="1" applyBorder="1"/>
    <xf numFmtId="0" fontId="58" fillId="0" borderId="0" xfId="0" applyFont="1" applyAlignment="1">
      <alignment horizontal="left"/>
    </xf>
    <xf numFmtId="0" fontId="59" fillId="0" borderId="1" xfId="0" applyFont="1" applyBorder="1"/>
    <xf numFmtId="0" fontId="58" fillId="0" borderId="8" xfId="0" applyFont="1" applyBorder="1" applyAlignment="1">
      <alignment horizontal="right"/>
    </xf>
    <xf numFmtId="0" fontId="59" fillId="0" borderId="15" xfId="0" applyFont="1" applyBorder="1"/>
    <xf numFmtId="2" fontId="3" fillId="0" borderId="7" xfId="0" applyNumberFormat="1" applyFont="1" applyBorder="1"/>
    <xf numFmtId="0" fontId="3" fillId="0" borderId="0" xfId="0" applyFont="1"/>
    <xf numFmtId="2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2" fillId="0" borderId="0" xfId="0" applyFont="1"/>
    <xf numFmtId="2" fontId="1" fillId="0" borderId="7" xfId="0" applyNumberFormat="1" applyFont="1" applyBorder="1"/>
    <xf numFmtId="0" fontId="57" fillId="0" borderId="0" xfId="0" applyFont="1"/>
    <xf numFmtId="0" fontId="59" fillId="0" borderId="0" xfId="0" applyFont="1" applyAlignment="1">
      <alignment horizontal="center"/>
    </xf>
    <xf numFmtId="0" fontId="59" fillId="0" borderId="0" xfId="0" applyFont="1" applyAlignment="1">
      <alignment horizontal="right"/>
    </xf>
    <xf numFmtId="0" fontId="59" fillId="0" borderId="0" xfId="0" applyFont="1" applyAlignment="1">
      <alignment horizontal="left"/>
    </xf>
    <xf numFmtId="0" fontId="59" fillId="0" borderId="7" xfId="0" applyFont="1" applyBorder="1" applyAlignment="1">
      <alignment horizontal="left"/>
    </xf>
  </cellXfs>
  <cellStyles count="34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1257300</xdr:colOff>
      <xdr:row>1</xdr:row>
      <xdr:rowOff>25188</xdr:rowOff>
    </xdr:from>
    <xdr:to>
      <xdr:col>3</xdr:col>
      <xdr:colOff>134923</xdr:colOff>
      <xdr:row>1</xdr:row>
      <xdr:rowOff>799888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7091" y="226272"/>
          <a:ext cx="2966759" cy="774700"/>
        </a:xfrm>
        <a:prstGeom prst="rect">
          <a:avLst/>
        </a:prstGeom>
      </xdr:spPr>
    </xdr:pic>
    <xdr:clientData/>
  </xdr:twoCellAnchor>
  <xdr:twoCellAnchor editAs="oneCell">
    <xdr:from>
      <xdr:col>5</xdr:col>
      <xdr:colOff>649551</xdr:colOff>
      <xdr:row>1</xdr:row>
      <xdr:rowOff>26458</xdr:rowOff>
    </xdr:from>
    <xdr:to>
      <xdr:col>5</xdr:col>
      <xdr:colOff>1824481</xdr:colOff>
      <xdr:row>1</xdr:row>
      <xdr:rowOff>797983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09C9879-2D95-4AF5-B7B1-C7CE10A8B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21676" y="228864"/>
          <a:ext cx="1174930" cy="77152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otebook" refreshedDate="43143.603509143519" createdVersion="3" refreshedVersion="3" minRefreshableVersion="3" recordCount="206" xr:uid="{00000000-000A-0000-FFFF-FFFF00000000}">
  <cacheSource type="worksheet">
    <worksheetSource ref="A9:L214" sheet="Sheet1"/>
  </cacheSource>
  <cacheFields count="12">
    <cacheField name="Phylum:" numFmtId="0">
      <sharedItems containsBlank="1" count="15">
        <m/>
        <s v="Foraminifera"/>
        <s v="Radiozoa"/>
        <s v="Ciliophora"/>
        <s v="Cnidaria"/>
        <s v="Ctenophora"/>
        <s v="Annelida"/>
        <s v="Arthropoda"/>
        <s v="Mollusca"/>
        <s v="Bryozoa"/>
        <s v="Phoronida"/>
        <s v="Rotifera"/>
        <s v="Chaetognatha"/>
        <s v="Echinodermata"/>
        <s v="Chordata"/>
      </sharedItems>
    </cacheField>
    <cacheField name="Class:" numFmtId="0">
      <sharedItems containsBlank="1" count="21">
        <m/>
        <s v="Globothalamea"/>
        <s v="Acantharia"/>
        <s v="Polyhymenophorea"/>
        <s v="Hydrozoa"/>
        <s v="Tentaculata"/>
        <s v="Nuda"/>
        <s v="Polychaeta"/>
        <s v="Branchiopoda"/>
        <s v="Ostracoda"/>
        <s v="Copepoda"/>
        <s v="Cirripedia"/>
        <s v="Malacostraca"/>
        <s v="Gastropoda"/>
        <s v="Bivalvia"/>
        <s v="Cephalopoda"/>
        <s v="Sagittoidea"/>
        <s v="Larvacea"/>
        <s v="Thaliacea"/>
        <s v="Pisces"/>
        <s v="Unknown"/>
      </sharedItems>
    </cacheField>
    <cacheField name="Order:" numFmtId="0">
      <sharedItems containsBlank="1" count="19">
        <m/>
        <s v="Rotaliida"/>
        <s v="Arthracanthida"/>
        <s v="Oligotrichida"/>
        <s v="Diplostraca"/>
        <s v="Myodocopida"/>
        <s v="Calanoida"/>
        <s v="Cyclopoida"/>
        <s v="Poecilostomatoida"/>
        <s v="Harpacticoida"/>
        <s v="Mysidacea"/>
        <s v="Amphipoda"/>
        <s v="Isopoda"/>
        <s v="Decapoda"/>
        <s v="Aphragmophora"/>
        <s v="Fritillaridae"/>
        <s v="Oikopleuridae"/>
        <s v="Doliolida"/>
        <s v="Salpida"/>
      </sharedItems>
    </cacheField>
    <cacheField name="Family:" numFmtId="0">
      <sharedItems containsBlank="1" count="32">
        <m/>
        <s v="Discorbidae"/>
        <s v="Acanthometridae"/>
        <s v="Codonellidae"/>
        <s v=" Pectinariidae"/>
        <s v="Podonidae"/>
        <s v="Sididae"/>
        <s v="Cypridinidae"/>
        <s v="Acartiidae"/>
        <s v="Arietellidae"/>
        <s v="Calanidae"/>
        <s v="Candaciidae"/>
        <s v="Centropagidae"/>
        <s v="Clausocalanidae"/>
        <s v="Euchaetidae"/>
        <s v="Eucalanidae"/>
        <s v="Paracalanidae"/>
        <s v="Pontellidae"/>
        <s v="Temoridae"/>
        <s v="Pseudodiaptomidae"/>
        <s v="Corycaeidae"/>
        <s v="Oithonidae"/>
        <s v="Oncaeidae"/>
        <s v="Ectinosomatidae"/>
        <s v="Euterpinidae"/>
        <s v="Clytemnestridae"/>
        <s v="Longipedidae"/>
        <s v="Sagittidae"/>
        <s v="Fritillarinae"/>
        <s v="Oikopleurinae"/>
        <s v="Doliolidae"/>
        <s v="Salpidae"/>
      </sharedItems>
    </cacheField>
    <cacheField name="*" numFmtId="0">
      <sharedItems containsBlank="1" count="2">
        <m/>
        <s v="Amphipods"/>
      </sharedItems>
    </cacheField>
    <cacheField name="Genus:" numFmtId="0">
      <sharedItems containsBlank="1"/>
    </cacheField>
    <cacheField name="BZ10339" numFmtId="165">
      <sharedItems containsMixedTypes="1" containsNumber="1" minValue="2.1729954896813446E-2" maxValue="0.43459909793626894" count="6">
        <s v=""/>
        <n v="2.1729954896813446E-2"/>
        <n v="6.5189864690440344E-2"/>
        <n v="0.10864977448406724"/>
        <n v="0.21729954896813447"/>
        <n v="0.43459909793626894"/>
      </sharedItems>
    </cacheField>
    <cacheField name="BZ10340" numFmtId="165">
      <sharedItems containsMixedTypes="1" containsNumber="1" minValue="1.0864977448406723E-2" maxValue="1.6732065270546355" count="11">
        <s v=""/>
        <n v="2.1729954896813446E-2"/>
        <n v="6.5189864690440344E-2"/>
        <n v="0.41286914303945549"/>
        <n v="1.0864977448406723E-2"/>
        <n v="0.20643457151972774"/>
        <n v="0.28248941365857483"/>
        <n v="0.52151891752352275"/>
        <n v="7.605484213884707E-2"/>
        <n v="0.14124470682928741"/>
        <n v="1.6732065270546355"/>
      </sharedItems>
    </cacheField>
    <cacheField name="BZ10341" numFmtId="165">
      <sharedItems containsMixedTypes="1" containsNumber="1" minValue="1.0864977448406723E-2" maxValue="1.3798521359476539" count="10">
        <s v=""/>
        <n v="1.0864977448406723E-2"/>
        <n v="2.1729954896813446E-2"/>
        <n v="5.4324887242033618E-2"/>
        <n v="0.33681430090060843"/>
        <n v="0.10864977448406724"/>
        <n v="0.16297466172610084"/>
        <n v="0.42373412048786219"/>
        <n v="0.23902950386494792"/>
        <n v="1.3798521359476539"/>
      </sharedItems>
    </cacheField>
    <cacheField name="BZ10342" numFmtId="165">
      <sharedItems containsMixedTypes="1" containsNumber="1" minValue="1.0864977448406723E-2" maxValue="0.20643457151972774" count="6">
        <s v=""/>
        <n v="1.0864977448406723E-2"/>
        <n v="3.2594932345220172E-2"/>
        <n v="2.1729954896813446E-2"/>
        <n v="0.11951475193247396"/>
        <n v="0.20643457151972774"/>
      </sharedItems>
    </cacheField>
    <cacheField name="BZ10343" numFmtId="165">
      <sharedItems containsMixedTypes="1" containsNumber="1" minValue="1.0864977448406723E-2" maxValue="0.60843873711077656" count="10">
        <s v=""/>
        <n v="1.0864977448406723E-2"/>
        <n v="2.1729954896813446E-2"/>
        <n v="3.2594932345220172E-2"/>
        <n v="0.10864977448406724"/>
        <n v="9.7784797035660509E-2"/>
        <n v="0.16297466172610084"/>
        <n v="8.6919819587253783E-2"/>
        <n v="0.11951475193247396"/>
        <n v="0.60843873711077656"/>
      </sharedItems>
    </cacheField>
    <cacheField name="BZ10344" numFmtId="165">
      <sharedItems containsMixedTypes="1" containsNumber="1" minValue="1.0864977448406723E-2" maxValue="1.6297466172610084" count="10">
        <s v=""/>
        <n v="1.0864977448406723E-2"/>
        <n v="2.1729954896813446E-2"/>
        <n v="0.24989448131335465"/>
        <n v="0.47805900772989585"/>
        <n v="3.2594932345220172E-2"/>
        <n v="0.67362860180121686"/>
        <n v="9.7784797035660509E-2"/>
        <n v="0.13037972938088069"/>
        <n v="1.629746617261008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6">
  <r>
    <x v="0"/>
    <x v="0"/>
    <x v="0"/>
    <x v="0"/>
    <x v="0"/>
    <m/>
    <x v="0"/>
    <x v="0"/>
    <x v="0"/>
    <x v="0"/>
    <x v="0"/>
    <x v="0"/>
  </r>
  <r>
    <x v="0"/>
    <x v="0"/>
    <x v="0"/>
    <x v="0"/>
    <x v="0"/>
    <m/>
    <x v="0"/>
    <x v="0"/>
    <x v="0"/>
    <x v="0"/>
    <x v="0"/>
    <x v="0"/>
  </r>
  <r>
    <x v="0"/>
    <x v="0"/>
    <x v="0"/>
    <x v="0"/>
    <x v="0"/>
    <m/>
    <x v="0"/>
    <x v="0"/>
    <x v="0"/>
    <x v="0"/>
    <x v="0"/>
    <x v="0"/>
  </r>
  <r>
    <x v="0"/>
    <x v="0"/>
    <x v="0"/>
    <x v="0"/>
    <x v="0"/>
    <m/>
    <x v="0"/>
    <x v="0"/>
    <x v="0"/>
    <x v="0"/>
    <x v="0"/>
    <x v="0"/>
  </r>
  <r>
    <x v="1"/>
    <x v="1"/>
    <x v="1"/>
    <x v="1"/>
    <x v="0"/>
    <s v="Discorbis"/>
    <x v="0"/>
    <x v="0"/>
    <x v="0"/>
    <x v="0"/>
    <x v="0"/>
    <x v="0"/>
  </r>
  <r>
    <x v="0"/>
    <x v="0"/>
    <x v="0"/>
    <x v="0"/>
    <x v="0"/>
    <m/>
    <x v="0"/>
    <x v="0"/>
    <x v="0"/>
    <x v="0"/>
    <x v="0"/>
    <x v="0"/>
  </r>
  <r>
    <x v="0"/>
    <x v="0"/>
    <x v="0"/>
    <x v="0"/>
    <x v="0"/>
    <m/>
    <x v="0"/>
    <x v="0"/>
    <x v="0"/>
    <x v="0"/>
    <x v="0"/>
    <x v="0"/>
  </r>
  <r>
    <x v="0"/>
    <x v="0"/>
    <x v="0"/>
    <x v="0"/>
    <x v="0"/>
    <m/>
    <x v="0"/>
    <x v="0"/>
    <x v="0"/>
    <x v="0"/>
    <x v="0"/>
    <x v="0"/>
  </r>
  <r>
    <x v="0"/>
    <x v="0"/>
    <x v="0"/>
    <x v="0"/>
    <x v="0"/>
    <m/>
    <x v="0"/>
    <x v="0"/>
    <x v="0"/>
    <x v="0"/>
    <x v="0"/>
    <x v="0"/>
  </r>
  <r>
    <x v="0"/>
    <x v="0"/>
    <x v="0"/>
    <x v="0"/>
    <x v="0"/>
    <m/>
    <x v="0"/>
    <x v="0"/>
    <x v="0"/>
    <x v="0"/>
    <x v="0"/>
    <x v="0"/>
  </r>
  <r>
    <x v="2"/>
    <x v="2"/>
    <x v="2"/>
    <x v="2"/>
    <x v="0"/>
    <s v="Acanthometron"/>
    <x v="0"/>
    <x v="0"/>
    <x v="0"/>
    <x v="0"/>
    <x v="0"/>
    <x v="0"/>
  </r>
  <r>
    <x v="0"/>
    <x v="0"/>
    <x v="0"/>
    <x v="0"/>
    <x v="0"/>
    <m/>
    <x v="0"/>
    <x v="0"/>
    <x v="0"/>
    <x v="0"/>
    <x v="0"/>
    <x v="0"/>
  </r>
  <r>
    <x v="0"/>
    <x v="0"/>
    <x v="0"/>
    <x v="0"/>
    <x v="0"/>
    <m/>
    <x v="0"/>
    <x v="0"/>
    <x v="0"/>
    <x v="0"/>
    <x v="0"/>
    <x v="0"/>
  </r>
  <r>
    <x v="0"/>
    <x v="0"/>
    <x v="0"/>
    <x v="0"/>
    <x v="0"/>
    <m/>
    <x v="0"/>
    <x v="0"/>
    <x v="0"/>
    <x v="0"/>
    <x v="0"/>
    <x v="0"/>
  </r>
  <r>
    <x v="0"/>
    <x v="0"/>
    <x v="0"/>
    <x v="0"/>
    <x v="0"/>
    <m/>
    <x v="0"/>
    <x v="0"/>
    <x v="0"/>
    <x v="0"/>
    <x v="0"/>
    <x v="0"/>
  </r>
  <r>
    <x v="0"/>
    <x v="0"/>
    <x v="0"/>
    <x v="0"/>
    <x v="0"/>
    <m/>
    <x v="0"/>
    <x v="0"/>
    <x v="0"/>
    <x v="0"/>
    <x v="0"/>
    <x v="0"/>
  </r>
  <r>
    <x v="0"/>
    <x v="0"/>
    <x v="0"/>
    <x v="0"/>
    <x v="0"/>
    <m/>
    <x v="0"/>
    <x v="0"/>
    <x v="0"/>
    <x v="0"/>
    <x v="0"/>
    <x v="0"/>
  </r>
  <r>
    <x v="3"/>
    <x v="3"/>
    <x v="3"/>
    <x v="3"/>
    <x v="0"/>
    <s v="Tintinnopsis"/>
    <x v="0"/>
    <x v="0"/>
    <x v="0"/>
    <x v="0"/>
    <x v="0"/>
    <x v="0"/>
  </r>
  <r>
    <x v="3"/>
    <x v="3"/>
    <x v="3"/>
    <x v="3"/>
    <x v="0"/>
    <s v="Tintinnid"/>
    <x v="0"/>
    <x v="0"/>
    <x v="0"/>
    <x v="0"/>
    <x v="0"/>
    <x v="0"/>
  </r>
  <r>
    <x v="0"/>
    <x v="0"/>
    <x v="0"/>
    <x v="0"/>
    <x v="0"/>
    <m/>
    <x v="0"/>
    <x v="0"/>
    <x v="0"/>
    <x v="0"/>
    <x v="0"/>
    <x v="0"/>
  </r>
  <r>
    <x v="0"/>
    <x v="0"/>
    <x v="0"/>
    <x v="0"/>
    <x v="0"/>
    <m/>
    <x v="0"/>
    <x v="0"/>
    <x v="0"/>
    <x v="0"/>
    <x v="0"/>
    <x v="0"/>
  </r>
  <r>
    <x v="4"/>
    <x v="0"/>
    <x v="0"/>
    <x v="0"/>
    <x v="0"/>
    <s v="Siphonophore"/>
    <x v="0"/>
    <x v="0"/>
    <x v="0"/>
    <x v="0"/>
    <x v="0"/>
    <x v="0"/>
  </r>
  <r>
    <x v="0"/>
    <x v="0"/>
    <x v="0"/>
    <x v="0"/>
    <x v="0"/>
    <m/>
    <x v="0"/>
    <x v="0"/>
    <x v="0"/>
    <x v="0"/>
    <x v="0"/>
    <x v="0"/>
  </r>
  <r>
    <x v="4"/>
    <x v="4"/>
    <x v="0"/>
    <x v="0"/>
    <x v="0"/>
    <s v="Liriope"/>
    <x v="0"/>
    <x v="0"/>
    <x v="0"/>
    <x v="0"/>
    <x v="0"/>
    <x v="0"/>
  </r>
  <r>
    <x v="4"/>
    <x v="4"/>
    <x v="0"/>
    <x v="0"/>
    <x v="0"/>
    <s v="Bassia"/>
    <x v="0"/>
    <x v="0"/>
    <x v="0"/>
    <x v="0"/>
    <x v="0"/>
    <x v="0"/>
  </r>
  <r>
    <x v="4"/>
    <x v="4"/>
    <x v="0"/>
    <x v="0"/>
    <x v="0"/>
    <s v="Cnidarian"/>
    <x v="0"/>
    <x v="0"/>
    <x v="0"/>
    <x v="0"/>
    <x v="0"/>
    <x v="0"/>
  </r>
  <r>
    <x v="0"/>
    <x v="0"/>
    <x v="0"/>
    <x v="0"/>
    <x v="0"/>
    <m/>
    <x v="0"/>
    <x v="0"/>
    <x v="0"/>
    <x v="0"/>
    <x v="0"/>
    <x v="0"/>
  </r>
  <r>
    <x v="0"/>
    <x v="0"/>
    <x v="0"/>
    <x v="0"/>
    <x v="0"/>
    <m/>
    <x v="0"/>
    <x v="0"/>
    <x v="0"/>
    <x v="0"/>
    <x v="0"/>
    <x v="0"/>
  </r>
  <r>
    <x v="5"/>
    <x v="0"/>
    <x v="0"/>
    <x v="0"/>
    <x v="0"/>
    <s v="Other ctenophores"/>
    <x v="0"/>
    <x v="0"/>
    <x v="0"/>
    <x v="0"/>
    <x v="0"/>
    <x v="0"/>
  </r>
  <r>
    <x v="0"/>
    <x v="0"/>
    <x v="0"/>
    <x v="0"/>
    <x v="0"/>
    <m/>
    <x v="0"/>
    <x v="0"/>
    <x v="0"/>
    <x v="0"/>
    <x v="0"/>
    <x v="0"/>
  </r>
  <r>
    <x v="5"/>
    <x v="5"/>
    <x v="0"/>
    <x v="0"/>
    <x v="0"/>
    <s v="Pleurobrachia"/>
    <x v="0"/>
    <x v="0"/>
    <x v="0"/>
    <x v="0"/>
    <x v="0"/>
    <x v="0"/>
  </r>
  <r>
    <x v="0"/>
    <x v="0"/>
    <x v="0"/>
    <x v="0"/>
    <x v="0"/>
    <m/>
    <x v="0"/>
    <x v="0"/>
    <x v="0"/>
    <x v="0"/>
    <x v="0"/>
    <x v="0"/>
  </r>
  <r>
    <x v="0"/>
    <x v="0"/>
    <x v="0"/>
    <x v="0"/>
    <x v="0"/>
    <m/>
    <x v="0"/>
    <x v="0"/>
    <x v="0"/>
    <x v="0"/>
    <x v="0"/>
    <x v="0"/>
  </r>
  <r>
    <x v="5"/>
    <x v="6"/>
    <x v="0"/>
    <x v="0"/>
    <x v="0"/>
    <s v="Beroe"/>
    <x v="0"/>
    <x v="0"/>
    <x v="0"/>
    <x v="0"/>
    <x v="0"/>
    <x v="0"/>
  </r>
  <r>
    <x v="0"/>
    <x v="0"/>
    <x v="0"/>
    <x v="0"/>
    <x v="0"/>
    <m/>
    <x v="0"/>
    <x v="0"/>
    <x v="0"/>
    <x v="0"/>
    <x v="0"/>
    <x v="0"/>
  </r>
  <r>
    <x v="0"/>
    <x v="0"/>
    <x v="0"/>
    <x v="0"/>
    <x v="0"/>
    <m/>
    <x v="0"/>
    <x v="0"/>
    <x v="0"/>
    <x v="0"/>
    <x v="0"/>
    <x v="0"/>
  </r>
  <r>
    <x v="6"/>
    <x v="0"/>
    <x v="0"/>
    <x v="0"/>
    <x v="0"/>
    <s v="Other annelids"/>
    <x v="0"/>
    <x v="0"/>
    <x v="0"/>
    <x v="0"/>
    <x v="0"/>
    <x v="0"/>
  </r>
  <r>
    <x v="0"/>
    <x v="0"/>
    <x v="0"/>
    <x v="0"/>
    <x v="0"/>
    <m/>
    <x v="0"/>
    <x v="0"/>
    <x v="0"/>
    <x v="0"/>
    <x v="0"/>
    <x v="0"/>
  </r>
  <r>
    <x v="6"/>
    <x v="7"/>
    <x v="0"/>
    <x v="0"/>
    <x v="0"/>
    <s v="Tomopteris"/>
    <x v="0"/>
    <x v="0"/>
    <x v="0"/>
    <x v="0"/>
    <x v="0"/>
    <x v="0"/>
  </r>
  <r>
    <x v="0"/>
    <x v="0"/>
    <x v="0"/>
    <x v="0"/>
    <x v="0"/>
    <s v="Polychaete larvae"/>
    <x v="1"/>
    <x v="1"/>
    <x v="0"/>
    <x v="0"/>
    <x v="0"/>
    <x v="1"/>
  </r>
  <r>
    <x v="0"/>
    <x v="0"/>
    <x v="0"/>
    <x v="0"/>
    <x v="0"/>
    <m/>
    <x v="0"/>
    <x v="0"/>
    <x v="0"/>
    <x v="0"/>
    <x v="0"/>
    <x v="0"/>
  </r>
  <r>
    <x v="6"/>
    <x v="7"/>
    <x v="0"/>
    <x v="4"/>
    <x v="0"/>
    <s v=" Pectinaria"/>
    <x v="0"/>
    <x v="0"/>
    <x v="0"/>
    <x v="0"/>
    <x v="0"/>
    <x v="0"/>
  </r>
  <r>
    <x v="0"/>
    <x v="0"/>
    <x v="0"/>
    <x v="0"/>
    <x v="0"/>
    <m/>
    <x v="0"/>
    <x v="0"/>
    <x v="0"/>
    <x v="0"/>
    <x v="0"/>
    <x v="0"/>
  </r>
  <r>
    <x v="0"/>
    <x v="0"/>
    <x v="0"/>
    <x v="0"/>
    <x v="0"/>
    <m/>
    <x v="0"/>
    <x v="0"/>
    <x v="0"/>
    <x v="0"/>
    <x v="0"/>
    <x v="0"/>
  </r>
  <r>
    <x v="0"/>
    <x v="0"/>
    <x v="0"/>
    <x v="0"/>
    <x v="0"/>
    <m/>
    <x v="0"/>
    <x v="0"/>
    <x v="0"/>
    <x v="0"/>
    <x v="0"/>
    <x v="0"/>
  </r>
  <r>
    <x v="7"/>
    <x v="8"/>
    <x v="0"/>
    <x v="0"/>
    <x v="0"/>
    <s v="Other branchiopods"/>
    <x v="0"/>
    <x v="0"/>
    <x v="0"/>
    <x v="0"/>
    <x v="0"/>
    <x v="0"/>
  </r>
  <r>
    <x v="0"/>
    <x v="0"/>
    <x v="0"/>
    <x v="0"/>
    <x v="0"/>
    <m/>
    <x v="0"/>
    <x v="0"/>
    <x v="0"/>
    <x v="0"/>
    <x v="0"/>
    <x v="0"/>
  </r>
  <r>
    <x v="0"/>
    <x v="0"/>
    <x v="0"/>
    <x v="0"/>
    <x v="0"/>
    <m/>
    <x v="0"/>
    <x v="0"/>
    <x v="0"/>
    <x v="0"/>
    <x v="0"/>
    <x v="0"/>
  </r>
  <r>
    <x v="7"/>
    <x v="8"/>
    <x v="4"/>
    <x v="5"/>
    <x v="0"/>
    <s v="Evadne"/>
    <x v="0"/>
    <x v="0"/>
    <x v="0"/>
    <x v="0"/>
    <x v="0"/>
    <x v="0"/>
  </r>
  <r>
    <x v="7"/>
    <x v="8"/>
    <x v="4"/>
    <x v="5"/>
    <x v="0"/>
    <s v="Podon"/>
    <x v="0"/>
    <x v="0"/>
    <x v="0"/>
    <x v="0"/>
    <x v="0"/>
    <x v="0"/>
  </r>
  <r>
    <x v="0"/>
    <x v="0"/>
    <x v="0"/>
    <x v="0"/>
    <x v="0"/>
    <m/>
    <x v="0"/>
    <x v="0"/>
    <x v="0"/>
    <x v="0"/>
    <x v="0"/>
    <x v="0"/>
  </r>
  <r>
    <x v="7"/>
    <x v="8"/>
    <x v="4"/>
    <x v="6"/>
    <x v="0"/>
    <s v="Penilia"/>
    <x v="0"/>
    <x v="0"/>
    <x v="0"/>
    <x v="0"/>
    <x v="0"/>
    <x v="0"/>
  </r>
  <r>
    <x v="0"/>
    <x v="0"/>
    <x v="0"/>
    <x v="0"/>
    <x v="0"/>
    <m/>
    <x v="0"/>
    <x v="0"/>
    <x v="0"/>
    <x v="0"/>
    <x v="0"/>
    <x v="0"/>
  </r>
  <r>
    <x v="0"/>
    <x v="0"/>
    <x v="0"/>
    <x v="0"/>
    <x v="0"/>
    <m/>
    <x v="0"/>
    <x v="0"/>
    <x v="0"/>
    <x v="0"/>
    <x v="0"/>
    <x v="0"/>
  </r>
  <r>
    <x v="7"/>
    <x v="9"/>
    <x v="0"/>
    <x v="0"/>
    <x v="0"/>
    <s v="Other ostracods"/>
    <x v="0"/>
    <x v="0"/>
    <x v="0"/>
    <x v="0"/>
    <x v="0"/>
    <x v="0"/>
  </r>
  <r>
    <x v="0"/>
    <x v="0"/>
    <x v="0"/>
    <x v="0"/>
    <x v="0"/>
    <m/>
    <x v="0"/>
    <x v="0"/>
    <x v="0"/>
    <x v="0"/>
    <x v="0"/>
    <x v="0"/>
  </r>
  <r>
    <x v="0"/>
    <x v="0"/>
    <x v="0"/>
    <x v="0"/>
    <x v="0"/>
    <m/>
    <x v="0"/>
    <x v="0"/>
    <x v="0"/>
    <x v="0"/>
    <x v="0"/>
    <x v="0"/>
  </r>
  <r>
    <x v="7"/>
    <x v="9"/>
    <x v="5"/>
    <x v="7"/>
    <x v="0"/>
    <s v="Pyrocypris"/>
    <x v="0"/>
    <x v="0"/>
    <x v="0"/>
    <x v="0"/>
    <x v="0"/>
    <x v="0"/>
  </r>
  <r>
    <x v="0"/>
    <x v="0"/>
    <x v="0"/>
    <x v="0"/>
    <x v="0"/>
    <m/>
    <x v="0"/>
    <x v="0"/>
    <x v="0"/>
    <x v="0"/>
    <x v="0"/>
    <x v="0"/>
  </r>
  <r>
    <x v="0"/>
    <x v="0"/>
    <x v="0"/>
    <x v="0"/>
    <x v="0"/>
    <m/>
    <x v="0"/>
    <x v="0"/>
    <x v="0"/>
    <x v="0"/>
    <x v="0"/>
    <x v="0"/>
  </r>
  <r>
    <x v="0"/>
    <x v="0"/>
    <x v="0"/>
    <x v="0"/>
    <x v="0"/>
    <m/>
    <x v="0"/>
    <x v="0"/>
    <x v="0"/>
    <x v="0"/>
    <x v="0"/>
    <x v="0"/>
  </r>
  <r>
    <x v="7"/>
    <x v="10"/>
    <x v="0"/>
    <x v="0"/>
    <x v="0"/>
    <s v="Copepod egg sac"/>
    <x v="0"/>
    <x v="0"/>
    <x v="0"/>
    <x v="0"/>
    <x v="0"/>
    <x v="0"/>
  </r>
  <r>
    <x v="7"/>
    <x v="10"/>
    <x v="0"/>
    <x v="0"/>
    <x v="0"/>
    <s v="Copepod nauplii"/>
    <x v="0"/>
    <x v="0"/>
    <x v="0"/>
    <x v="0"/>
    <x v="0"/>
    <x v="0"/>
  </r>
  <r>
    <x v="0"/>
    <x v="0"/>
    <x v="0"/>
    <x v="0"/>
    <x v="0"/>
    <m/>
    <x v="0"/>
    <x v="0"/>
    <x v="0"/>
    <x v="0"/>
    <x v="0"/>
    <x v="0"/>
  </r>
  <r>
    <x v="0"/>
    <x v="0"/>
    <x v="0"/>
    <x v="0"/>
    <x v="0"/>
    <m/>
    <x v="0"/>
    <x v="0"/>
    <x v="0"/>
    <x v="0"/>
    <x v="0"/>
    <x v="0"/>
  </r>
  <r>
    <x v="7"/>
    <x v="10"/>
    <x v="6"/>
    <x v="0"/>
    <x v="0"/>
    <s v="Calanoid copepodite"/>
    <x v="0"/>
    <x v="0"/>
    <x v="0"/>
    <x v="0"/>
    <x v="0"/>
    <x v="0"/>
  </r>
  <r>
    <x v="7"/>
    <x v="10"/>
    <x v="6"/>
    <x v="0"/>
    <x v="0"/>
    <s v="Other calanoids"/>
    <x v="0"/>
    <x v="0"/>
    <x v="0"/>
    <x v="0"/>
    <x v="0"/>
    <x v="0"/>
  </r>
  <r>
    <x v="0"/>
    <x v="0"/>
    <x v="0"/>
    <x v="0"/>
    <x v="0"/>
    <m/>
    <x v="0"/>
    <x v="0"/>
    <x v="0"/>
    <x v="0"/>
    <x v="0"/>
    <x v="0"/>
  </r>
  <r>
    <x v="7"/>
    <x v="10"/>
    <x v="6"/>
    <x v="8"/>
    <x v="0"/>
    <s v="Acartia"/>
    <x v="1"/>
    <x v="1"/>
    <x v="1"/>
    <x v="1"/>
    <x v="1"/>
    <x v="0"/>
  </r>
  <r>
    <x v="0"/>
    <x v="0"/>
    <x v="0"/>
    <x v="0"/>
    <x v="0"/>
    <m/>
    <x v="0"/>
    <x v="0"/>
    <x v="0"/>
    <x v="0"/>
    <x v="0"/>
    <x v="0"/>
  </r>
  <r>
    <x v="7"/>
    <x v="10"/>
    <x v="6"/>
    <x v="9"/>
    <x v="0"/>
    <s v="Metacalanus"/>
    <x v="0"/>
    <x v="2"/>
    <x v="0"/>
    <x v="0"/>
    <x v="2"/>
    <x v="2"/>
  </r>
  <r>
    <x v="0"/>
    <x v="0"/>
    <x v="0"/>
    <x v="0"/>
    <x v="0"/>
    <m/>
    <x v="0"/>
    <x v="0"/>
    <x v="0"/>
    <x v="0"/>
    <x v="0"/>
    <x v="0"/>
  </r>
  <r>
    <x v="7"/>
    <x v="10"/>
    <x v="6"/>
    <x v="10"/>
    <x v="0"/>
    <s v="Calanus"/>
    <x v="0"/>
    <x v="0"/>
    <x v="0"/>
    <x v="0"/>
    <x v="0"/>
    <x v="0"/>
  </r>
  <r>
    <x v="7"/>
    <x v="10"/>
    <x v="6"/>
    <x v="10"/>
    <x v="0"/>
    <s v="Canthocalanus"/>
    <x v="0"/>
    <x v="1"/>
    <x v="2"/>
    <x v="2"/>
    <x v="3"/>
    <x v="0"/>
  </r>
  <r>
    <x v="7"/>
    <x v="10"/>
    <x v="6"/>
    <x v="10"/>
    <x v="0"/>
    <s v="Undinula"/>
    <x v="0"/>
    <x v="0"/>
    <x v="0"/>
    <x v="0"/>
    <x v="0"/>
    <x v="0"/>
  </r>
  <r>
    <x v="7"/>
    <x v="10"/>
    <x v="6"/>
    <x v="10"/>
    <x v="0"/>
    <s v="Nannocalanus"/>
    <x v="0"/>
    <x v="0"/>
    <x v="0"/>
    <x v="0"/>
    <x v="0"/>
    <x v="0"/>
  </r>
  <r>
    <x v="7"/>
    <x v="10"/>
    <x v="6"/>
    <x v="10"/>
    <x v="0"/>
    <s v="Cosmocalanus"/>
    <x v="0"/>
    <x v="0"/>
    <x v="0"/>
    <x v="0"/>
    <x v="0"/>
    <x v="0"/>
  </r>
  <r>
    <x v="0"/>
    <x v="0"/>
    <x v="0"/>
    <x v="0"/>
    <x v="0"/>
    <m/>
    <x v="0"/>
    <x v="0"/>
    <x v="0"/>
    <x v="0"/>
    <x v="0"/>
    <x v="0"/>
  </r>
  <r>
    <x v="7"/>
    <x v="10"/>
    <x v="6"/>
    <x v="11"/>
    <x v="0"/>
    <s v="Candacia"/>
    <x v="0"/>
    <x v="0"/>
    <x v="0"/>
    <x v="0"/>
    <x v="0"/>
    <x v="0"/>
  </r>
  <r>
    <x v="0"/>
    <x v="0"/>
    <x v="0"/>
    <x v="0"/>
    <x v="0"/>
    <m/>
    <x v="0"/>
    <x v="0"/>
    <x v="0"/>
    <x v="0"/>
    <x v="0"/>
    <x v="0"/>
  </r>
  <r>
    <x v="7"/>
    <x v="10"/>
    <x v="6"/>
    <x v="12"/>
    <x v="0"/>
    <s v="Centropages"/>
    <x v="1"/>
    <x v="0"/>
    <x v="3"/>
    <x v="0"/>
    <x v="3"/>
    <x v="2"/>
  </r>
  <r>
    <x v="0"/>
    <x v="0"/>
    <x v="0"/>
    <x v="0"/>
    <x v="0"/>
    <m/>
    <x v="0"/>
    <x v="0"/>
    <x v="0"/>
    <x v="0"/>
    <x v="0"/>
    <x v="0"/>
  </r>
  <r>
    <x v="7"/>
    <x v="10"/>
    <x v="6"/>
    <x v="13"/>
    <x v="0"/>
    <s v="Clausocalanus"/>
    <x v="1"/>
    <x v="3"/>
    <x v="4"/>
    <x v="3"/>
    <x v="4"/>
    <x v="3"/>
  </r>
  <r>
    <x v="0"/>
    <x v="0"/>
    <x v="0"/>
    <x v="0"/>
    <x v="0"/>
    <m/>
    <x v="0"/>
    <x v="0"/>
    <x v="0"/>
    <x v="0"/>
    <x v="0"/>
    <x v="0"/>
  </r>
  <r>
    <x v="7"/>
    <x v="10"/>
    <x v="6"/>
    <x v="14"/>
    <x v="0"/>
    <s v="Euchaeta"/>
    <x v="0"/>
    <x v="0"/>
    <x v="0"/>
    <x v="0"/>
    <x v="0"/>
    <x v="0"/>
  </r>
  <r>
    <x v="0"/>
    <x v="0"/>
    <x v="0"/>
    <x v="0"/>
    <x v="0"/>
    <m/>
    <x v="0"/>
    <x v="0"/>
    <x v="0"/>
    <x v="0"/>
    <x v="0"/>
    <x v="0"/>
  </r>
  <r>
    <x v="7"/>
    <x v="10"/>
    <x v="6"/>
    <x v="15"/>
    <x v="0"/>
    <s v="Subeucalanus"/>
    <x v="0"/>
    <x v="4"/>
    <x v="0"/>
    <x v="1"/>
    <x v="0"/>
    <x v="0"/>
  </r>
  <r>
    <x v="0"/>
    <x v="0"/>
    <x v="0"/>
    <x v="0"/>
    <x v="0"/>
    <m/>
    <x v="0"/>
    <x v="0"/>
    <x v="0"/>
    <x v="0"/>
    <x v="0"/>
    <x v="0"/>
  </r>
  <r>
    <x v="7"/>
    <x v="10"/>
    <x v="6"/>
    <x v="16"/>
    <x v="0"/>
    <s v="Acrocalanus"/>
    <x v="0"/>
    <x v="0"/>
    <x v="0"/>
    <x v="0"/>
    <x v="0"/>
    <x v="0"/>
  </r>
  <r>
    <x v="7"/>
    <x v="10"/>
    <x v="6"/>
    <x v="16"/>
    <x v="0"/>
    <s v="Paracalanus"/>
    <x v="1"/>
    <x v="5"/>
    <x v="5"/>
    <x v="3"/>
    <x v="5"/>
    <x v="4"/>
  </r>
  <r>
    <x v="7"/>
    <x v="10"/>
    <x v="6"/>
    <x v="16"/>
    <x v="0"/>
    <s v="Parvocalanus"/>
    <x v="2"/>
    <x v="6"/>
    <x v="6"/>
    <x v="3"/>
    <x v="3"/>
    <x v="5"/>
  </r>
  <r>
    <x v="7"/>
    <x v="10"/>
    <x v="6"/>
    <x v="16"/>
    <x v="0"/>
    <s v="Calocalanus"/>
    <x v="0"/>
    <x v="0"/>
    <x v="0"/>
    <x v="0"/>
    <x v="0"/>
    <x v="0"/>
  </r>
  <r>
    <x v="0"/>
    <x v="0"/>
    <x v="0"/>
    <x v="0"/>
    <x v="0"/>
    <m/>
    <x v="0"/>
    <x v="0"/>
    <x v="0"/>
    <x v="0"/>
    <x v="0"/>
    <x v="0"/>
  </r>
  <r>
    <x v="7"/>
    <x v="10"/>
    <x v="6"/>
    <x v="17"/>
    <x v="0"/>
    <s v="Labidocera"/>
    <x v="0"/>
    <x v="0"/>
    <x v="0"/>
    <x v="0"/>
    <x v="0"/>
    <x v="0"/>
  </r>
  <r>
    <x v="7"/>
    <x v="10"/>
    <x v="6"/>
    <x v="17"/>
    <x v="0"/>
    <s v="Calanopia"/>
    <x v="0"/>
    <x v="0"/>
    <x v="0"/>
    <x v="0"/>
    <x v="0"/>
    <x v="0"/>
  </r>
  <r>
    <x v="0"/>
    <x v="0"/>
    <x v="0"/>
    <x v="0"/>
    <x v="0"/>
    <m/>
    <x v="0"/>
    <x v="0"/>
    <x v="0"/>
    <x v="0"/>
    <x v="0"/>
    <x v="0"/>
  </r>
  <r>
    <x v="7"/>
    <x v="10"/>
    <x v="6"/>
    <x v="18"/>
    <x v="0"/>
    <s v="Temora"/>
    <x v="0"/>
    <x v="0"/>
    <x v="0"/>
    <x v="0"/>
    <x v="0"/>
    <x v="0"/>
  </r>
  <r>
    <x v="0"/>
    <x v="0"/>
    <x v="0"/>
    <x v="0"/>
    <x v="0"/>
    <m/>
    <x v="0"/>
    <x v="0"/>
    <x v="0"/>
    <x v="0"/>
    <x v="0"/>
    <x v="0"/>
  </r>
  <r>
    <x v="7"/>
    <x v="10"/>
    <x v="6"/>
    <x v="19"/>
    <x v="0"/>
    <s v="Pseudodiaptomus"/>
    <x v="0"/>
    <x v="0"/>
    <x v="0"/>
    <x v="0"/>
    <x v="0"/>
    <x v="0"/>
  </r>
  <r>
    <x v="0"/>
    <x v="0"/>
    <x v="0"/>
    <x v="0"/>
    <x v="0"/>
    <m/>
    <x v="0"/>
    <x v="0"/>
    <x v="0"/>
    <x v="0"/>
    <x v="0"/>
    <x v="0"/>
  </r>
  <r>
    <x v="0"/>
    <x v="0"/>
    <x v="0"/>
    <x v="0"/>
    <x v="0"/>
    <m/>
    <x v="0"/>
    <x v="0"/>
    <x v="0"/>
    <x v="0"/>
    <x v="0"/>
    <x v="0"/>
  </r>
  <r>
    <x v="7"/>
    <x v="10"/>
    <x v="7"/>
    <x v="0"/>
    <x v="0"/>
    <s v="Cyclopoid copepodite"/>
    <x v="0"/>
    <x v="0"/>
    <x v="0"/>
    <x v="0"/>
    <x v="0"/>
    <x v="0"/>
  </r>
  <r>
    <x v="7"/>
    <x v="10"/>
    <x v="7"/>
    <x v="0"/>
    <x v="0"/>
    <s v="Other cyclopoids"/>
    <x v="0"/>
    <x v="0"/>
    <x v="0"/>
    <x v="0"/>
    <x v="0"/>
    <x v="0"/>
  </r>
  <r>
    <x v="0"/>
    <x v="0"/>
    <x v="0"/>
    <x v="0"/>
    <x v="0"/>
    <m/>
    <x v="0"/>
    <x v="0"/>
    <x v="0"/>
    <x v="0"/>
    <x v="0"/>
    <x v="0"/>
  </r>
  <r>
    <x v="7"/>
    <x v="10"/>
    <x v="7"/>
    <x v="20"/>
    <x v="0"/>
    <s v="Corycaeus"/>
    <x v="0"/>
    <x v="4"/>
    <x v="0"/>
    <x v="1"/>
    <x v="0"/>
    <x v="0"/>
  </r>
  <r>
    <x v="0"/>
    <x v="0"/>
    <x v="0"/>
    <x v="0"/>
    <x v="0"/>
    <m/>
    <x v="0"/>
    <x v="0"/>
    <x v="0"/>
    <x v="0"/>
    <x v="0"/>
    <x v="0"/>
  </r>
  <r>
    <x v="7"/>
    <x v="10"/>
    <x v="7"/>
    <x v="21"/>
    <x v="0"/>
    <s v="Oithona"/>
    <x v="3"/>
    <x v="7"/>
    <x v="7"/>
    <x v="2"/>
    <x v="6"/>
    <x v="6"/>
  </r>
  <r>
    <x v="0"/>
    <x v="0"/>
    <x v="0"/>
    <x v="0"/>
    <x v="0"/>
    <m/>
    <x v="0"/>
    <x v="0"/>
    <x v="0"/>
    <x v="0"/>
    <x v="0"/>
    <x v="0"/>
  </r>
  <r>
    <x v="0"/>
    <x v="0"/>
    <x v="0"/>
    <x v="0"/>
    <x v="0"/>
    <m/>
    <x v="0"/>
    <x v="0"/>
    <x v="0"/>
    <x v="0"/>
    <x v="0"/>
    <x v="0"/>
  </r>
  <r>
    <x v="7"/>
    <x v="10"/>
    <x v="8"/>
    <x v="0"/>
    <x v="0"/>
    <s v="Other poecilostomatoids"/>
    <x v="0"/>
    <x v="0"/>
    <x v="0"/>
    <x v="0"/>
    <x v="0"/>
    <x v="0"/>
  </r>
  <r>
    <x v="0"/>
    <x v="0"/>
    <x v="0"/>
    <x v="0"/>
    <x v="0"/>
    <m/>
    <x v="0"/>
    <x v="0"/>
    <x v="0"/>
    <x v="0"/>
    <x v="0"/>
    <x v="0"/>
  </r>
  <r>
    <x v="7"/>
    <x v="10"/>
    <x v="8"/>
    <x v="22"/>
    <x v="0"/>
    <s v="Oncaea"/>
    <x v="0"/>
    <x v="0"/>
    <x v="0"/>
    <x v="0"/>
    <x v="0"/>
    <x v="0"/>
  </r>
  <r>
    <x v="7"/>
    <x v="10"/>
    <x v="8"/>
    <x v="22"/>
    <x v="0"/>
    <s v="Triconia"/>
    <x v="0"/>
    <x v="0"/>
    <x v="0"/>
    <x v="0"/>
    <x v="0"/>
    <x v="0"/>
  </r>
  <r>
    <x v="0"/>
    <x v="0"/>
    <x v="0"/>
    <x v="0"/>
    <x v="0"/>
    <m/>
    <x v="0"/>
    <x v="0"/>
    <x v="0"/>
    <x v="0"/>
    <x v="0"/>
    <x v="0"/>
  </r>
  <r>
    <x v="0"/>
    <x v="0"/>
    <x v="0"/>
    <x v="0"/>
    <x v="0"/>
    <m/>
    <x v="0"/>
    <x v="0"/>
    <x v="0"/>
    <x v="0"/>
    <x v="0"/>
    <x v="0"/>
  </r>
  <r>
    <x v="7"/>
    <x v="10"/>
    <x v="9"/>
    <x v="0"/>
    <x v="0"/>
    <s v="Other harpacticoids"/>
    <x v="0"/>
    <x v="0"/>
    <x v="0"/>
    <x v="0"/>
    <x v="0"/>
    <x v="0"/>
  </r>
  <r>
    <x v="0"/>
    <x v="0"/>
    <x v="0"/>
    <x v="0"/>
    <x v="0"/>
    <m/>
    <x v="0"/>
    <x v="0"/>
    <x v="0"/>
    <x v="0"/>
    <x v="0"/>
    <x v="0"/>
  </r>
  <r>
    <x v="7"/>
    <x v="10"/>
    <x v="9"/>
    <x v="23"/>
    <x v="0"/>
    <s v="Microsetella"/>
    <x v="0"/>
    <x v="4"/>
    <x v="0"/>
    <x v="1"/>
    <x v="0"/>
    <x v="1"/>
  </r>
  <r>
    <x v="0"/>
    <x v="0"/>
    <x v="0"/>
    <x v="0"/>
    <x v="0"/>
    <m/>
    <x v="0"/>
    <x v="0"/>
    <x v="0"/>
    <x v="0"/>
    <x v="0"/>
    <x v="0"/>
  </r>
  <r>
    <x v="7"/>
    <x v="10"/>
    <x v="9"/>
    <x v="24"/>
    <x v="0"/>
    <s v="Euterpina"/>
    <x v="3"/>
    <x v="8"/>
    <x v="8"/>
    <x v="0"/>
    <x v="7"/>
    <x v="7"/>
  </r>
  <r>
    <x v="0"/>
    <x v="0"/>
    <x v="0"/>
    <x v="0"/>
    <x v="0"/>
    <m/>
    <x v="0"/>
    <x v="0"/>
    <x v="0"/>
    <x v="0"/>
    <x v="0"/>
    <x v="0"/>
  </r>
  <r>
    <x v="7"/>
    <x v="10"/>
    <x v="9"/>
    <x v="25"/>
    <x v="0"/>
    <s v=" Clytemnestra"/>
    <x v="0"/>
    <x v="0"/>
    <x v="0"/>
    <x v="0"/>
    <x v="0"/>
    <x v="0"/>
  </r>
  <r>
    <x v="0"/>
    <x v="0"/>
    <x v="0"/>
    <x v="0"/>
    <x v="0"/>
    <m/>
    <x v="0"/>
    <x v="0"/>
    <x v="0"/>
    <x v="0"/>
    <x v="0"/>
    <x v="0"/>
  </r>
  <r>
    <x v="7"/>
    <x v="10"/>
    <x v="9"/>
    <x v="26"/>
    <x v="0"/>
    <s v="Longipedia"/>
    <x v="0"/>
    <x v="0"/>
    <x v="0"/>
    <x v="0"/>
    <x v="0"/>
    <x v="0"/>
  </r>
  <r>
    <x v="0"/>
    <x v="0"/>
    <x v="0"/>
    <x v="0"/>
    <x v="0"/>
    <m/>
    <x v="0"/>
    <x v="0"/>
    <x v="0"/>
    <x v="0"/>
    <x v="0"/>
    <x v="0"/>
  </r>
  <r>
    <x v="0"/>
    <x v="0"/>
    <x v="0"/>
    <x v="0"/>
    <x v="0"/>
    <m/>
    <x v="0"/>
    <x v="0"/>
    <x v="0"/>
    <x v="0"/>
    <x v="0"/>
    <x v="0"/>
  </r>
  <r>
    <x v="7"/>
    <x v="11"/>
    <x v="0"/>
    <x v="0"/>
    <x v="0"/>
    <s v="Cirripede nauplii"/>
    <x v="0"/>
    <x v="0"/>
    <x v="0"/>
    <x v="0"/>
    <x v="0"/>
    <x v="0"/>
  </r>
  <r>
    <x v="0"/>
    <x v="0"/>
    <x v="0"/>
    <x v="0"/>
    <x v="0"/>
    <m/>
    <x v="0"/>
    <x v="0"/>
    <x v="0"/>
    <x v="0"/>
    <x v="0"/>
    <x v="0"/>
  </r>
  <r>
    <x v="0"/>
    <x v="0"/>
    <x v="0"/>
    <x v="0"/>
    <x v="0"/>
    <m/>
    <x v="0"/>
    <x v="0"/>
    <x v="0"/>
    <x v="0"/>
    <x v="0"/>
    <x v="0"/>
  </r>
  <r>
    <x v="7"/>
    <x v="12"/>
    <x v="0"/>
    <x v="0"/>
    <x v="0"/>
    <s v="Malacostracan larvae"/>
    <x v="0"/>
    <x v="0"/>
    <x v="0"/>
    <x v="0"/>
    <x v="0"/>
    <x v="0"/>
  </r>
  <r>
    <x v="0"/>
    <x v="0"/>
    <x v="0"/>
    <x v="0"/>
    <x v="0"/>
    <m/>
    <x v="0"/>
    <x v="0"/>
    <x v="0"/>
    <x v="0"/>
    <x v="0"/>
    <x v="0"/>
  </r>
  <r>
    <x v="7"/>
    <x v="12"/>
    <x v="10"/>
    <x v="0"/>
    <x v="0"/>
    <s v="Mysids"/>
    <x v="0"/>
    <x v="0"/>
    <x v="0"/>
    <x v="0"/>
    <x v="0"/>
    <x v="0"/>
  </r>
  <r>
    <x v="0"/>
    <x v="0"/>
    <x v="0"/>
    <x v="0"/>
    <x v="0"/>
    <m/>
    <x v="0"/>
    <x v="0"/>
    <x v="0"/>
    <x v="0"/>
    <x v="0"/>
    <x v="0"/>
  </r>
  <r>
    <x v="7"/>
    <x v="12"/>
    <x v="11"/>
    <x v="0"/>
    <x v="1"/>
    <m/>
    <x v="0"/>
    <x v="0"/>
    <x v="0"/>
    <x v="0"/>
    <x v="0"/>
    <x v="0"/>
  </r>
  <r>
    <x v="7"/>
    <x v="12"/>
    <x v="11"/>
    <x v="0"/>
    <x v="0"/>
    <s v="Hyprid"/>
    <x v="0"/>
    <x v="0"/>
    <x v="0"/>
    <x v="0"/>
    <x v="0"/>
    <x v="0"/>
  </r>
  <r>
    <x v="0"/>
    <x v="0"/>
    <x v="0"/>
    <x v="0"/>
    <x v="0"/>
    <m/>
    <x v="0"/>
    <x v="0"/>
    <x v="0"/>
    <x v="0"/>
    <x v="0"/>
    <x v="0"/>
  </r>
  <r>
    <x v="7"/>
    <x v="12"/>
    <x v="12"/>
    <x v="0"/>
    <x v="0"/>
    <s v="Isopod"/>
    <x v="0"/>
    <x v="0"/>
    <x v="0"/>
    <x v="0"/>
    <x v="0"/>
    <x v="0"/>
  </r>
  <r>
    <x v="0"/>
    <x v="0"/>
    <x v="0"/>
    <x v="0"/>
    <x v="0"/>
    <m/>
    <x v="0"/>
    <x v="0"/>
    <x v="0"/>
    <x v="0"/>
    <x v="0"/>
    <x v="0"/>
  </r>
  <r>
    <x v="7"/>
    <x v="12"/>
    <x v="13"/>
    <x v="0"/>
    <x v="0"/>
    <s v="Zoea larvae"/>
    <x v="0"/>
    <x v="0"/>
    <x v="1"/>
    <x v="0"/>
    <x v="0"/>
    <x v="1"/>
  </r>
  <r>
    <x v="7"/>
    <x v="12"/>
    <x v="13"/>
    <x v="0"/>
    <x v="0"/>
    <s v="Megalopa larvae"/>
    <x v="0"/>
    <x v="0"/>
    <x v="0"/>
    <x v="0"/>
    <x v="0"/>
    <x v="0"/>
  </r>
  <r>
    <x v="7"/>
    <x v="12"/>
    <x v="13"/>
    <x v="0"/>
    <x v="0"/>
    <s v="Anomuran larvae"/>
    <x v="0"/>
    <x v="0"/>
    <x v="0"/>
    <x v="0"/>
    <x v="0"/>
    <x v="0"/>
  </r>
  <r>
    <x v="7"/>
    <x v="12"/>
    <x v="13"/>
    <x v="0"/>
    <x v="0"/>
    <s v="Phyllosoma larvae"/>
    <x v="0"/>
    <x v="0"/>
    <x v="0"/>
    <x v="0"/>
    <x v="0"/>
    <x v="0"/>
  </r>
  <r>
    <x v="7"/>
    <x v="12"/>
    <x v="13"/>
    <x v="0"/>
    <x v="0"/>
    <s v="Penaeid larvae"/>
    <x v="0"/>
    <x v="0"/>
    <x v="0"/>
    <x v="0"/>
    <x v="0"/>
    <x v="0"/>
  </r>
  <r>
    <x v="7"/>
    <x v="12"/>
    <x v="13"/>
    <x v="0"/>
    <x v="0"/>
    <s v="Stomatopod larvae"/>
    <x v="0"/>
    <x v="0"/>
    <x v="0"/>
    <x v="0"/>
    <x v="0"/>
    <x v="0"/>
  </r>
  <r>
    <x v="7"/>
    <x v="12"/>
    <x v="13"/>
    <x v="0"/>
    <x v="0"/>
    <s v="Caridean larvae"/>
    <x v="0"/>
    <x v="0"/>
    <x v="0"/>
    <x v="0"/>
    <x v="0"/>
    <x v="0"/>
  </r>
  <r>
    <x v="7"/>
    <x v="12"/>
    <x v="13"/>
    <x v="0"/>
    <x v="0"/>
    <s v="Lucifer"/>
    <x v="1"/>
    <x v="0"/>
    <x v="0"/>
    <x v="0"/>
    <x v="1"/>
    <x v="0"/>
  </r>
  <r>
    <x v="7"/>
    <x v="12"/>
    <x v="13"/>
    <x v="0"/>
    <x v="0"/>
    <s v="Lucifer protozoea"/>
    <x v="0"/>
    <x v="0"/>
    <x v="1"/>
    <x v="1"/>
    <x v="0"/>
    <x v="1"/>
  </r>
  <r>
    <x v="7"/>
    <x v="12"/>
    <x v="13"/>
    <x v="0"/>
    <x v="0"/>
    <s v="Carcinus larvae"/>
    <x v="0"/>
    <x v="0"/>
    <x v="0"/>
    <x v="0"/>
    <x v="0"/>
    <x v="0"/>
  </r>
  <r>
    <x v="7"/>
    <x v="12"/>
    <x v="13"/>
    <x v="0"/>
    <x v="0"/>
    <s v="Macruran larvae"/>
    <x v="0"/>
    <x v="0"/>
    <x v="0"/>
    <x v="0"/>
    <x v="0"/>
    <x v="0"/>
  </r>
  <r>
    <x v="0"/>
    <x v="0"/>
    <x v="0"/>
    <x v="0"/>
    <x v="0"/>
    <m/>
    <x v="0"/>
    <x v="0"/>
    <x v="0"/>
    <x v="0"/>
    <x v="0"/>
    <x v="0"/>
  </r>
  <r>
    <x v="0"/>
    <x v="0"/>
    <x v="0"/>
    <x v="0"/>
    <x v="0"/>
    <m/>
    <x v="0"/>
    <x v="0"/>
    <x v="0"/>
    <x v="0"/>
    <x v="0"/>
    <x v="0"/>
  </r>
  <r>
    <x v="0"/>
    <x v="0"/>
    <x v="0"/>
    <x v="0"/>
    <x v="0"/>
    <m/>
    <x v="0"/>
    <x v="0"/>
    <x v="0"/>
    <x v="0"/>
    <x v="0"/>
    <x v="0"/>
  </r>
  <r>
    <x v="8"/>
    <x v="13"/>
    <x v="0"/>
    <x v="0"/>
    <x v="0"/>
    <s v="Gastropod spat"/>
    <x v="0"/>
    <x v="0"/>
    <x v="0"/>
    <x v="0"/>
    <x v="0"/>
    <x v="1"/>
  </r>
  <r>
    <x v="0"/>
    <x v="0"/>
    <x v="0"/>
    <x v="0"/>
    <x v="0"/>
    <m/>
    <x v="0"/>
    <x v="0"/>
    <x v="0"/>
    <x v="0"/>
    <x v="0"/>
    <x v="0"/>
  </r>
  <r>
    <x v="0"/>
    <x v="0"/>
    <x v="0"/>
    <x v="0"/>
    <x v="0"/>
    <m/>
    <x v="0"/>
    <x v="0"/>
    <x v="0"/>
    <x v="0"/>
    <x v="0"/>
    <x v="0"/>
  </r>
  <r>
    <x v="8"/>
    <x v="14"/>
    <x v="0"/>
    <x v="0"/>
    <x v="0"/>
    <s v="Bivalve spat"/>
    <x v="0"/>
    <x v="0"/>
    <x v="0"/>
    <x v="0"/>
    <x v="1"/>
    <x v="0"/>
  </r>
  <r>
    <x v="0"/>
    <x v="0"/>
    <x v="0"/>
    <x v="0"/>
    <x v="0"/>
    <m/>
    <x v="0"/>
    <x v="0"/>
    <x v="0"/>
    <x v="0"/>
    <x v="0"/>
    <x v="0"/>
  </r>
  <r>
    <x v="0"/>
    <x v="0"/>
    <x v="0"/>
    <x v="0"/>
    <x v="0"/>
    <m/>
    <x v="0"/>
    <x v="0"/>
    <x v="0"/>
    <x v="0"/>
    <x v="0"/>
    <x v="0"/>
  </r>
  <r>
    <x v="8"/>
    <x v="15"/>
    <x v="0"/>
    <x v="0"/>
    <x v="0"/>
    <s v="Cephalopod larvae"/>
    <x v="0"/>
    <x v="0"/>
    <x v="0"/>
    <x v="0"/>
    <x v="0"/>
    <x v="0"/>
  </r>
  <r>
    <x v="0"/>
    <x v="0"/>
    <x v="0"/>
    <x v="0"/>
    <x v="0"/>
    <m/>
    <x v="0"/>
    <x v="0"/>
    <x v="0"/>
    <x v="0"/>
    <x v="0"/>
    <x v="0"/>
  </r>
  <r>
    <x v="0"/>
    <x v="0"/>
    <x v="0"/>
    <x v="0"/>
    <x v="0"/>
    <m/>
    <x v="0"/>
    <x v="0"/>
    <x v="0"/>
    <x v="0"/>
    <x v="0"/>
    <x v="0"/>
  </r>
  <r>
    <x v="9"/>
    <x v="0"/>
    <x v="0"/>
    <x v="0"/>
    <x v="0"/>
    <s v="Cyphonautes larvae"/>
    <x v="0"/>
    <x v="0"/>
    <x v="0"/>
    <x v="0"/>
    <x v="0"/>
    <x v="0"/>
  </r>
  <r>
    <x v="0"/>
    <x v="0"/>
    <x v="0"/>
    <x v="0"/>
    <x v="0"/>
    <m/>
    <x v="0"/>
    <x v="0"/>
    <x v="0"/>
    <x v="0"/>
    <x v="0"/>
    <x v="0"/>
  </r>
  <r>
    <x v="0"/>
    <x v="0"/>
    <x v="0"/>
    <x v="0"/>
    <x v="0"/>
    <m/>
    <x v="0"/>
    <x v="0"/>
    <x v="0"/>
    <x v="0"/>
    <x v="0"/>
    <x v="0"/>
  </r>
  <r>
    <x v="10"/>
    <x v="0"/>
    <x v="0"/>
    <x v="0"/>
    <x v="0"/>
    <s v="Actinotrocha larvae"/>
    <x v="0"/>
    <x v="0"/>
    <x v="0"/>
    <x v="0"/>
    <x v="0"/>
    <x v="0"/>
  </r>
  <r>
    <x v="0"/>
    <x v="0"/>
    <x v="0"/>
    <x v="0"/>
    <x v="0"/>
    <m/>
    <x v="0"/>
    <x v="0"/>
    <x v="0"/>
    <x v="0"/>
    <x v="0"/>
    <x v="0"/>
  </r>
  <r>
    <x v="0"/>
    <x v="0"/>
    <x v="0"/>
    <x v="0"/>
    <x v="0"/>
    <m/>
    <x v="0"/>
    <x v="0"/>
    <x v="0"/>
    <x v="0"/>
    <x v="0"/>
    <x v="0"/>
  </r>
  <r>
    <x v="11"/>
    <x v="0"/>
    <x v="0"/>
    <x v="0"/>
    <x v="0"/>
    <s v="Rotifers"/>
    <x v="0"/>
    <x v="0"/>
    <x v="0"/>
    <x v="0"/>
    <x v="0"/>
    <x v="0"/>
  </r>
  <r>
    <x v="0"/>
    <x v="0"/>
    <x v="0"/>
    <x v="0"/>
    <x v="0"/>
    <m/>
    <x v="0"/>
    <x v="0"/>
    <x v="0"/>
    <x v="0"/>
    <x v="0"/>
    <x v="0"/>
  </r>
  <r>
    <x v="0"/>
    <x v="0"/>
    <x v="0"/>
    <x v="0"/>
    <x v="0"/>
    <m/>
    <x v="0"/>
    <x v="0"/>
    <x v="0"/>
    <x v="0"/>
    <x v="0"/>
    <x v="0"/>
  </r>
  <r>
    <x v="0"/>
    <x v="0"/>
    <x v="0"/>
    <x v="0"/>
    <x v="0"/>
    <m/>
    <x v="0"/>
    <x v="0"/>
    <x v="0"/>
    <x v="0"/>
    <x v="0"/>
    <x v="0"/>
  </r>
  <r>
    <x v="0"/>
    <x v="0"/>
    <x v="0"/>
    <x v="0"/>
    <x v="0"/>
    <m/>
    <x v="0"/>
    <x v="0"/>
    <x v="0"/>
    <x v="0"/>
    <x v="0"/>
    <x v="0"/>
  </r>
  <r>
    <x v="0"/>
    <x v="0"/>
    <x v="0"/>
    <x v="0"/>
    <x v="0"/>
    <m/>
    <x v="0"/>
    <x v="4"/>
    <x v="0"/>
    <x v="0"/>
    <x v="0"/>
    <x v="0"/>
  </r>
  <r>
    <x v="12"/>
    <x v="16"/>
    <x v="14"/>
    <x v="27"/>
    <x v="0"/>
    <s v="Aidanosagitta"/>
    <x v="0"/>
    <x v="0"/>
    <x v="0"/>
    <x v="0"/>
    <x v="0"/>
    <x v="0"/>
  </r>
  <r>
    <x v="12"/>
    <x v="16"/>
    <x v="14"/>
    <x v="27"/>
    <x v="0"/>
    <s v="Flaccisagitta"/>
    <x v="0"/>
    <x v="0"/>
    <x v="0"/>
    <x v="0"/>
    <x v="0"/>
    <x v="0"/>
  </r>
  <r>
    <x v="12"/>
    <x v="16"/>
    <x v="14"/>
    <x v="27"/>
    <x v="0"/>
    <s v="Serratosagitta"/>
    <x v="0"/>
    <x v="0"/>
    <x v="0"/>
    <x v="0"/>
    <x v="0"/>
    <x v="0"/>
  </r>
  <r>
    <x v="0"/>
    <x v="0"/>
    <x v="0"/>
    <x v="0"/>
    <x v="0"/>
    <m/>
    <x v="0"/>
    <x v="0"/>
    <x v="0"/>
    <x v="0"/>
    <x v="0"/>
    <x v="0"/>
  </r>
  <r>
    <x v="0"/>
    <x v="0"/>
    <x v="0"/>
    <x v="0"/>
    <x v="0"/>
    <m/>
    <x v="0"/>
    <x v="0"/>
    <x v="0"/>
    <x v="0"/>
    <x v="0"/>
    <x v="0"/>
  </r>
  <r>
    <x v="0"/>
    <x v="0"/>
    <x v="0"/>
    <x v="0"/>
    <x v="0"/>
    <m/>
    <x v="0"/>
    <x v="0"/>
    <x v="0"/>
    <x v="0"/>
    <x v="0"/>
    <x v="0"/>
  </r>
  <r>
    <x v="0"/>
    <x v="0"/>
    <x v="0"/>
    <x v="0"/>
    <x v="0"/>
    <m/>
    <x v="0"/>
    <x v="0"/>
    <x v="0"/>
    <x v="0"/>
    <x v="0"/>
    <x v="0"/>
  </r>
  <r>
    <x v="0"/>
    <x v="0"/>
    <x v="0"/>
    <x v="0"/>
    <x v="0"/>
    <m/>
    <x v="0"/>
    <x v="0"/>
    <x v="0"/>
    <x v="0"/>
    <x v="0"/>
    <x v="0"/>
  </r>
  <r>
    <x v="13"/>
    <x v="0"/>
    <x v="0"/>
    <x v="0"/>
    <x v="0"/>
    <s v="Echinopluteus larvae"/>
    <x v="0"/>
    <x v="0"/>
    <x v="0"/>
    <x v="0"/>
    <x v="0"/>
    <x v="0"/>
  </r>
  <r>
    <x v="13"/>
    <x v="0"/>
    <x v="0"/>
    <x v="0"/>
    <x v="0"/>
    <s v="Bipinnaria larvae"/>
    <x v="0"/>
    <x v="0"/>
    <x v="0"/>
    <x v="0"/>
    <x v="0"/>
    <x v="0"/>
  </r>
  <r>
    <x v="13"/>
    <x v="0"/>
    <x v="0"/>
    <x v="0"/>
    <x v="0"/>
    <s v="Ophiuroid larvae"/>
    <x v="0"/>
    <x v="0"/>
    <x v="0"/>
    <x v="0"/>
    <x v="0"/>
    <x v="0"/>
  </r>
  <r>
    <x v="0"/>
    <x v="0"/>
    <x v="0"/>
    <x v="0"/>
    <x v="0"/>
    <m/>
    <x v="0"/>
    <x v="0"/>
    <x v="0"/>
    <x v="0"/>
    <x v="0"/>
    <x v="0"/>
  </r>
  <r>
    <x v="0"/>
    <x v="0"/>
    <x v="0"/>
    <x v="0"/>
    <x v="0"/>
    <m/>
    <x v="0"/>
    <x v="0"/>
    <x v="0"/>
    <x v="0"/>
    <x v="0"/>
    <x v="0"/>
  </r>
  <r>
    <x v="0"/>
    <x v="0"/>
    <x v="0"/>
    <x v="0"/>
    <x v="0"/>
    <m/>
    <x v="0"/>
    <x v="0"/>
    <x v="0"/>
    <x v="0"/>
    <x v="0"/>
    <x v="0"/>
  </r>
  <r>
    <x v="0"/>
    <x v="0"/>
    <x v="0"/>
    <x v="0"/>
    <x v="0"/>
    <m/>
    <x v="0"/>
    <x v="0"/>
    <x v="0"/>
    <x v="0"/>
    <x v="0"/>
    <x v="0"/>
  </r>
  <r>
    <x v="0"/>
    <x v="0"/>
    <x v="0"/>
    <x v="0"/>
    <x v="0"/>
    <m/>
    <x v="0"/>
    <x v="0"/>
    <x v="0"/>
    <x v="0"/>
    <x v="0"/>
    <x v="0"/>
  </r>
  <r>
    <x v="14"/>
    <x v="17"/>
    <x v="15"/>
    <x v="28"/>
    <x v="0"/>
    <s v="Fritillaria"/>
    <x v="1"/>
    <x v="0"/>
    <x v="0"/>
    <x v="3"/>
    <x v="0"/>
    <x v="0"/>
  </r>
  <r>
    <x v="0"/>
    <x v="0"/>
    <x v="0"/>
    <x v="0"/>
    <x v="0"/>
    <m/>
    <x v="0"/>
    <x v="0"/>
    <x v="0"/>
    <x v="0"/>
    <x v="0"/>
    <x v="0"/>
  </r>
  <r>
    <x v="0"/>
    <x v="0"/>
    <x v="0"/>
    <x v="0"/>
    <x v="0"/>
    <m/>
    <x v="0"/>
    <x v="0"/>
    <x v="0"/>
    <x v="0"/>
    <x v="0"/>
    <x v="0"/>
  </r>
  <r>
    <x v="14"/>
    <x v="17"/>
    <x v="16"/>
    <x v="29"/>
    <x v="0"/>
    <s v="Oikopleura"/>
    <x v="0"/>
    <x v="0"/>
    <x v="0"/>
    <x v="0"/>
    <x v="0"/>
    <x v="0"/>
  </r>
  <r>
    <x v="0"/>
    <x v="0"/>
    <x v="0"/>
    <x v="0"/>
    <x v="0"/>
    <m/>
    <x v="0"/>
    <x v="0"/>
    <x v="0"/>
    <x v="0"/>
    <x v="0"/>
    <x v="0"/>
  </r>
  <r>
    <x v="0"/>
    <x v="0"/>
    <x v="0"/>
    <x v="0"/>
    <x v="0"/>
    <m/>
    <x v="0"/>
    <x v="0"/>
    <x v="0"/>
    <x v="0"/>
    <x v="0"/>
    <x v="0"/>
  </r>
  <r>
    <x v="0"/>
    <x v="0"/>
    <x v="0"/>
    <x v="0"/>
    <x v="0"/>
    <m/>
    <x v="0"/>
    <x v="0"/>
    <x v="0"/>
    <x v="0"/>
    <x v="0"/>
    <x v="0"/>
  </r>
  <r>
    <x v="0"/>
    <x v="0"/>
    <x v="0"/>
    <x v="0"/>
    <x v="0"/>
    <m/>
    <x v="0"/>
    <x v="0"/>
    <x v="0"/>
    <x v="0"/>
    <x v="0"/>
    <x v="0"/>
  </r>
  <r>
    <x v="14"/>
    <x v="18"/>
    <x v="17"/>
    <x v="30"/>
    <x v="0"/>
    <s v="Doliolum"/>
    <x v="0"/>
    <x v="0"/>
    <x v="0"/>
    <x v="0"/>
    <x v="0"/>
    <x v="0"/>
  </r>
  <r>
    <x v="0"/>
    <x v="0"/>
    <x v="0"/>
    <x v="0"/>
    <x v="0"/>
    <m/>
    <x v="0"/>
    <x v="0"/>
    <x v="0"/>
    <x v="0"/>
    <x v="0"/>
    <x v="0"/>
  </r>
  <r>
    <x v="0"/>
    <x v="0"/>
    <x v="0"/>
    <x v="0"/>
    <x v="0"/>
    <m/>
    <x v="0"/>
    <x v="0"/>
    <x v="0"/>
    <x v="0"/>
    <x v="0"/>
    <x v="0"/>
  </r>
  <r>
    <x v="14"/>
    <x v="18"/>
    <x v="18"/>
    <x v="31"/>
    <x v="0"/>
    <s v="Thalia"/>
    <x v="0"/>
    <x v="0"/>
    <x v="0"/>
    <x v="0"/>
    <x v="0"/>
    <x v="0"/>
  </r>
  <r>
    <x v="0"/>
    <x v="0"/>
    <x v="0"/>
    <x v="0"/>
    <x v="0"/>
    <m/>
    <x v="0"/>
    <x v="0"/>
    <x v="0"/>
    <x v="0"/>
    <x v="0"/>
    <x v="0"/>
  </r>
  <r>
    <x v="0"/>
    <x v="0"/>
    <x v="0"/>
    <x v="0"/>
    <x v="0"/>
    <m/>
    <x v="0"/>
    <x v="0"/>
    <x v="0"/>
    <x v="0"/>
    <x v="0"/>
    <x v="0"/>
  </r>
  <r>
    <x v="14"/>
    <x v="19"/>
    <x v="0"/>
    <x v="0"/>
    <x v="0"/>
    <s v="Fish larvae"/>
    <x v="4"/>
    <x v="9"/>
    <x v="5"/>
    <x v="4"/>
    <x v="8"/>
    <x v="8"/>
  </r>
  <r>
    <x v="14"/>
    <x v="19"/>
    <x v="0"/>
    <x v="0"/>
    <x v="0"/>
    <s v="Fish eggs"/>
    <x v="5"/>
    <x v="10"/>
    <x v="9"/>
    <x v="5"/>
    <x v="9"/>
    <x v="9"/>
  </r>
  <r>
    <x v="0"/>
    <x v="20"/>
    <x v="0"/>
    <x v="0"/>
    <x v="0"/>
    <m/>
    <x v="0"/>
    <x v="0"/>
    <x v="0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G149" firstHeaderRow="1" firstDataRow="2" firstDataCol="1"/>
  <pivotFields count="12">
    <pivotField axis="axisRow" showAll="0" defaultSubtotal="0">
      <items count="15">
        <item x="6"/>
        <item x="7"/>
        <item x="9"/>
        <item x="12"/>
        <item x="14"/>
        <item x="3"/>
        <item x="4"/>
        <item x="5"/>
        <item x="13"/>
        <item x="1"/>
        <item x="8"/>
        <item x="10"/>
        <item x="2"/>
        <item x="11"/>
        <item x="0"/>
      </items>
    </pivotField>
    <pivotField axis="axisRow" showAll="0" defaultSubtotal="0">
      <items count="21">
        <item x="2"/>
        <item x="14"/>
        <item x="8"/>
        <item x="15"/>
        <item x="11"/>
        <item x="10"/>
        <item x="13"/>
        <item x="1"/>
        <item x="4"/>
        <item x="17"/>
        <item x="12"/>
        <item x="6"/>
        <item x="9"/>
        <item x="19"/>
        <item x="7"/>
        <item x="3"/>
        <item x="16"/>
        <item x="5"/>
        <item x="18"/>
        <item x="20"/>
        <item x="0"/>
      </items>
    </pivotField>
    <pivotField axis="axisRow" showAll="0" defaultSubtotal="0">
      <items count="19">
        <item x="11"/>
        <item x="14"/>
        <item x="2"/>
        <item x="6"/>
        <item x="7"/>
        <item x="13"/>
        <item x="4"/>
        <item x="17"/>
        <item x="15"/>
        <item x="9"/>
        <item x="12"/>
        <item x="5"/>
        <item x="10"/>
        <item x="16"/>
        <item x="3"/>
        <item x="8"/>
        <item x="1"/>
        <item x="18"/>
        <item x="0"/>
      </items>
    </pivotField>
    <pivotField axis="axisRow" showAll="0">
      <items count="33">
        <item x="4"/>
        <item x="2"/>
        <item x="8"/>
        <item x="9"/>
        <item x="10"/>
        <item x="11"/>
        <item x="12"/>
        <item x="13"/>
        <item x="25"/>
        <item x="3"/>
        <item x="20"/>
        <item x="7"/>
        <item x="1"/>
        <item x="30"/>
        <item x="23"/>
        <item x="15"/>
        <item x="14"/>
        <item x="24"/>
        <item x="28"/>
        <item x="26"/>
        <item x="29"/>
        <item x="21"/>
        <item x="22"/>
        <item x="16"/>
        <item x="5"/>
        <item x="17"/>
        <item x="19"/>
        <item x="27"/>
        <item x="31"/>
        <item x="6"/>
        <item x="18"/>
        <item x="0"/>
        <item t="default"/>
      </items>
    </pivotField>
    <pivotField showAll="0">
      <items count="3">
        <item x="1"/>
        <item x="0"/>
        <item t="default"/>
      </items>
    </pivotField>
    <pivotField showAll="0"/>
    <pivotField dataField="1" showAll="0">
      <items count="7">
        <item x="1"/>
        <item x="2"/>
        <item x="3"/>
        <item x="4"/>
        <item x="5"/>
        <item x="0"/>
        <item t="default"/>
      </items>
    </pivotField>
    <pivotField dataField="1" showAll="0">
      <items count="12">
        <item x="4"/>
        <item x="1"/>
        <item x="2"/>
        <item x="8"/>
        <item x="9"/>
        <item x="5"/>
        <item x="6"/>
        <item x="3"/>
        <item x="7"/>
        <item x="10"/>
        <item x="0"/>
        <item t="default"/>
      </items>
    </pivotField>
    <pivotField dataField="1" showAll="0">
      <items count="11">
        <item x="1"/>
        <item x="2"/>
        <item x="3"/>
        <item x="5"/>
        <item x="6"/>
        <item x="8"/>
        <item x="4"/>
        <item x="7"/>
        <item x="9"/>
        <item x="0"/>
        <item t="default"/>
      </items>
    </pivotField>
    <pivotField dataField="1" showAll="0">
      <items count="7">
        <item x="1"/>
        <item x="3"/>
        <item x="2"/>
        <item x="4"/>
        <item x="5"/>
        <item x="0"/>
        <item t="default"/>
      </items>
    </pivotField>
    <pivotField dataField="1" showAll="0">
      <items count="11">
        <item x="1"/>
        <item x="2"/>
        <item x="3"/>
        <item x="7"/>
        <item x="5"/>
        <item x="4"/>
        <item x="8"/>
        <item x="6"/>
        <item x="9"/>
        <item x="0"/>
        <item t="default"/>
      </items>
    </pivotField>
    <pivotField dataField="1" showAll="0">
      <items count="11">
        <item x="1"/>
        <item x="2"/>
        <item x="5"/>
        <item x="7"/>
        <item x="8"/>
        <item x="3"/>
        <item x="4"/>
        <item x="6"/>
        <item x="9"/>
        <item x="0"/>
        <item t="default"/>
      </items>
    </pivotField>
  </pivotFields>
  <rowFields count="4">
    <field x="0"/>
    <field x="1"/>
    <field x="2"/>
    <field x="3"/>
  </rowFields>
  <rowItems count="145">
    <i>
      <x/>
    </i>
    <i r="1">
      <x v="14"/>
    </i>
    <i r="2">
      <x v="18"/>
    </i>
    <i r="3">
      <x/>
    </i>
    <i r="3">
      <x v="31"/>
    </i>
    <i r="1">
      <x v="20"/>
    </i>
    <i r="2">
      <x v="18"/>
    </i>
    <i r="3">
      <x v="31"/>
    </i>
    <i>
      <x v="1"/>
    </i>
    <i r="1">
      <x v="2"/>
    </i>
    <i r="2">
      <x v="6"/>
    </i>
    <i r="3">
      <x v="24"/>
    </i>
    <i r="3">
      <x v="29"/>
    </i>
    <i r="2">
      <x v="18"/>
    </i>
    <i r="3">
      <x v="31"/>
    </i>
    <i r="1">
      <x v="4"/>
    </i>
    <i r="2">
      <x v="18"/>
    </i>
    <i r="3">
      <x v="31"/>
    </i>
    <i r="1">
      <x v="5"/>
    </i>
    <i r="2">
      <x v="3"/>
    </i>
    <i r="3">
      <x v="2"/>
    </i>
    <i r="3">
      <x v="3"/>
    </i>
    <i r="3">
      <x v="4"/>
    </i>
    <i r="3">
      <x v="5"/>
    </i>
    <i r="3">
      <x v="6"/>
    </i>
    <i r="3">
      <x v="7"/>
    </i>
    <i r="3">
      <x v="15"/>
    </i>
    <i r="3">
      <x v="16"/>
    </i>
    <i r="3">
      <x v="23"/>
    </i>
    <i r="3">
      <x v="25"/>
    </i>
    <i r="3">
      <x v="26"/>
    </i>
    <i r="3">
      <x v="30"/>
    </i>
    <i r="3">
      <x v="31"/>
    </i>
    <i r="2">
      <x v="4"/>
    </i>
    <i r="3">
      <x v="10"/>
    </i>
    <i r="3">
      <x v="21"/>
    </i>
    <i r="3">
      <x v="31"/>
    </i>
    <i r="2">
      <x v="9"/>
    </i>
    <i r="3">
      <x v="8"/>
    </i>
    <i r="3">
      <x v="14"/>
    </i>
    <i r="3">
      <x v="17"/>
    </i>
    <i r="3">
      <x v="19"/>
    </i>
    <i r="3">
      <x v="31"/>
    </i>
    <i r="2">
      <x v="15"/>
    </i>
    <i r="3">
      <x v="22"/>
    </i>
    <i r="3">
      <x v="31"/>
    </i>
    <i r="2">
      <x v="18"/>
    </i>
    <i r="3">
      <x v="31"/>
    </i>
    <i r="1">
      <x v="10"/>
    </i>
    <i r="2">
      <x/>
    </i>
    <i r="3">
      <x v="31"/>
    </i>
    <i r="2">
      <x v="5"/>
    </i>
    <i r="3">
      <x v="31"/>
    </i>
    <i r="2">
      <x v="10"/>
    </i>
    <i r="3">
      <x v="31"/>
    </i>
    <i r="2">
      <x v="12"/>
    </i>
    <i r="3">
      <x v="31"/>
    </i>
    <i r="2">
      <x v="18"/>
    </i>
    <i r="3">
      <x v="31"/>
    </i>
    <i r="1">
      <x v="12"/>
    </i>
    <i r="2">
      <x v="11"/>
    </i>
    <i r="3">
      <x v="11"/>
    </i>
    <i r="2">
      <x v="18"/>
    </i>
    <i r="3">
      <x v="31"/>
    </i>
    <i>
      <x v="2"/>
    </i>
    <i r="1">
      <x v="20"/>
    </i>
    <i r="2">
      <x v="18"/>
    </i>
    <i r="3">
      <x v="31"/>
    </i>
    <i>
      <x v="3"/>
    </i>
    <i r="1">
      <x v="16"/>
    </i>
    <i r="2">
      <x v="1"/>
    </i>
    <i r="3">
      <x v="27"/>
    </i>
    <i>
      <x v="4"/>
    </i>
    <i r="1">
      <x v="9"/>
    </i>
    <i r="2">
      <x v="8"/>
    </i>
    <i r="3">
      <x v="18"/>
    </i>
    <i r="2">
      <x v="13"/>
    </i>
    <i r="3">
      <x v="20"/>
    </i>
    <i r="1">
      <x v="13"/>
    </i>
    <i r="2">
      <x v="18"/>
    </i>
    <i r="3">
      <x v="31"/>
    </i>
    <i r="1">
      <x v="18"/>
    </i>
    <i r="2">
      <x v="7"/>
    </i>
    <i r="3">
      <x v="13"/>
    </i>
    <i r="2">
      <x v="17"/>
    </i>
    <i r="3">
      <x v="28"/>
    </i>
    <i>
      <x v="5"/>
    </i>
    <i r="1">
      <x v="15"/>
    </i>
    <i r="2">
      <x v="14"/>
    </i>
    <i r="3">
      <x v="9"/>
    </i>
    <i>
      <x v="6"/>
    </i>
    <i r="1">
      <x v="8"/>
    </i>
    <i r="2">
      <x v="18"/>
    </i>
    <i r="3">
      <x v="31"/>
    </i>
    <i r="1">
      <x v="20"/>
    </i>
    <i r="2">
      <x v="18"/>
    </i>
    <i r="3">
      <x v="31"/>
    </i>
    <i>
      <x v="7"/>
    </i>
    <i r="1">
      <x v="11"/>
    </i>
    <i r="2">
      <x v="18"/>
    </i>
    <i r="3">
      <x v="31"/>
    </i>
    <i r="1">
      <x v="17"/>
    </i>
    <i r="2">
      <x v="18"/>
    </i>
    <i r="3">
      <x v="31"/>
    </i>
    <i r="1">
      <x v="20"/>
    </i>
    <i r="2">
      <x v="18"/>
    </i>
    <i r="3">
      <x v="31"/>
    </i>
    <i>
      <x v="8"/>
    </i>
    <i r="1">
      <x v="20"/>
    </i>
    <i r="2">
      <x v="18"/>
    </i>
    <i r="3">
      <x v="31"/>
    </i>
    <i>
      <x v="9"/>
    </i>
    <i r="1">
      <x v="7"/>
    </i>
    <i r="2">
      <x v="16"/>
    </i>
    <i r="3">
      <x v="12"/>
    </i>
    <i>
      <x v="10"/>
    </i>
    <i r="1">
      <x v="1"/>
    </i>
    <i r="2">
      <x v="18"/>
    </i>
    <i r="3">
      <x v="31"/>
    </i>
    <i r="1">
      <x v="3"/>
    </i>
    <i r="2">
      <x v="18"/>
    </i>
    <i r="3">
      <x v="31"/>
    </i>
    <i r="1">
      <x v="6"/>
    </i>
    <i r="2">
      <x v="18"/>
    </i>
    <i r="3">
      <x v="31"/>
    </i>
    <i>
      <x v="11"/>
    </i>
    <i r="1">
      <x v="20"/>
    </i>
    <i r="2">
      <x v="18"/>
    </i>
    <i r="3">
      <x v="31"/>
    </i>
    <i>
      <x v="12"/>
    </i>
    <i r="1">
      <x/>
    </i>
    <i r="2">
      <x v="2"/>
    </i>
    <i r="3">
      <x v="1"/>
    </i>
    <i>
      <x v="13"/>
    </i>
    <i r="1">
      <x v="20"/>
    </i>
    <i r="2">
      <x v="18"/>
    </i>
    <i r="3">
      <x v="31"/>
    </i>
    <i>
      <x v="14"/>
    </i>
    <i r="1">
      <x v="19"/>
    </i>
    <i r="2">
      <x v="18"/>
    </i>
    <i r="3">
      <x v="31"/>
    </i>
    <i r="1">
      <x v="20"/>
    </i>
    <i r="2">
      <x v="18"/>
    </i>
    <i r="3">
      <x v="3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BZ10344" fld="11" baseField="0" baseItem="0"/>
    <dataField name="Sum of BZ10342" fld="9" baseField="0" baseItem="0"/>
    <dataField name="Sum of BZ10343" fld="10" baseField="0" baseItem="0"/>
    <dataField name="Sum of BZ10339" fld="6" baseField="0" baseItem="0"/>
    <dataField name="Sum of BZ10340" fld="7" baseField="0" baseItem="0"/>
    <dataField name="Sum of BZ10341" fld="8" baseField="0" baseItem="0"/>
  </dataFields>
  <pivotTableStyleInfo name="PivotStyleMedium4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1"/>
  <sheetViews>
    <sheetView topLeftCell="A2" zoomScale="60" zoomScaleNormal="60" zoomScalePageLayoutView="125" workbookViewId="0">
      <selection activeCell="C13" sqref="C13"/>
    </sheetView>
  </sheetViews>
  <sheetFormatPr defaultColWidth="11" defaultRowHeight="15.5"/>
  <cols>
    <col min="1" max="1" width="5.9140625" customWidth="1"/>
    <col min="2" max="2" width="19.9140625" customWidth="1"/>
    <col min="3" max="3" width="33.6640625" customWidth="1"/>
    <col min="4" max="4" width="8.4140625" customWidth="1"/>
    <col min="5" max="5" width="6.9140625" customWidth="1"/>
    <col min="6" max="6" width="32.08203125" customWidth="1"/>
    <col min="7" max="7" width="22.9140625" customWidth="1"/>
    <col min="8" max="8" width="17.08203125" customWidth="1"/>
  </cols>
  <sheetData>
    <row r="1" spans="1:6">
      <c r="F1" s="32"/>
    </row>
    <row r="2" spans="1:6" ht="65.150000000000006" customHeight="1"/>
    <row r="3" spans="1:6" s="6" customFormat="1" ht="21" customHeight="1">
      <c r="B3" s="29"/>
      <c r="C3" s="29" t="s">
        <v>147</v>
      </c>
      <c r="D3" s="121"/>
      <c r="E3" s="121"/>
      <c r="F3" s="217" t="s">
        <v>228</v>
      </c>
    </row>
    <row r="4" spans="1:6" ht="14.15" customHeight="1">
      <c r="B4" s="26"/>
      <c r="C4" s="30" t="s">
        <v>148</v>
      </c>
      <c r="F4" s="72"/>
    </row>
    <row r="5" spans="1:6" ht="15" customHeight="1">
      <c r="B5" s="27"/>
      <c r="C5" s="30" t="s">
        <v>149</v>
      </c>
    </row>
    <row r="6" spans="1:6" ht="15" customHeight="1">
      <c r="B6" s="27"/>
      <c r="C6" s="30" t="s">
        <v>306</v>
      </c>
    </row>
    <row r="7" spans="1:6" ht="15" customHeight="1">
      <c r="B7" s="27"/>
      <c r="C7" s="31"/>
    </row>
    <row r="8" spans="1:6" ht="15" customHeight="1">
      <c r="B8" s="27"/>
      <c r="C8" s="31"/>
      <c r="E8" s="32" t="s">
        <v>263</v>
      </c>
      <c r="F8" s="49" t="s">
        <v>426</v>
      </c>
    </row>
    <row r="9" spans="1:6" ht="15" customHeight="1">
      <c r="B9" s="27"/>
      <c r="C9" s="31"/>
      <c r="E9" s="32"/>
      <c r="F9" s="53"/>
    </row>
    <row r="10" spans="1:6" ht="12.9" customHeight="1">
      <c r="B10" s="28"/>
      <c r="C10" s="31"/>
      <c r="E10" s="32" t="s">
        <v>0</v>
      </c>
      <c r="F10" s="33"/>
    </row>
    <row r="11" spans="1:6" ht="12.9" customHeight="1">
      <c r="B11" s="27"/>
      <c r="C11" s="31"/>
      <c r="E11" s="32" t="s">
        <v>264</v>
      </c>
      <c r="F11" s="49"/>
    </row>
    <row r="12" spans="1:6" ht="12.9" customHeight="1">
      <c r="B12" s="28"/>
      <c r="C12" s="31"/>
      <c r="E12" s="32"/>
    </row>
    <row r="13" spans="1:6" ht="21.9" customHeight="1">
      <c r="B13" s="27"/>
      <c r="C13" s="29" t="s">
        <v>266</v>
      </c>
      <c r="E13" s="32"/>
    </row>
    <row r="14" spans="1:6" s="1" customFormat="1" ht="23.15" customHeight="1">
      <c r="A14"/>
      <c r="B14" s="1" t="s">
        <v>265</v>
      </c>
      <c r="C14" s="31"/>
      <c r="D14"/>
      <c r="E14" s="32"/>
    </row>
    <row r="15" spans="1:6" ht="23.15" customHeight="1">
      <c r="B15" s="27"/>
      <c r="E15" s="32"/>
    </row>
    <row r="16" spans="1:6" ht="23.15" customHeight="1">
      <c r="B16" s="17" t="s">
        <v>196</v>
      </c>
      <c r="C16" s="117" t="s">
        <v>427</v>
      </c>
      <c r="E16" s="32"/>
    </row>
    <row r="17" spans="2:8" ht="18.899999999999999" customHeight="1">
      <c r="B17" s="48" t="s">
        <v>197</v>
      </c>
      <c r="C17" t="s">
        <v>428</v>
      </c>
    </row>
    <row r="18" spans="2:8" ht="18.899999999999999" customHeight="1">
      <c r="B18" s="48"/>
      <c r="C18" t="s">
        <v>429</v>
      </c>
    </row>
    <row r="19" spans="2:8" ht="18.899999999999999" customHeight="1">
      <c r="B19" s="48"/>
      <c r="C19" t="s">
        <v>430</v>
      </c>
    </row>
    <row r="20" spans="2:8" ht="18.899999999999999" customHeight="1">
      <c r="B20" s="48"/>
      <c r="C20" s="49" t="s">
        <v>431</v>
      </c>
    </row>
    <row r="21" spans="2:8" ht="18.899999999999999" customHeight="1">
      <c r="B21" s="17"/>
      <c r="C21" s="34"/>
    </row>
    <row r="22" spans="2:8" ht="23.75" customHeight="1">
      <c r="B22" s="17" t="s">
        <v>231</v>
      </c>
      <c r="C22" s="34" t="s">
        <v>340</v>
      </c>
      <c r="E22" s="120"/>
    </row>
    <row r="23" spans="2:8">
      <c r="B23" s="18" t="s">
        <v>210</v>
      </c>
      <c r="C23" s="50" t="s">
        <v>433</v>
      </c>
    </row>
    <row r="24" spans="2:8" ht="23.15" customHeight="1">
      <c r="B24" s="18" t="s">
        <v>227</v>
      </c>
      <c r="C24" s="35">
        <v>10</v>
      </c>
    </row>
    <row r="25" spans="2:8" ht="23.15" customHeight="1">
      <c r="B25" s="18" t="s">
        <v>229</v>
      </c>
      <c r="C25" s="216">
        <v>45948</v>
      </c>
    </row>
    <row r="26" spans="2:8" ht="23.15" customHeight="1">
      <c r="B26" s="18" t="s">
        <v>2</v>
      </c>
      <c r="C26" s="16" t="s">
        <v>317</v>
      </c>
      <c r="G26" t="s">
        <v>144</v>
      </c>
    </row>
    <row r="27" spans="2:8" ht="23.15" customHeight="1">
      <c r="B27" s="18" t="s">
        <v>3</v>
      </c>
      <c r="C27" s="208">
        <v>25</v>
      </c>
      <c r="D27" t="s">
        <v>138</v>
      </c>
      <c r="G27">
        <f>PI()*(C27/200)^2</f>
        <v>4.9087385212340517E-2</v>
      </c>
      <c r="H27" t="s">
        <v>142</v>
      </c>
    </row>
    <row r="28" spans="2:8" ht="23.15" customHeight="1">
      <c r="B28" s="18" t="s">
        <v>139</v>
      </c>
      <c r="C28" s="208">
        <v>150</v>
      </c>
      <c r="D28" t="s">
        <v>140</v>
      </c>
    </row>
    <row r="29" spans="2:8" ht="23.15" customHeight="1">
      <c r="B29" s="18" t="s">
        <v>137</v>
      </c>
      <c r="C29" s="16" t="s">
        <v>314</v>
      </c>
    </row>
    <row r="30" spans="2:8" ht="23.15" customHeight="1">
      <c r="B30" s="18" t="s">
        <v>198</v>
      </c>
      <c r="C30" s="16" t="s">
        <v>199</v>
      </c>
    </row>
    <row r="31" spans="2:8" ht="23.15" customHeight="1">
      <c r="B31" s="18" t="s">
        <v>200</v>
      </c>
      <c r="C31" s="52" t="s">
        <v>226</v>
      </c>
    </row>
    <row r="32" spans="2:8" ht="17.149999999999999" customHeight="1">
      <c r="B32" s="48" t="s">
        <v>201</v>
      </c>
      <c r="C32" s="73" t="s">
        <v>208</v>
      </c>
    </row>
    <row r="33" spans="2:6" ht="17.149999999999999" customHeight="1">
      <c r="C33" s="220"/>
    </row>
    <row r="34" spans="2:6" ht="17.149999999999999" customHeight="1">
      <c r="C34" s="221"/>
    </row>
    <row r="35" spans="2:6" ht="17.149999999999999" customHeight="1">
      <c r="B35" s="1" t="s">
        <v>308</v>
      </c>
      <c r="C35" s="1"/>
      <c r="D35" s="1"/>
      <c r="E35" s="1"/>
      <c r="F35" s="1"/>
    </row>
    <row r="36" spans="2:6" ht="17.149999999999999" customHeight="1">
      <c r="B36" s="1"/>
      <c r="C36" s="1"/>
      <c r="D36" s="1"/>
      <c r="E36" s="1"/>
      <c r="F36" s="1"/>
    </row>
    <row r="37" spans="2:6" ht="17.149999999999999" customHeight="1">
      <c r="B37" t="s">
        <v>150</v>
      </c>
      <c r="F37" s="33"/>
    </row>
    <row r="38" spans="2:6" ht="17.149999999999999" customHeight="1"/>
    <row r="39" spans="2:6" ht="17.149999999999999" customHeight="1"/>
    <row r="40" spans="2:6" ht="17.149999999999999" customHeight="1"/>
    <row r="41" spans="2:6" ht="17.149999999999999" customHeight="1">
      <c r="B41" t="s">
        <v>146</v>
      </c>
    </row>
    <row r="42" spans="2:6">
      <c r="B42" s="50" t="s">
        <v>310</v>
      </c>
      <c r="C42" s="50"/>
    </row>
    <row r="43" spans="2:6">
      <c r="B43" s="50" t="s">
        <v>202</v>
      </c>
      <c r="C43" s="50"/>
    </row>
    <row r="44" spans="2:6">
      <c r="B44" s="270" t="s">
        <v>311</v>
      </c>
      <c r="C44" s="270"/>
    </row>
    <row r="210" spans="7:8">
      <c r="H210" s="99"/>
    </row>
    <row r="211" spans="7:8">
      <c r="G211" s="48"/>
    </row>
  </sheetData>
  <mergeCells count="1">
    <mergeCell ref="B44:C44"/>
  </mergeCells>
  <phoneticPr fontId="45" type="noConversion"/>
  <pageMargins left="0.55118110236220474" right="0.41" top="0.88" bottom="0.98425196850393704" header="0.51181102362204722" footer="0.51181102362204722"/>
  <pageSetup paperSize="9" scale="80" orientation="portrait" r:id="rId1"/>
  <headerFooter>
    <oddHeader>&amp;RPage &amp;P of &amp;N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9"/>
  <sheetViews>
    <sheetView zoomScale="70" zoomScaleNormal="90" workbookViewId="0">
      <selection activeCell="C3" sqref="C3"/>
    </sheetView>
  </sheetViews>
  <sheetFormatPr defaultColWidth="11" defaultRowHeight="15.5"/>
  <cols>
    <col min="1" max="1" width="4.9140625" customWidth="1"/>
    <col min="2" max="2" width="13.08203125" bestFit="1" customWidth="1"/>
    <col min="3" max="3" width="26.5" style="53" bestFit="1" customWidth="1"/>
    <col min="4" max="4" width="14.58203125" style="53" bestFit="1" customWidth="1"/>
    <col min="5" max="5" width="11.58203125" style="53" bestFit="1" customWidth="1"/>
    <col min="6" max="6" width="14.5" bestFit="1" customWidth="1"/>
  </cols>
  <sheetData>
    <row r="1" spans="1:7" ht="18.5">
      <c r="A1" s="22" t="s">
        <v>167</v>
      </c>
      <c r="G1" s="32"/>
    </row>
    <row r="3" spans="1:7">
      <c r="B3" s="54" t="s">
        <v>212</v>
      </c>
      <c r="C3" s="53" t="s">
        <v>427</v>
      </c>
    </row>
    <row r="4" spans="1:7">
      <c r="B4" s="54" t="s">
        <v>213</v>
      </c>
      <c r="C4" s="53" t="s">
        <v>427</v>
      </c>
    </row>
    <row r="5" spans="1:7">
      <c r="B5" s="54" t="s">
        <v>214</v>
      </c>
      <c r="C5" s="53" t="s">
        <v>340</v>
      </c>
    </row>
    <row r="6" spans="1:7" ht="16" thickBot="1">
      <c r="A6" s="69"/>
      <c r="B6" s="69"/>
      <c r="C6" s="70"/>
      <c r="D6" s="70"/>
      <c r="E6" s="70"/>
      <c r="F6" s="69"/>
    </row>
    <row r="7" spans="1:7" ht="16" thickBot="1">
      <c r="A7" s="71"/>
      <c r="B7" s="122" t="s">
        <v>215</v>
      </c>
      <c r="C7" s="122" t="s">
        <v>216</v>
      </c>
      <c r="D7" s="122" t="s">
        <v>291</v>
      </c>
      <c r="E7" s="122" t="s">
        <v>217</v>
      </c>
      <c r="F7" s="122" t="s">
        <v>218</v>
      </c>
    </row>
    <row r="8" spans="1:7">
      <c r="A8">
        <v>1</v>
      </c>
      <c r="B8" s="219">
        <v>45918</v>
      </c>
      <c r="C8" s="53" t="s">
        <v>432</v>
      </c>
      <c r="D8" s="219">
        <v>45953</v>
      </c>
      <c r="E8" s="53" t="s">
        <v>443</v>
      </c>
      <c r="F8" t="s">
        <v>453</v>
      </c>
    </row>
    <row r="9" spans="1:7">
      <c r="A9">
        <v>2</v>
      </c>
      <c r="B9" s="219">
        <v>45918</v>
      </c>
      <c r="C9" s="53" t="s">
        <v>434</v>
      </c>
      <c r="D9" s="219">
        <v>45953</v>
      </c>
      <c r="E9" s="53" t="s">
        <v>444</v>
      </c>
      <c r="F9" t="s">
        <v>454</v>
      </c>
    </row>
    <row r="10" spans="1:7">
      <c r="A10">
        <v>3</v>
      </c>
      <c r="B10" s="219">
        <v>45918</v>
      </c>
      <c r="C10" s="53" t="s">
        <v>435</v>
      </c>
      <c r="D10" s="219">
        <v>45953</v>
      </c>
      <c r="E10" s="53" t="s">
        <v>445</v>
      </c>
      <c r="F10" t="s">
        <v>455</v>
      </c>
    </row>
    <row r="11" spans="1:7">
      <c r="A11">
        <v>4</v>
      </c>
      <c r="B11" s="219">
        <v>45918</v>
      </c>
      <c r="C11" s="53" t="s">
        <v>436</v>
      </c>
      <c r="D11" s="219">
        <v>45953</v>
      </c>
      <c r="E11" s="53" t="s">
        <v>446</v>
      </c>
      <c r="F11" t="s">
        <v>456</v>
      </c>
    </row>
    <row r="12" spans="1:7">
      <c r="A12">
        <v>5</v>
      </c>
      <c r="B12" s="219">
        <v>45918</v>
      </c>
      <c r="C12" s="53" t="s">
        <v>437</v>
      </c>
      <c r="D12" s="219">
        <v>45953</v>
      </c>
      <c r="E12" s="53" t="s">
        <v>447</v>
      </c>
      <c r="F12" t="s">
        <v>457</v>
      </c>
    </row>
    <row r="13" spans="1:7">
      <c r="A13">
        <v>6</v>
      </c>
      <c r="B13" s="219">
        <v>45918</v>
      </c>
      <c r="C13" s="53" t="s">
        <v>438</v>
      </c>
      <c r="D13" s="219">
        <v>45953</v>
      </c>
      <c r="E13" s="53" t="s">
        <v>448</v>
      </c>
      <c r="F13" t="s">
        <v>458</v>
      </c>
    </row>
    <row r="14" spans="1:7">
      <c r="A14">
        <v>7</v>
      </c>
      <c r="B14" s="219">
        <v>45918</v>
      </c>
      <c r="C14" s="53" t="s">
        <v>439</v>
      </c>
      <c r="D14" s="219">
        <v>45953</v>
      </c>
      <c r="E14" s="53" t="s">
        <v>449</v>
      </c>
      <c r="F14" t="s">
        <v>459</v>
      </c>
    </row>
    <row r="15" spans="1:7">
      <c r="A15">
        <v>8</v>
      </c>
      <c r="B15" s="219">
        <v>45918</v>
      </c>
      <c r="C15" s="53" t="s">
        <v>440</v>
      </c>
      <c r="D15" s="219">
        <v>45953</v>
      </c>
      <c r="E15" s="53" t="s">
        <v>450</v>
      </c>
      <c r="F15" t="s">
        <v>460</v>
      </c>
    </row>
    <row r="16" spans="1:7">
      <c r="A16">
        <v>9</v>
      </c>
      <c r="B16" s="219">
        <v>45918</v>
      </c>
      <c r="C16" s="53" t="s">
        <v>441</v>
      </c>
      <c r="D16" s="219">
        <v>45953</v>
      </c>
      <c r="E16" s="53" t="s">
        <v>451</v>
      </c>
      <c r="F16" t="s">
        <v>461</v>
      </c>
    </row>
    <row r="17" spans="1:6">
      <c r="A17">
        <v>10</v>
      </c>
      <c r="B17" s="219">
        <v>45918</v>
      </c>
      <c r="C17" s="53" t="s">
        <v>442</v>
      </c>
      <c r="D17" s="219">
        <v>45953</v>
      </c>
      <c r="E17" s="53" t="s">
        <v>452</v>
      </c>
      <c r="F17" t="s">
        <v>462</v>
      </c>
    </row>
    <row r="18" spans="1:6">
      <c r="B18" s="219"/>
      <c r="D18" s="219"/>
    </row>
    <row r="19" spans="1:6">
      <c r="B19" s="219"/>
      <c r="D19" s="219"/>
    </row>
  </sheetData>
  <phoneticPr fontId="45" type="noConversion"/>
  <pageMargins left="0.55118110236220474" right="0.39370078740157483" top="0.86614173228346458" bottom="0.98425196850393704" header="0.51181102362204722" footer="0.51181102362204722"/>
  <pageSetup paperSize="9" scale="90" orientation="portrait" r:id="rId1"/>
  <headerFooter>
    <oddHeader>&amp;RPage &amp;P of &amp;N</oddHeader>
  </headerFooter>
  <extLst>
    <ext xmlns:mx="http://schemas.microsoft.com/office/mac/excel/2008/main" uri="{64002731-A6B0-56B0-2670-7721B7C09600}">
      <mx:PLV Mode="0" OnePage="0" WScale="10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339"/>
  <sheetViews>
    <sheetView topLeftCell="A215" zoomScale="72" zoomScaleNormal="80" zoomScalePageLayoutView="125" workbookViewId="0">
      <selection activeCell="A71" sqref="A71:F336"/>
    </sheetView>
  </sheetViews>
  <sheetFormatPr defaultColWidth="10.9140625" defaultRowHeight="13"/>
  <cols>
    <col min="1" max="1" width="7.5" style="59" customWidth="1"/>
    <col min="2" max="5" width="1.9140625" style="59" customWidth="1"/>
    <col min="6" max="6" width="20.5" style="59" customWidth="1"/>
    <col min="7" max="16" width="13.6640625" style="59" bestFit="1" customWidth="1"/>
    <col min="17" max="16384" width="10.9140625" style="59"/>
  </cols>
  <sheetData>
    <row r="1" spans="1:21" ht="27" customHeight="1">
      <c r="A1" s="58" t="s">
        <v>167</v>
      </c>
    </row>
    <row r="2" spans="1:21" s="58" customFormat="1">
      <c r="A2" s="58" t="s">
        <v>4</v>
      </c>
    </row>
    <row r="3" spans="1:21" s="118" customFormat="1">
      <c r="A3" s="118" t="s">
        <v>209</v>
      </c>
      <c r="F3" s="119" t="s">
        <v>211</v>
      </c>
      <c r="G3" s="226" t="s">
        <v>443</v>
      </c>
      <c r="H3" s="226" t="s">
        <v>444</v>
      </c>
      <c r="I3" s="226" t="s">
        <v>445</v>
      </c>
      <c r="J3" s="226" t="s">
        <v>446</v>
      </c>
      <c r="K3" s="226" t="s">
        <v>447</v>
      </c>
      <c r="L3" s="226" t="s">
        <v>448</v>
      </c>
      <c r="M3" s="226" t="s">
        <v>449</v>
      </c>
      <c r="N3" s="226" t="s">
        <v>450</v>
      </c>
      <c r="O3" s="226" t="s">
        <v>451</v>
      </c>
      <c r="P3" s="226" t="s">
        <v>452</v>
      </c>
    </row>
    <row r="4" spans="1:21" s="118" customFormat="1">
      <c r="F4" s="119" t="s">
        <v>210</v>
      </c>
      <c r="G4" s="156" t="s">
        <v>432</v>
      </c>
      <c r="H4" s="156" t="s">
        <v>434</v>
      </c>
      <c r="I4" s="156" t="s">
        <v>435</v>
      </c>
      <c r="J4" s="156" t="s">
        <v>436</v>
      </c>
      <c r="K4" s="156" t="s">
        <v>437</v>
      </c>
      <c r="L4" s="156" t="s">
        <v>438</v>
      </c>
      <c r="M4" s="156" t="s">
        <v>439</v>
      </c>
      <c r="N4" s="156" t="s">
        <v>440</v>
      </c>
      <c r="O4" s="156" t="s">
        <v>441</v>
      </c>
      <c r="P4" s="156" t="s">
        <v>442</v>
      </c>
    </row>
    <row r="5" spans="1:21" s="58" customFormat="1" hidden="1">
      <c r="F5" s="60" t="s">
        <v>0</v>
      </c>
      <c r="G5" s="222"/>
      <c r="H5" s="222"/>
      <c r="I5" s="222"/>
      <c r="J5" s="222"/>
      <c r="K5" s="222"/>
      <c r="L5" s="222"/>
      <c r="M5" s="222"/>
      <c r="N5" s="222"/>
      <c r="O5" s="222"/>
      <c r="P5" s="222"/>
    </row>
    <row r="6" spans="1:21" s="58" customFormat="1" hidden="1">
      <c r="F6" s="60" t="s">
        <v>1</v>
      </c>
      <c r="G6" s="223"/>
      <c r="H6" s="223"/>
      <c r="I6" s="223"/>
      <c r="J6" s="223"/>
      <c r="K6" s="223"/>
      <c r="L6" s="223"/>
      <c r="M6" s="223"/>
      <c r="N6" s="223"/>
      <c r="O6" s="223"/>
      <c r="P6" s="223"/>
    </row>
    <row r="7" spans="1:21" s="58" customFormat="1">
      <c r="F7" s="60" t="s">
        <v>141</v>
      </c>
      <c r="G7" s="156">
        <v>5</v>
      </c>
      <c r="H7" s="156">
        <v>5</v>
      </c>
      <c r="I7" s="156">
        <v>5</v>
      </c>
      <c r="J7" s="156">
        <v>5</v>
      </c>
      <c r="K7" s="156">
        <v>5</v>
      </c>
      <c r="L7" s="156">
        <v>5</v>
      </c>
      <c r="M7" s="156">
        <v>5</v>
      </c>
      <c r="N7" s="156">
        <v>5</v>
      </c>
      <c r="O7" s="156">
        <v>5</v>
      </c>
      <c r="P7" s="156">
        <v>5</v>
      </c>
    </row>
    <row r="8" spans="1:21" s="58" customFormat="1">
      <c r="F8" s="60" t="s">
        <v>232</v>
      </c>
      <c r="G8" s="224">
        <f>'Sample Info'!$G$27*'Zoopl Count'!G7*1000</f>
        <v>245.43692606170259</v>
      </c>
      <c r="H8" s="224">
        <f>'Sample Info'!$G$27*'Zoopl Count'!H7*1000</f>
        <v>245.43692606170259</v>
      </c>
      <c r="I8" s="224">
        <f>'Sample Info'!$G$27*'Zoopl Count'!I7*1000</f>
        <v>245.43692606170259</v>
      </c>
      <c r="J8" s="224">
        <f>'Sample Info'!$G$27*'Zoopl Count'!J7*1000</f>
        <v>245.43692606170259</v>
      </c>
      <c r="K8" s="224">
        <f>'Sample Info'!$G$27*'Zoopl Count'!K7*1000</f>
        <v>245.43692606170259</v>
      </c>
      <c r="L8" s="224">
        <f>'Sample Info'!$G$27*'Zoopl Count'!L7*1000</f>
        <v>245.43692606170259</v>
      </c>
      <c r="M8" s="224">
        <f>'Sample Info'!$G$27*'Zoopl Count'!M7*1000</f>
        <v>245.43692606170259</v>
      </c>
      <c r="N8" s="224">
        <f>'Sample Info'!$G$27*'Zoopl Count'!N7*1000</f>
        <v>245.43692606170259</v>
      </c>
      <c r="O8" s="224">
        <f>'Sample Info'!$G$27*'Zoopl Count'!O7*1000</f>
        <v>245.43692606170259</v>
      </c>
      <c r="P8" s="224">
        <f>'Sample Info'!$G$27*'Zoopl Count'!P7*1000</f>
        <v>245.43692606170259</v>
      </c>
    </row>
    <row r="9" spans="1:21" s="61" customFormat="1" ht="13.5" thickBot="1">
      <c r="F9" s="62" t="s">
        <v>143</v>
      </c>
      <c r="G9" s="225">
        <v>5</v>
      </c>
      <c r="H9" s="225">
        <v>4</v>
      </c>
      <c r="I9" s="225">
        <v>3</v>
      </c>
      <c r="J9" s="225">
        <v>5</v>
      </c>
      <c r="K9" s="225">
        <v>5</v>
      </c>
      <c r="L9" s="225">
        <v>7</v>
      </c>
      <c r="M9" s="225">
        <v>5</v>
      </c>
      <c r="N9" s="225">
        <v>3</v>
      </c>
      <c r="O9" s="225">
        <v>8</v>
      </c>
      <c r="P9" s="225">
        <v>5</v>
      </c>
      <c r="Q9" s="58"/>
      <c r="R9" s="58"/>
      <c r="S9" s="58"/>
      <c r="T9" s="58"/>
      <c r="U9" s="58"/>
    </row>
    <row r="10" spans="1:21" s="58" customFormat="1" ht="13.5" hidden="1" thickTop="1">
      <c r="A10" s="63" t="s">
        <v>7</v>
      </c>
      <c r="B10" s="58" t="s">
        <v>203</v>
      </c>
      <c r="C10" s="59"/>
      <c r="D10" s="59"/>
      <c r="E10" s="59"/>
      <c r="F10" s="63"/>
      <c r="G10" s="67"/>
      <c r="H10" s="67"/>
      <c r="I10" s="67"/>
      <c r="J10" s="67"/>
      <c r="K10" s="67"/>
      <c r="L10" s="67"/>
      <c r="M10" s="67"/>
      <c r="N10" s="67"/>
      <c r="O10" s="67"/>
      <c r="P10" s="67"/>
    </row>
    <row r="11" spans="1:21" s="58" customFormat="1" hidden="1">
      <c r="A11" s="59"/>
      <c r="B11" s="63" t="s">
        <v>79</v>
      </c>
      <c r="C11" s="58" t="s">
        <v>204</v>
      </c>
      <c r="D11" s="59"/>
      <c r="E11" s="59"/>
      <c r="F11" s="63"/>
      <c r="G11" s="67"/>
      <c r="H11" s="67"/>
      <c r="I11" s="67"/>
      <c r="J11" s="67"/>
      <c r="K11" s="67"/>
      <c r="L11" s="67"/>
      <c r="M11" s="67"/>
      <c r="N11" s="67"/>
      <c r="O11" s="67"/>
      <c r="P11" s="67"/>
    </row>
    <row r="12" spans="1:21" s="58" customFormat="1" hidden="1">
      <c r="A12" s="59"/>
      <c r="B12" s="59"/>
      <c r="C12" s="63" t="s">
        <v>10</v>
      </c>
      <c r="D12" s="58" t="s">
        <v>205</v>
      </c>
      <c r="E12" s="59"/>
      <c r="F12" s="63"/>
      <c r="G12" s="67"/>
      <c r="H12" s="67"/>
      <c r="I12" s="67"/>
      <c r="J12" s="67"/>
      <c r="K12" s="67"/>
      <c r="L12" s="67"/>
      <c r="M12" s="67"/>
      <c r="N12" s="67"/>
      <c r="O12" s="67"/>
      <c r="P12" s="67"/>
    </row>
    <row r="13" spans="1:21" s="58" customFormat="1" hidden="1">
      <c r="A13" s="59"/>
      <c r="B13" s="59"/>
      <c r="C13" s="59"/>
      <c r="D13" s="63" t="s">
        <v>12</v>
      </c>
      <c r="E13" s="59" t="s">
        <v>351</v>
      </c>
      <c r="F13" s="63"/>
      <c r="G13" s="67"/>
      <c r="H13" s="67"/>
      <c r="I13" s="67"/>
      <c r="J13" s="67"/>
      <c r="K13" s="67"/>
      <c r="L13" s="67"/>
      <c r="M13" s="67"/>
      <c r="N13" s="67"/>
      <c r="O13" s="67"/>
      <c r="P13" s="67"/>
    </row>
    <row r="14" spans="1:21" s="58" customFormat="1" hidden="1">
      <c r="A14" s="59"/>
      <c r="B14" s="59"/>
      <c r="C14" s="59"/>
      <c r="D14" s="59"/>
      <c r="E14" s="63" t="s">
        <v>14</v>
      </c>
      <c r="F14" s="247" t="s">
        <v>352</v>
      </c>
      <c r="G14" s="67"/>
      <c r="H14" s="67"/>
      <c r="I14" s="67"/>
      <c r="J14" s="67"/>
      <c r="K14" s="67"/>
      <c r="L14" s="67"/>
      <c r="M14" s="67"/>
      <c r="N14" s="67"/>
      <c r="O14" s="67"/>
      <c r="P14" s="67"/>
    </row>
    <row r="15" spans="1:21" s="58" customFormat="1" hidden="1">
      <c r="A15" s="59"/>
      <c r="B15" s="59"/>
      <c r="C15" s="59"/>
      <c r="D15" s="63" t="s">
        <v>12</v>
      </c>
      <c r="E15" s="59" t="s">
        <v>293</v>
      </c>
      <c r="F15" s="63"/>
      <c r="G15" s="67"/>
      <c r="H15" s="67"/>
      <c r="I15" s="67"/>
      <c r="J15" s="67"/>
      <c r="K15" s="67"/>
      <c r="L15" s="67"/>
      <c r="M15" s="67"/>
      <c r="N15" s="67"/>
      <c r="O15" s="67"/>
      <c r="P15" s="67"/>
    </row>
    <row r="16" spans="1:21" s="58" customFormat="1" hidden="1">
      <c r="A16" s="59"/>
      <c r="B16" s="59"/>
      <c r="C16" s="59"/>
      <c r="D16" s="59"/>
      <c r="E16" s="63" t="s">
        <v>14</v>
      </c>
      <c r="F16" s="247" t="s">
        <v>294</v>
      </c>
      <c r="G16" s="67"/>
      <c r="H16" s="67"/>
      <c r="I16" s="67"/>
      <c r="J16" s="67"/>
      <c r="K16" s="67"/>
      <c r="L16" s="67"/>
      <c r="M16" s="67"/>
      <c r="N16" s="67"/>
      <c r="O16" s="67"/>
      <c r="P16" s="67"/>
    </row>
    <row r="17" spans="1:16" s="58" customFormat="1" hidden="1">
      <c r="A17" s="59"/>
      <c r="B17" s="59"/>
      <c r="C17" s="59"/>
      <c r="D17" s="63" t="s">
        <v>12</v>
      </c>
      <c r="E17" s="59" t="s">
        <v>349</v>
      </c>
      <c r="F17" s="63"/>
      <c r="G17" s="67"/>
      <c r="H17" s="67"/>
      <c r="I17" s="67"/>
      <c r="J17" s="67"/>
      <c r="K17" s="67"/>
      <c r="L17" s="67"/>
      <c r="M17" s="67"/>
      <c r="N17" s="67"/>
      <c r="O17" s="67"/>
      <c r="P17" s="67"/>
    </row>
    <row r="18" spans="1:16" s="58" customFormat="1" hidden="1">
      <c r="A18" s="59"/>
      <c r="B18" s="59"/>
      <c r="C18" s="59"/>
      <c r="D18" s="59"/>
      <c r="E18" s="63" t="s">
        <v>14</v>
      </c>
      <c r="F18" s="247" t="s">
        <v>350</v>
      </c>
      <c r="G18" s="67"/>
      <c r="H18" s="67"/>
      <c r="I18" s="67"/>
      <c r="J18" s="67"/>
      <c r="K18" s="67"/>
      <c r="L18" s="67"/>
      <c r="M18" s="67"/>
      <c r="N18" s="67"/>
      <c r="O18" s="67"/>
      <c r="P18" s="67"/>
    </row>
    <row r="19" spans="1:16" s="58" customFormat="1" hidden="1">
      <c r="A19" s="59"/>
      <c r="B19" s="59"/>
      <c r="C19" s="59"/>
      <c r="D19" s="63" t="s">
        <v>12</v>
      </c>
      <c r="E19" s="59" t="s">
        <v>353</v>
      </c>
      <c r="F19" s="63"/>
      <c r="G19" s="67"/>
      <c r="H19" s="67"/>
      <c r="I19" s="67"/>
      <c r="J19" s="67"/>
      <c r="K19" s="67"/>
      <c r="L19" s="67"/>
      <c r="M19" s="67"/>
      <c r="N19" s="67"/>
      <c r="O19" s="67"/>
      <c r="P19" s="67"/>
    </row>
    <row r="20" spans="1:16" s="58" customFormat="1" hidden="1">
      <c r="A20" s="59"/>
      <c r="B20" s="59"/>
      <c r="C20" s="59"/>
      <c r="D20" s="59"/>
      <c r="E20" s="63" t="s">
        <v>14</v>
      </c>
      <c r="F20" s="247" t="s">
        <v>354</v>
      </c>
      <c r="G20" s="67"/>
      <c r="H20" s="67"/>
      <c r="I20" s="67"/>
      <c r="J20" s="67"/>
      <c r="K20" s="67"/>
      <c r="L20" s="67"/>
      <c r="M20" s="67"/>
      <c r="N20" s="67"/>
      <c r="O20" s="67"/>
      <c r="P20" s="67"/>
    </row>
    <row r="21" spans="1:16" s="58" customFormat="1" hidden="1">
      <c r="A21" s="59"/>
      <c r="B21" s="59"/>
      <c r="C21" s="59"/>
      <c r="D21" s="63" t="s">
        <v>12</v>
      </c>
      <c r="E21" s="59" t="s">
        <v>356</v>
      </c>
      <c r="F21" s="63"/>
      <c r="G21" s="67"/>
      <c r="H21" s="67"/>
      <c r="I21" s="67"/>
      <c r="J21" s="67"/>
      <c r="K21" s="67"/>
      <c r="L21" s="67"/>
      <c r="M21" s="67"/>
      <c r="N21" s="67"/>
      <c r="O21" s="67"/>
      <c r="P21" s="67"/>
    </row>
    <row r="22" spans="1:16" s="58" customFormat="1" hidden="1">
      <c r="A22" s="59"/>
      <c r="B22" s="59"/>
      <c r="C22" s="59"/>
      <c r="D22" s="59"/>
      <c r="E22" s="63" t="s">
        <v>14</v>
      </c>
      <c r="F22" s="247" t="s">
        <v>355</v>
      </c>
      <c r="G22" s="67"/>
      <c r="H22" s="67"/>
      <c r="I22" s="67"/>
      <c r="J22" s="67"/>
      <c r="K22" s="67"/>
      <c r="L22" s="67"/>
      <c r="M22" s="67"/>
      <c r="N22" s="67"/>
      <c r="O22" s="67"/>
      <c r="P22" s="67"/>
    </row>
    <row r="23" spans="1:16" s="58" customFormat="1" hidden="1">
      <c r="A23" s="59"/>
      <c r="B23" s="59"/>
      <c r="C23" s="59"/>
      <c r="D23" s="59"/>
      <c r="E23" s="63"/>
      <c r="F23" s="247"/>
      <c r="G23" s="67"/>
      <c r="H23" s="67"/>
      <c r="I23" s="67"/>
      <c r="J23" s="67"/>
      <c r="K23" s="67"/>
      <c r="L23" s="67"/>
      <c r="M23" s="67"/>
      <c r="N23" s="67"/>
      <c r="O23" s="67"/>
      <c r="P23" s="67"/>
    </row>
    <row r="24" spans="1:16" s="58" customFormat="1" hidden="1">
      <c r="A24" s="59"/>
      <c r="B24" s="63" t="s">
        <v>79</v>
      </c>
      <c r="C24" s="58" t="s">
        <v>357</v>
      </c>
      <c r="D24" s="59"/>
      <c r="E24" s="59"/>
      <c r="F24" s="63"/>
      <c r="G24" s="67"/>
      <c r="H24" s="67"/>
      <c r="I24" s="67"/>
      <c r="J24" s="67"/>
      <c r="K24" s="67"/>
      <c r="L24" s="67"/>
      <c r="M24" s="67"/>
      <c r="N24" s="67"/>
      <c r="O24" s="67"/>
      <c r="P24" s="67"/>
    </row>
    <row r="25" spans="1:16" s="58" customFormat="1" hidden="1">
      <c r="A25" s="59"/>
      <c r="B25" s="59"/>
      <c r="C25" s="63" t="s">
        <v>10</v>
      </c>
      <c r="D25" s="58" t="s">
        <v>358</v>
      </c>
      <c r="E25" s="59"/>
      <c r="F25" s="63"/>
      <c r="G25" s="67"/>
      <c r="H25" s="67"/>
      <c r="I25" s="67"/>
      <c r="J25" s="67"/>
      <c r="K25" s="67"/>
      <c r="L25" s="67"/>
      <c r="M25" s="67"/>
      <c r="N25" s="67"/>
      <c r="O25" s="67"/>
      <c r="P25" s="67"/>
    </row>
    <row r="26" spans="1:16" s="58" customFormat="1" hidden="1">
      <c r="A26" s="59"/>
      <c r="B26" s="59"/>
      <c r="C26" s="59"/>
      <c r="D26" s="63" t="s">
        <v>12</v>
      </c>
      <c r="E26" s="59" t="s">
        <v>359</v>
      </c>
      <c r="F26" s="63"/>
      <c r="G26" s="67"/>
      <c r="H26" s="67"/>
      <c r="I26" s="67"/>
      <c r="J26" s="67"/>
      <c r="K26" s="67"/>
      <c r="L26" s="67"/>
      <c r="M26" s="67"/>
      <c r="N26" s="67"/>
      <c r="O26" s="67"/>
      <c r="P26" s="67"/>
    </row>
    <row r="27" spans="1:16" s="58" customFormat="1" hidden="1">
      <c r="A27" s="59"/>
      <c r="B27" s="59"/>
      <c r="C27" s="59"/>
      <c r="D27" s="59"/>
      <c r="E27" s="63" t="s">
        <v>14</v>
      </c>
      <c r="F27" s="247" t="s">
        <v>360</v>
      </c>
      <c r="G27" s="67"/>
      <c r="H27" s="67"/>
      <c r="I27" s="67"/>
      <c r="J27" s="67"/>
      <c r="K27" s="67"/>
      <c r="L27" s="67"/>
      <c r="M27" s="67"/>
      <c r="N27" s="67"/>
      <c r="O27" s="67"/>
      <c r="P27" s="67"/>
    </row>
    <row r="28" spans="1:16" s="58" customFormat="1" hidden="1">
      <c r="A28" s="59"/>
      <c r="B28" s="59"/>
      <c r="C28" s="59"/>
      <c r="D28" s="59"/>
      <c r="E28" s="63"/>
      <c r="F28" s="247"/>
      <c r="G28" s="67"/>
      <c r="H28" s="67"/>
      <c r="I28" s="67"/>
      <c r="J28" s="67"/>
      <c r="K28" s="67"/>
      <c r="L28" s="67"/>
      <c r="M28" s="67"/>
      <c r="N28" s="67"/>
      <c r="O28" s="67"/>
      <c r="P28" s="67"/>
    </row>
    <row r="29" spans="1:16" s="58" customFormat="1" hidden="1">
      <c r="A29" s="59"/>
      <c r="B29" s="63" t="s">
        <v>79</v>
      </c>
      <c r="C29" s="58" t="s">
        <v>361</v>
      </c>
      <c r="D29" s="59"/>
      <c r="E29" s="59"/>
      <c r="F29" s="63"/>
      <c r="G29" s="67"/>
      <c r="H29" s="67"/>
      <c r="I29" s="67"/>
      <c r="J29" s="67"/>
      <c r="K29" s="67"/>
      <c r="L29" s="67"/>
      <c r="M29" s="67"/>
      <c r="N29" s="67"/>
      <c r="O29" s="67"/>
      <c r="P29" s="67"/>
    </row>
    <row r="30" spans="1:16" s="58" customFormat="1" hidden="1">
      <c r="A30" s="59"/>
      <c r="B30" s="59"/>
      <c r="C30" s="63" t="s">
        <v>10</v>
      </c>
      <c r="D30" s="58" t="s">
        <v>362</v>
      </c>
      <c r="E30" s="59"/>
      <c r="F30" s="63"/>
      <c r="G30" s="67"/>
      <c r="H30" s="67"/>
      <c r="I30" s="67"/>
      <c r="J30" s="67"/>
      <c r="K30" s="67"/>
      <c r="L30" s="67"/>
      <c r="M30" s="67"/>
      <c r="N30" s="67"/>
      <c r="O30" s="67"/>
      <c r="P30" s="67"/>
    </row>
    <row r="31" spans="1:16" s="58" customFormat="1" hidden="1">
      <c r="A31" s="59"/>
      <c r="B31" s="59"/>
      <c r="C31" s="59"/>
      <c r="D31" s="63" t="s">
        <v>12</v>
      </c>
      <c r="E31" s="59" t="s">
        <v>363</v>
      </c>
      <c r="F31" s="63"/>
      <c r="G31" s="67"/>
      <c r="H31" s="67"/>
      <c r="I31" s="67"/>
      <c r="J31" s="67"/>
      <c r="K31" s="67"/>
      <c r="L31" s="67"/>
      <c r="M31" s="67"/>
      <c r="N31" s="67"/>
      <c r="O31" s="67"/>
      <c r="P31" s="67"/>
    </row>
    <row r="32" spans="1:16" s="58" customFormat="1" hidden="1">
      <c r="A32" s="59"/>
      <c r="B32" s="59"/>
      <c r="C32" s="59"/>
      <c r="D32" s="59"/>
      <c r="E32" s="63" t="s">
        <v>14</v>
      </c>
      <c r="F32" s="247" t="s">
        <v>364</v>
      </c>
      <c r="G32" s="67"/>
      <c r="H32" s="67"/>
      <c r="I32" s="67"/>
      <c r="J32" s="67"/>
      <c r="K32" s="67"/>
      <c r="L32" s="67"/>
      <c r="M32" s="67"/>
      <c r="N32" s="67"/>
      <c r="O32" s="67"/>
      <c r="P32" s="67"/>
    </row>
    <row r="33" spans="1:16" s="58" customFormat="1" hidden="1">
      <c r="A33" s="59"/>
      <c r="B33" s="59"/>
      <c r="C33" s="59"/>
      <c r="D33" s="59"/>
      <c r="E33" s="63"/>
      <c r="F33" s="247" t="s">
        <v>365</v>
      </c>
      <c r="G33" s="67"/>
      <c r="H33" s="67"/>
      <c r="I33" s="67"/>
      <c r="J33" s="67"/>
      <c r="K33" s="67"/>
      <c r="L33" s="67"/>
      <c r="M33" s="67"/>
      <c r="N33" s="67"/>
      <c r="O33" s="67"/>
      <c r="P33" s="67"/>
    </row>
    <row r="34" spans="1:16" s="58" customFormat="1" hidden="1">
      <c r="A34" s="59"/>
      <c r="B34" s="59"/>
      <c r="C34" s="59"/>
      <c r="D34" s="59"/>
      <c r="E34" s="63"/>
      <c r="F34" s="247" t="s">
        <v>366</v>
      </c>
      <c r="G34" s="67"/>
      <c r="H34" s="67"/>
      <c r="I34" s="67"/>
      <c r="J34" s="67"/>
      <c r="K34" s="67"/>
      <c r="L34" s="67"/>
      <c r="M34" s="67"/>
      <c r="N34" s="67"/>
      <c r="O34" s="67"/>
      <c r="P34" s="67"/>
    </row>
    <row r="35" spans="1:16" s="58" customFormat="1" hidden="1">
      <c r="F35" s="248"/>
      <c r="G35" s="67"/>
      <c r="H35" s="67"/>
      <c r="I35" s="67"/>
      <c r="J35" s="67"/>
      <c r="K35" s="67"/>
      <c r="L35" s="67"/>
      <c r="M35" s="67"/>
      <c r="N35" s="67"/>
      <c r="O35" s="67"/>
      <c r="P35" s="67"/>
    </row>
    <row r="36" spans="1:16" s="58" customFormat="1" hidden="1">
      <c r="A36" s="63" t="s">
        <v>7</v>
      </c>
      <c r="B36" s="58" t="s">
        <v>188</v>
      </c>
      <c r="F36" s="248"/>
      <c r="G36" s="67"/>
      <c r="H36" s="67"/>
      <c r="I36" s="67"/>
      <c r="J36" s="67"/>
      <c r="K36" s="67"/>
      <c r="L36" s="67"/>
      <c r="M36" s="67"/>
      <c r="N36" s="67"/>
      <c r="O36" s="67"/>
      <c r="P36" s="67"/>
    </row>
    <row r="37" spans="1:16" s="58" customFormat="1" hidden="1">
      <c r="B37" s="63" t="s">
        <v>79</v>
      </c>
      <c r="C37" s="58" t="s">
        <v>189</v>
      </c>
      <c r="F37" s="248"/>
      <c r="G37" s="67"/>
      <c r="H37" s="67"/>
      <c r="I37" s="67"/>
      <c r="J37" s="67"/>
      <c r="K37" s="67"/>
      <c r="L37" s="67"/>
      <c r="M37" s="67"/>
      <c r="N37" s="67"/>
      <c r="O37" s="67"/>
      <c r="P37" s="67"/>
    </row>
    <row r="38" spans="1:16" s="58" customFormat="1" hidden="1">
      <c r="C38" s="63" t="s">
        <v>10</v>
      </c>
      <c r="D38" s="58" t="s">
        <v>190</v>
      </c>
      <c r="F38" s="248"/>
      <c r="G38" s="67"/>
      <c r="H38" s="67"/>
      <c r="I38" s="67"/>
      <c r="J38" s="67"/>
      <c r="K38" s="67"/>
      <c r="L38" s="67"/>
      <c r="M38" s="67"/>
      <c r="N38" s="67"/>
      <c r="O38" s="67"/>
      <c r="P38" s="67"/>
    </row>
    <row r="39" spans="1:16" s="58" customFormat="1" hidden="1">
      <c r="D39" s="63" t="s">
        <v>12</v>
      </c>
      <c r="E39" s="59" t="s">
        <v>191</v>
      </c>
      <c r="F39" s="63"/>
      <c r="G39" s="67"/>
      <c r="H39" s="67"/>
      <c r="I39" s="67"/>
      <c r="J39" s="67"/>
      <c r="K39" s="67"/>
      <c r="L39" s="67"/>
      <c r="M39" s="67"/>
      <c r="N39" s="67"/>
      <c r="O39" s="67"/>
      <c r="P39" s="67"/>
    </row>
    <row r="40" spans="1:16" s="58" customFormat="1" hidden="1">
      <c r="E40" s="63" t="s">
        <v>14</v>
      </c>
      <c r="F40" s="246" t="s">
        <v>192</v>
      </c>
      <c r="G40" s="67"/>
      <c r="H40" s="67"/>
      <c r="I40" s="67"/>
      <c r="J40" s="67"/>
      <c r="K40" s="67"/>
      <c r="L40" s="67"/>
      <c r="M40" s="67"/>
      <c r="N40" s="67"/>
      <c r="O40" s="67"/>
      <c r="P40" s="67"/>
    </row>
    <row r="41" spans="1:16" s="58" customFormat="1" hidden="1">
      <c r="E41" s="63"/>
      <c r="F41" s="248"/>
      <c r="G41" s="67"/>
      <c r="H41" s="67"/>
      <c r="I41" s="67"/>
      <c r="J41" s="67"/>
      <c r="K41" s="67"/>
      <c r="L41" s="67"/>
      <c r="M41" s="67"/>
      <c r="N41" s="67"/>
      <c r="O41" s="67"/>
      <c r="P41" s="67"/>
    </row>
    <row r="42" spans="1:16" s="58" customFormat="1" hidden="1">
      <c r="F42" s="248"/>
      <c r="G42" s="67"/>
      <c r="H42" s="67"/>
      <c r="I42" s="67"/>
      <c r="J42" s="67"/>
      <c r="K42" s="67"/>
      <c r="L42" s="67"/>
      <c r="M42" s="67"/>
      <c r="N42" s="67"/>
      <c r="O42" s="67"/>
      <c r="P42" s="67"/>
    </row>
    <row r="43" spans="1:16" s="58" customFormat="1" ht="13.5" hidden="1" thickTop="1">
      <c r="A43" s="63" t="s">
        <v>7</v>
      </c>
      <c r="B43" s="58" t="s">
        <v>151</v>
      </c>
      <c r="F43" s="248"/>
      <c r="G43" s="67"/>
      <c r="H43" s="67"/>
      <c r="I43" s="67"/>
      <c r="J43" s="67"/>
      <c r="K43" s="67"/>
      <c r="L43" s="67"/>
      <c r="M43" s="67"/>
      <c r="N43" s="67"/>
      <c r="O43" s="67"/>
      <c r="P43" s="67"/>
    </row>
    <row r="44" spans="1:16" s="58" customFormat="1" hidden="1">
      <c r="B44" s="63" t="s">
        <v>79</v>
      </c>
      <c r="C44" s="58" t="s">
        <v>318</v>
      </c>
      <c r="F44" s="248"/>
      <c r="G44" s="67"/>
      <c r="H44" s="67"/>
      <c r="I44" s="67"/>
      <c r="J44" s="67"/>
      <c r="K44" s="67"/>
      <c r="L44" s="67"/>
      <c r="M44" s="67"/>
      <c r="N44" s="67"/>
      <c r="O44" s="67"/>
      <c r="P44" s="67"/>
    </row>
    <row r="45" spans="1:16" s="58" customFormat="1" hidden="1">
      <c r="B45" s="63"/>
      <c r="C45" s="63" t="s">
        <v>10</v>
      </c>
      <c r="D45" s="58" t="s">
        <v>319</v>
      </c>
      <c r="F45" s="248"/>
      <c r="G45" s="67"/>
      <c r="H45" s="67"/>
      <c r="I45" s="67"/>
      <c r="J45" s="67"/>
      <c r="K45" s="67"/>
      <c r="L45" s="67"/>
      <c r="M45" s="67"/>
      <c r="N45" s="67"/>
      <c r="O45" s="67"/>
      <c r="P45" s="67"/>
    </row>
    <row r="46" spans="1:16" hidden="1">
      <c r="D46" s="63" t="s">
        <v>12</v>
      </c>
      <c r="E46" s="59" t="s">
        <v>154</v>
      </c>
      <c r="G46" s="67"/>
      <c r="H46" s="67"/>
      <c r="I46" s="67"/>
      <c r="J46" s="67"/>
      <c r="K46" s="67"/>
      <c r="L46" s="67"/>
      <c r="M46" s="67"/>
      <c r="N46" s="67"/>
      <c r="O46" s="67"/>
      <c r="P46" s="67"/>
    </row>
    <row r="47" spans="1:16" hidden="1">
      <c r="D47" s="63"/>
      <c r="E47" s="63" t="s">
        <v>14</v>
      </c>
      <c r="F47" s="64" t="s">
        <v>155</v>
      </c>
      <c r="G47" s="67"/>
      <c r="H47" s="67"/>
      <c r="I47" s="67"/>
      <c r="J47" s="67"/>
      <c r="K47" s="67"/>
      <c r="L47" s="67"/>
      <c r="M47" s="67"/>
      <c r="N47" s="67"/>
      <c r="O47" s="67"/>
      <c r="P47" s="67"/>
    </row>
    <row r="48" spans="1:16" hidden="1">
      <c r="D48" s="63"/>
      <c r="E48" s="63"/>
      <c r="F48" s="64" t="s">
        <v>367</v>
      </c>
      <c r="G48" s="67"/>
      <c r="H48" s="67"/>
      <c r="I48" s="67"/>
      <c r="J48" s="67"/>
      <c r="K48" s="67"/>
      <c r="L48" s="67"/>
      <c r="M48" s="67"/>
      <c r="N48" s="67"/>
      <c r="O48" s="67"/>
      <c r="P48" s="67"/>
    </row>
    <row r="49" spans="4:16" hidden="1">
      <c r="D49" s="63" t="s">
        <v>12</v>
      </c>
      <c r="E49" s="59" t="s">
        <v>369</v>
      </c>
      <c r="G49" s="67"/>
      <c r="H49" s="67"/>
      <c r="I49" s="67"/>
      <c r="J49" s="67"/>
      <c r="K49" s="67"/>
      <c r="L49" s="67"/>
      <c r="M49" s="67"/>
      <c r="N49" s="67"/>
      <c r="O49" s="67"/>
      <c r="P49" s="67"/>
    </row>
    <row r="50" spans="4:16" hidden="1">
      <c r="D50" s="63"/>
      <c r="E50" s="63" t="s">
        <v>14</v>
      </c>
      <c r="F50" s="64" t="s">
        <v>368</v>
      </c>
      <c r="G50" s="67"/>
      <c r="H50" s="67"/>
      <c r="I50" s="67"/>
      <c r="J50" s="67"/>
      <c r="K50" s="67"/>
      <c r="L50" s="67"/>
      <c r="M50" s="67"/>
      <c r="N50" s="67"/>
      <c r="O50" s="67"/>
      <c r="P50" s="67"/>
    </row>
    <row r="51" spans="4:16" hidden="1">
      <c r="D51" s="63"/>
      <c r="E51" s="63"/>
      <c r="F51" s="64" t="s">
        <v>370</v>
      </c>
      <c r="G51" s="67"/>
      <c r="H51" s="67"/>
      <c r="I51" s="67"/>
      <c r="J51" s="67"/>
      <c r="K51" s="67"/>
      <c r="L51" s="67"/>
      <c r="M51" s="67"/>
      <c r="N51" s="67"/>
      <c r="O51" s="67"/>
      <c r="P51" s="67"/>
    </row>
    <row r="52" spans="4:16" hidden="1">
      <c r="D52" s="63" t="s">
        <v>12</v>
      </c>
      <c r="E52" s="59" t="s">
        <v>371</v>
      </c>
      <c r="G52" s="67"/>
      <c r="H52" s="67"/>
      <c r="I52" s="67"/>
      <c r="J52" s="67"/>
      <c r="K52" s="67"/>
      <c r="L52" s="67"/>
      <c r="M52" s="67"/>
      <c r="N52" s="67"/>
      <c r="O52" s="67"/>
      <c r="P52" s="67"/>
    </row>
    <row r="53" spans="4:16" hidden="1">
      <c r="D53" s="63"/>
      <c r="E53" s="63" t="s">
        <v>14</v>
      </c>
      <c r="F53" s="64" t="s">
        <v>372</v>
      </c>
      <c r="G53" s="67"/>
      <c r="H53" s="67"/>
      <c r="I53" s="67"/>
      <c r="J53" s="67"/>
      <c r="K53" s="67"/>
      <c r="L53" s="67"/>
      <c r="M53" s="67"/>
      <c r="N53" s="67"/>
      <c r="O53" s="67"/>
      <c r="P53" s="67"/>
    </row>
    <row r="54" spans="4:16" hidden="1">
      <c r="D54" s="63" t="s">
        <v>12</v>
      </c>
      <c r="E54" s="59" t="s">
        <v>373</v>
      </c>
      <c r="G54" s="67"/>
      <c r="H54" s="67"/>
      <c r="I54" s="67"/>
      <c r="J54" s="67"/>
      <c r="K54" s="67"/>
      <c r="L54" s="67"/>
      <c r="M54" s="67"/>
      <c r="N54" s="67"/>
      <c r="O54" s="67"/>
      <c r="P54" s="67"/>
    </row>
    <row r="55" spans="4:16" hidden="1">
      <c r="D55" s="63"/>
      <c r="E55" s="63" t="s">
        <v>14</v>
      </c>
      <c r="F55" s="64" t="s">
        <v>374</v>
      </c>
      <c r="G55" s="67"/>
      <c r="H55" s="67"/>
      <c r="I55" s="67"/>
      <c r="J55" s="67"/>
      <c r="K55" s="67"/>
      <c r="L55" s="67"/>
      <c r="M55" s="67"/>
      <c r="N55" s="67"/>
      <c r="O55" s="67"/>
      <c r="P55" s="67"/>
    </row>
    <row r="56" spans="4:16" hidden="1">
      <c r="D56" s="63" t="s">
        <v>12</v>
      </c>
      <c r="E56" s="59" t="s">
        <v>375</v>
      </c>
      <c r="G56" s="67"/>
      <c r="H56" s="67"/>
      <c r="I56" s="67"/>
      <c r="J56" s="67"/>
      <c r="K56" s="67"/>
      <c r="L56" s="67"/>
      <c r="M56" s="67"/>
      <c r="N56" s="67"/>
      <c r="O56" s="67"/>
      <c r="P56" s="67"/>
    </row>
    <row r="57" spans="4:16" hidden="1">
      <c r="D57" s="63"/>
      <c r="E57" s="63" t="s">
        <v>14</v>
      </c>
      <c r="F57" s="64" t="s">
        <v>376</v>
      </c>
      <c r="G57" s="67"/>
      <c r="H57" s="67"/>
      <c r="I57" s="67"/>
      <c r="J57" s="67"/>
      <c r="K57" s="67"/>
      <c r="L57" s="67"/>
      <c r="M57" s="67"/>
      <c r="N57" s="67"/>
      <c r="O57" s="67"/>
      <c r="P57" s="67"/>
    </row>
    <row r="58" spans="4:16" hidden="1">
      <c r="D58" s="63" t="s">
        <v>12</v>
      </c>
      <c r="E58" s="59" t="s">
        <v>377</v>
      </c>
      <c r="G58" s="67"/>
      <c r="H58" s="67"/>
      <c r="I58" s="67"/>
      <c r="J58" s="67"/>
      <c r="K58" s="67"/>
      <c r="L58" s="67"/>
      <c r="M58" s="67"/>
      <c r="N58" s="67"/>
      <c r="O58" s="67"/>
      <c r="P58" s="67"/>
    </row>
    <row r="59" spans="4:16" hidden="1">
      <c r="D59" s="63"/>
      <c r="E59" s="63" t="s">
        <v>14</v>
      </c>
      <c r="F59" s="64" t="s">
        <v>378</v>
      </c>
      <c r="G59" s="67"/>
      <c r="H59" s="67"/>
      <c r="I59" s="67"/>
      <c r="J59" s="67"/>
      <c r="K59" s="67"/>
      <c r="L59" s="67"/>
      <c r="M59" s="67"/>
      <c r="N59" s="67"/>
      <c r="O59" s="67"/>
      <c r="P59" s="67"/>
    </row>
    <row r="60" spans="4:16" hidden="1">
      <c r="D60" s="63"/>
      <c r="E60" s="63"/>
      <c r="F60" s="64" t="s">
        <v>379</v>
      </c>
      <c r="G60" s="67"/>
      <c r="H60" s="67"/>
      <c r="I60" s="67"/>
      <c r="J60" s="67"/>
      <c r="K60" s="67"/>
      <c r="L60" s="67"/>
      <c r="M60" s="67"/>
      <c r="N60" s="67"/>
      <c r="O60" s="67"/>
      <c r="P60" s="67"/>
    </row>
    <row r="61" spans="4:16" hidden="1">
      <c r="D61" s="63" t="s">
        <v>12</v>
      </c>
      <c r="E61" s="59" t="s">
        <v>380</v>
      </c>
      <c r="G61" s="67"/>
      <c r="H61" s="67"/>
      <c r="I61" s="67"/>
      <c r="J61" s="67"/>
      <c r="K61" s="67"/>
      <c r="L61" s="67"/>
      <c r="M61" s="67"/>
      <c r="N61" s="67"/>
      <c r="O61" s="67"/>
      <c r="P61" s="67"/>
    </row>
    <row r="62" spans="4:16" hidden="1">
      <c r="D62" s="63"/>
      <c r="E62" s="63" t="s">
        <v>14</v>
      </c>
      <c r="F62" s="64" t="s">
        <v>381</v>
      </c>
      <c r="G62" s="67"/>
      <c r="H62" s="67"/>
      <c r="I62" s="67"/>
      <c r="J62" s="67"/>
      <c r="K62" s="67"/>
      <c r="L62" s="67"/>
      <c r="M62" s="67"/>
      <c r="N62" s="67"/>
      <c r="O62" s="67"/>
      <c r="P62" s="67"/>
    </row>
    <row r="63" spans="4:16" hidden="1">
      <c r="D63" s="63" t="s">
        <v>12</v>
      </c>
      <c r="E63" s="59" t="s">
        <v>382</v>
      </c>
      <c r="G63" s="67"/>
      <c r="H63" s="67"/>
      <c r="I63" s="67"/>
      <c r="J63" s="67"/>
      <c r="K63" s="67"/>
      <c r="L63" s="67"/>
      <c r="M63" s="67"/>
      <c r="N63" s="67"/>
      <c r="O63" s="67"/>
      <c r="P63" s="67"/>
    </row>
    <row r="64" spans="4:16" hidden="1">
      <c r="D64" s="63"/>
      <c r="E64" s="63" t="s">
        <v>14</v>
      </c>
      <c r="F64" s="64" t="s">
        <v>383</v>
      </c>
      <c r="G64" s="67"/>
      <c r="H64" s="67"/>
      <c r="I64" s="67"/>
      <c r="J64" s="67"/>
      <c r="K64" s="67"/>
      <c r="L64" s="67"/>
      <c r="M64" s="67"/>
      <c r="N64" s="67"/>
      <c r="O64" s="67"/>
      <c r="P64" s="67"/>
    </row>
    <row r="65" spans="1:16" hidden="1">
      <c r="D65" s="63" t="s">
        <v>12</v>
      </c>
      <c r="E65" s="59" t="s">
        <v>384</v>
      </c>
      <c r="G65" s="67"/>
      <c r="H65" s="67"/>
      <c r="I65" s="67"/>
      <c r="J65" s="67"/>
      <c r="K65" s="67"/>
      <c r="L65" s="67"/>
      <c r="M65" s="67"/>
      <c r="N65" s="67"/>
      <c r="O65" s="67"/>
      <c r="P65" s="67"/>
    </row>
    <row r="66" spans="1:16" hidden="1">
      <c r="D66" s="63"/>
      <c r="E66" s="63" t="s">
        <v>14</v>
      </c>
      <c r="F66" s="64" t="s">
        <v>385</v>
      </c>
      <c r="G66" s="67"/>
      <c r="H66" s="67"/>
      <c r="I66" s="67"/>
      <c r="J66" s="67"/>
      <c r="K66" s="67"/>
      <c r="L66" s="67"/>
      <c r="M66" s="67"/>
      <c r="N66" s="67"/>
      <c r="O66" s="67"/>
      <c r="P66" s="67"/>
    </row>
    <row r="67" spans="1:16" hidden="1">
      <c r="D67" s="63" t="s">
        <v>12</v>
      </c>
      <c r="E67" s="59" t="s">
        <v>386</v>
      </c>
      <c r="G67" s="67"/>
      <c r="H67" s="67"/>
      <c r="I67" s="67"/>
      <c r="J67" s="67"/>
      <c r="K67" s="67"/>
      <c r="L67" s="67"/>
      <c r="M67" s="67"/>
      <c r="N67" s="67"/>
      <c r="O67" s="67"/>
      <c r="P67" s="67"/>
    </row>
    <row r="68" spans="1:16" hidden="1">
      <c r="D68" s="63"/>
      <c r="E68" s="63" t="s">
        <v>14</v>
      </c>
      <c r="F68" s="64" t="s">
        <v>387</v>
      </c>
      <c r="G68" s="67"/>
      <c r="H68" s="67"/>
      <c r="I68" s="67"/>
      <c r="J68" s="67"/>
      <c r="K68" s="67"/>
      <c r="L68" s="67"/>
      <c r="M68" s="67"/>
      <c r="N68" s="67"/>
      <c r="O68" s="67"/>
      <c r="P68" s="67"/>
    </row>
    <row r="69" spans="1:16" hidden="1">
      <c r="D69" s="63"/>
      <c r="E69" s="63"/>
      <c r="F69" s="64" t="s">
        <v>388</v>
      </c>
      <c r="G69" s="67"/>
      <c r="H69" s="67"/>
      <c r="I69" s="67"/>
      <c r="J69" s="67"/>
      <c r="K69" s="67"/>
      <c r="L69" s="67"/>
      <c r="M69" s="67"/>
      <c r="N69" s="67"/>
      <c r="O69" s="67"/>
      <c r="P69" s="67"/>
    </row>
    <row r="70" spans="1:16" hidden="1">
      <c r="D70" s="63"/>
      <c r="G70" s="67"/>
      <c r="H70" s="67"/>
      <c r="I70" s="67"/>
      <c r="J70" s="67"/>
      <c r="K70" s="67"/>
      <c r="L70" s="67"/>
      <c r="M70" s="67"/>
      <c r="N70" s="67"/>
      <c r="O70" s="67"/>
      <c r="P70" s="67"/>
    </row>
    <row r="71" spans="1:16" ht="13.5" thickTop="1">
      <c r="A71" s="63" t="s">
        <v>7</v>
      </c>
      <c r="B71" s="58" t="s">
        <v>8</v>
      </c>
      <c r="G71" s="67"/>
      <c r="H71" s="67"/>
      <c r="I71" s="67"/>
      <c r="J71" s="67"/>
      <c r="K71" s="67"/>
      <c r="L71" s="67"/>
      <c r="M71" s="67"/>
      <c r="N71" s="67"/>
      <c r="O71" s="67"/>
      <c r="P71" s="67"/>
    </row>
    <row r="72" spans="1:16" hidden="1">
      <c r="A72" s="63"/>
      <c r="B72" s="58"/>
      <c r="F72" s="59" t="s">
        <v>337</v>
      </c>
      <c r="G72" s="67"/>
      <c r="H72" s="67"/>
      <c r="I72" s="67"/>
      <c r="J72" s="67"/>
      <c r="K72" s="67"/>
      <c r="L72" s="67"/>
      <c r="M72" s="67"/>
      <c r="N72" s="67"/>
      <c r="O72" s="67"/>
      <c r="P72" s="67"/>
    </row>
    <row r="73" spans="1:16" hidden="1">
      <c r="A73" s="63"/>
      <c r="B73" s="58"/>
      <c r="F73" s="59" t="s">
        <v>419</v>
      </c>
      <c r="G73" s="67"/>
      <c r="H73" s="67"/>
      <c r="I73" s="67"/>
      <c r="J73" s="67"/>
      <c r="K73" s="67"/>
      <c r="L73" s="67"/>
      <c r="M73" s="67"/>
      <c r="N73" s="67"/>
      <c r="O73" s="67"/>
      <c r="P73" s="67"/>
    </row>
    <row r="74" spans="1:16">
      <c r="A74" s="63"/>
      <c r="B74" s="63" t="s">
        <v>79</v>
      </c>
      <c r="C74" s="58" t="s">
        <v>85</v>
      </c>
      <c r="G74" s="67"/>
      <c r="H74" s="67"/>
      <c r="I74" s="67"/>
      <c r="J74" s="67"/>
      <c r="K74" s="67"/>
      <c r="L74" s="67"/>
      <c r="M74" s="67"/>
      <c r="N74" s="67"/>
      <c r="O74" s="67"/>
      <c r="P74" s="67"/>
    </row>
    <row r="75" spans="1:16">
      <c r="A75" s="58"/>
      <c r="B75" s="63"/>
      <c r="C75" s="63"/>
      <c r="D75" s="58"/>
      <c r="F75" s="59" t="s">
        <v>292</v>
      </c>
      <c r="G75" s="67"/>
      <c r="H75" s="67">
        <v>1</v>
      </c>
      <c r="I75" s="67"/>
      <c r="J75" s="67"/>
      <c r="K75" s="67">
        <v>2</v>
      </c>
      <c r="L75" s="67"/>
      <c r="M75" s="67"/>
      <c r="N75" s="67"/>
      <c r="O75" s="67"/>
      <c r="P75" s="67"/>
    </row>
    <row r="76" spans="1:16">
      <c r="A76" s="58"/>
      <c r="B76" s="63"/>
      <c r="C76" s="63" t="s">
        <v>10</v>
      </c>
      <c r="D76" s="58" t="s">
        <v>280</v>
      </c>
      <c r="G76" s="67"/>
      <c r="H76" s="67"/>
      <c r="I76" s="67"/>
      <c r="J76" s="67"/>
      <c r="K76" s="67"/>
      <c r="L76" s="67"/>
      <c r="M76" s="67"/>
      <c r="N76" s="67"/>
      <c r="O76" s="67"/>
      <c r="P76" s="67"/>
    </row>
    <row r="77" spans="1:16">
      <c r="D77" s="63" t="s">
        <v>12</v>
      </c>
      <c r="E77" s="59" t="s">
        <v>281</v>
      </c>
      <c r="G77" s="67"/>
      <c r="H77" s="67"/>
      <c r="I77" s="67"/>
      <c r="J77" s="67"/>
      <c r="K77" s="67"/>
      <c r="L77" s="67"/>
      <c r="M77" s="67"/>
      <c r="N77" s="67"/>
      <c r="O77" s="67"/>
      <c r="P77" s="67"/>
    </row>
    <row r="78" spans="1:16">
      <c r="D78" s="63"/>
      <c r="E78" s="63" t="s">
        <v>14</v>
      </c>
      <c r="F78" s="64" t="s">
        <v>282</v>
      </c>
      <c r="G78" s="67">
        <v>2</v>
      </c>
      <c r="H78" s="67"/>
      <c r="I78" s="67"/>
      <c r="J78" s="67"/>
      <c r="K78" s="67"/>
      <c r="L78" s="67"/>
      <c r="M78" s="67">
        <v>1</v>
      </c>
      <c r="N78" s="67"/>
      <c r="O78" s="67"/>
      <c r="P78" s="67"/>
    </row>
    <row r="79" spans="1:16" hidden="1">
      <c r="A79" s="63"/>
      <c r="B79" s="63"/>
      <c r="C79" s="58"/>
      <c r="G79" s="67"/>
      <c r="H79" s="67"/>
      <c r="I79" s="67"/>
      <c r="J79" s="67"/>
      <c r="K79" s="67"/>
      <c r="L79" s="67"/>
      <c r="M79" s="67"/>
      <c r="N79" s="67"/>
      <c r="O79" s="67"/>
      <c r="P79" s="67"/>
    </row>
    <row r="80" spans="1:16" hidden="1">
      <c r="A80" s="58"/>
      <c r="B80" s="63"/>
      <c r="C80" s="63" t="s">
        <v>10</v>
      </c>
      <c r="D80" s="58" t="s">
        <v>278</v>
      </c>
      <c r="G80" s="67"/>
      <c r="H80" s="67"/>
      <c r="I80" s="67"/>
      <c r="J80" s="67"/>
      <c r="K80" s="67"/>
      <c r="L80" s="67"/>
      <c r="M80" s="67"/>
      <c r="N80" s="67"/>
      <c r="O80" s="67"/>
      <c r="P80" s="67"/>
    </row>
    <row r="81" spans="1:16" hidden="1">
      <c r="D81" s="63" t="s">
        <v>12</v>
      </c>
      <c r="E81" s="59" t="s">
        <v>279</v>
      </c>
      <c r="G81" s="67"/>
      <c r="H81" s="67"/>
      <c r="I81" s="67"/>
      <c r="J81" s="67"/>
      <c r="K81" s="67"/>
      <c r="L81" s="67"/>
      <c r="M81" s="67"/>
      <c r="N81" s="67"/>
      <c r="O81" s="67"/>
      <c r="P81" s="67"/>
    </row>
    <row r="82" spans="1:16" hidden="1">
      <c r="D82" s="63"/>
      <c r="E82" s="63" t="s">
        <v>14</v>
      </c>
      <c r="F82" s="64" t="s">
        <v>5</v>
      </c>
      <c r="G82" s="67"/>
      <c r="H82" s="67"/>
      <c r="I82" s="67"/>
      <c r="J82" s="67"/>
      <c r="K82" s="67"/>
      <c r="L82" s="67"/>
      <c r="M82" s="67"/>
      <c r="N82" s="67"/>
      <c r="O82" s="67"/>
      <c r="P82" s="67"/>
    </row>
    <row r="83" spans="1:16">
      <c r="D83" s="63"/>
      <c r="E83" s="63"/>
      <c r="F83" s="64"/>
      <c r="G83" s="67"/>
      <c r="H83" s="67"/>
      <c r="I83" s="67"/>
      <c r="J83" s="67"/>
      <c r="K83" s="67"/>
      <c r="L83" s="67"/>
      <c r="M83" s="67"/>
      <c r="N83" s="67"/>
      <c r="O83" s="67"/>
      <c r="P83" s="67"/>
    </row>
    <row r="84" spans="1:16" ht="12.75" customHeight="1">
      <c r="A84" s="58"/>
      <c r="B84" s="63"/>
      <c r="C84" s="63" t="s">
        <v>10</v>
      </c>
      <c r="D84" s="58" t="s">
        <v>283</v>
      </c>
      <c r="G84" s="67">
        <v>1</v>
      </c>
      <c r="H84" s="67"/>
      <c r="I84" s="67"/>
      <c r="J84" s="67"/>
      <c r="K84" s="67"/>
      <c r="L84" s="67"/>
      <c r="M84" s="67"/>
      <c r="N84" s="67"/>
      <c r="O84" s="67"/>
      <c r="P84" s="67"/>
    </row>
    <row r="85" spans="1:16" ht="12.75" customHeight="1">
      <c r="A85" s="58"/>
      <c r="B85" s="63"/>
      <c r="C85" s="63"/>
      <c r="D85" s="58"/>
      <c r="G85" s="67"/>
      <c r="H85" s="67"/>
      <c r="I85" s="67"/>
      <c r="J85" s="67"/>
      <c r="K85" s="67"/>
      <c r="L85" s="67"/>
      <c r="M85" s="67"/>
      <c r="N85" s="67"/>
      <c r="O85" s="67"/>
      <c r="P85" s="67"/>
    </row>
    <row r="86" spans="1:16" hidden="1">
      <c r="A86" s="58"/>
      <c r="B86" s="63"/>
      <c r="C86" s="63" t="s">
        <v>10</v>
      </c>
      <c r="D86" s="58" t="s">
        <v>275</v>
      </c>
      <c r="E86" s="58"/>
      <c r="F86" s="248"/>
      <c r="G86" s="67"/>
      <c r="H86" s="67"/>
      <c r="I86" s="67"/>
      <c r="J86" s="67"/>
      <c r="K86" s="67"/>
      <c r="L86" s="67"/>
      <c r="M86" s="67"/>
      <c r="N86" s="67"/>
      <c r="O86" s="67"/>
      <c r="P86" s="67"/>
    </row>
    <row r="87" spans="1:16" hidden="1">
      <c r="D87" s="63" t="s">
        <v>12</v>
      </c>
      <c r="E87" s="59" t="s">
        <v>276</v>
      </c>
      <c r="G87" s="67"/>
      <c r="H87" s="67"/>
      <c r="I87" s="67"/>
      <c r="J87" s="67"/>
      <c r="K87" s="67"/>
      <c r="L87" s="67"/>
      <c r="M87" s="67"/>
      <c r="N87" s="67"/>
      <c r="O87" s="67"/>
      <c r="P87" s="67"/>
    </row>
    <row r="88" spans="1:16" hidden="1">
      <c r="D88" s="63"/>
      <c r="E88" s="63" t="s">
        <v>14</v>
      </c>
      <c r="F88" s="64" t="s">
        <v>277</v>
      </c>
      <c r="G88" s="67"/>
      <c r="H88" s="67"/>
      <c r="I88" s="67"/>
      <c r="J88" s="67"/>
      <c r="K88" s="67"/>
      <c r="L88" s="67"/>
      <c r="M88" s="67"/>
      <c r="N88" s="67"/>
      <c r="O88" s="67"/>
      <c r="P88" s="67"/>
    </row>
    <row r="89" spans="1:16" hidden="1">
      <c r="D89" s="63"/>
      <c r="E89" s="63"/>
      <c r="F89" s="64" t="s">
        <v>336</v>
      </c>
      <c r="G89" s="67"/>
      <c r="H89" s="67"/>
      <c r="I89" s="67"/>
      <c r="J89" s="67"/>
      <c r="K89" s="67"/>
      <c r="L89" s="67"/>
      <c r="M89" s="67"/>
      <c r="N89" s="67"/>
      <c r="O89" s="67"/>
      <c r="P89" s="67"/>
    </row>
    <row r="90" spans="1:16" hidden="1">
      <c r="D90" s="63"/>
      <c r="E90" s="63"/>
      <c r="F90" s="64"/>
      <c r="G90" s="67"/>
      <c r="H90" s="67"/>
      <c r="I90" s="67"/>
      <c r="J90" s="67"/>
      <c r="K90" s="67"/>
      <c r="L90" s="67"/>
      <c r="M90" s="67"/>
      <c r="N90" s="67"/>
      <c r="O90" s="67"/>
      <c r="P90" s="67"/>
    </row>
    <row r="91" spans="1:16" hidden="1">
      <c r="A91" s="63"/>
      <c r="B91" s="63" t="s">
        <v>79</v>
      </c>
      <c r="C91" s="58" t="s">
        <v>303</v>
      </c>
      <c r="G91" s="67"/>
      <c r="H91" s="67"/>
      <c r="I91" s="67"/>
      <c r="J91" s="67"/>
      <c r="K91" s="67"/>
      <c r="L91" s="67"/>
      <c r="M91" s="67"/>
      <c r="N91" s="67"/>
      <c r="O91" s="67"/>
      <c r="P91" s="67"/>
    </row>
    <row r="92" spans="1:16" hidden="1">
      <c r="A92" s="58"/>
      <c r="B92" s="63"/>
      <c r="C92" s="63"/>
      <c r="D92" s="58"/>
      <c r="F92" s="59" t="s">
        <v>304</v>
      </c>
      <c r="G92" s="67"/>
      <c r="H92" s="67"/>
      <c r="I92" s="67"/>
      <c r="J92" s="67"/>
      <c r="K92" s="67"/>
      <c r="L92" s="67"/>
      <c r="M92" s="67"/>
      <c r="N92" s="67"/>
      <c r="O92" s="67"/>
      <c r="P92" s="67"/>
    </row>
    <row r="93" spans="1:16" hidden="1">
      <c r="G93" s="67"/>
      <c r="H93" s="67"/>
      <c r="I93" s="67"/>
      <c r="J93" s="67"/>
      <c r="K93" s="67"/>
      <c r="L93" s="67"/>
      <c r="M93" s="67"/>
      <c r="N93" s="67"/>
      <c r="O93" s="67"/>
      <c r="P93" s="67"/>
    </row>
    <row r="94" spans="1:16" hidden="1">
      <c r="A94" s="63" t="s">
        <v>7</v>
      </c>
      <c r="B94" s="58" t="s">
        <v>73</v>
      </c>
      <c r="G94" s="67"/>
      <c r="H94" s="67"/>
      <c r="I94" s="67"/>
      <c r="J94" s="67"/>
      <c r="K94" s="67"/>
      <c r="L94" s="67"/>
      <c r="M94" s="67"/>
      <c r="N94" s="67"/>
      <c r="O94" s="67"/>
      <c r="P94" s="67"/>
    </row>
    <row r="95" spans="1:16" hidden="1">
      <c r="A95" s="63"/>
      <c r="B95" s="58"/>
      <c r="F95" s="59" t="s">
        <v>102</v>
      </c>
      <c r="G95" s="67"/>
      <c r="H95" s="67"/>
      <c r="I95" s="67"/>
      <c r="J95" s="67"/>
      <c r="K95" s="67"/>
      <c r="L95" s="67"/>
      <c r="M95" s="67"/>
      <c r="N95" s="67"/>
      <c r="O95" s="67"/>
      <c r="P95" s="67"/>
    </row>
    <row r="96" spans="1:16" hidden="1">
      <c r="A96" s="63"/>
      <c r="B96" s="63" t="s">
        <v>79</v>
      </c>
      <c r="C96" s="58" t="s">
        <v>86</v>
      </c>
      <c r="G96" s="67"/>
      <c r="H96" s="67"/>
      <c r="I96" s="67"/>
      <c r="J96" s="67"/>
      <c r="K96" s="67"/>
      <c r="L96" s="67"/>
      <c r="M96" s="67"/>
      <c r="N96" s="67"/>
      <c r="O96" s="67"/>
      <c r="P96" s="67"/>
    </row>
    <row r="97" spans="1:16" hidden="1">
      <c r="A97" s="58"/>
      <c r="B97" s="63"/>
      <c r="C97" s="63" t="s">
        <v>10</v>
      </c>
      <c r="D97" s="58" t="s">
        <v>289</v>
      </c>
      <c r="E97" s="58"/>
      <c r="F97" s="248"/>
      <c r="G97" s="67"/>
      <c r="H97" s="67"/>
      <c r="I97" s="67"/>
      <c r="J97" s="67"/>
      <c r="K97" s="67"/>
      <c r="L97" s="67"/>
      <c r="M97" s="67"/>
      <c r="N97" s="67"/>
      <c r="O97" s="67"/>
      <c r="P97" s="67"/>
    </row>
    <row r="98" spans="1:16" hidden="1">
      <c r="D98" s="63" t="s">
        <v>12</v>
      </c>
      <c r="E98" s="59" t="s">
        <v>290</v>
      </c>
      <c r="G98" s="67"/>
      <c r="H98" s="67"/>
      <c r="I98" s="67"/>
      <c r="J98" s="67"/>
      <c r="K98" s="67"/>
      <c r="L98" s="67"/>
      <c r="M98" s="67"/>
      <c r="N98" s="67"/>
      <c r="O98" s="67"/>
      <c r="P98" s="67"/>
    </row>
    <row r="99" spans="1:16" hidden="1">
      <c r="E99" s="63" t="s">
        <v>14</v>
      </c>
      <c r="F99" s="64" t="s">
        <v>389</v>
      </c>
      <c r="G99" s="67"/>
      <c r="H99" s="67"/>
      <c r="I99" s="67"/>
      <c r="J99" s="67"/>
      <c r="K99" s="67"/>
      <c r="L99" s="67"/>
      <c r="M99" s="67"/>
      <c r="N99" s="67"/>
      <c r="O99" s="67"/>
      <c r="P99" s="67"/>
    </row>
    <row r="100" spans="1:16" hidden="1">
      <c r="E100" s="63"/>
      <c r="F100" s="64"/>
      <c r="G100" s="67"/>
      <c r="H100" s="67"/>
      <c r="I100" s="67"/>
      <c r="J100" s="67"/>
      <c r="K100" s="67"/>
      <c r="L100" s="67"/>
      <c r="M100" s="67"/>
      <c r="N100" s="67"/>
      <c r="O100" s="67"/>
      <c r="P100" s="67"/>
    </row>
    <row r="101" spans="1:16" hidden="1">
      <c r="A101" s="58"/>
      <c r="B101" s="63"/>
      <c r="C101" s="63" t="s">
        <v>10</v>
      </c>
      <c r="D101" s="58" t="s">
        <v>390</v>
      </c>
      <c r="E101" s="58"/>
      <c r="F101" s="248"/>
      <c r="G101" s="67"/>
      <c r="H101" s="67"/>
      <c r="I101" s="67"/>
      <c r="J101" s="67"/>
      <c r="K101" s="67"/>
      <c r="L101" s="67"/>
      <c r="M101" s="67"/>
      <c r="N101" s="67"/>
      <c r="O101" s="67"/>
      <c r="P101" s="67"/>
    </row>
    <row r="102" spans="1:16" hidden="1">
      <c r="D102" s="63" t="s">
        <v>12</v>
      </c>
      <c r="E102" s="59" t="s">
        <v>391</v>
      </c>
      <c r="G102" s="67"/>
      <c r="H102" s="67"/>
      <c r="I102" s="67"/>
      <c r="J102" s="67"/>
      <c r="K102" s="67"/>
      <c r="L102" s="67"/>
      <c r="M102" s="67"/>
      <c r="N102" s="67"/>
      <c r="O102" s="67"/>
      <c r="P102" s="67"/>
    </row>
    <row r="103" spans="1:16" hidden="1">
      <c r="E103" s="63" t="s">
        <v>14</v>
      </c>
      <c r="F103" s="64" t="s">
        <v>74</v>
      </c>
      <c r="G103" s="67"/>
      <c r="H103" s="67"/>
      <c r="I103" s="67"/>
      <c r="J103" s="67"/>
      <c r="K103" s="67"/>
      <c r="L103" s="67"/>
      <c r="M103" s="67"/>
      <c r="N103" s="67"/>
      <c r="O103" s="67"/>
      <c r="P103" s="67"/>
    </row>
    <row r="104" spans="1:16" hidden="1">
      <c r="E104" s="63"/>
      <c r="F104" s="64"/>
      <c r="G104" s="67"/>
      <c r="H104" s="67"/>
      <c r="I104" s="67"/>
      <c r="J104" s="67"/>
      <c r="K104" s="67"/>
      <c r="L104" s="67"/>
      <c r="M104" s="67"/>
      <c r="N104" s="67"/>
      <c r="O104" s="67"/>
      <c r="P104" s="67"/>
    </row>
    <row r="105" spans="1:16" hidden="1">
      <c r="B105" s="63" t="s">
        <v>79</v>
      </c>
      <c r="C105" s="58" t="s">
        <v>87</v>
      </c>
      <c r="G105" s="67"/>
      <c r="H105" s="67"/>
      <c r="I105" s="67"/>
      <c r="J105" s="67"/>
      <c r="K105" s="67"/>
      <c r="L105" s="67"/>
      <c r="M105" s="67"/>
      <c r="N105" s="67"/>
      <c r="O105" s="67"/>
      <c r="P105" s="67"/>
    </row>
    <row r="106" spans="1:16" hidden="1">
      <c r="C106" s="63" t="s">
        <v>10</v>
      </c>
      <c r="D106" s="58" t="s">
        <v>320</v>
      </c>
      <c r="E106" s="63"/>
      <c r="F106" s="64"/>
      <c r="G106" s="67"/>
      <c r="H106" s="67"/>
      <c r="I106" s="67"/>
      <c r="J106" s="67"/>
      <c r="K106" s="67"/>
      <c r="L106" s="67"/>
      <c r="M106" s="67"/>
      <c r="N106" s="67"/>
      <c r="O106" s="67"/>
      <c r="P106" s="67"/>
    </row>
    <row r="107" spans="1:16" hidden="1">
      <c r="D107" s="63" t="s">
        <v>12</v>
      </c>
      <c r="E107" s="246" t="s">
        <v>321</v>
      </c>
      <c r="F107" s="64"/>
      <c r="G107" s="67"/>
      <c r="H107" s="67"/>
      <c r="I107" s="67"/>
      <c r="J107" s="67"/>
      <c r="K107" s="67"/>
      <c r="L107" s="67"/>
      <c r="M107" s="67"/>
      <c r="N107" s="67"/>
      <c r="O107" s="67"/>
      <c r="P107" s="67"/>
    </row>
    <row r="108" spans="1:16" hidden="1">
      <c r="E108" s="63" t="s">
        <v>14</v>
      </c>
      <c r="F108" s="64" t="s">
        <v>75</v>
      </c>
      <c r="G108" s="67"/>
      <c r="H108" s="67"/>
      <c r="I108" s="67"/>
      <c r="J108" s="67"/>
      <c r="K108" s="67"/>
      <c r="L108" s="67"/>
      <c r="M108" s="67"/>
      <c r="N108" s="67"/>
      <c r="O108" s="67"/>
      <c r="P108" s="67"/>
    </row>
    <row r="109" spans="1:16" hidden="1">
      <c r="G109" s="67"/>
      <c r="H109" s="67"/>
      <c r="I109" s="67"/>
      <c r="J109" s="67"/>
      <c r="K109" s="67"/>
      <c r="L109" s="67"/>
      <c r="M109" s="67"/>
      <c r="N109" s="67"/>
      <c r="O109" s="67"/>
      <c r="P109" s="67"/>
    </row>
    <row r="110" spans="1:16">
      <c r="A110" s="63" t="s">
        <v>7</v>
      </c>
      <c r="B110" s="58" t="s">
        <v>76</v>
      </c>
      <c r="G110" s="67"/>
      <c r="H110" s="67"/>
      <c r="I110" s="67"/>
      <c r="J110" s="67"/>
      <c r="K110" s="67"/>
      <c r="L110" s="67"/>
      <c r="M110" s="67"/>
      <c r="N110" s="67"/>
      <c r="O110" s="67"/>
      <c r="P110" s="67"/>
    </row>
    <row r="111" spans="1:16" hidden="1">
      <c r="A111" s="63"/>
      <c r="B111" s="58"/>
      <c r="F111" s="59" t="s">
        <v>101</v>
      </c>
      <c r="G111" s="67"/>
      <c r="H111" s="67"/>
      <c r="I111" s="67"/>
      <c r="J111" s="67"/>
      <c r="K111" s="67"/>
      <c r="L111" s="67"/>
      <c r="M111" s="67"/>
      <c r="N111" s="67"/>
      <c r="O111" s="67"/>
      <c r="P111" s="67"/>
    </row>
    <row r="112" spans="1:16">
      <c r="A112" s="63"/>
      <c r="B112" s="63" t="s">
        <v>79</v>
      </c>
      <c r="C112" s="58" t="s">
        <v>88</v>
      </c>
      <c r="G112" s="67"/>
      <c r="H112" s="67"/>
      <c r="I112" s="67"/>
      <c r="J112" s="67"/>
      <c r="K112" s="67"/>
      <c r="L112" s="67"/>
      <c r="M112" s="67"/>
      <c r="N112" s="67"/>
      <c r="O112" s="67"/>
      <c r="P112" s="67"/>
    </row>
    <row r="113" spans="1:16">
      <c r="F113" s="59" t="s">
        <v>78</v>
      </c>
      <c r="G113" s="67">
        <v>4</v>
      </c>
      <c r="H113" s="67">
        <v>4</v>
      </c>
      <c r="I113" s="67">
        <v>7</v>
      </c>
      <c r="J113" s="67">
        <v>7</v>
      </c>
      <c r="K113" s="67">
        <v>2</v>
      </c>
      <c r="L113" s="67"/>
      <c r="M113" s="67">
        <v>7</v>
      </c>
      <c r="N113" s="67">
        <v>8</v>
      </c>
      <c r="O113" s="67"/>
      <c r="P113" s="67">
        <v>2</v>
      </c>
    </row>
    <row r="114" spans="1:16" hidden="1">
      <c r="C114" s="63" t="s">
        <v>10</v>
      </c>
      <c r="D114" s="58" t="s">
        <v>322</v>
      </c>
      <c r="E114" s="63"/>
      <c r="F114" s="64"/>
      <c r="G114" s="67"/>
      <c r="H114" s="67"/>
      <c r="I114" s="67"/>
      <c r="J114" s="67"/>
      <c r="K114" s="67"/>
      <c r="L114" s="67"/>
      <c r="M114" s="67"/>
      <c r="N114" s="67"/>
      <c r="O114" s="67"/>
      <c r="P114" s="67"/>
    </row>
    <row r="115" spans="1:16" hidden="1">
      <c r="D115" s="63" t="s">
        <v>12</v>
      </c>
      <c r="E115" s="246" t="s">
        <v>323</v>
      </c>
      <c r="F115" s="64"/>
      <c r="G115" s="67"/>
      <c r="H115" s="67"/>
      <c r="I115" s="67"/>
      <c r="J115" s="67"/>
      <c r="K115" s="67"/>
      <c r="L115" s="67"/>
      <c r="M115" s="67"/>
      <c r="N115" s="67"/>
      <c r="O115" s="67"/>
      <c r="P115" s="67"/>
    </row>
    <row r="116" spans="1:16" hidden="1">
      <c r="E116" s="63" t="s">
        <v>14</v>
      </c>
      <c r="F116" s="64" t="s">
        <v>77</v>
      </c>
      <c r="G116" s="67"/>
      <c r="H116" s="67"/>
      <c r="I116" s="67"/>
      <c r="J116" s="67"/>
      <c r="K116" s="67"/>
      <c r="L116" s="67"/>
      <c r="M116" s="67"/>
      <c r="N116" s="67"/>
      <c r="O116" s="67"/>
      <c r="P116" s="67"/>
    </row>
    <row r="117" spans="1:16" hidden="1">
      <c r="G117" s="67"/>
      <c r="H117" s="67"/>
      <c r="I117" s="67"/>
      <c r="J117" s="67"/>
      <c r="K117" s="67"/>
      <c r="L117" s="67"/>
      <c r="M117" s="67"/>
      <c r="N117" s="67"/>
      <c r="O117" s="67"/>
      <c r="P117" s="67"/>
    </row>
    <row r="118" spans="1:16" hidden="1">
      <c r="C118" s="63" t="s">
        <v>10</v>
      </c>
      <c r="D118" s="58" t="s">
        <v>324</v>
      </c>
      <c r="E118" s="63"/>
      <c r="F118" s="64"/>
      <c r="G118" s="67"/>
      <c r="H118" s="67"/>
      <c r="I118" s="67"/>
      <c r="J118" s="67"/>
      <c r="K118" s="67"/>
      <c r="L118" s="67"/>
      <c r="M118" s="67"/>
      <c r="N118" s="67"/>
      <c r="O118" s="67"/>
      <c r="P118" s="67"/>
    </row>
    <row r="119" spans="1:16" hidden="1">
      <c r="C119" s="59" t="s">
        <v>223</v>
      </c>
      <c r="G119" s="67"/>
      <c r="H119" s="67"/>
      <c r="I119" s="67"/>
      <c r="J119" s="67"/>
      <c r="K119" s="67"/>
      <c r="L119" s="67"/>
      <c r="M119" s="67"/>
      <c r="N119" s="67"/>
      <c r="O119" s="67"/>
      <c r="P119" s="67"/>
    </row>
    <row r="120" spans="1:16" hidden="1">
      <c r="D120" s="59" t="s">
        <v>224</v>
      </c>
      <c r="G120" s="67"/>
      <c r="H120" s="67"/>
      <c r="I120" s="67"/>
      <c r="J120" s="67"/>
      <c r="K120" s="67"/>
      <c r="L120" s="67"/>
      <c r="M120" s="67"/>
      <c r="N120" s="67"/>
      <c r="O120" s="67"/>
      <c r="P120" s="67"/>
    </row>
    <row r="121" spans="1:16" hidden="1">
      <c r="G121" s="67"/>
      <c r="H121" s="67"/>
      <c r="I121" s="67"/>
      <c r="J121" s="67"/>
      <c r="K121" s="67"/>
      <c r="L121" s="67"/>
      <c r="M121" s="67"/>
      <c r="N121" s="67"/>
      <c r="O121" s="67"/>
      <c r="P121" s="67"/>
    </row>
    <row r="122" spans="1:16" hidden="1">
      <c r="A122" s="63" t="s">
        <v>7</v>
      </c>
      <c r="B122" s="58" t="s">
        <v>347</v>
      </c>
      <c r="G122" s="67"/>
      <c r="H122" s="67"/>
      <c r="I122" s="67"/>
      <c r="J122" s="67"/>
      <c r="K122" s="67"/>
      <c r="L122" s="67"/>
      <c r="M122" s="67"/>
      <c r="N122" s="67"/>
      <c r="O122" s="67"/>
      <c r="P122" s="67"/>
    </row>
    <row r="123" spans="1:16" hidden="1">
      <c r="A123" s="63"/>
      <c r="B123" s="63" t="s">
        <v>79</v>
      </c>
      <c r="C123" s="58" t="s">
        <v>392</v>
      </c>
      <c r="G123" s="67"/>
      <c r="H123" s="67"/>
      <c r="I123" s="67"/>
      <c r="J123" s="67"/>
      <c r="K123" s="67"/>
      <c r="L123" s="67"/>
      <c r="M123" s="67"/>
      <c r="N123" s="67"/>
      <c r="O123" s="67"/>
      <c r="P123" s="67"/>
    </row>
    <row r="124" spans="1:16" hidden="1">
      <c r="G124" s="67"/>
      <c r="H124" s="67"/>
      <c r="I124" s="67"/>
      <c r="J124" s="67"/>
      <c r="K124" s="67"/>
      <c r="L124" s="67"/>
      <c r="M124" s="67"/>
      <c r="N124" s="67"/>
      <c r="O124" s="67"/>
      <c r="P124" s="67"/>
    </row>
    <row r="125" spans="1:16" hidden="1">
      <c r="A125" s="63" t="s">
        <v>7</v>
      </c>
      <c r="B125" s="58" t="s">
        <v>395</v>
      </c>
      <c r="G125" s="67"/>
      <c r="H125" s="67"/>
      <c r="I125" s="67"/>
      <c r="J125" s="67"/>
      <c r="K125" s="67"/>
      <c r="L125" s="67"/>
      <c r="M125" s="67"/>
      <c r="N125" s="67"/>
      <c r="O125" s="67"/>
      <c r="P125" s="67"/>
    </row>
    <row r="126" spans="1:16" hidden="1">
      <c r="A126" s="63"/>
      <c r="B126" s="58"/>
      <c r="F126" s="59" t="s">
        <v>396</v>
      </c>
      <c r="G126" s="67"/>
      <c r="H126" s="67"/>
      <c r="I126" s="67"/>
      <c r="J126" s="67"/>
      <c r="K126" s="67"/>
      <c r="L126" s="67"/>
      <c r="M126" s="67"/>
      <c r="N126" s="67"/>
      <c r="O126" s="67"/>
      <c r="P126" s="67"/>
    </row>
    <row r="127" spans="1:16">
      <c r="A127" s="63"/>
      <c r="B127" s="58"/>
      <c r="G127" s="67"/>
      <c r="H127" s="67"/>
      <c r="I127" s="67"/>
      <c r="J127" s="67"/>
      <c r="K127" s="67"/>
      <c r="L127" s="67"/>
      <c r="M127" s="67"/>
      <c r="N127" s="67"/>
      <c r="O127" s="67"/>
      <c r="P127" s="67"/>
    </row>
    <row r="128" spans="1:16">
      <c r="A128" s="63" t="s">
        <v>7</v>
      </c>
      <c r="B128" s="58" t="s">
        <v>9</v>
      </c>
      <c r="G128" s="67"/>
      <c r="H128" s="67"/>
      <c r="I128" s="67"/>
      <c r="J128" s="67"/>
      <c r="K128" s="67"/>
      <c r="L128" s="67"/>
      <c r="M128" s="67"/>
      <c r="N128" s="67"/>
      <c r="O128" s="67"/>
      <c r="P128" s="67"/>
    </row>
    <row r="129" spans="1:16" hidden="1">
      <c r="A129" s="63"/>
      <c r="B129" s="63" t="s">
        <v>79</v>
      </c>
      <c r="C129" s="58" t="s">
        <v>80</v>
      </c>
      <c r="G129" s="67"/>
      <c r="H129" s="67"/>
      <c r="I129" s="67"/>
      <c r="J129" s="67"/>
      <c r="K129" s="67"/>
      <c r="L129" s="67"/>
      <c r="M129" s="67"/>
      <c r="N129" s="67"/>
      <c r="O129" s="67"/>
      <c r="P129" s="67"/>
    </row>
    <row r="130" spans="1:16" hidden="1">
      <c r="A130" s="63"/>
      <c r="B130" s="63"/>
      <c r="C130" s="58"/>
      <c r="F130" s="64" t="s">
        <v>103</v>
      </c>
      <c r="G130" s="67"/>
      <c r="H130" s="67"/>
      <c r="I130" s="67"/>
      <c r="J130" s="67"/>
      <c r="K130" s="67"/>
      <c r="L130" s="67"/>
      <c r="M130" s="67"/>
      <c r="N130" s="67"/>
      <c r="O130" s="67"/>
      <c r="P130" s="67"/>
    </row>
    <row r="131" spans="1:16" hidden="1">
      <c r="C131" s="63" t="s">
        <v>10</v>
      </c>
      <c r="D131" s="58" t="s">
        <v>325</v>
      </c>
      <c r="E131" s="63"/>
      <c r="F131" s="64"/>
      <c r="G131" s="67"/>
      <c r="H131" s="67"/>
      <c r="I131" s="67"/>
      <c r="J131" s="67"/>
      <c r="K131" s="67"/>
      <c r="L131" s="67"/>
      <c r="M131" s="67"/>
      <c r="N131" s="67"/>
      <c r="O131" s="67"/>
      <c r="P131" s="67"/>
    </row>
    <row r="132" spans="1:16" hidden="1">
      <c r="D132" s="63" t="s">
        <v>12</v>
      </c>
      <c r="E132" s="246" t="s">
        <v>68</v>
      </c>
      <c r="F132" s="64"/>
      <c r="G132" s="67"/>
      <c r="H132" s="67"/>
      <c r="I132" s="67"/>
      <c r="J132" s="67"/>
      <c r="K132" s="67"/>
      <c r="L132" s="67"/>
      <c r="M132" s="67"/>
      <c r="N132" s="67"/>
      <c r="O132" s="67"/>
      <c r="P132" s="67"/>
    </row>
    <row r="133" spans="1:16" hidden="1">
      <c r="E133" s="63" t="s">
        <v>14</v>
      </c>
      <c r="F133" s="64" t="s">
        <v>69</v>
      </c>
      <c r="G133" s="67"/>
      <c r="H133" s="67"/>
      <c r="I133" s="67"/>
      <c r="J133" s="67"/>
      <c r="K133" s="67"/>
      <c r="L133" s="67"/>
      <c r="M133" s="67"/>
      <c r="N133" s="67"/>
      <c r="O133" s="67"/>
      <c r="P133" s="67"/>
    </row>
    <row r="134" spans="1:16" hidden="1">
      <c r="E134" s="63"/>
      <c r="F134" s="64" t="s">
        <v>70</v>
      </c>
      <c r="G134" s="67"/>
      <c r="H134" s="67"/>
      <c r="I134" s="67"/>
      <c r="J134" s="67"/>
      <c r="K134" s="67"/>
      <c r="L134" s="67"/>
      <c r="M134" s="67"/>
      <c r="N134" s="67"/>
      <c r="O134" s="67"/>
      <c r="P134" s="67"/>
    </row>
    <row r="135" spans="1:16" hidden="1">
      <c r="E135" s="63"/>
      <c r="F135" s="64"/>
      <c r="G135" s="67"/>
      <c r="H135" s="67"/>
      <c r="I135" s="67"/>
      <c r="J135" s="67"/>
      <c r="K135" s="67"/>
      <c r="L135" s="67"/>
      <c r="M135" s="67"/>
      <c r="N135" s="67"/>
      <c r="O135" s="67"/>
      <c r="P135" s="67"/>
    </row>
    <row r="136" spans="1:16" hidden="1">
      <c r="C136" s="63" t="s">
        <v>10</v>
      </c>
      <c r="D136" s="58" t="s">
        <v>326</v>
      </c>
      <c r="E136" s="63"/>
      <c r="F136" s="64"/>
      <c r="G136" s="67"/>
      <c r="H136" s="67"/>
      <c r="I136" s="67"/>
      <c r="J136" s="67"/>
      <c r="K136" s="67"/>
      <c r="L136" s="67"/>
      <c r="M136" s="67"/>
      <c r="N136" s="67"/>
      <c r="O136" s="67"/>
      <c r="P136" s="67"/>
    </row>
    <row r="137" spans="1:16" hidden="1">
      <c r="D137" s="63" t="s">
        <v>12</v>
      </c>
      <c r="E137" s="246" t="s">
        <v>71</v>
      </c>
      <c r="F137" s="64"/>
      <c r="G137" s="67"/>
      <c r="H137" s="67"/>
      <c r="I137" s="67"/>
      <c r="J137" s="67"/>
      <c r="K137" s="67"/>
      <c r="L137" s="67"/>
      <c r="M137" s="67"/>
      <c r="N137" s="67"/>
      <c r="O137" s="67"/>
      <c r="P137" s="67"/>
    </row>
    <row r="138" spans="1:16" hidden="1">
      <c r="E138" s="63" t="s">
        <v>14</v>
      </c>
      <c r="F138" s="64" t="s">
        <v>72</v>
      </c>
      <c r="G138" s="67"/>
      <c r="H138" s="67"/>
      <c r="I138" s="67"/>
      <c r="J138" s="67"/>
      <c r="K138" s="67"/>
      <c r="L138" s="67"/>
      <c r="M138" s="67"/>
      <c r="N138" s="67"/>
      <c r="O138" s="67"/>
      <c r="P138" s="67"/>
    </row>
    <row r="139" spans="1:16" hidden="1">
      <c r="E139" s="63"/>
      <c r="F139" s="64"/>
      <c r="G139" s="67"/>
      <c r="H139" s="67"/>
      <c r="I139" s="67"/>
      <c r="J139" s="67"/>
      <c r="K139" s="67"/>
      <c r="L139" s="67"/>
      <c r="M139" s="67"/>
      <c r="N139" s="67"/>
      <c r="O139" s="67"/>
      <c r="P139" s="67"/>
    </row>
    <row r="140" spans="1:16">
      <c r="B140" s="63" t="s">
        <v>79</v>
      </c>
      <c r="C140" s="58" t="s">
        <v>81</v>
      </c>
      <c r="E140" s="63"/>
      <c r="F140" s="64"/>
      <c r="G140" s="67"/>
      <c r="H140" s="67"/>
      <c r="I140" s="67"/>
      <c r="J140" s="67"/>
      <c r="K140" s="67"/>
      <c r="L140" s="67"/>
      <c r="M140" s="67"/>
      <c r="N140" s="67"/>
      <c r="O140" s="67"/>
      <c r="P140" s="67"/>
    </row>
    <row r="141" spans="1:16">
      <c r="B141" s="63"/>
      <c r="C141" s="58"/>
      <c r="E141" s="63"/>
      <c r="F141" s="64" t="s">
        <v>100</v>
      </c>
      <c r="G141" s="67"/>
      <c r="H141" s="67"/>
      <c r="I141" s="67"/>
      <c r="J141" s="67"/>
      <c r="K141" s="67"/>
      <c r="L141" s="67"/>
      <c r="M141" s="67"/>
      <c r="N141" s="67"/>
      <c r="O141" s="67"/>
      <c r="P141" s="67"/>
    </row>
    <row r="142" spans="1:16">
      <c r="B142" s="63"/>
      <c r="C142" s="63" t="s">
        <v>10</v>
      </c>
      <c r="D142" s="58" t="s">
        <v>272</v>
      </c>
      <c r="E142" s="63"/>
      <c r="F142" s="64"/>
      <c r="G142" s="67"/>
      <c r="H142" s="67"/>
      <c r="I142" s="67"/>
      <c r="J142" s="67"/>
      <c r="K142" s="67"/>
      <c r="L142" s="67"/>
      <c r="M142" s="67"/>
      <c r="N142" s="67"/>
      <c r="O142" s="67"/>
      <c r="P142" s="67"/>
    </row>
    <row r="143" spans="1:16">
      <c r="B143" s="63"/>
      <c r="C143" s="58"/>
      <c r="D143" s="63" t="s">
        <v>12</v>
      </c>
      <c r="E143" s="246" t="s">
        <v>273</v>
      </c>
      <c r="G143" s="67"/>
      <c r="H143" s="67"/>
      <c r="I143" s="67"/>
      <c r="J143" s="67"/>
      <c r="K143" s="67"/>
      <c r="L143" s="67"/>
      <c r="M143" s="67"/>
      <c r="N143" s="67"/>
      <c r="O143" s="67"/>
      <c r="P143" s="67"/>
    </row>
    <row r="144" spans="1:16">
      <c r="E144" s="63" t="s">
        <v>14</v>
      </c>
      <c r="F144" s="64" t="s">
        <v>274</v>
      </c>
      <c r="G144" s="67"/>
      <c r="H144" s="67"/>
      <c r="I144" s="67"/>
      <c r="J144" s="67"/>
      <c r="K144" s="67"/>
      <c r="L144" s="67"/>
      <c r="M144" s="67"/>
      <c r="N144" s="67"/>
      <c r="O144" s="67"/>
      <c r="P144" s="67"/>
    </row>
    <row r="145" spans="1:16">
      <c r="B145" s="63"/>
      <c r="C145" s="63" t="s">
        <v>10</v>
      </c>
      <c r="D145" s="58" t="s">
        <v>90</v>
      </c>
      <c r="E145" s="63"/>
      <c r="F145" s="64"/>
      <c r="G145" s="67"/>
      <c r="H145" s="67"/>
      <c r="I145" s="67"/>
      <c r="J145" s="67"/>
      <c r="K145" s="67"/>
      <c r="L145" s="67"/>
      <c r="M145" s="67"/>
      <c r="N145" s="67"/>
      <c r="O145" s="67"/>
      <c r="P145" s="67"/>
    </row>
    <row r="146" spans="1:16">
      <c r="B146" s="63"/>
      <c r="C146" s="58"/>
      <c r="D146" s="63" t="s">
        <v>12</v>
      </c>
      <c r="E146" s="246" t="s">
        <v>91</v>
      </c>
      <c r="G146" s="67"/>
      <c r="H146" s="67"/>
      <c r="I146" s="67"/>
      <c r="J146" s="67"/>
      <c r="K146" s="67"/>
      <c r="L146" s="67"/>
      <c r="M146" s="67"/>
      <c r="N146" s="67"/>
      <c r="O146" s="67"/>
      <c r="P146" s="67"/>
    </row>
    <row r="147" spans="1:16">
      <c r="E147" s="63" t="s">
        <v>14</v>
      </c>
      <c r="F147" s="64" t="s">
        <v>327</v>
      </c>
      <c r="G147" s="67"/>
      <c r="H147" s="67">
        <v>3</v>
      </c>
      <c r="I147" s="67">
        <v>2</v>
      </c>
      <c r="J147" s="67"/>
      <c r="K147" s="67"/>
      <c r="L147" s="67"/>
      <c r="M147" s="67"/>
      <c r="N147" s="67"/>
      <c r="O147" s="67"/>
      <c r="P147" s="67"/>
    </row>
    <row r="148" spans="1:16">
      <c r="E148" s="63"/>
      <c r="G148" s="67"/>
      <c r="H148" s="67"/>
      <c r="I148" s="67"/>
      <c r="J148" s="67"/>
      <c r="K148" s="67"/>
      <c r="L148" s="67"/>
      <c r="M148" s="67"/>
      <c r="N148" s="67"/>
      <c r="O148" s="67"/>
      <c r="P148" s="67"/>
    </row>
    <row r="149" spans="1:16">
      <c r="E149" s="63"/>
      <c r="F149" s="64"/>
      <c r="G149" s="67"/>
      <c r="H149" s="67"/>
      <c r="I149" s="67"/>
      <c r="J149" s="67"/>
      <c r="K149" s="67"/>
      <c r="L149" s="67"/>
      <c r="M149" s="67"/>
      <c r="N149" s="67"/>
      <c r="O149" s="67"/>
      <c r="P149" s="67"/>
    </row>
    <row r="150" spans="1:16" ht="14.5">
      <c r="A150" s="249"/>
      <c r="B150" s="63" t="s">
        <v>79</v>
      </c>
      <c r="C150" s="58" t="s">
        <v>84</v>
      </c>
      <c r="D150" s="2"/>
      <c r="E150" s="2"/>
      <c r="F150" s="2"/>
      <c r="G150" s="67"/>
      <c r="H150" s="67"/>
      <c r="I150" s="67"/>
      <c r="J150" s="67"/>
      <c r="K150" s="67"/>
      <c r="L150" s="67"/>
      <c r="M150" s="67"/>
      <c r="N150" s="67"/>
      <c r="O150" s="67"/>
      <c r="P150" s="67"/>
    </row>
    <row r="151" spans="1:16" hidden="1">
      <c r="A151" s="63"/>
      <c r="B151" s="63"/>
      <c r="C151" s="58"/>
      <c r="F151" s="59" t="s">
        <v>159</v>
      </c>
      <c r="G151" s="67"/>
      <c r="H151" s="67"/>
      <c r="I151" s="67"/>
      <c r="J151" s="67"/>
      <c r="K151" s="67"/>
      <c r="L151" s="67"/>
      <c r="M151" s="67"/>
      <c r="N151" s="67"/>
      <c r="O151" s="67"/>
      <c r="P151" s="67"/>
    </row>
    <row r="152" spans="1:16" hidden="1">
      <c r="A152" s="63"/>
      <c r="B152" s="63"/>
      <c r="C152" s="58"/>
      <c r="F152" s="59" t="s">
        <v>156</v>
      </c>
      <c r="G152" s="67"/>
      <c r="H152" s="67"/>
      <c r="I152" s="67"/>
      <c r="J152" s="67"/>
      <c r="K152" s="67"/>
      <c r="L152" s="67"/>
      <c r="M152" s="67"/>
      <c r="N152" s="67"/>
      <c r="O152" s="67"/>
      <c r="P152" s="67"/>
    </row>
    <row r="153" spans="1:16" hidden="1">
      <c r="A153" s="63"/>
      <c r="B153" s="63"/>
      <c r="C153" s="58"/>
      <c r="G153" s="67"/>
      <c r="H153" s="67"/>
      <c r="I153" s="67"/>
      <c r="J153" s="67"/>
      <c r="K153" s="67"/>
      <c r="L153" s="67"/>
      <c r="M153" s="67"/>
      <c r="N153" s="67"/>
      <c r="O153" s="67"/>
      <c r="P153" s="67"/>
    </row>
    <row r="154" spans="1:16">
      <c r="C154" s="63" t="s">
        <v>10</v>
      </c>
      <c r="D154" s="58" t="s">
        <v>11</v>
      </c>
      <c r="G154" s="67"/>
      <c r="H154" s="67"/>
      <c r="I154" s="67"/>
      <c r="J154" s="67"/>
      <c r="K154" s="67"/>
      <c r="L154" s="67"/>
      <c r="M154" s="67"/>
      <c r="N154" s="67"/>
      <c r="O154" s="67"/>
      <c r="P154" s="67"/>
    </row>
    <row r="155" spans="1:16" hidden="1">
      <c r="C155" s="63"/>
      <c r="D155" s="58"/>
      <c r="F155" s="59" t="s">
        <v>157</v>
      </c>
      <c r="G155" s="67"/>
      <c r="H155" s="67"/>
      <c r="I155" s="67"/>
      <c r="J155" s="67"/>
      <c r="K155" s="67"/>
      <c r="L155" s="67"/>
      <c r="M155" s="67"/>
      <c r="N155" s="67"/>
      <c r="O155" s="67"/>
      <c r="P155" s="67"/>
    </row>
    <row r="156" spans="1:16" hidden="1">
      <c r="C156" s="63"/>
      <c r="D156" s="58"/>
      <c r="F156" s="59" t="s">
        <v>104</v>
      </c>
      <c r="G156" s="67"/>
      <c r="H156" s="67"/>
      <c r="I156" s="67"/>
      <c r="J156" s="67"/>
      <c r="K156" s="67"/>
      <c r="L156" s="67"/>
      <c r="M156" s="67"/>
      <c r="N156" s="67"/>
      <c r="O156" s="67"/>
      <c r="P156" s="67"/>
    </row>
    <row r="157" spans="1:16">
      <c r="D157" s="63" t="s">
        <v>12</v>
      </c>
      <c r="E157" s="59" t="s">
        <v>13</v>
      </c>
      <c r="G157" s="67"/>
      <c r="H157" s="67"/>
      <c r="I157" s="67"/>
      <c r="J157" s="67"/>
      <c r="K157" s="67"/>
      <c r="L157" s="67"/>
      <c r="M157" s="67"/>
      <c r="N157" s="67"/>
      <c r="O157" s="67"/>
      <c r="P157" s="67"/>
    </row>
    <row r="158" spans="1:16">
      <c r="E158" s="63" t="s">
        <v>14</v>
      </c>
      <c r="F158" s="64" t="s">
        <v>15</v>
      </c>
      <c r="G158" s="67">
        <v>85</v>
      </c>
      <c r="H158" s="67">
        <v>82</v>
      </c>
      <c r="I158" s="67">
        <v>60</v>
      </c>
      <c r="J158" s="67">
        <v>52</v>
      </c>
      <c r="K158" s="67">
        <v>58</v>
      </c>
      <c r="L158" s="67">
        <v>51</v>
      </c>
      <c r="M158" s="67">
        <v>122</v>
      </c>
      <c r="N158" s="67">
        <v>190</v>
      </c>
      <c r="O158" s="67">
        <v>80</v>
      </c>
      <c r="P158" s="67">
        <v>77</v>
      </c>
    </row>
    <row r="159" spans="1:16" hidden="1">
      <c r="D159" s="63" t="s">
        <v>12</v>
      </c>
      <c r="E159" s="59" t="s">
        <v>342</v>
      </c>
      <c r="G159" s="67"/>
      <c r="H159" s="67"/>
      <c r="I159" s="67"/>
      <c r="J159" s="67"/>
      <c r="K159" s="67"/>
      <c r="L159" s="67"/>
      <c r="M159" s="67"/>
      <c r="N159" s="67"/>
      <c r="O159" s="67"/>
      <c r="P159" s="67"/>
    </row>
    <row r="160" spans="1:16" hidden="1">
      <c r="E160" s="63" t="s">
        <v>14</v>
      </c>
      <c r="F160" s="64" t="s">
        <v>343</v>
      </c>
      <c r="G160" s="67"/>
      <c r="H160" s="67"/>
      <c r="I160" s="67"/>
      <c r="J160" s="67"/>
      <c r="K160" s="67"/>
      <c r="L160" s="67"/>
      <c r="M160" s="67"/>
      <c r="N160" s="67"/>
      <c r="O160" s="67"/>
      <c r="P160" s="67"/>
    </row>
    <row r="161" spans="4:16" hidden="1">
      <c r="D161" s="63" t="s">
        <v>12</v>
      </c>
      <c r="E161" s="246" t="s">
        <v>180</v>
      </c>
      <c r="F161" s="64"/>
      <c r="G161" s="67"/>
      <c r="H161" s="67"/>
      <c r="I161" s="67"/>
      <c r="J161" s="67"/>
      <c r="K161" s="67"/>
      <c r="L161" s="67"/>
      <c r="M161" s="67"/>
      <c r="N161" s="67"/>
      <c r="O161" s="67"/>
      <c r="P161" s="67"/>
    </row>
    <row r="162" spans="4:16" hidden="1">
      <c r="E162" s="63" t="s">
        <v>14</v>
      </c>
      <c r="F162" s="64" t="s">
        <v>181</v>
      </c>
      <c r="G162" s="67"/>
      <c r="H162" s="67"/>
      <c r="I162" s="67"/>
      <c r="J162" s="67"/>
      <c r="K162" s="67"/>
      <c r="L162" s="67"/>
      <c r="M162" s="67"/>
      <c r="N162" s="67"/>
      <c r="O162" s="67"/>
      <c r="P162" s="67"/>
    </row>
    <row r="163" spans="4:16">
      <c r="D163" s="63" t="s">
        <v>12</v>
      </c>
      <c r="E163" s="246" t="s">
        <v>421</v>
      </c>
      <c r="F163" s="64"/>
      <c r="G163" s="67"/>
      <c r="H163" s="67"/>
      <c r="I163" s="67"/>
      <c r="J163" s="67"/>
      <c r="K163" s="67"/>
      <c r="L163" s="67"/>
      <c r="M163" s="67"/>
      <c r="N163" s="67"/>
      <c r="O163" s="67"/>
      <c r="P163" s="67"/>
    </row>
    <row r="164" spans="4:16">
      <c r="E164" s="63" t="s">
        <v>14</v>
      </c>
      <c r="F164" s="64" t="s">
        <v>422</v>
      </c>
      <c r="G164" s="67"/>
      <c r="H164" s="67"/>
      <c r="I164" s="67"/>
      <c r="J164" s="67"/>
      <c r="K164" s="67"/>
      <c r="L164" s="67"/>
      <c r="M164" s="67">
        <v>9</v>
      </c>
      <c r="N164" s="67"/>
      <c r="O164" s="67"/>
      <c r="P164" s="67"/>
    </row>
    <row r="165" spans="4:16" hidden="1">
      <c r="D165" s="63" t="s">
        <v>12</v>
      </c>
      <c r="E165" s="59" t="s">
        <v>16</v>
      </c>
      <c r="G165" s="67"/>
      <c r="H165" s="67"/>
      <c r="I165" s="67"/>
      <c r="J165" s="67"/>
      <c r="K165" s="67"/>
      <c r="L165" s="67"/>
      <c r="M165" s="67"/>
      <c r="N165" s="67"/>
      <c r="O165" s="67"/>
      <c r="P165" s="67"/>
    </row>
    <row r="166" spans="4:16" hidden="1">
      <c r="E166" s="63" t="s">
        <v>14</v>
      </c>
      <c r="F166" s="64" t="s">
        <v>19</v>
      </c>
      <c r="G166" s="67"/>
      <c r="H166" s="67"/>
      <c r="I166" s="67"/>
      <c r="J166" s="67"/>
      <c r="K166" s="67"/>
      <c r="L166" s="67"/>
      <c r="M166" s="67"/>
      <c r="N166" s="67"/>
      <c r="O166" s="67"/>
      <c r="P166" s="67"/>
    </row>
    <row r="167" spans="4:16" hidden="1">
      <c r="E167" s="63"/>
      <c r="F167" s="64" t="s">
        <v>17</v>
      </c>
      <c r="G167" s="67"/>
      <c r="H167" s="67"/>
      <c r="I167" s="67"/>
      <c r="J167" s="67"/>
      <c r="K167" s="67"/>
      <c r="L167" s="67"/>
      <c r="M167" s="67"/>
      <c r="N167" s="67"/>
      <c r="O167" s="67"/>
      <c r="P167" s="67"/>
    </row>
    <row r="168" spans="4:16" hidden="1">
      <c r="F168" s="64" t="s">
        <v>18</v>
      </c>
      <c r="G168" s="67"/>
      <c r="H168" s="67"/>
      <c r="I168" s="67"/>
      <c r="J168" s="67"/>
      <c r="K168" s="67"/>
      <c r="L168" s="67"/>
      <c r="M168" s="67"/>
      <c r="N168" s="67"/>
      <c r="O168" s="67"/>
      <c r="P168" s="67"/>
    </row>
    <row r="169" spans="4:16" hidden="1">
      <c r="F169" s="64" t="s">
        <v>302</v>
      </c>
      <c r="G169" s="67"/>
      <c r="H169" s="67"/>
      <c r="I169" s="67"/>
      <c r="J169" s="67"/>
      <c r="K169" s="67"/>
      <c r="L169" s="67"/>
      <c r="M169" s="67"/>
      <c r="N169" s="67"/>
      <c r="O169" s="67"/>
      <c r="P169" s="67"/>
    </row>
    <row r="170" spans="4:16" hidden="1">
      <c r="F170" s="64" t="s">
        <v>169</v>
      </c>
      <c r="G170" s="67"/>
      <c r="H170" s="67"/>
      <c r="I170" s="67"/>
      <c r="J170" s="67"/>
      <c r="K170" s="67"/>
      <c r="L170" s="67"/>
      <c r="M170" s="67"/>
      <c r="N170" s="67"/>
      <c r="O170" s="67"/>
      <c r="P170" s="67"/>
    </row>
    <row r="171" spans="4:16" hidden="1">
      <c r="F171" s="64" t="s">
        <v>171</v>
      </c>
      <c r="G171" s="67"/>
      <c r="H171" s="67"/>
      <c r="I171" s="67"/>
      <c r="J171" s="67"/>
      <c r="K171" s="67"/>
      <c r="L171" s="67"/>
      <c r="M171" s="67"/>
      <c r="N171" s="67"/>
      <c r="O171" s="67"/>
      <c r="P171" s="67"/>
    </row>
    <row r="172" spans="4:16" hidden="1">
      <c r="F172" s="64" t="s">
        <v>348</v>
      </c>
      <c r="G172" s="67"/>
      <c r="H172" s="67"/>
      <c r="I172" s="67"/>
      <c r="J172" s="67"/>
      <c r="K172" s="67"/>
      <c r="L172" s="67"/>
      <c r="M172" s="67"/>
      <c r="N172" s="67"/>
      <c r="O172" s="67"/>
      <c r="P172" s="67"/>
    </row>
    <row r="173" spans="4:16">
      <c r="D173" s="63" t="s">
        <v>12</v>
      </c>
      <c r="E173" s="59" t="s">
        <v>23</v>
      </c>
      <c r="F173" s="64"/>
      <c r="G173" s="67"/>
      <c r="H173" s="67"/>
      <c r="I173" s="67"/>
      <c r="J173" s="67"/>
      <c r="K173" s="67"/>
      <c r="L173" s="67"/>
      <c r="M173" s="67"/>
      <c r="N173" s="67"/>
      <c r="O173" s="67"/>
      <c r="P173" s="67"/>
    </row>
    <row r="174" spans="4:16">
      <c r="E174" s="63" t="s">
        <v>14</v>
      </c>
      <c r="F174" s="64" t="s">
        <v>20</v>
      </c>
      <c r="G174" s="67">
        <v>2</v>
      </c>
      <c r="H174" s="67"/>
      <c r="I174" s="67"/>
      <c r="J174" s="67"/>
      <c r="K174" s="67"/>
      <c r="L174" s="67"/>
      <c r="M174" s="67"/>
      <c r="N174" s="67"/>
      <c r="O174" s="67"/>
      <c r="P174" s="67"/>
    </row>
    <row r="175" spans="4:16">
      <c r="D175" s="63" t="s">
        <v>12</v>
      </c>
      <c r="E175" s="59" t="s">
        <v>24</v>
      </c>
      <c r="F175" s="64"/>
      <c r="G175" s="67"/>
      <c r="H175" s="67"/>
      <c r="I175" s="67"/>
      <c r="J175" s="67"/>
      <c r="K175" s="67"/>
      <c r="L175" s="67"/>
      <c r="M175" s="67"/>
      <c r="N175" s="67"/>
      <c r="O175" s="67"/>
      <c r="P175" s="67"/>
    </row>
    <row r="176" spans="4:16">
      <c r="E176" s="63" t="s">
        <v>14</v>
      </c>
      <c r="F176" s="64" t="s">
        <v>21</v>
      </c>
      <c r="G176" s="67">
        <v>1</v>
      </c>
      <c r="H176" s="67"/>
      <c r="I176" s="67">
        <v>2</v>
      </c>
      <c r="J176" s="67">
        <v>1</v>
      </c>
      <c r="K176" s="67">
        <v>1</v>
      </c>
      <c r="L176" s="67"/>
      <c r="M176" s="67">
        <v>4</v>
      </c>
      <c r="N176" s="67"/>
      <c r="O176" s="67">
        <v>3</v>
      </c>
      <c r="P176" s="67"/>
    </row>
    <row r="177" spans="4:16">
      <c r="D177" s="63" t="s">
        <v>12</v>
      </c>
      <c r="E177" s="246" t="s">
        <v>25</v>
      </c>
      <c r="F177" s="64"/>
      <c r="G177" s="67"/>
      <c r="H177" s="67"/>
      <c r="I177" s="67"/>
      <c r="J177" s="67"/>
      <c r="K177" s="67"/>
      <c r="L177" s="67"/>
      <c r="M177" s="67"/>
      <c r="N177" s="67"/>
      <c r="O177" s="67"/>
      <c r="P177" s="67"/>
    </row>
    <row r="178" spans="4:16" hidden="1">
      <c r="E178" s="63" t="s">
        <v>14</v>
      </c>
      <c r="F178" s="64" t="s">
        <v>22</v>
      </c>
      <c r="G178" s="67"/>
      <c r="H178" s="67"/>
      <c r="I178" s="67"/>
      <c r="J178" s="67"/>
      <c r="K178" s="67"/>
      <c r="L178" s="67"/>
      <c r="M178" s="67"/>
      <c r="N178" s="67"/>
      <c r="O178" s="67"/>
      <c r="P178" s="67"/>
    </row>
    <row r="179" spans="4:16" hidden="1">
      <c r="E179" s="63"/>
      <c r="F179" s="64" t="s">
        <v>338</v>
      </c>
      <c r="G179" s="67"/>
      <c r="H179" s="67"/>
      <c r="I179" s="67"/>
      <c r="J179" s="67"/>
      <c r="K179" s="67"/>
      <c r="L179" s="67"/>
      <c r="M179" s="67"/>
      <c r="N179" s="67"/>
      <c r="O179" s="67"/>
      <c r="P179" s="67"/>
    </row>
    <row r="180" spans="4:16" hidden="1">
      <c r="D180" s="63" t="s">
        <v>12</v>
      </c>
      <c r="E180" s="246" t="s">
        <v>176</v>
      </c>
      <c r="F180" s="64"/>
      <c r="G180" s="67"/>
      <c r="H180" s="67"/>
      <c r="I180" s="67"/>
      <c r="J180" s="67"/>
      <c r="K180" s="67"/>
      <c r="L180" s="67"/>
      <c r="M180" s="67"/>
      <c r="N180" s="67"/>
      <c r="O180" s="67"/>
      <c r="P180" s="67"/>
    </row>
    <row r="181" spans="4:16" hidden="1">
      <c r="E181" s="63" t="s">
        <v>14</v>
      </c>
      <c r="F181" s="64" t="s">
        <v>177</v>
      </c>
      <c r="G181" s="67"/>
      <c r="H181" s="67"/>
      <c r="I181" s="67"/>
      <c r="J181" s="67"/>
      <c r="K181" s="67"/>
      <c r="L181" s="67"/>
      <c r="M181" s="67"/>
      <c r="N181" s="67"/>
      <c r="O181" s="67"/>
      <c r="P181" s="67"/>
    </row>
    <row r="182" spans="4:16">
      <c r="D182" s="63" t="s">
        <v>12</v>
      </c>
      <c r="E182" s="246" t="s">
        <v>26</v>
      </c>
      <c r="F182" s="64"/>
      <c r="G182" s="67"/>
      <c r="H182" s="67"/>
      <c r="I182" s="67"/>
      <c r="J182" s="67"/>
      <c r="K182" s="67"/>
      <c r="L182" s="67"/>
      <c r="M182" s="67"/>
      <c r="N182" s="67"/>
      <c r="O182" s="67"/>
      <c r="P182" s="67"/>
    </row>
    <row r="183" spans="4:16">
      <c r="E183" s="63" t="s">
        <v>14</v>
      </c>
      <c r="F183" s="64" t="s">
        <v>297</v>
      </c>
      <c r="G183" s="67"/>
      <c r="H183" s="67"/>
      <c r="I183" s="67"/>
      <c r="J183" s="67"/>
      <c r="K183" s="67"/>
      <c r="L183" s="67"/>
      <c r="M183" s="67"/>
      <c r="N183" s="67"/>
      <c r="O183" s="67"/>
      <c r="P183" s="67"/>
    </row>
    <row r="184" spans="4:16">
      <c r="E184" s="63"/>
      <c r="F184" s="64" t="s">
        <v>27</v>
      </c>
      <c r="G184" s="67"/>
      <c r="H184" s="67">
        <v>1</v>
      </c>
      <c r="I184" s="67">
        <v>4</v>
      </c>
      <c r="J184" s="67">
        <v>1</v>
      </c>
      <c r="K184" s="67"/>
      <c r="L184" s="67"/>
      <c r="M184" s="67">
        <v>7</v>
      </c>
      <c r="N184" s="67">
        <v>3</v>
      </c>
      <c r="O184" s="67">
        <v>1</v>
      </c>
      <c r="P184" s="67">
        <v>6</v>
      </c>
    </row>
    <row r="185" spans="4:16">
      <c r="D185" s="63" t="s">
        <v>12</v>
      </c>
      <c r="E185" s="246" t="s">
        <v>28</v>
      </c>
      <c r="G185" s="67"/>
      <c r="H185" s="67"/>
      <c r="I185" s="67"/>
      <c r="J185" s="67"/>
      <c r="K185" s="67"/>
      <c r="L185" s="67"/>
      <c r="M185" s="67"/>
      <c r="N185" s="67"/>
      <c r="O185" s="67"/>
      <c r="P185" s="67"/>
    </row>
    <row r="186" spans="4:16">
      <c r="E186" s="63" t="s">
        <v>14</v>
      </c>
      <c r="F186" s="64" t="s">
        <v>29</v>
      </c>
      <c r="G186" s="67">
        <v>7</v>
      </c>
      <c r="H186" s="67"/>
      <c r="I186" s="67"/>
      <c r="J186" s="67">
        <v>4</v>
      </c>
      <c r="K186" s="67">
        <v>1</v>
      </c>
      <c r="L186" s="67"/>
      <c r="M186" s="67"/>
      <c r="N186" s="67">
        <v>1</v>
      </c>
      <c r="O186" s="67"/>
      <c r="P186" s="67"/>
    </row>
    <row r="187" spans="4:16">
      <c r="E187" s="63"/>
      <c r="F187" s="64" t="s">
        <v>30</v>
      </c>
      <c r="G187" s="67">
        <v>30</v>
      </c>
      <c r="H187" s="67">
        <v>27</v>
      </c>
      <c r="I187" s="67">
        <v>31</v>
      </c>
      <c r="J187" s="67">
        <v>21</v>
      </c>
      <c r="K187" s="67">
        <v>52</v>
      </c>
      <c r="L187" s="67">
        <v>126</v>
      </c>
      <c r="M187" s="67">
        <v>16</v>
      </c>
      <c r="N187" s="67">
        <v>10</v>
      </c>
      <c r="O187" s="67">
        <v>61</v>
      </c>
      <c r="P187" s="67">
        <v>57</v>
      </c>
    </row>
    <row r="188" spans="4:16">
      <c r="F188" s="64" t="s">
        <v>173</v>
      </c>
      <c r="G188" s="67">
        <v>2</v>
      </c>
      <c r="H188" s="67">
        <v>6</v>
      </c>
      <c r="I188" s="67">
        <v>15</v>
      </c>
      <c r="J188" s="67">
        <v>12</v>
      </c>
      <c r="K188" s="67">
        <v>5</v>
      </c>
      <c r="L188" s="67">
        <v>1</v>
      </c>
      <c r="M188" s="67">
        <v>3</v>
      </c>
      <c r="N188" s="67">
        <v>1</v>
      </c>
      <c r="O188" s="67">
        <v>14</v>
      </c>
      <c r="P188" s="67">
        <v>24</v>
      </c>
    </row>
    <row r="189" spans="4:16">
      <c r="F189" s="64" t="s">
        <v>222</v>
      </c>
      <c r="G189" s="67"/>
      <c r="H189" s="67"/>
      <c r="I189" s="67"/>
      <c r="J189" s="67"/>
      <c r="K189" s="67"/>
      <c r="L189" s="67"/>
      <c r="M189" s="67"/>
      <c r="N189" s="67"/>
      <c r="O189" s="67"/>
      <c r="P189" s="67"/>
    </row>
    <row r="190" spans="4:16">
      <c r="D190" s="250" t="s">
        <v>12</v>
      </c>
      <c r="E190" s="59" t="s">
        <v>31</v>
      </c>
      <c r="G190" s="67"/>
      <c r="H190" s="67"/>
      <c r="I190" s="67"/>
      <c r="J190" s="67"/>
      <c r="K190" s="67"/>
      <c r="L190" s="67"/>
      <c r="M190" s="67"/>
      <c r="N190" s="67"/>
      <c r="O190" s="67"/>
      <c r="P190" s="67"/>
    </row>
    <row r="191" spans="4:16">
      <c r="E191" s="63" t="s">
        <v>14</v>
      </c>
      <c r="F191" s="64" t="s">
        <v>170</v>
      </c>
      <c r="G191" s="67"/>
      <c r="H191" s="67"/>
      <c r="I191" s="67"/>
      <c r="J191" s="67"/>
      <c r="K191" s="67"/>
      <c r="L191" s="67"/>
      <c r="M191" s="67"/>
      <c r="N191" s="67"/>
      <c r="O191" s="67"/>
      <c r="P191" s="67"/>
    </row>
    <row r="192" spans="4:16">
      <c r="E192" s="63"/>
      <c r="F192" s="64" t="s">
        <v>32</v>
      </c>
      <c r="G192" s="67">
        <v>1</v>
      </c>
      <c r="H192" s="67"/>
      <c r="I192" s="67"/>
      <c r="J192" s="67"/>
      <c r="K192" s="67"/>
      <c r="L192" s="67"/>
      <c r="M192" s="67"/>
      <c r="N192" s="67"/>
      <c r="O192" s="67"/>
      <c r="P192" s="67"/>
    </row>
    <row r="193" spans="3:16">
      <c r="E193" s="63"/>
      <c r="F193" s="64" t="s">
        <v>309</v>
      </c>
      <c r="G193" s="67"/>
      <c r="H193" s="67"/>
      <c r="I193" s="67"/>
      <c r="J193" s="67"/>
      <c r="K193" s="67"/>
      <c r="L193" s="67"/>
      <c r="M193" s="67"/>
      <c r="N193" s="67"/>
      <c r="O193" s="67"/>
      <c r="P193" s="67"/>
    </row>
    <row r="194" spans="3:16">
      <c r="E194" s="63"/>
      <c r="F194" s="64" t="s">
        <v>344</v>
      </c>
      <c r="G194" s="67">
        <v>2</v>
      </c>
      <c r="H194" s="67"/>
      <c r="I194" s="67"/>
      <c r="J194" s="67"/>
      <c r="K194" s="67"/>
      <c r="L194" s="67"/>
      <c r="M194" s="67"/>
      <c r="N194" s="67"/>
      <c r="O194" s="67"/>
      <c r="P194" s="67"/>
    </row>
    <row r="195" spans="3:16">
      <c r="D195" s="63" t="s">
        <v>12</v>
      </c>
      <c r="E195" s="59" t="s">
        <v>33</v>
      </c>
      <c r="G195" s="67"/>
      <c r="H195" s="67"/>
      <c r="I195" s="67"/>
      <c r="J195" s="67"/>
      <c r="K195" s="67"/>
      <c r="L195" s="67"/>
      <c r="M195" s="67"/>
      <c r="N195" s="67"/>
      <c r="O195" s="67"/>
      <c r="P195" s="67"/>
    </row>
    <row r="196" spans="3:16">
      <c r="E196" s="63" t="s">
        <v>14</v>
      </c>
      <c r="F196" s="64" t="s">
        <v>34</v>
      </c>
      <c r="G196" s="67">
        <v>1</v>
      </c>
      <c r="H196" s="67">
        <v>2</v>
      </c>
      <c r="I196" s="67"/>
      <c r="J196" s="67"/>
      <c r="K196" s="67"/>
      <c r="L196" s="67"/>
      <c r="M196" s="67"/>
      <c r="N196" s="67"/>
      <c r="O196" s="67"/>
      <c r="P196" s="67"/>
    </row>
    <row r="197" spans="3:16">
      <c r="E197" s="63"/>
      <c r="F197" s="64" t="s">
        <v>341</v>
      </c>
      <c r="G197" s="67"/>
      <c r="H197" s="67"/>
      <c r="I197" s="67"/>
      <c r="J197" s="67"/>
      <c r="K197" s="67"/>
      <c r="L197" s="67"/>
      <c r="M197" s="67"/>
      <c r="N197" s="67"/>
      <c r="O197" s="67"/>
      <c r="P197" s="67"/>
    </row>
    <row r="198" spans="3:16">
      <c r="D198" s="63" t="s">
        <v>12</v>
      </c>
      <c r="E198" s="59" t="s">
        <v>295</v>
      </c>
      <c r="G198" s="67"/>
      <c r="H198" s="67"/>
      <c r="I198" s="67"/>
      <c r="J198" s="67"/>
      <c r="K198" s="67"/>
      <c r="L198" s="67"/>
      <c r="M198" s="67"/>
      <c r="N198" s="67"/>
      <c r="O198" s="67"/>
      <c r="P198" s="67"/>
    </row>
    <row r="199" spans="3:16">
      <c r="E199" s="63" t="s">
        <v>14</v>
      </c>
      <c r="F199" s="64" t="s">
        <v>296</v>
      </c>
      <c r="G199" s="67">
        <v>1</v>
      </c>
      <c r="H199" s="67"/>
      <c r="I199" s="67">
        <v>1</v>
      </c>
      <c r="J199" s="67"/>
      <c r="K199" s="67">
        <v>1</v>
      </c>
      <c r="L199" s="67"/>
      <c r="M199" s="67"/>
      <c r="N199" s="67">
        <v>1</v>
      </c>
      <c r="O199" s="67">
        <v>1</v>
      </c>
      <c r="P199" s="67"/>
    </row>
    <row r="200" spans="3:16" hidden="1">
      <c r="D200" s="63" t="s">
        <v>12</v>
      </c>
      <c r="E200" s="246" t="s">
        <v>160</v>
      </c>
      <c r="F200" s="64"/>
      <c r="G200" s="67"/>
      <c r="H200" s="67"/>
      <c r="I200" s="67"/>
      <c r="J200" s="67"/>
      <c r="K200" s="67"/>
      <c r="L200" s="67"/>
      <c r="M200" s="67"/>
      <c r="N200" s="67"/>
      <c r="O200" s="67"/>
      <c r="P200" s="67"/>
    </row>
    <row r="201" spans="3:16" hidden="1">
      <c r="E201" s="63" t="s">
        <v>14</v>
      </c>
      <c r="F201" s="64" t="s">
        <v>161</v>
      </c>
      <c r="G201" s="67"/>
      <c r="H201" s="67"/>
      <c r="I201" s="67"/>
      <c r="J201" s="67"/>
      <c r="K201" s="67"/>
      <c r="L201" s="67"/>
      <c r="M201" s="67"/>
      <c r="N201" s="67"/>
      <c r="O201" s="67"/>
      <c r="P201" s="67"/>
    </row>
    <row r="202" spans="3:16">
      <c r="G202" s="67"/>
      <c r="H202" s="67"/>
      <c r="I202" s="67"/>
      <c r="J202" s="67"/>
      <c r="K202" s="67"/>
      <c r="L202" s="67"/>
      <c r="M202" s="67"/>
      <c r="N202" s="67"/>
      <c r="O202" s="67"/>
      <c r="P202" s="67"/>
    </row>
    <row r="203" spans="3:16">
      <c r="C203" s="63" t="s">
        <v>10</v>
      </c>
      <c r="D203" s="58" t="s">
        <v>35</v>
      </c>
      <c r="G203" s="67"/>
      <c r="H203" s="67"/>
      <c r="I203" s="67"/>
      <c r="J203" s="67"/>
      <c r="K203" s="67"/>
      <c r="L203" s="67"/>
      <c r="M203" s="67"/>
      <c r="N203" s="67"/>
      <c r="O203" s="67"/>
      <c r="P203" s="67"/>
    </row>
    <row r="204" spans="3:16" hidden="1">
      <c r="C204" s="63"/>
      <c r="D204" s="58"/>
      <c r="F204" s="59" t="s">
        <v>158</v>
      </c>
      <c r="G204" s="67"/>
      <c r="H204" s="67"/>
      <c r="I204" s="67"/>
      <c r="J204" s="67"/>
      <c r="K204" s="67"/>
      <c r="L204" s="67"/>
      <c r="M204" s="67"/>
      <c r="N204" s="67"/>
      <c r="O204" s="67"/>
      <c r="P204" s="67"/>
    </row>
    <row r="205" spans="3:16" hidden="1">
      <c r="C205" s="63"/>
      <c r="D205" s="58"/>
      <c r="F205" s="59" t="s">
        <v>105</v>
      </c>
      <c r="G205" s="67"/>
      <c r="H205" s="67"/>
      <c r="I205" s="67"/>
      <c r="J205" s="67"/>
      <c r="K205" s="67"/>
      <c r="L205" s="67"/>
      <c r="M205" s="67"/>
      <c r="N205" s="67"/>
      <c r="O205" s="67"/>
      <c r="P205" s="67"/>
    </row>
    <row r="206" spans="3:16">
      <c r="D206" s="63" t="s">
        <v>12</v>
      </c>
      <c r="E206" s="59" t="s">
        <v>36</v>
      </c>
      <c r="G206" s="67"/>
      <c r="H206" s="67"/>
      <c r="I206" s="67"/>
      <c r="J206" s="67"/>
      <c r="K206" s="67"/>
      <c r="L206" s="67"/>
      <c r="M206" s="67"/>
      <c r="N206" s="67"/>
      <c r="O206" s="67"/>
      <c r="P206" s="67"/>
    </row>
    <row r="207" spans="3:16">
      <c r="E207" s="63" t="s">
        <v>14</v>
      </c>
      <c r="F207" s="64" t="s">
        <v>37</v>
      </c>
      <c r="G207" s="67">
        <v>5</v>
      </c>
      <c r="H207" s="67">
        <v>5</v>
      </c>
      <c r="I207" s="67">
        <v>21</v>
      </c>
      <c r="J207" s="67">
        <v>21</v>
      </c>
      <c r="K207" s="67">
        <v>12</v>
      </c>
      <c r="L207" s="67"/>
      <c r="M207" s="67">
        <v>25</v>
      </c>
      <c r="N207" s="67">
        <v>10</v>
      </c>
      <c r="O207" s="67">
        <v>3</v>
      </c>
      <c r="P207" s="67">
        <v>4</v>
      </c>
    </row>
    <row r="208" spans="3:16">
      <c r="D208" s="63" t="s">
        <v>12</v>
      </c>
      <c r="E208" s="59" t="s">
        <v>38</v>
      </c>
      <c r="G208" s="67"/>
      <c r="H208" s="67"/>
      <c r="I208" s="67"/>
      <c r="J208" s="67"/>
      <c r="K208" s="67"/>
      <c r="L208" s="67"/>
      <c r="M208" s="67"/>
      <c r="N208" s="67"/>
      <c r="O208" s="67"/>
      <c r="P208" s="67"/>
    </row>
    <row r="209" spans="3:16">
      <c r="E209" s="63" t="s">
        <v>14</v>
      </c>
      <c r="F209" s="64" t="s">
        <v>39</v>
      </c>
      <c r="G209" s="67">
        <v>110</v>
      </c>
      <c r="H209" s="67">
        <v>76</v>
      </c>
      <c r="I209" s="67">
        <v>16</v>
      </c>
      <c r="J209" s="67">
        <v>23</v>
      </c>
      <c r="K209" s="67">
        <v>36</v>
      </c>
      <c r="L209" s="67">
        <v>12</v>
      </c>
      <c r="M209" s="67">
        <v>54</v>
      </c>
      <c r="N209" s="67">
        <v>42</v>
      </c>
      <c r="O209" s="67">
        <v>41</v>
      </c>
      <c r="P209" s="67">
        <v>14</v>
      </c>
    </row>
    <row r="210" spans="3:16">
      <c r="D210" s="63" t="s">
        <v>12</v>
      </c>
      <c r="E210" s="59" t="s">
        <v>41</v>
      </c>
      <c r="G210" s="67"/>
      <c r="H210" s="67"/>
      <c r="I210" s="67"/>
      <c r="J210" s="67"/>
      <c r="K210" s="67"/>
      <c r="L210" s="67"/>
      <c r="M210" s="67"/>
      <c r="N210" s="67"/>
      <c r="O210" s="67"/>
      <c r="P210" s="67"/>
    </row>
    <row r="211" spans="3:16">
      <c r="E211" s="63" t="s">
        <v>14</v>
      </c>
      <c r="F211" s="64" t="s">
        <v>42</v>
      </c>
      <c r="G211" s="67"/>
      <c r="H211" s="67">
        <v>4</v>
      </c>
      <c r="I211" s="67"/>
      <c r="J211" s="67">
        <v>5</v>
      </c>
      <c r="K211" s="67">
        <v>1</v>
      </c>
      <c r="L211" s="67"/>
      <c r="M211" s="67"/>
      <c r="N211" s="67"/>
      <c r="O211" s="67"/>
      <c r="P211" s="67">
        <v>1</v>
      </c>
    </row>
    <row r="212" spans="3:16" hidden="1">
      <c r="D212" s="63"/>
      <c r="F212" s="64" t="s">
        <v>183</v>
      </c>
      <c r="G212" s="67"/>
      <c r="H212" s="67"/>
      <c r="I212" s="67"/>
      <c r="J212" s="67"/>
      <c r="K212" s="67"/>
      <c r="L212" s="67"/>
      <c r="M212" s="67"/>
      <c r="N212" s="67"/>
      <c r="O212" s="67"/>
      <c r="P212" s="67"/>
    </row>
    <row r="213" spans="3:16">
      <c r="D213" s="63" t="s">
        <v>12</v>
      </c>
      <c r="E213" s="59" t="s">
        <v>287</v>
      </c>
      <c r="G213" s="67"/>
      <c r="H213" s="67"/>
      <c r="I213" s="67"/>
      <c r="J213" s="67"/>
      <c r="K213" s="67"/>
      <c r="L213" s="67"/>
      <c r="M213" s="67"/>
      <c r="N213" s="67"/>
      <c r="O213" s="67"/>
      <c r="P213" s="67"/>
    </row>
    <row r="214" spans="3:16">
      <c r="E214" s="63" t="s">
        <v>14</v>
      </c>
      <c r="F214" s="64" t="s">
        <v>300</v>
      </c>
      <c r="G214" s="67"/>
      <c r="H214" s="67"/>
      <c r="I214" s="67"/>
      <c r="J214" s="67"/>
      <c r="K214" s="67"/>
      <c r="L214" s="67"/>
      <c r="M214" s="67"/>
      <c r="N214" s="67"/>
      <c r="O214" s="67"/>
      <c r="P214" s="67"/>
    </row>
    <row r="215" spans="3:16">
      <c r="E215" s="63"/>
      <c r="F215" s="64" t="s">
        <v>286</v>
      </c>
      <c r="G215" s="67"/>
      <c r="H215" s="67"/>
      <c r="I215" s="67"/>
      <c r="J215" s="67"/>
      <c r="K215" s="67"/>
      <c r="L215" s="67"/>
      <c r="M215" s="67"/>
      <c r="N215" s="67"/>
      <c r="O215" s="67"/>
      <c r="P215" s="67"/>
    </row>
    <row r="216" spans="3:16" hidden="1">
      <c r="D216" s="63" t="s">
        <v>12</v>
      </c>
      <c r="E216" s="59" t="s">
        <v>397</v>
      </c>
      <c r="G216" s="67"/>
      <c r="H216" s="67"/>
      <c r="I216" s="67"/>
      <c r="J216" s="67"/>
      <c r="K216" s="67"/>
      <c r="L216" s="67"/>
      <c r="M216" s="67"/>
      <c r="N216" s="67"/>
      <c r="O216" s="67"/>
      <c r="P216" s="67"/>
    </row>
    <row r="217" spans="3:16" hidden="1">
      <c r="E217" s="63" t="s">
        <v>14</v>
      </c>
      <c r="F217" s="64" t="s">
        <v>398</v>
      </c>
      <c r="G217" s="67"/>
      <c r="H217" s="67"/>
      <c r="I217" s="67"/>
      <c r="J217" s="67"/>
      <c r="K217" s="67"/>
      <c r="L217" s="67"/>
      <c r="M217" s="67"/>
      <c r="N217" s="67"/>
      <c r="O217" s="67"/>
      <c r="P217" s="67"/>
    </row>
    <row r="218" spans="3:16">
      <c r="E218" s="63"/>
      <c r="F218" s="64"/>
      <c r="G218" s="67"/>
      <c r="H218" s="67"/>
      <c r="I218" s="67"/>
      <c r="J218" s="67"/>
      <c r="K218" s="67"/>
      <c r="L218" s="67"/>
      <c r="M218" s="67"/>
      <c r="N218" s="67"/>
      <c r="O218" s="67"/>
      <c r="P218" s="67"/>
    </row>
    <row r="219" spans="3:16">
      <c r="C219" s="63" t="s">
        <v>10</v>
      </c>
      <c r="D219" s="58" t="s">
        <v>43</v>
      </c>
      <c r="G219" s="67"/>
      <c r="H219" s="67"/>
      <c r="I219" s="67"/>
      <c r="J219" s="67"/>
      <c r="K219" s="67"/>
      <c r="L219" s="67"/>
      <c r="M219" s="67"/>
      <c r="N219" s="67"/>
      <c r="O219" s="67"/>
      <c r="P219" s="67"/>
    </row>
    <row r="220" spans="3:16" hidden="1">
      <c r="C220" s="63"/>
      <c r="D220" s="58"/>
      <c r="F220" s="59" t="s">
        <v>107</v>
      </c>
      <c r="G220" s="67"/>
      <c r="H220" s="67"/>
      <c r="I220" s="67"/>
      <c r="J220" s="67"/>
      <c r="K220" s="67"/>
      <c r="L220" s="67"/>
      <c r="M220" s="67"/>
      <c r="N220" s="67"/>
      <c r="O220" s="67"/>
      <c r="P220" s="67"/>
    </row>
    <row r="221" spans="3:16">
      <c r="D221" s="63" t="s">
        <v>12</v>
      </c>
      <c r="E221" s="59" t="s">
        <v>44</v>
      </c>
      <c r="G221" s="67"/>
      <c r="H221" s="67"/>
      <c r="I221" s="67"/>
      <c r="J221" s="67"/>
      <c r="K221" s="67"/>
      <c r="L221" s="67"/>
      <c r="M221" s="67"/>
      <c r="N221" s="67"/>
      <c r="O221" s="67"/>
      <c r="P221" s="67"/>
    </row>
    <row r="222" spans="3:16">
      <c r="E222" s="63" t="s">
        <v>14</v>
      </c>
      <c r="F222" s="64" t="s">
        <v>45</v>
      </c>
      <c r="G222" s="67"/>
      <c r="H222" s="67"/>
      <c r="I222" s="67">
        <v>1</v>
      </c>
      <c r="J222" s="67"/>
      <c r="K222" s="67"/>
      <c r="L222" s="67"/>
      <c r="M222" s="67"/>
      <c r="N222" s="67"/>
      <c r="O222" s="67"/>
      <c r="P222" s="67"/>
    </row>
    <row r="223" spans="3:16">
      <c r="D223" s="63" t="s">
        <v>12</v>
      </c>
      <c r="E223" s="59" t="s">
        <v>328</v>
      </c>
      <c r="G223" s="67"/>
      <c r="H223" s="67"/>
      <c r="I223" s="67"/>
      <c r="J223" s="67"/>
      <c r="K223" s="67"/>
      <c r="L223" s="67"/>
      <c r="M223" s="67"/>
      <c r="N223" s="67"/>
      <c r="O223" s="67"/>
      <c r="P223" s="67"/>
    </row>
    <row r="224" spans="3:16">
      <c r="E224" s="63" t="s">
        <v>14</v>
      </c>
      <c r="F224" s="64" t="s">
        <v>47</v>
      </c>
      <c r="G224" s="67">
        <v>3</v>
      </c>
      <c r="H224" s="67">
        <v>7</v>
      </c>
      <c r="I224" s="67">
        <v>2</v>
      </c>
      <c r="J224" s="67">
        <v>5</v>
      </c>
      <c r="K224" s="67">
        <v>7</v>
      </c>
      <c r="L224" s="67">
        <v>1</v>
      </c>
      <c r="M224" s="67">
        <v>3</v>
      </c>
      <c r="N224" s="67">
        <v>2</v>
      </c>
      <c r="O224" s="67">
        <v>1</v>
      </c>
      <c r="P224" s="67">
        <v>1</v>
      </c>
    </row>
    <row r="225" spans="2:16">
      <c r="B225" s="59" t="s">
        <v>12</v>
      </c>
      <c r="E225" s="246" t="s">
        <v>400</v>
      </c>
      <c r="F225" s="64"/>
      <c r="G225" s="67"/>
      <c r="H225" s="67"/>
      <c r="I225" s="67"/>
      <c r="J225" s="67"/>
      <c r="K225" s="67"/>
      <c r="L225" s="67"/>
      <c r="M225" s="67"/>
      <c r="N225" s="67"/>
      <c r="O225" s="67"/>
      <c r="P225" s="67"/>
    </row>
    <row r="226" spans="2:16">
      <c r="C226" s="59" t="s">
        <v>270</v>
      </c>
      <c r="E226" s="63"/>
      <c r="F226" s="64"/>
      <c r="G226" s="67"/>
      <c r="H226" s="67"/>
      <c r="I226" s="67"/>
      <c r="J226" s="67"/>
      <c r="K226" s="67"/>
      <c r="L226" s="67"/>
      <c r="M226" s="67"/>
      <c r="N226" s="67"/>
      <c r="O226" s="67"/>
      <c r="P226" s="67"/>
    </row>
    <row r="227" spans="2:16" hidden="1">
      <c r="B227" s="59" t="s">
        <v>12</v>
      </c>
      <c r="E227" s="246" t="s">
        <v>401</v>
      </c>
      <c r="F227" s="64"/>
      <c r="G227" s="67"/>
      <c r="H227" s="67"/>
      <c r="I227" s="67"/>
      <c r="J227" s="67"/>
      <c r="K227" s="67"/>
      <c r="L227" s="67"/>
      <c r="M227" s="67"/>
      <c r="N227" s="67"/>
      <c r="O227" s="67"/>
      <c r="P227" s="67"/>
    </row>
    <row r="228" spans="2:16" hidden="1">
      <c r="C228" s="59" t="s">
        <v>330</v>
      </c>
      <c r="E228" s="63"/>
      <c r="F228" s="64" t="s">
        <v>331</v>
      </c>
      <c r="G228" s="67"/>
      <c r="H228" s="67"/>
      <c r="I228" s="67"/>
      <c r="J228" s="67"/>
      <c r="K228" s="67"/>
      <c r="L228" s="67"/>
      <c r="M228" s="67"/>
      <c r="N228" s="67"/>
      <c r="O228" s="67"/>
      <c r="P228" s="67"/>
    </row>
    <row r="229" spans="2:16">
      <c r="B229" s="59" t="s">
        <v>12</v>
      </c>
      <c r="E229" s="246" t="s">
        <v>402</v>
      </c>
      <c r="F229" s="64"/>
      <c r="G229" s="67"/>
      <c r="H229" s="67"/>
      <c r="I229" s="67"/>
      <c r="J229" s="67"/>
      <c r="K229" s="67"/>
      <c r="L229" s="67"/>
      <c r="M229" s="67"/>
      <c r="N229" s="67"/>
      <c r="O229" s="67"/>
      <c r="P229" s="67"/>
    </row>
    <row r="230" spans="2:16" hidden="1">
      <c r="E230" s="63" t="s">
        <v>14</v>
      </c>
      <c r="F230" s="64" t="s">
        <v>271</v>
      </c>
      <c r="G230" s="67"/>
      <c r="H230" s="67"/>
      <c r="I230" s="67"/>
      <c r="J230" s="67"/>
      <c r="K230" s="67"/>
      <c r="L230" s="67"/>
      <c r="M230" s="67"/>
      <c r="N230" s="67"/>
      <c r="O230" s="67"/>
      <c r="P230" s="67"/>
    </row>
    <row r="231" spans="2:16" hidden="1">
      <c r="E231" s="63"/>
      <c r="F231" s="64" t="s">
        <v>301</v>
      </c>
      <c r="G231" s="67"/>
      <c r="H231" s="67"/>
      <c r="I231" s="67"/>
      <c r="J231" s="67"/>
      <c r="K231" s="67"/>
      <c r="L231" s="67"/>
      <c r="M231" s="67"/>
      <c r="N231" s="67"/>
      <c r="O231" s="67"/>
      <c r="P231" s="67"/>
    </row>
    <row r="232" spans="2:16" hidden="1">
      <c r="B232" s="59" t="s">
        <v>12</v>
      </c>
      <c r="E232" s="246" t="s">
        <v>423</v>
      </c>
      <c r="F232" s="64"/>
      <c r="G232" s="67"/>
      <c r="H232" s="67"/>
      <c r="I232" s="67"/>
      <c r="J232" s="67"/>
      <c r="K232" s="67"/>
      <c r="L232" s="67"/>
      <c r="M232" s="67"/>
      <c r="N232" s="67"/>
      <c r="O232" s="67"/>
      <c r="P232" s="67"/>
    </row>
    <row r="233" spans="2:16" hidden="1">
      <c r="E233" s="63" t="s">
        <v>14</v>
      </c>
      <c r="F233" s="64" t="s">
        <v>424</v>
      </c>
      <c r="G233" s="67"/>
      <c r="H233" s="67"/>
      <c r="I233" s="67"/>
      <c r="J233" s="67"/>
      <c r="K233" s="67"/>
      <c r="L233" s="67"/>
      <c r="M233" s="67"/>
      <c r="N233" s="67"/>
      <c r="O233" s="67"/>
      <c r="P233" s="67"/>
    </row>
    <row r="234" spans="2:16" hidden="1">
      <c r="B234" s="59" t="s">
        <v>12</v>
      </c>
      <c r="E234" s="246" t="s">
        <v>399</v>
      </c>
      <c r="F234" s="64"/>
      <c r="G234" s="67"/>
      <c r="H234" s="67"/>
      <c r="I234" s="67"/>
      <c r="J234" s="67"/>
      <c r="K234" s="67"/>
      <c r="L234" s="67"/>
      <c r="M234" s="67"/>
      <c r="N234" s="67"/>
      <c r="O234" s="67"/>
      <c r="P234" s="67"/>
    </row>
    <row r="235" spans="2:16" hidden="1">
      <c r="E235" s="63" t="s">
        <v>14</v>
      </c>
      <c r="F235" s="64" t="s">
        <v>403</v>
      </c>
      <c r="G235" s="67"/>
      <c r="H235" s="67"/>
      <c r="I235" s="67"/>
      <c r="J235" s="67"/>
      <c r="K235" s="67"/>
      <c r="L235" s="67"/>
      <c r="M235" s="67"/>
      <c r="N235" s="67"/>
      <c r="O235" s="67"/>
      <c r="P235" s="67"/>
    </row>
    <row r="236" spans="2:16" hidden="1">
      <c r="E236" s="63"/>
      <c r="F236" s="64" t="s">
        <v>404</v>
      </c>
      <c r="G236" s="67"/>
      <c r="H236" s="67"/>
      <c r="I236" s="67"/>
      <c r="J236" s="67"/>
      <c r="K236" s="67"/>
      <c r="L236" s="67"/>
      <c r="M236" s="67"/>
      <c r="N236" s="67"/>
      <c r="O236" s="67"/>
      <c r="P236" s="67"/>
    </row>
    <row r="237" spans="2:16" hidden="1">
      <c r="E237" s="63"/>
      <c r="F237" s="64" t="s">
        <v>405</v>
      </c>
      <c r="G237" s="67"/>
      <c r="H237" s="67"/>
      <c r="I237" s="67"/>
      <c r="J237" s="67"/>
      <c r="K237" s="67"/>
      <c r="L237" s="67"/>
      <c r="M237" s="67"/>
      <c r="N237" s="67"/>
      <c r="O237" s="67"/>
      <c r="P237" s="67"/>
    </row>
    <row r="238" spans="2:16" hidden="1">
      <c r="E238" s="63"/>
      <c r="G238" s="67"/>
      <c r="H238" s="67"/>
      <c r="I238" s="67"/>
      <c r="J238" s="67"/>
      <c r="K238" s="67"/>
      <c r="L238" s="67"/>
      <c r="M238" s="67"/>
      <c r="N238" s="67"/>
      <c r="O238" s="67"/>
      <c r="P238" s="67"/>
    </row>
    <row r="239" spans="2:16" hidden="1">
      <c r="C239" s="63" t="s">
        <v>10</v>
      </c>
      <c r="D239" s="58" t="s">
        <v>406</v>
      </c>
      <c r="G239" s="67"/>
      <c r="H239" s="67"/>
      <c r="I239" s="67"/>
      <c r="J239" s="67"/>
      <c r="K239" s="67"/>
      <c r="L239" s="67"/>
      <c r="M239" s="67"/>
      <c r="N239" s="67"/>
      <c r="O239" s="67"/>
      <c r="P239" s="67"/>
    </row>
    <row r="240" spans="2:16" hidden="1">
      <c r="D240" s="63" t="s">
        <v>12</v>
      </c>
      <c r="E240" s="59" t="s">
        <v>407</v>
      </c>
      <c r="G240" s="67"/>
      <c r="H240" s="67"/>
      <c r="I240" s="67"/>
      <c r="J240" s="67"/>
      <c r="K240" s="67"/>
      <c r="L240" s="67"/>
      <c r="M240" s="67"/>
      <c r="N240" s="67"/>
      <c r="O240" s="67"/>
      <c r="P240" s="67"/>
    </row>
    <row r="241" spans="1:16" ht="13.25" hidden="1" customHeight="1">
      <c r="E241" s="63" t="s">
        <v>14</v>
      </c>
      <c r="F241" s="64" t="s">
        <v>408</v>
      </c>
      <c r="G241" s="67"/>
      <c r="H241" s="67"/>
      <c r="I241" s="67"/>
      <c r="J241" s="67"/>
      <c r="K241" s="67"/>
      <c r="L241" s="67"/>
      <c r="M241" s="67"/>
      <c r="N241" s="67"/>
      <c r="O241" s="67"/>
      <c r="P241" s="67"/>
    </row>
    <row r="242" spans="1:16" hidden="1">
      <c r="E242" s="63"/>
      <c r="F242" s="64" t="s">
        <v>409</v>
      </c>
      <c r="G242" s="67"/>
      <c r="H242" s="67"/>
      <c r="I242" s="67"/>
      <c r="J242" s="67"/>
      <c r="K242" s="67"/>
      <c r="L242" s="67"/>
      <c r="M242" s="67"/>
      <c r="N242" s="67"/>
      <c r="O242" s="67"/>
      <c r="P242" s="67"/>
    </row>
    <row r="243" spans="1:16" hidden="1">
      <c r="E243" s="63"/>
      <c r="G243" s="67"/>
      <c r="H243" s="67"/>
      <c r="I243" s="67"/>
      <c r="J243" s="67"/>
      <c r="K243" s="67"/>
      <c r="L243" s="67"/>
      <c r="M243" s="67"/>
      <c r="N243" s="67"/>
      <c r="O243" s="67"/>
      <c r="P243" s="67"/>
    </row>
    <row r="244" spans="1:16" hidden="1">
      <c r="B244" s="63" t="s">
        <v>79</v>
      </c>
      <c r="C244" s="58" t="s">
        <v>92</v>
      </c>
      <c r="E244" s="63"/>
      <c r="F244" s="64"/>
      <c r="G244" s="67"/>
      <c r="H244" s="67"/>
      <c r="I244" s="67"/>
      <c r="J244" s="67"/>
      <c r="K244" s="67"/>
      <c r="L244" s="67"/>
      <c r="M244" s="67"/>
      <c r="N244" s="67"/>
      <c r="O244" s="67"/>
      <c r="P244" s="67"/>
    </row>
    <row r="245" spans="1:16" hidden="1">
      <c r="E245" s="63"/>
      <c r="F245" s="59" t="s">
        <v>93</v>
      </c>
      <c r="G245" s="67"/>
      <c r="H245" s="67"/>
      <c r="I245" s="67"/>
      <c r="J245" s="67"/>
      <c r="K245" s="67"/>
      <c r="L245" s="67"/>
      <c r="M245" s="67"/>
      <c r="N245" s="67"/>
      <c r="O245" s="67"/>
      <c r="P245" s="67"/>
    </row>
    <row r="246" spans="1:16">
      <c r="E246" s="63"/>
      <c r="F246" s="64"/>
      <c r="G246" s="67"/>
      <c r="H246" s="67"/>
      <c r="I246" s="67"/>
      <c r="J246" s="67"/>
      <c r="K246" s="67"/>
      <c r="L246" s="67"/>
      <c r="M246" s="67"/>
      <c r="N246" s="67"/>
      <c r="O246" s="67"/>
      <c r="P246" s="67"/>
    </row>
    <row r="247" spans="1:16">
      <c r="B247" s="63" t="s">
        <v>79</v>
      </c>
      <c r="C247" s="58" t="s">
        <v>94</v>
      </c>
      <c r="E247" s="63"/>
      <c r="F247" s="64"/>
      <c r="G247" s="67"/>
      <c r="H247" s="67"/>
      <c r="I247" s="67"/>
      <c r="J247" s="67"/>
      <c r="K247" s="67"/>
      <c r="L247" s="67"/>
      <c r="M247" s="67"/>
      <c r="N247" s="67"/>
      <c r="O247" s="67"/>
      <c r="P247" s="67"/>
    </row>
    <row r="248" spans="1:16" hidden="1">
      <c r="B248" s="63"/>
      <c r="C248" s="58"/>
      <c r="E248" s="63"/>
      <c r="F248" s="64" t="s">
        <v>182</v>
      </c>
      <c r="G248" s="67"/>
      <c r="H248" s="67"/>
      <c r="I248" s="67"/>
      <c r="J248" s="67"/>
      <c r="K248" s="67"/>
      <c r="L248" s="67"/>
      <c r="M248" s="67"/>
      <c r="N248" s="67"/>
      <c r="O248" s="67"/>
      <c r="P248" s="67"/>
    </row>
    <row r="249" spans="1:16">
      <c r="C249" s="63" t="s">
        <v>10</v>
      </c>
      <c r="D249" s="58" t="s">
        <v>95</v>
      </c>
      <c r="E249" s="63"/>
      <c r="F249" s="64"/>
      <c r="G249" s="67"/>
      <c r="H249" s="67"/>
      <c r="I249" s="67"/>
      <c r="J249" s="67"/>
      <c r="K249" s="67"/>
      <c r="L249" s="67"/>
      <c r="M249" s="67"/>
      <c r="N249" s="67"/>
      <c r="O249" s="67"/>
      <c r="P249" s="67"/>
    </row>
    <row r="250" spans="1:16">
      <c r="E250" s="63"/>
      <c r="F250" s="59" t="s">
        <v>96</v>
      </c>
      <c r="G250" s="67"/>
      <c r="H250" s="67"/>
      <c r="I250" s="67"/>
      <c r="J250" s="67">
        <v>1</v>
      </c>
      <c r="K250" s="67"/>
      <c r="L250" s="67"/>
      <c r="M250" s="67"/>
      <c r="N250" s="67"/>
      <c r="O250" s="67"/>
      <c r="P250" s="67"/>
    </row>
    <row r="251" spans="1:16">
      <c r="C251" s="63" t="s">
        <v>10</v>
      </c>
      <c r="D251" s="58" t="s">
        <v>97</v>
      </c>
      <c r="E251" s="63"/>
      <c r="F251" s="64"/>
      <c r="G251" s="67"/>
      <c r="H251" s="67"/>
      <c r="I251" s="67"/>
      <c r="J251" s="67"/>
      <c r="K251" s="67"/>
      <c r="L251" s="67"/>
      <c r="M251" s="67"/>
      <c r="N251" s="67"/>
      <c r="O251" s="67"/>
      <c r="P251" s="67"/>
    </row>
    <row r="252" spans="1:16">
      <c r="A252" s="272" t="s">
        <v>12</v>
      </c>
      <c r="B252" s="272"/>
      <c r="C252" s="272"/>
      <c r="D252" s="272"/>
      <c r="E252" s="273" t="s">
        <v>332</v>
      </c>
      <c r="F252" s="274"/>
      <c r="G252" s="67"/>
      <c r="H252" s="67"/>
      <c r="I252" s="67"/>
      <c r="J252" s="67"/>
      <c r="K252" s="67"/>
      <c r="L252" s="67"/>
      <c r="M252" s="67"/>
      <c r="N252" s="67"/>
      <c r="O252" s="67"/>
      <c r="P252" s="67"/>
    </row>
    <row r="253" spans="1:16" s="254" customFormat="1">
      <c r="A253" s="251"/>
      <c r="B253" s="251"/>
      <c r="C253" s="251"/>
      <c r="D253" s="251"/>
      <c r="E253" s="252" t="s">
        <v>410</v>
      </c>
      <c r="F253" s="252"/>
      <c r="G253" s="253"/>
      <c r="H253" s="253"/>
      <c r="I253" s="253"/>
      <c r="J253" s="253"/>
      <c r="K253" s="253"/>
      <c r="L253" s="253"/>
      <c r="M253" s="253"/>
      <c r="N253" s="253"/>
      <c r="O253" s="253"/>
      <c r="P253" s="253"/>
    </row>
    <row r="254" spans="1:16">
      <c r="C254" s="63" t="s">
        <v>10</v>
      </c>
      <c r="D254" s="58" t="s">
        <v>186</v>
      </c>
      <c r="E254" s="63"/>
      <c r="G254" s="67"/>
      <c r="H254" s="67"/>
      <c r="I254" s="67"/>
      <c r="J254" s="67"/>
      <c r="K254" s="67"/>
      <c r="L254" s="67"/>
      <c r="M254" s="67"/>
      <c r="N254" s="67"/>
      <c r="O254" s="67"/>
      <c r="P254" s="67"/>
    </row>
    <row r="255" spans="1:16">
      <c r="E255" s="63"/>
      <c r="F255" s="59" t="s">
        <v>187</v>
      </c>
      <c r="G255" s="67"/>
      <c r="H255" s="67"/>
      <c r="I255" s="67"/>
      <c r="J255" s="67"/>
      <c r="K255" s="67"/>
      <c r="L255" s="67"/>
      <c r="M255" s="67"/>
      <c r="N255" s="67"/>
      <c r="O255" s="67"/>
      <c r="P255" s="67"/>
    </row>
    <row r="256" spans="1:16">
      <c r="C256" s="63" t="s">
        <v>10</v>
      </c>
      <c r="D256" s="58" t="s">
        <v>99</v>
      </c>
      <c r="E256" s="63"/>
      <c r="F256" s="64"/>
      <c r="G256" s="67"/>
      <c r="H256" s="67"/>
      <c r="I256" s="67"/>
      <c r="J256" s="67"/>
      <c r="K256" s="67"/>
      <c r="L256" s="67"/>
      <c r="M256" s="67"/>
      <c r="N256" s="67"/>
      <c r="O256" s="67"/>
      <c r="P256" s="67"/>
    </row>
    <row r="257" spans="1:16">
      <c r="E257" s="63"/>
      <c r="F257" s="59" t="s">
        <v>110</v>
      </c>
      <c r="G257" s="67"/>
      <c r="H257" s="67"/>
      <c r="I257" s="67"/>
      <c r="J257" s="67"/>
      <c r="K257" s="67">
        <v>1</v>
      </c>
      <c r="L257" s="67"/>
      <c r="M257" s="67">
        <v>3</v>
      </c>
      <c r="N257" s="67">
        <v>8</v>
      </c>
      <c r="O257" s="67"/>
      <c r="P257" s="67"/>
    </row>
    <row r="258" spans="1:16" hidden="1">
      <c r="E258" s="63"/>
      <c r="F258" s="59" t="s">
        <v>109</v>
      </c>
      <c r="G258" s="67"/>
      <c r="H258" s="67"/>
      <c r="I258" s="67"/>
      <c r="J258" s="67"/>
      <c r="K258" s="67"/>
      <c r="L258" s="67"/>
      <c r="M258" s="67"/>
      <c r="N258" s="67"/>
      <c r="O258" s="67"/>
      <c r="P258" s="67"/>
    </row>
    <row r="259" spans="1:16" hidden="1">
      <c r="E259" s="63"/>
      <c r="F259" s="59" t="s">
        <v>108</v>
      </c>
      <c r="G259" s="67"/>
      <c r="H259" s="67"/>
      <c r="I259" s="67"/>
      <c r="J259" s="67"/>
      <c r="K259" s="67"/>
      <c r="L259" s="67"/>
      <c r="M259" s="67"/>
      <c r="N259" s="67"/>
      <c r="O259" s="67"/>
      <c r="P259" s="67"/>
    </row>
    <row r="260" spans="1:16" hidden="1">
      <c r="E260" s="63"/>
      <c r="F260" s="59" t="s">
        <v>121</v>
      </c>
      <c r="G260" s="67"/>
      <c r="H260" s="67"/>
      <c r="I260" s="67"/>
      <c r="J260" s="67"/>
      <c r="K260" s="67"/>
      <c r="L260" s="67"/>
      <c r="M260" s="67"/>
      <c r="N260" s="67"/>
      <c r="O260" s="67"/>
      <c r="P260" s="67"/>
    </row>
    <row r="261" spans="1:16" hidden="1">
      <c r="E261" s="63"/>
      <c r="F261" s="59" t="s">
        <v>111</v>
      </c>
      <c r="G261" s="67"/>
      <c r="H261" s="67"/>
      <c r="I261" s="67"/>
      <c r="J261" s="67"/>
      <c r="K261" s="67"/>
      <c r="L261" s="67"/>
      <c r="M261" s="67"/>
      <c r="N261" s="67"/>
      <c r="O261" s="67"/>
      <c r="P261" s="67"/>
    </row>
    <row r="262" spans="1:16">
      <c r="E262" s="63"/>
      <c r="F262" s="59" t="s">
        <v>174</v>
      </c>
      <c r="G262" s="67"/>
      <c r="H262" s="67"/>
      <c r="I262" s="67"/>
      <c r="J262" s="67"/>
      <c r="K262" s="67"/>
      <c r="L262" s="67"/>
      <c r="M262" s="67"/>
      <c r="N262" s="67"/>
      <c r="O262" s="67"/>
      <c r="P262" s="67"/>
    </row>
    <row r="263" spans="1:16" hidden="1">
      <c r="E263" s="63"/>
      <c r="F263" s="59" t="s">
        <v>113</v>
      </c>
      <c r="G263" s="67"/>
      <c r="H263" s="67"/>
      <c r="I263" s="67"/>
      <c r="J263" s="67"/>
      <c r="K263" s="67"/>
      <c r="L263" s="67"/>
      <c r="M263" s="67"/>
      <c r="N263" s="67"/>
      <c r="O263" s="67"/>
      <c r="P263" s="67"/>
    </row>
    <row r="264" spans="1:16">
      <c r="E264" s="63"/>
      <c r="F264" s="59" t="s">
        <v>420</v>
      </c>
      <c r="G264" s="67">
        <v>2</v>
      </c>
      <c r="H264" s="67">
        <v>2</v>
      </c>
      <c r="I264" s="67">
        <v>2</v>
      </c>
      <c r="J264" s="67">
        <v>1</v>
      </c>
      <c r="K264" s="67"/>
      <c r="L264" s="67">
        <v>5</v>
      </c>
      <c r="M264" s="67"/>
      <c r="N264" s="67"/>
      <c r="O264" s="67"/>
      <c r="P264" s="67">
        <v>2</v>
      </c>
    </row>
    <row r="265" spans="1:16" hidden="1">
      <c r="E265" s="63"/>
      <c r="F265" s="59" t="s">
        <v>193</v>
      </c>
      <c r="G265" s="67"/>
      <c r="H265" s="67"/>
      <c r="I265" s="67"/>
      <c r="J265" s="67"/>
      <c r="K265" s="67"/>
      <c r="L265" s="67"/>
      <c r="M265" s="67"/>
      <c r="N265" s="67"/>
      <c r="O265" s="67"/>
      <c r="P265" s="67"/>
    </row>
    <row r="266" spans="1:16" hidden="1">
      <c r="E266" s="63"/>
      <c r="F266" s="59" t="s">
        <v>225</v>
      </c>
      <c r="G266" s="67"/>
      <c r="H266" s="67"/>
      <c r="I266" s="67"/>
      <c r="J266" s="67"/>
      <c r="K266" s="67"/>
      <c r="L266" s="67"/>
      <c r="M266" s="67"/>
      <c r="N266" s="67"/>
      <c r="O266" s="67"/>
      <c r="P266" s="67"/>
    </row>
    <row r="267" spans="1:16">
      <c r="E267" s="63"/>
      <c r="F267" s="64"/>
      <c r="G267" s="67"/>
      <c r="H267" s="67"/>
      <c r="I267" s="67"/>
      <c r="J267" s="67"/>
      <c r="K267" s="67"/>
      <c r="L267" s="67"/>
      <c r="M267" s="67"/>
      <c r="N267" s="67"/>
      <c r="O267" s="67"/>
      <c r="P267" s="67"/>
    </row>
    <row r="268" spans="1:16">
      <c r="A268" s="272" t="s">
        <v>12</v>
      </c>
      <c r="B268" s="272"/>
      <c r="C268" s="272"/>
      <c r="D268" s="272"/>
      <c r="E268" s="273" t="s">
        <v>316</v>
      </c>
      <c r="F268" s="274"/>
      <c r="G268" s="67"/>
      <c r="H268" s="67"/>
      <c r="I268" s="67"/>
      <c r="J268" s="67"/>
      <c r="K268" s="67"/>
      <c r="L268" s="67"/>
      <c r="M268" s="67"/>
      <c r="N268" s="67"/>
      <c r="O268" s="67"/>
      <c r="P268" s="67"/>
    </row>
    <row r="269" spans="1:16">
      <c r="B269" s="271" t="s">
        <v>14</v>
      </c>
      <c r="C269" s="271"/>
      <c r="D269" s="271"/>
      <c r="E269" s="271"/>
      <c r="F269" s="64" t="s">
        <v>112</v>
      </c>
      <c r="G269" s="67"/>
      <c r="H269" s="67"/>
      <c r="I269" s="67"/>
      <c r="J269" s="67"/>
      <c r="K269" s="67"/>
      <c r="L269" s="67">
        <v>1</v>
      </c>
      <c r="M269" s="67"/>
      <c r="N269" s="67">
        <v>3</v>
      </c>
      <c r="O269" s="67">
        <v>2</v>
      </c>
      <c r="P269" s="67">
        <v>4</v>
      </c>
    </row>
    <row r="270" spans="1:16">
      <c r="B270" s="233"/>
      <c r="C270" s="233"/>
      <c r="D270" s="233"/>
      <c r="E270" s="233"/>
      <c r="F270" s="64"/>
      <c r="G270" s="67"/>
      <c r="H270" s="67"/>
      <c r="I270" s="67"/>
      <c r="J270" s="67"/>
      <c r="K270" s="67"/>
      <c r="L270" s="67"/>
      <c r="M270" s="67"/>
      <c r="N270" s="67"/>
      <c r="O270" s="67"/>
      <c r="P270" s="67"/>
    </row>
    <row r="271" spans="1:16" hidden="1">
      <c r="C271" s="63" t="s">
        <v>10</v>
      </c>
      <c r="D271" s="58" t="s">
        <v>333</v>
      </c>
      <c r="E271" s="63"/>
      <c r="F271" s="64"/>
      <c r="G271" s="67"/>
      <c r="H271" s="67"/>
      <c r="I271" s="67"/>
      <c r="J271" s="67"/>
      <c r="K271" s="67"/>
      <c r="L271" s="67"/>
      <c r="M271" s="67"/>
      <c r="N271" s="67"/>
      <c r="O271" s="67"/>
      <c r="P271" s="67"/>
    </row>
    <row r="272" spans="1:16" hidden="1">
      <c r="A272" s="272" t="s">
        <v>12</v>
      </c>
      <c r="B272" s="272"/>
      <c r="C272" s="272"/>
      <c r="D272" s="272"/>
      <c r="E272" s="273" t="s">
        <v>334</v>
      </c>
      <c r="F272" s="274"/>
      <c r="G272" s="67"/>
      <c r="H272" s="67"/>
      <c r="I272" s="67"/>
      <c r="J272" s="67"/>
      <c r="K272" s="67"/>
      <c r="L272" s="67"/>
      <c r="M272" s="67"/>
      <c r="N272" s="67"/>
      <c r="O272" s="67"/>
      <c r="P272" s="67"/>
    </row>
    <row r="273" spans="1:16" hidden="1">
      <c r="B273" s="271" t="s">
        <v>14</v>
      </c>
      <c r="C273" s="271"/>
      <c r="D273" s="271"/>
      <c r="E273" s="271"/>
      <c r="F273" s="64" t="s">
        <v>335</v>
      </c>
      <c r="G273" s="67"/>
      <c r="H273" s="67"/>
      <c r="I273" s="67"/>
      <c r="J273" s="67"/>
      <c r="K273" s="67"/>
      <c r="L273" s="67"/>
      <c r="M273" s="67"/>
      <c r="N273" s="67"/>
      <c r="O273" s="67"/>
      <c r="P273" s="67"/>
    </row>
    <row r="274" spans="1:16" hidden="1">
      <c r="E274" s="63"/>
      <c r="F274" s="64"/>
      <c r="G274" s="67"/>
      <c r="H274" s="67"/>
      <c r="I274" s="67"/>
      <c r="J274" s="67"/>
      <c r="K274" s="67"/>
      <c r="L274" s="67"/>
      <c r="M274" s="67"/>
      <c r="N274" s="67"/>
      <c r="O274" s="67"/>
      <c r="P274" s="67"/>
    </row>
    <row r="275" spans="1:16">
      <c r="A275" s="255" t="s">
        <v>7</v>
      </c>
      <c r="B275" s="256" t="s">
        <v>114</v>
      </c>
      <c r="C275" s="257"/>
      <c r="D275" s="257"/>
      <c r="E275" s="255"/>
      <c r="F275" s="258"/>
      <c r="G275" s="67"/>
      <c r="H275" s="67"/>
      <c r="I275" s="67"/>
      <c r="J275" s="67"/>
      <c r="K275" s="67"/>
      <c r="L275" s="67"/>
      <c r="M275" s="67"/>
      <c r="N275" s="67"/>
      <c r="O275" s="67"/>
      <c r="P275" s="67"/>
    </row>
    <row r="276" spans="1:16">
      <c r="B276" s="63" t="s">
        <v>79</v>
      </c>
      <c r="C276" s="58" t="s">
        <v>115</v>
      </c>
      <c r="E276" s="63"/>
      <c r="F276" s="64"/>
      <c r="G276" s="67"/>
      <c r="H276" s="67"/>
      <c r="I276" s="67"/>
      <c r="J276" s="67"/>
      <c r="K276" s="67"/>
      <c r="L276" s="67"/>
      <c r="M276" s="67"/>
      <c r="N276" s="67"/>
      <c r="O276" s="67"/>
      <c r="P276" s="67"/>
    </row>
    <row r="277" spans="1:16">
      <c r="E277" s="63"/>
      <c r="F277" s="59" t="s">
        <v>307</v>
      </c>
      <c r="G277" s="67"/>
      <c r="H277" s="67">
        <v>1</v>
      </c>
      <c r="I277" s="67">
        <v>4</v>
      </c>
      <c r="J277" s="67">
        <v>3</v>
      </c>
      <c r="K277" s="67"/>
      <c r="L277" s="67"/>
      <c r="M277" s="67">
        <v>2</v>
      </c>
      <c r="N277" s="67">
        <v>3</v>
      </c>
      <c r="O277" s="67"/>
      <c r="P277" s="67">
        <v>1</v>
      </c>
    </row>
    <row r="278" spans="1:16" hidden="1">
      <c r="C278" s="63" t="s">
        <v>10</v>
      </c>
      <c r="D278" s="58" t="s">
        <v>305</v>
      </c>
      <c r="G278" s="67"/>
      <c r="H278" s="67"/>
      <c r="I278" s="67"/>
      <c r="J278" s="67"/>
      <c r="K278" s="67"/>
      <c r="L278" s="67"/>
      <c r="M278" s="67"/>
      <c r="N278" s="67"/>
      <c r="O278" s="67"/>
      <c r="P278" s="67"/>
    </row>
    <row r="279" spans="1:16" hidden="1">
      <c r="A279" s="272" t="s">
        <v>12</v>
      </c>
      <c r="B279" s="272"/>
      <c r="C279" s="272"/>
      <c r="D279" s="272"/>
      <c r="E279" s="273" t="s">
        <v>312</v>
      </c>
      <c r="F279" s="274"/>
      <c r="G279" s="67"/>
      <c r="H279" s="67"/>
      <c r="I279" s="67"/>
      <c r="J279" s="67"/>
      <c r="K279" s="67"/>
      <c r="L279" s="67"/>
      <c r="M279" s="67"/>
      <c r="N279" s="67"/>
      <c r="O279" s="67"/>
      <c r="P279" s="67"/>
    </row>
    <row r="280" spans="1:16" hidden="1">
      <c r="B280" s="271" t="s">
        <v>14</v>
      </c>
      <c r="C280" s="271"/>
      <c r="D280" s="271"/>
      <c r="E280" s="271"/>
      <c r="F280" s="64" t="s">
        <v>313</v>
      </c>
      <c r="G280" s="67"/>
      <c r="H280" s="67"/>
      <c r="I280" s="67"/>
      <c r="J280" s="67"/>
      <c r="K280" s="67"/>
      <c r="L280" s="67"/>
      <c r="M280" s="67"/>
      <c r="N280" s="67"/>
      <c r="O280" s="67"/>
      <c r="P280" s="67"/>
    </row>
    <row r="281" spans="1:16" hidden="1">
      <c r="A281" s="272" t="s">
        <v>12</v>
      </c>
      <c r="B281" s="272"/>
      <c r="C281" s="272"/>
      <c r="D281" s="272"/>
      <c r="E281" s="273" t="s">
        <v>346</v>
      </c>
      <c r="F281" s="274"/>
      <c r="G281" s="67"/>
      <c r="H281" s="67"/>
      <c r="I281" s="67"/>
      <c r="J281" s="67"/>
      <c r="K281" s="67"/>
      <c r="L281" s="67"/>
      <c r="M281" s="67"/>
      <c r="N281" s="67"/>
      <c r="O281" s="67"/>
      <c r="P281" s="67"/>
    </row>
    <row r="282" spans="1:16" hidden="1">
      <c r="B282" s="271" t="s">
        <v>14</v>
      </c>
      <c r="C282" s="271"/>
      <c r="D282" s="271"/>
      <c r="E282" s="271"/>
      <c r="F282" s="64" t="s">
        <v>345</v>
      </c>
      <c r="G282" s="67"/>
      <c r="H282" s="67"/>
      <c r="I282" s="67"/>
      <c r="J282" s="67"/>
      <c r="K282" s="67"/>
      <c r="L282" s="67"/>
      <c r="M282" s="67"/>
      <c r="N282" s="67"/>
      <c r="O282" s="67"/>
      <c r="P282" s="67"/>
    </row>
    <row r="283" spans="1:16" hidden="1">
      <c r="C283" s="63"/>
      <c r="D283" s="58"/>
      <c r="G283" s="67"/>
      <c r="H283" s="67"/>
      <c r="I283" s="67"/>
      <c r="J283" s="67"/>
      <c r="K283" s="67"/>
      <c r="L283" s="67"/>
      <c r="M283" s="67"/>
      <c r="N283" s="67"/>
      <c r="O283" s="67"/>
      <c r="P283" s="67"/>
    </row>
    <row r="284" spans="1:16">
      <c r="B284" s="63" t="s">
        <v>79</v>
      </c>
      <c r="C284" s="58" t="s">
        <v>116</v>
      </c>
      <c r="E284" s="63"/>
      <c r="F284" s="64"/>
      <c r="G284" s="67"/>
      <c r="H284" s="67"/>
      <c r="I284" s="67"/>
      <c r="J284" s="67"/>
      <c r="K284" s="67"/>
      <c r="L284" s="67"/>
      <c r="M284" s="67"/>
      <c r="N284" s="67"/>
      <c r="O284" s="67"/>
      <c r="P284" s="67"/>
    </row>
    <row r="285" spans="1:16">
      <c r="E285" s="63"/>
      <c r="F285" s="59" t="s">
        <v>315</v>
      </c>
      <c r="G285" s="67">
        <v>4</v>
      </c>
      <c r="H285" s="67"/>
      <c r="I285" s="67">
        <v>4</v>
      </c>
      <c r="J285" s="67"/>
      <c r="K285" s="67"/>
      <c r="L285" s="67"/>
      <c r="M285" s="67">
        <v>7</v>
      </c>
      <c r="N285" s="67">
        <v>3</v>
      </c>
      <c r="O285" s="67"/>
      <c r="P285" s="67"/>
    </row>
    <row r="286" spans="1:16">
      <c r="E286" s="63"/>
      <c r="G286" s="67"/>
      <c r="H286" s="67"/>
      <c r="I286" s="67"/>
      <c r="J286" s="67"/>
      <c r="K286" s="67"/>
      <c r="L286" s="67"/>
      <c r="M286" s="67"/>
      <c r="N286" s="67"/>
      <c r="O286" s="67"/>
      <c r="P286" s="67"/>
    </row>
    <row r="287" spans="1:16" hidden="1">
      <c r="B287" s="63" t="s">
        <v>79</v>
      </c>
      <c r="C287" s="58" t="s">
        <v>117</v>
      </c>
      <c r="E287" s="63"/>
      <c r="F287" s="64"/>
      <c r="G287" s="67"/>
      <c r="H287" s="67"/>
      <c r="I287" s="67"/>
      <c r="J287" s="67"/>
      <c r="K287" s="67"/>
      <c r="L287" s="67"/>
      <c r="M287" s="67"/>
      <c r="N287" s="67"/>
      <c r="O287" s="67"/>
      <c r="P287" s="67"/>
    </row>
    <row r="288" spans="1:16" hidden="1">
      <c r="E288" s="63"/>
      <c r="F288" s="59" t="s">
        <v>118</v>
      </c>
      <c r="G288" s="67"/>
      <c r="H288" s="67"/>
      <c r="I288" s="67"/>
      <c r="J288" s="67"/>
      <c r="K288" s="67"/>
      <c r="L288" s="67"/>
      <c r="M288" s="67"/>
      <c r="N288" s="67"/>
      <c r="O288" s="67"/>
      <c r="P288" s="67"/>
    </row>
    <row r="289" spans="1:16" hidden="1">
      <c r="E289" s="63"/>
      <c r="F289" s="64"/>
      <c r="G289" s="67"/>
      <c r="H289" s="67"/>
      <c r="I289" s="67"/>
      <c r="J289" s="67"/>
      <c r="K289" s="67"/>
      <c r="L289" s="67"/>
      <c r="M289" s="67"/>
      <c r="N289" s="67"/>
      <c r="O289" s="67"/>
      <c r="P289" s="67"/>
    </row>
    <row r="290" spans="1:16" hidden="1">
      <c r="A290" s="63" t="s">
        <v>7</v>
      </c>
      <c r="B290" s="58" t="s">
        <v>119</v>
      </c>
      <c r="E290" s="63"/>
      <c r="F290" s="64"/>
      <c r="G290" s="67"/>
      <c r="H290" s="67"/>
      <c r="I290" s="67"/>
      <c r="J290" s="67"/>
      <c r="K290" s="67"/>
      <c r="L290" s="67"/>
      <c r="M290" s="67"/>
      <c r="N290" s="67"/>
      <c r="O290" s="67"/>
      <c r="P290" s="67"/>
    </row>
    <row r="291" spans="1:16" hidden="1">
      <c r="E291" s="63"/>
      <c r="F291" s="59" t="s">
        <v>120</v>
      </c>
      <c r="G291" s="67"/>
      <c r="H291" s="67"/>
      <c r="I291" s="67"/>
      <c r="J291" s="67"/>
      <c r="K291" s="67"/>
      <c r="L291" s="67"/>
      <c r="M291" s="67"/>
      <c r="N291" s="67"/>
      <c r="O291" s="67"/>
      <c r="P291" s="67"/>
    </row>
    <row r="292" spans="1:16" hidden="1">
      <c r="E292" s="63"/>
      <c r="F292" s="64"/>
      <c r="G292" s="67"/>
      <c r="H292" s="67"/>
      <c r="I292" s="67"/>
      <c r="J292" s="67"/>
      <c r="K292" s="67"/>
      <c r="L292" s="67"/>
      <c r="M292" s="67"/>
      <c r="N292" s="67"/>
      <c r="O292" s="67"/>
      <c r="P292" s="67"/>
    </row>
    <row r="293" spans="1:16">
      <c r="A293" s="63" t="s">
        <v>7</v>
      </c>
      <c r="B293" s="58" t="s">
        <v>284</v>
      </c>
      <c r="E293" s="63"/>
      <c r="F293" s="64"/>
      <c r="G293" s="67"/>
      <c r="H293" s="67"/>
      <c r="I293" s="67"/>
      <c r="J293" s="67"/>
      <c r="K293" s="67"/>
      <c r="L293" s="67"/>
      <c r="M293" s="67"/>
      <c r="N293" s="67"/>
      <c r="O293" s="67"/>
      <c r="P293" s="67"/>
    </row>
    <row r="294" spans="1:16">
      <c r="E294" s="63"/>
      <c r="F294" s="59" t="s">
        <v>285</v>
      </c>
      <c r="G294" s="67">
        <v>1</v>
      </c>
      <c r="H294" s="67"/>
      <c r="I294" s="67">
        <v>6</v>
      </c>
      <c r="J294" s="67">
        <v>1</v>
      </c>
      <c r="K294" s="67">
        <v>1</v>
      </c>
      <c r="L294" s="67"/>
      <c r="M294" s="67"/>
      <c r="N294" s="67"/>
      <c r="O294" s="67"/>
      <c r="P294" s="67"/>
    </row>
    <row r="295" spans="1:16" hidden="1">
      <c r="B295" s="63" t="s">
        <v>79</v>
      </c>
      <c r="C295" s="58" t="s">
        <v>393</v>
      </c>
      <c r="E295" s="63"/>
      <c r="F295" s="64"/>
      <c r="G295" s="67"/>
      <c r="H295" s="67"/>
      <c r="I295" s="67"/>
      <c r="J295" s="67"/>
      <c r="K295" s="67"/>
      <c r="L295" s="67"/>
      <c r="M295" s="67"/>
      <c r="N295" s="67"/>
      <c r="O295" s="67"/>
      <c r="P295" s="67"/>
    </row>
    <row r="296" spans="1:16" hidden="1">
      <c r="B296" s="271" t="s">
        <v>14</v>
      </c>
      <c r="C296" s="271"/>
      <c r="D296" s="271"/>
      <c r="E296" s="271"/>
      <c r="F296" s="64" t="s">
        <v>394</v>
      </c>
      <c r="G296" s="67"/>
      <c r="H296" s="67"/>
      <c r="I296" s="67"/>
      <c r="J296" s="67"/>
      <c r="K296" s="67"/>
      <c r="L296" s="67"/>
      <c r="M296" s="67"/>
      <c r="N296" s="67"/>
      <c r="O296" s="67"/>
      <c r="P296" s="67"/>
    </row>
    <row r="297" spans="1:16">
      <c r="E297" s="63"/>
      <c r="F297" s="64"/>
      <c r="G297" s="67"/>
      <c r="H297" s="67"/>
      <c r="I297" s="67"/>
      <c r="J297" s="67"/>
      <c r="K297" s="67"/>
      <c r="L297" s="67"/>
      <c r="M297" s="67"/>
      <c r="N297" s="67"/>
      <c r="O297" s="67"/>
      <c r="P297" s="67"/>
    </row>
    <row r="298" spans="1:16">
      <c r="A298" s="63" t="s">
        <v>7</v>
      </c>
      <c r="B298" s="58" t="s">
        <v>122</v>
      </c>
      <c r="E298" s="63"/>
      <c r="F298" s="64"/>
      <c r="G298" s="67"/>
      <c r="H298" s="67"/>
      <c r="I298" s="67"/>
      <c r="J298" s="67"/>
      <c r="K298" s="67"/>
      <c r="L298" s="67"/>
      <c r="M298" s="67"/>
      <c r="N298" s="67"/>
      <c r="O298" s="67"/>
      <c r="P298" s="67"/>
    </row>
    <row r="299" spans="1:16">
      <c r="E299" s="63"/>
      <c r="F299" s="59" t="s">
        <v>123</v>
      </c>
      <c r="G299" s="67"/>
      <c r="H299" s="67"/>
      <c r="I299" s="67"/>
      <c r="J299" s="67">
        <v>2</v>
      </c>
      <c r="K299" s="67"/>
      <c r="L299" s="67"/>
      <c r="M299" s="67"/>
      <c r="N299" s="67"/>
      <c r="O299" s="67"/>
      <c r="P299" s="67"/>
    </row>
    <row r="300" spans="1:16" hidden="1">
      <c r="E300" s="63"/>
      <c r="F300" s="64"/>
      <c r="G300" s="67"/>
      <c r="H300" s="67"/>
      <c r="I300" s="67"/>
      <c r="J300" s="67"/>
      <c r="K300" s="67"/>
      <c r="L300" s="67"/>
      <c r="M300" s="67"/>
      <c r="N300" s="67"/>
      <c r="O300" s="67"/>
      <c r="P300" s="67"/>
    </row>
    <row r="301" spans="1:16" hidden="1">
      <c r="A301" s="63" t="s">
        <v>7</v>
      </c>
      <c r="B301" s="58" t="s">
        <v>124</v>
      </c>
      <c r="E301" s="63"/>
      <c r="F301" s="64"/>
      <c r="G301" s="67"/>
      <c r="H301" s="67"/>
      <c r="I301" s="67"/>
      <c r="J301" s="67"/>
      <c r="K301" s="67"/>
      <c r="L301" s="67"/>
      <c r="M301" s="67"/>
      <c r="N301" s="67"/>
      <c r="O301" s="67"/>
      <c r="P301" s="67"/>
    </row>
    <row r="302" spans="1:16" hidden="1">
      <c r="E302" s="63"/>
      <c r="F302" s="59" t="s">
        <v>125</v>
      </c>
      <c r="G302" s="67"/>
      <c r="H302" s="67"/>
      <c r="I302" s="67"/>
      <c r="J302" s="67"/>
      <c r="K302" s="67"/>
      <c r="L302" s="67"/>
      <c r="M302" s="67"/>
      <c r="N302" s="67"/>
      <c r="O302" s="67"/>
      <c r="P302" s="67"/>
    </row>
    <row r="303" spans="1:16">
      <c r="E303" s="63"/>
      <c r="G303" s="67"/>
      <c r="H303" s="67"/>
      <c r="I303" s="67"/>
      <c r="J303" s="67"/>
      <c r="K303" s="67"/>
      <c r="L303" s="67"/>
      <c r="M303" s="67"/>
      <c r="N303" s="67"/>
      <c r="O303" s="67"/>
      <c r="P303" s="67"/>
    </row>
    <row r="304" spans="1:16">
      <c r="A304" s="63" t="s">
        <v>7</v>
      </c>
      <c r="B304" s="58" t="s">
        <v>48</v>
      </c>
      <c r="G304" s="67"/>
      <c r="H304" s="67"/>
      <c r="I304" s="67"/>
      <c r="J304" s="67"/>
      <c r="K304" s="67"/>
      <c r="L304" s="67"/>
      <c r="M304" s="67"/>
      <c r="N304" s="67"/>
      <c r="O304" s="67"/>
      <c r="P304" s="67"/>
    </row>
    <row r="305" spans="1:16">
      <c r="A305" s="63"/>
      <c r="B305" s="63" t="s">
        <v>79</v>
      </c>
      <c r="C305" s="58" t="s">
        <v>178</v>
      </c>
      <c r="G305" s="67"/>
      <c r="H305" s="67"/>
      <c r="I305" s="67"/>
      <c r="J305" s="67"/>
      <c r="K305" s="67"/>
      <c r="L305" s="67"/>
      <c r="M305" s="67"/>
      <c r="N305" s="67"/>
      <c r="O305" s="67"/>
      <c r="P305" s="67"/>
    </row>
    <row r="306" spans="1:16">
      <c r="C306" s="63" t="s">
        <v>10</v>
      </c>
      <c r="D306" s="58" t="s">
        <v>49</v>
      </c>
      <c r="G306" s="67"/>
      <c r="H306" s="67"/>
      <c r="I306" s="67"/>
      <c r="J306" s="67"/>
      <c r="K306" s="67"/>
      <c r="L306" s="67"/>
      <c r="M306" s="67"/>
      <c r="N306" s="67"/>
      <c r="O306" s="67"/>
      <c r="P306" s="67"/>
    </row>
    <row r="307" spans="1:16">
      <c r="D307" s="63" t="s">
        <v>12</v>
      </c>
      <c r="E307" s="59" t="s">
        <v>50</v>
      </c>
      <c r="G307" s="67"/>
      <c r="H307" s="67"/>
      <c r="I307" s="67"/>
      <c r="J307" s="67"/>
      <c r="K307" s="67"/>
      <c r="L307" s="67"/>
      <c r="M307" s="67"/>
      <c r="N307" s="67"/>
      <c r="O307" s="67"/>
      <c r="P307" s="67"/>
    </row>
    <row r="308" spans="1:16" hidden="1">
      <c r="E308" s="63" t="s">
        <v>14</v>
      </c>
      <c r="F308" s="64" t="s">
        <v>51</v>
      </c>
      <c r="G308" s="67"/>
      <c r="H308" s="67"/>
      <c r="I308" s="67"/>
      <c r="J308" s="67"/>
      <c r="K308" s="67"/>
      <c r="L308" s="67"/>
      <c r="M308" s="67"/>
      <c r="N308" s="67"/>
      <c r="O308" s="67"/>
      <c r="P308" s="67"/>
    </row>
    <row r="309" spans="1:16">
      <c r="E309" s="63"/>
      <c r="F309" s="64" t="s">
        <v>52</v>
      </c>
      <c r="G309" s="67">
        <v>4</v>
      </c>
      <c r="H309" s="67">
        <v>2</v>
      </c>
      <c r="I309" s="67">
        <v>6</v>
      </c>
      <c r="J309" s="67">
        <v>4</v>
      </c>
      <c r="K309" s="67">
        <v>12</v>
      </c>
      <c r="L309" s="67"/>
      <c r="M309" s="67">
        <v>2</v>
      </c>
      <c r="N309" s="67"/>
      <c r="O309" s="67"/>
      <c r="P309" s="67"/>
    </row>
    <row r="310" spans="1:16">
      <c r="F310" s="64" t="s">
        <v>53</v>
      </c>
      <c r="G310" s="67">
        <v>6</v>
      </c>
      <c r="H310" s="67">
        <v>5</v>
      </c>
      <c r="I310" s="67">
        <v>12</v>
      </c>
      <c r="J310" s="67">
        <v>10</v>
      </c>
      <c r="K310" s="67">
        <v>12</v>
      </c>
      <c r="L310" s="67">
        <v>2</v>
      </c>
      <c r="M310" s="67">
        <v>3</v>
      </c>
      <c r="N310" s="67">
        <v>46</v>
      </c>
      <c r="O310" s="67">
        <v>3</v>
      </c>
      <c r="P310" s="67">
        <v>2</v>
      </c>
    </row>
    <row r="311" spans="1:16">
      <c r="F311" s="64"/>
      <c r="G311" s="67"/>
      <c r="H311" s="67"/>
      <c r="I311" s="67"/>
      <c r="J311" s="67"/>
      <c r="K311" s="67"/>
      <c r="L311" s="67"/>
      <c r="M311" s="67"/>
      <c r="N311" s="67"/>
      <c r="O311" s="67"/>
      <c r="P311" s="67"/>
    </row>
    <row r="312" spans="1:16">
      <c r="A312" s="63" t="s">
        <v>7</v>
      </c>
      <c r="B312" s="58" t="s">
        <v>126</v>
      </c>
      <c r="E312" s="63"/>
      <c r="G312" s="67"/>
      <c r="H312" s="67"/>
      <c r="I312" s="67"/>
      <c r="J312" s="67"/>
      <c r="K312" s="67"/>
      <c r="L312" s="67"/>
      <c r="M312" s="67"/>
      <c r="N312" s="67"/>
      <c r="O312" s="67"/>
      <c r="P312" s="67"/>
    </row>
    <row r="313" spans="1:16" hidden="1">
      <c r="E313" s="63"/>
      <c r="F313" s="59" t="s">
        <v>128</v>
      </c>
      <c r="G313" s="67"/>
      <c r="H313" s="67"/>
      <c r="I313" s="67"/>
      <c r="J313" s="67"/>
      <c r="K313" s="67"/>
      <c r="L313" s="67"/>
      <c r="M313" s="67"/>
      <c r="N313" s="67"/>
      <c r="O313" s="67"/>
      <c r="P313" s="67"/>
    </row>
    <row r="314" spans="1:16" hidden="1">
      <c r="E314" s="63"/>
      <c r="F314" s="59" t="s">
        <v>298</v>
      </c>
      <c r="G314" s="67"/>
      <c r="H314" s="67"/>
      <c r="I314" s="67"/>
      <c r="J314" s="67"/>
      <c r="K314" s="67"/>
      <c r="L314" s="67"/>
      <c r="M314" s="67"/>
      <c r="N314" s="67"/>
      <c r="O314" s="67"/>
      <c r="P314" s="67"/>
    </row>
    <row r="315" spans="1:16">
      <c r="E315" s="63"/>
      <c r="F315" s="59" t="s">
        <v>127</v>
      </c>
      <c r="G315" s="67"/>
      <c r="H315" s="67"/>
      <c r="I315" s="67"/>
      <c r="J315" s="67"/>
      <c r="K315" s="67"/>
      <c r="L315" s="67"/>
      <c r="M315" s="67"/>
      <c r="N315" s="67"/>
      <c r="O315" s="67"/>
      <c r="P315" s="67"/>
    </row>
    <row r="316" spans="1:16">
      <c r="E316" s="63"/>
      <c r="F316" s="59" t="s">
        <v>185</v>
      </c>
      <c r="G316" s="67"/>
      <c r="H316" s="67"/>
      <c r="I316" s="67">
        <v>1</v>
      </c>
      <c r="J316" s="67"/>
      <c r="K316" s="67"/>
      <c r="L316" s="67"/>
      <c r="M316" s="67"/>
      <c r="N316" s="67"/>
      <c r="O316" s="67"/>
      <c r="P316" s="67"/>
    </row>
    <row r="317" spans="1:16">
      <c r="G317" s="67"/>
      <c r="H317" s="67"/>
      <c r="I317" s="67"/>
      <c r="J317" s="67"/>
      <c r="K317" s="67"/>
      <c r="L317" s="67"/>
      <c r="M317" s="67"/>
      <c r="N317" s="67"/>
      <c r="O317" s="67"/>
      <c r="P317" s="67"/>
    </row>
    <row r="318" spans="1:16">
      <c r="A318" s="255" t="s">
        <v>7</v>
      </c>
      <c r="B318" s="256" t="s">
        <v>54</v>
      </c>
      <c r="C318" s="257"/>
      <c r="D318" s="257"/>
      <c r="E318" s="257"/>
      <c r="F318" s="257"/>
      <c r="G318" s="67"/>
      <c r="H318" s="67"/>
      <c r="I318" s="67"/>
      <c r="J318" s="67"/>
      <c r="K318" s="67"/>
      <c r="L318" s="67"/>
      <c r="M318" s="67"/>
      <c r="N318" s="67"/>
      <c r="O318" s="67"/>
      <c r="P318" s="67"/>
    </row>
    <row r="319" spans="1:16">
      <c r="A319" s="63"/>
      <c r="B319" s="63" t="s">
        <v>79</v>
      </c>
      <c r="C319" s="58" t="s">
        <v>250</v>
      </c>
      <c r="G319" s="67"/>
      <c r="H319" s="67"/>
      <c r="I319" s="67"/>
      <c r="J319" s="67"/>
      <c r="K319" s="67"/>
      <c r="L319" s="67"/>
      <c r="M319" s="67"/>
      <c r="N319" s="67"/>
      <c r="O319" s="67"/>
      <c r="P319" s="67"/>
    </row>
    <row r="320" spans="1:16">
      <c r="C320" s="63" t="s">
        <v>10</v>
      </c>
      <c r="D320" s="58" t="s">
        <v>251</v>
      </c>
      <c r="G320" s="67"/>
      <c r="H320" s="67"/>
      <c r="I320" s="67"/>
      <c r="J320" s="67"/>
      <c r="K320" s="67"/>
      <c r="L320" s="67"/>
      <c r="M320" s="67"/>
      <c r="N320" s="67"/>
      <c r="O320" s="67"/>
      <c r="P320" s="67"/>
    </row>
    <row r="321" spans="2:16">
      <c r="D321" s="63" t="s">
        <v>12</v>
      </c>
      <c r="E321" s="59" t="s">
        <v>55</v>
      </c>
      <c r="G321" s="67"/>
      <c r="H321" s="67"/>
      <c r="I321" s="67"/>
      <c r="J321" s="67"/>
      <c r="K321" s="67"/>
      <c r="L321" s="67"/>
      <c r="M321" s="67"/>
      <c r="N321" s="67"/>
      <c r="O321" s="67"/>
      <c r="P321" s="67"/>
    </row>
    <row r="322" spans="2:16">
      <c r="D322" s="63"/>
      <c r="E322" s="63" t="s">
        <v>14</v>
      </c>
      <c r="F322" s="64" t="s">
        <v>57</v>
      </c>
      <c r="G322" s="67"/>
      <c r="H322" s="67"/>
      <c r="I322" s="67">
        <v>1</v>
      </c>
      <c r="J322" s="67"/>
      <c r="K322" s="67"/>
      <c r="L322" s="67"/>
      <c r="M322" s="67"/>
      <c r="N322" s="67"/>
      <c r="O322" s="67"/>
      <c r="P322" s="67"/>
    </row>
    <row r="323" spans="2:16">
      <c r="D323" s="63" t="s">
        <v>12</v>
      </c>
      <c r="E323" s="59" t="s">
        <v>58</v>
      </c>
      <c r="G323" s="67"/>
      <c r="H323" s="67"/>
      <c r="I323" s="67"/>
      <c r="J323" s="67"/>
      <c r="K323" s="67"/>
      <c r="L323" s="67"/>
      <c r="M323" s="67"/>
      <c r="N323" s="67"/>
      <c r="O323" s="67"/>
      <c r="P323" s="67"/>
    </row>
    <row r="324" spans="2:16">
      <c r="E324" s="63" t="s">
        <v>14</v>
      </c>
      <c r="F324" s="64" t="s">
        <v>60</v>
      </c>
      <c r="G324" s="67">
        <v>21</v>
      </c>
      <c r="H324" s="67">
        <v>24</v>
      </c>
      <c r="I324" s="67">
        <v>46</v>
      </c>
      <c r="J324" s="67">
        <v>37</v>
      </c>
      <c r="K324" s="67">
        <v>16</v>
      </c>
      <c r="L324" s="67">
        <v>14</v>
      </c>
      <c r="M324" s="67">
        <v>45</v>
      </c>
      <c r="N324" s="67">
        <v>57</v>
      </c>
      <c r="O324" s="67">
        <v>6</v>
      </c>
      <c r="P324" s="67">
        <v>4</v>
      </c>
    </row>
    <row r="325" spans="2:16">
      <c r="E325" s="63"/>
      <c r="F325" s="64"/>
      <c r="G325" s="67"/>
      <c r="H325" s="67"/>
      <c r="I325" s="67"/>
      <c r="J325" s="67"/>
      <c r="K325" s="67"/>
      <c r="L325" s="67"/>
      <c r="M325" s="67"/>
      <c r="N325" s="67"/>
      <c r="O325" s="67"/>
      <c r="P325" s="67"/>
    </row>
    <row r="326" spans="2:16">
      <c r="B326" s="63" t="s">
        <v>79</v>
      </c>
      <c r="C326" s="58" t="s">
        <v>130</v>
      </c>
      <c r="E326" s="63"/>
      <c r="F326" s="64"/>
      <c r="G326" s="67"/>
      <c r="H326" s="67"/>
      <c r="I326" s="67"/>
      <c r="J326" s="67"/>
      <c r="K326" s="67"/>
      <c r="L326" s="67"/>
      <c r="M326" s="67"/>
      <c r="N326" s="67"/>
      <c r="O326" s="67"/>
      <c r="P326" s="67"/>
    </row>
    <row r="327" spans="2:16" hidden="1">
      <c r="C327" s="63" t="s">
        <v>10</v>
      </c>
      <c r="D327" s="259" t="s">
        <v>61</v>
      </c>
      <c r="G327" s="67"/>
      <c r="H327" s="67"/>
      <c r="I327" s="67"/>
      <c r="J327" s="67"/>
      <c r="K327" s="67"/>
      <c r="L327" s="67"/>
      <c r="M327" s="67"/>
      <c r="N327" s="67"/>
      <c r="O327" s="67"/>
      <c r="P327" s="67"/>
    </row>
    <row r="328" spans="2:16" hidden="1">
      <c r="D328" s="63" t="s">
        <v>12</v>
      </c>
      <c r="E328" s="59" t="s">
        <v>62</v>
      </c>
      <c r="G328" s="67"/>
      <c r="H328" s="67"/>
      <c r="I328" s="67"/>
      <c r="J328" s="67"/>
      <c r="K328" s="67"/>
      <c r="L328" s="67"/>
      <c r="M328" s="67"/>
      <c r="N328" s="67"/>
      <c r="O328" s="67"/>
      <c r="P328" s="67"/>
    </row>
    <row r="329" spans="2:16" hidden="1">
      <c r="E329" s="63" t="s">
        <v>14</v>
      </c>
      <c r="F329" s="64" t="s">
        <v>63</v>
      </c>
      <c r="G329" s="67"/>
      <c r="H329" s="67"/>
      <c r="I329" s="67"/>
      <c r="J329" s="67"/>
      <c r="K329" s="67"/>
      <c r="L329" s="67"/>
      <c r="M329" s="67"/>
      <c r="N329" s="67"/>
      <c r="O329" s="67"/>
      <c r="P329" s="67"/>
    </row>
    <row r="330" spans="2:16">
      <c r="C330" s="63" t="s">
        <v>10</v>
      </c>
      <c r="D330" s="58" t="s">
        <v>64</v>
      </c>
      <c r="G330" s="67"/>
      <c r="H330" s="67"/>
      <c r="I330" s="67"/>
      <c r="J330" s="67"/>
      <c r="K330" s="67"/>
      <c r="L330" s="67"/>
      <c r="M330" s="67"/>
      <c r="N330" s="67"/>
      <c r="O330" s="67"/>
      <c r="P330" s="67"/>
    </row>
    <row r="331" spans="2:16">
      <c r="D331" s="63" t="s">
        <v>12</v>
      </c>
      <c r="E331" s="59" t="s">
        <v>65</v>
      </c>
      <c r="G331" s="67"/>
      <c r="H331" s="67"/>
      <c r="I331" s="67"/>
      <c r="J331" s="67"/>
      <c r="K331" s="67"/>
      <c r="L331" s="67"/>
      <c r="M331" s="67"/>
      <c r="N331" s="67"/>
      <c r="O331" s="67"/>
      <c r="P331" s="67"/>
    </row>
    <row r="332" spans="2:16">
      <c r="E332" s="63" t="s">
        <v>14</v>
      </c>
      <c r="F332" s="64" t="s">
        <v>288</v>
      </c>
      <c r="G332" s="67"/>
      <c r="H332" s="67"/>
      <c r="I332" s="67"/>
      <c r="J332" s="67"/>
      <c r="K332" s="67">
        <v>1</v>
      </c>
      <c r="L332" s="67"/>
      <c r="M332" s="67"/>
      <c r="N332" s="67"/>
      <c r="O332" s="67"/>
      <c r="P332" s="67"/>
    </row>
    <row r="333" spans="2:16">
      <c r="E333" s="63"/>
      <c r="F333" s="64"/>
      <c r="G333" s="67"/>
      <c r="H333" s="67"/>
      <c r="I333" s="67"/>
      <c r="J333" s="67"/>
      <c r="K333" s="67"/>
      <c r="L333" s="67"/>
      <c r="M333" s="67"/>
      <c r="N333" s="67"/>
      <c r="O333" s="67"/>
      <c r="P333" s="67"/>
    </row>
    <row r="334" spans="2:16">
      <c r="B334" s="63" t="s">
        <v>79</v>
      </c>
      <c r="C334" s="58" t="s">
        <v>131</v>
      </c>
      <c r="E334" s="63"/>
      <c r="F334" s="65"/>
      <c r="G334" s="67"/>
      <c r="H334" s="67"/>
      <c r="I334" s="67"/>
      <c r="J334" s="67"/>
      <c r="K334" s="67"/>
      <c r="L334" s="67"/>
      <c r="M334" s="67"/>
      <c r="N334" s="67"/>
      <c r="O334" s="67"/>
      <c r="P334" s="67"/>
    </row>
    <row r="335" spans="2:16">
      <c r="B335" s="63"/>
      <c r="C335" s="58"/>
      <c r="E335" s="63"/>
      <c r="F335" s="66" t="s">
        <v>132</v>
      </c>
      <c r="G335" s="67"/>
      <c r="H335" s="67"/>
      <c r="I335" s="67"/>
      <c r="J335" s="67"/>
      <c r="K335" s="67"/>
      <c r="L335" s="67"/>
      <c r="M335" s="67"/>
      <c r="N335" s="67"/>
      <c r="O335" s="67"/>
      <c r="P335" s="67"/>
    </row>
    <row r="336" spans="2:16" ht="13.5" thickBot="1">
      <c r="B336" s="63"/>
      <c r="C336" s="58"/>
      <c r="E336" s="63"/>
      <c r="F336" s="66" t="s">
        <v>133</v>
      </c>
      <c r="G336" s="67"/>
      <c r="H336" s="67"/>
      <c r="I336" s="67"/>
      <c r="J336" s="67"/>
      <c r="K336" s="67">
        <v>1</v>
      </c>
      <c r="L336" s="67">
        <v>1</v>
      </c>
      <c r="M336" s="67">
        <v>12</v>
      </c>
      <c r="N336" s="67">
        <v>3</v>
      </c>
      <c r="O336" s="67"/>
      <c r="P336" s="67"/>
    </row>
    <row r="337" spans="2:21" ht="12" hidden="1" customHeight="1" thickBot="1">
      <c r="B337" s="63" t="s">
        <v>162</v>
      </c>
      <c r="C337" s="58"/>
      <c r="E337" s="63"/>
      <c r="G337" s="67"/>
      <c r="H337" s="67"/>
      <c r="I337" s="67"/>
      <c r="J337" s="67"/>
      <c r="K337" s="67"/>
      <c r="L337" s="67"/>
      <c r="M337" s="67"/>
      <c r="N337" s="67"/>
      <c r="O337" s="67"/>
      <c r="P337" s="67"/>
    </row>
    <row r="338" spans="2:21" s="260" customFormat="1" ht="13.5" thickBot="1">
      <c r="F338" s="261" t="s">
        <v>82</v>
      </c>
      <c r="G338" s="262">
        <f t="shared" ref="G338:P338" si="0">COUNT(G10:G337)</f>
        <v>22</v>
      </c>
      <c r="H338" s="262">
        <f t="shared" si="0"/>
        <v>17</v>
      </c>
      <c r="I338" s="262">
        <f t="shared" si="0"/>
        <v>21</v>
      </c>
      <c r="J338" s="262">
        <f t="shared" si="0"/>
        <v>19</v>
      </c>
      <c r="K338" s="262">
        <f t="shared" si="0"/>
        <v>19</v>
      </c>
      <c r="L338" s="262">
        <f t="shared" si="0"/>
        <v>10</v>
      </c>
      <c r="M338" s="262">
        <f t="shared" si="0"/>
        <v>18</v>
      </c>
      <c r="N338" s="262">
        <f t="shared" si="0"/>
        <v>17</v>
      </c>
      <c r="O338" s="262">
        <f t="shared" si="0"/>
        <v>12</v>
      </c>
      <c r="P338" s="262">
        <f t="shared" si="0"/>
        <v>14</v>
      </c>
      <c r="Q338" s="59"/>
      <c r="R338" s="59"/>
      <c r="S338" s="59"/>
      <c r="T338" s="59"/>
      <c r="U338" s="59"/>
    </row>
    <row r="339" spans="2:21">
      <c r="F339" s="60" t="s">
        <v>83</v>
      </c>
      <c r="G339" s="67">
        <f t="shared" ref="G339:P339" si="1">SUM(G10:G337)</f>
        <v>295</v>
      </c>
      <c r="H339" s="67">
        <f t="shared" si="1"/>
        <v>252</v>
      </c>
      <c r="I339" s="67">
        <f t="shared" si="1"/>
        <v>244</v>
      </c>
      <c r="J339" s="67">
        <f t="shared" si="1"/>
        <v>211</v>
      </c>
      <c r="K339" s="67">
        <f t="shared" si="1"/>
        <v>222</v>
      </c>
      <c r="L339" s="67">
        <f t="shared" si="1"/>
        <v>214</v>
      </c>
      <c r="M339" s="67">
        <f t="shared" si="1"/>
        <v>325</v>
      </c>
      <c r="N339" s="67">
        <f t="shared" si="1"/>
        <v>391</v>
      </c>
      <c r="O339" s="67">
        <f t="shared" si="1"/>
        <v>216</v>
      </c>
      <c r="P339" s="67">
        <f t="shared" si="1"/>
        <v>199</v>
      </c>
    </row>
  </sheetData>
  <mergeCells count="15">
    <mergeCell ref="B296:E296"/>
    <mergeCell ref="A281:D281"/>
    <mergeCell ref="E281:F281"/>
    <mergeCell ref="B282:E282"/>
    <mergeCell ref="A252:D252"/>
    <mergeCell ref="E252:F252"/>
    <mergeCell ref="B280:E280"/>
    <mergeCell ref="A279:D279"/>
    <mergeCell ref="E279:F279"/>
    <mergeCell ref="A268:D268"/>
    <mergeCell ref="E268:F268"/>
    <mergeCell ref="B269:E269"/>
    <mergeCell ref="A272:D272"/>
    <mergeCell ref="E272:F272"/>
    <mergeCell ref="B273:E273"/>
  </mergeCells>
  <phoneticPr fontId="45" type="noConversion"/>
  <printOptions horizontalCentered="1" verticalCentered="1"/>
  <pageMargins left="0.18055118100000001" right="0.19314960629921299" top="1.24" bottom="0.41" header="0.97" footer="0.3"/>
  <pageSetup paperSize="9" fitToHeight="0" orientation="portrait" horizontalDpi="4294967292" verticalDpi="4294967292" r:id="rId1"/>
  <extLst>
    <ext xmlns:mx="http://schemas.microsoft.com/office/mac/excel/2008/main" uri="{64002731-A6B0-56B0-2670-7721B7C09600}">
      <mx:PLV Mode="0" OnePage="0" WScale="10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E341"/>
  <sheetViews>
    <sheetView topLeftCell="A209" zoomScale="66" zoomScaleNormal="70" zoomScalePageLayoutView="125" workbookViewId="0">
      <selection activeCell="F5" sqref="F5"/>
    </sheetView>
  </sheetViews>
  <sheetFormatPr defaultColWidth="10.9140625" defaultRowHeight="14.5"/>
  <cols>
    <col min="1" max="1" width="6.9140625" style="6" customWidth="1"/>
    <col min="2" max="2" width="1.9140625" style="6" customWidth="1"/>
    <col min="3" max="5" width="2" style="6" customWidth="1"/>
    <col min="6" max="6" width="20.58203125" style="6" customWidth="1"/>
    <col min="7" max="16" width="14.5" style="6" bestFit="1" customWidth="1"/>
    <col min="17" max="16384" width="10.9140625" style="6"/>
  </cols>
  <sheetData>
    <row r="1" spans="1:109" s="22" customFormat="1" ht="24.9" customHeight="1">
      <c r="A1" s="22" t="s">
        <v>167</v>
      </c>
    </row>
    <row r="2" spans="1:109" s="2" customFormat="1">
      <c r="A2" s="2" t="s">
        <v>230</v>
      </c>
    </row>
    <row r="3" spans="1:109" s="2" customFormat="1"/>
    <row r="4" spans="1:109" s="2" customFormat="1"/>
    <row r="5" spans="1:109" s="2" customFormat="1">
      <c r="F5" s="2" t="s">
        <v>166</v>
      </c>
    </row>
    <row r="6" spans="1:109" s="2" customFormat="1">
      <c r="F6" s="3" t="str">
        <f>'Zoopl Count'!F3</f>
        <v>Reference ID:</v>
      </c>
      <c r="G6" s="23" t="str">
        <f>'Zoopl Count'!G3</f>
        <v>BZ14748</v>
      </c>
      <c r="H6" s="23" t="str">
        <f>'Zoopl Count'!H3</f>
        <v>BZ14749</v>
      </c>
      <c r="I6" s="23" t="str">
        <f>'Zoopl Count'!I3</f>
        <v>BZ14750</v>
      </c>
      <c r="J6" s="23" t="str">
        <f>'Zoopl Count'!J3</f>
        <v>BZ14751</v>
      </c>
      <c r="K6" s="23" t="str">
        <f>'Zoopl Count'!K3</f>
        <v>BZ14752</v>
      </c>
      <c r="L6" s="23" t="str">
        <f>'Zoopl Count'!L3</f>
        <v>BZ14753</v>
      </c>
      <c r="M6" s="23" t="str">
        <f>'Zoopl Count'!M3</f>
        <v>BZ14754</v>
      </c>
      <c r="N6" s="23" t="str">
        <f>'Zoopl Count'!N3</f>
        <v>BZ14755</v>
      </c>
      <c r="O6" s="23" t="str">
        <f>'Zoopl Count'!O3</f>
        <v>BZ14756</v>
      </c>
      <c r="P6" s="23" t="str">
        <f>'Zoopl Count'!P3</f>
        <v>BZ14757</v>
      </c>
    </row>
    <row r="7" spans="1:109" s="2" customFormat="1">
      <c r="F7" s="3" t="str">
        <f>'Zoopl Count'!F4</f>
        <v>Sample Marking:</v>
      </c>
      <c r="G7" s="23" t="str">
        <f>'Zoopl Count'!G4</f>
        <v>PLW-25-274014-1</v>
      </c>
      <c r="H7" s="23" t="str">
        <f>'Zoopl Count'!H4</f>
        <v>PLW-25-274014-2</v>
      </c>
      <c r="I7" s="23" t="str">
        <f>'Zoopl Count'!I4</f>
        <v>PLW-25-274014-3</v>
      </c>
      <c r="J7" s="23" t="str">
        <f>'Zoopl Count'!J4</f>
        <v>PLW-25-274014-4</v>
      </c>
      <c r="K7" s="23" t="str">
        <f>'Zoopl Count'!K4</f>
        <v>PLW-25-274014-5</v>
      </c>
      <c r="L7" s="23" t="str">
        <f>'Zoopl Count'!L4</f>
        <v>PLW-25-274016-1</v>
      </c>
      <c r="M7" s="23" t="str">
        <f>'Zoopl Count'!M4</f>
        <v>PLW-25-274016-2</v>
      </c>
      <c r="N7" s="23" t="str">
        <f>'Zoopl Count'!N4</f>
        <v>PLW-25-274016-3</v>
      </c>
      <c r="O7" s="23" t="str">
        <f>'Zoopl Count'!O4</f>
        <v>PLW-25-274016-4</v>
      </c>
      <c r="P7" s="23" t="str">
        <f>'Zoopl Count'!P4</f>
        <v>PLW-25-274016-5</v>
      </c>
    </row>
    <row r="8" spans="1:109" s="2" customFormat="1" ht="15" thickBot="1">
      <c r="A8" s="4"/>
      <c r="B8" s="4"/>
      <c r="C8" s="4"/>
      <c r="D8" s="4"/>
      <c r="E8" s="4"/>
      <c r="F8" s="5" t="s">
        <v>232</v>
      </c>
      <c r="G8" s="218">
        <f>'Zoopl Count'!G8</f>
        <v>245.43692606170259</v>
      </c>
      <c r="H8" s="218">
        <f>'Zoopl Count'!H8</f>
        <v>245.43692606170259</v>
      </c>
      <c r="I8" s="218">
        <f>'Zoopl Count'!I8</f>
        <v>245.43692606170259</v>
      </c>
      <c r="J8" s="218">
        <f>'Zoopl Count'!J8</f>
        <v>245.43692606170259</v>
      </c>
      <c r="K8" s="218">
        <f>'Zoopl Count'!K8</f>
        <v>245.43692606170259</v>
      </c>
      <c r="L8" s="218">
        <f>'Zoopl Count'!L8</f>
        <v>245.43692606170259</v>
      </c>
      <c r="M8" s="218">
        <f>'Zoopl Count'!M8</f>
        <v>245.43692606170259</v>
      </c>
      <c r="N8" s="218">
        <f>'Zoopl Count'!N8</f>
        <v>245.43692606170259</v>
      </c>
      <c r="O8" s="218">
        <f>'Zoopl Count'!O8</f>
        <v>245.43692606170259</v>
      </c>
      <c r="P8" s="218">
        <f>'Zoopl Count'!P8</f>
        <v>245.43692606170259</v>
      </c>
    </row>
    <row r="9" spans="1:109" s="4" customFormat="1" ht="16.5" customHeight="1" thickTop="1" thickBot="1">
      <c r="F9" s="5" t="s">
        <v>143</v>
      </c>
      <c r="G9" s="123">
        <f>'Zoopl Count'!G9</f>
        <v>5</v>
      </c>
      <c r="H9" s="123">
        <f>'Zoopl Count'!H9</f>
        <v>4</v>
      </c>
      <c r="I9" s="123">
        <f>'Zoopl Count'!I9</f>
        <v>3</v>
      </c>
      <c r="J9" s="123">
        <f>'Zoopl Count'!J9</f>
        <v>5</v>
      </c>
      <c r="K9" s="123">
        <f>'Zoopl Count'!K9</f>
        <v>5</v>
      </c>
      <c r="L9" s="123">
        <f>'Zoopl Count'!L9</f>
        <v>7</v>
      </c>
      <c r="M9" s="123">
        <f>'Zoopl Count'!M9</f>
        <v>5</v>
      </c>
      <c r="N9" s="123">
        <f>'Zoopl Count'!N9</f>
        <v>3</v>
      </c>
      <c r="O9" s="123">
        <f>'Zoopl Count'!O9</f>
        <v>8</v>
      </c>
      <c r="P9" s="123">
        <f>'Zoopl Count'!P9</f>
        <v>5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</row>
    <row r="10" spans="1:109" s="125" customFormat="1" ht="15.75" hidden="1" customHeight="1" thickTop="1">
      <c r="A10" s="124" t="s">
        <v>7</v>
      </c>
      <c r="B10" s="125" t="s">
        <v>203</v>
      </c>
      <c r="C10" s="126"/>
      <c r="D10" s="126"/>
      <c r="E10" s="126"/>
      <c r="F10" s="127"/>
      <c r="G10" s="186" t="str">
        <f>IF('Zoopl Count'!G10="","",'Zoopl Count'!G10*(2^G$9)/G$8)</f>
        <v/>
      </c>
      <c r="H10" s="174" t="str">
        <f>IF('Zoopl Count'!H10="","",'Zoopl Count'!H10*(2^H$9)/H$8)</f>
        <v/>
      </c>
      <c r="I10" s="174" t="str">
        <f>IF('Zoopl Count'!I10="","",'Zoopl Count'!I10*(2^I$9)/I$8)</f>
        <v/>
      </c>
      <c r="J10" s="186" t="str">
        <f>IF('Zoopl Count'!J10="","",'Zoopl Count'!J10*(2^J$9)/J$8)</f>
        <v/>
      </c>
      <c r="K10" s="174" t="str">
        <f>IF('Zoopl Count'!K10="","",'Zoopl Count'!K10*(2^K$9)/K$8)</f>
        <v/>
      </c>
      <c r="L10" s="174" t="str">
        <f>IF('Zoopl Count'!L10="","",'Zoopl Count'!L10*(2^L$9)/L$8)</f>
        <v/>
      </c>
      <c r="M10" s="186" t="str">
        <f>IF('Zoopl Count'!M10="","",'Zoopl Count'!M10*(2^M$9)/M$8)</f>
        <v/>
      </c>
      <c r="N10" s="174" t="str">
        <f>IF('Zoopl Count'!N10="","",'Zoopl Count'!N10*(2^N$9)/N$8)</f>
        <v/>
      </c>
      <c r="O10" s="174" t="str">
        <f>IF('Zoopl Count'!O10="","",'Zoopl Count'!O10*(2^O$9)/O$8)</f>
        <v/>
      </c>
      <c r="P10" s="186" t="str">
        <f>IF('Zoopl Count'!P10="","",'Zoopl Count'!P10*(2^P$9)/P$8)</f>
        <v/>
      </c>
    </row>
    <row r="11" spans="1:109" s="125" customFormat="1" ht="15" hidden="1" customHeight="1">
      <c r="B11" s="124" t="s">
        <v>79</v>
      </c>
      <c r="C11" s="125" t="s">
        <v>204</v>
      </c>
      <c r="F11" s="128"/>
      <c r="G11" s="205" t="str">
        <f>IF('Zoopl Count'!G11="","",'Zoopl Count'!G11*(2^G$9)/G$8)</f>
        <v/>
      </c>
      <c r="H11" s="205" t="str">
        <f>IF('Zoopl Count'!H11="","",'Zoopl Count'!H11*(2^H$9)/H$8)</f>
        <v/>
      </c>
      <c r="I11" s="205" t="str">
        <f>IF('Zoopl Count'!I11="","",'Zoopl Count'!I11*(2^I$9)/I$8)</f>
        <v/>
      </c>
      <c r="J11" s="205" t="str">
        <f>IF('Zoopl Count'!J11="","",'Zoopl Count'!J11*(2^J$9)/J$8)</f>
        <v/>
      </c>
      <c r="K11" s="205" t="str">
        <f>IF('Zoopl Count'!K11="","",'Zoopl Count'!K11*(2^K$9)/K$8)</f>
        <v/>
      </c>
      <c r="L11" s="205" t="str">
        <f>IF('Zoopl Count'!L11="","",'Zoopl Count'!L11*(2^L$9)/L$8)</f>
        <v/>
      </c>
      <c r="M11" s="205" t="str">
        <f>IF('Zoopl Count'!M11="","",'Zoopl Count'!M11*(2^M$9)/M$8)</f>
        <v/>
      </c>
      <c r="N11" s="205" t="str">
        <f>IF('Zoopl Count'!N11="","",'Zoopl Count'!N11*(2^N$9)/N$8)</f>
        <v/>
      </c>
      <c r="O11" s="205" t="str">
        <f>IF('Zoopl Count'!O11="","",'Zoopl Count'!O11*(2^O$9)/O$8)</f>
        <v/>
      </c>
      <c r="P11" s="205" t="str">
        <f>IF('Zoopl Count'!P11="","",'Zoopl Count'!P11*(2^P$9)/P$8)</f>
        <v/>
      </c>
    </row>
    <row r="12" spans="1:109" s="125" customFormat="1" ht="15" hidden="1" customHeight="1">
      <c r="C12" s="124" t="s">
        <v>10</v>
      </c>
      <c r="D12" s="125" t="s">
        <v>205</v>
      </c>
      <c r="F12" s="128"/>
      <c r="G12" s="205" t="str">
        <f>IF('Zoopl Count'!G12="","",'Zoopl Count'!G12*(2^G$9)/G$8)</f>
        <v/>
      </c>
      <c r="H12" s="205" t="str">
        <f>IF('Zoopl Count'!H12="","",'Zoopl Count'!H12*(2^H$9)/H$8)</f>
        <v/>
      </c>
      <c r="I12" s="205" t="str">
        <f>IF('Zoopl Count'!I12="","",'Zoopl Count'!I12*(2^I$9)/I$8)</f>
        <v/>
      </c>
      <c r="J12" s="205" t="str">
        <f>IF('Zoopl Count'!J12="","",'Zoopl Count'!J12*(2^J$9)/J$8)</f>
        <v/>
      </c>
      <c r="K12" s="205" t="str">
        <f>IF('Zoopl Count'!K12="","",'Zoopl Count'!K12*(2^K$9)/K$8)</f>
        <v/>
      </c>
      <c r="L12" s="205" t="str">
        <f>IF('Zoopl Count'!L12="","",'Zoopl Count'!L12*(2^L$9)/L$8)</f>
        <v/>
      </c>
      <c r="M12" s="205" t="str">
        <f>IF('Zoopl Count'!M12="","",'Zoopl Count'!M12*(2^M$9)/M$8)</f>
        <v/>
      </c>
      <c r="N12" s="205" t="str">
        <f>IF('Zoopl Count'!N12="","",'Zoopl Count'!N12*(2^N$9)/N$8)</f>
        <v/>
      </c>
      <c r="O12" s="205" t="str">
        <f>IF('Zoopl Count'!O12="","",'Zoopl Count'!O12*(2^O$9)/O$8)</f>
        <v/>
      </c>
      <c r="P12" s="205" t="str">
        <f>IF('Zoopl Count'!P12="","",'Zoopl Count'!P12*(2^P$9)/P$8)</f>
        <v/>
      </c>
    </row>
    <row r="13" spans="1:109" s="125" customFormat="1" ht="16.25" hidden="1" customHeight="1">
      <c r="A13" s="193"/>
      <c r="B13" s="193"/>
      <c r="C13" s="193"/>
      <c r="D13" s="195" t="s">
        <v>12</v>
      </c>
      <c r="E13" s="239" t="s">
        <v>351</v>
      </c>
      <c r="F13" s="197"/>
      <c r="G13" s="205" t="str">
        <f>IF('Zoopl Count'!G13="","",'Zoopl Count'!G13*(2^G$9)/G$8)</f>
        <v/>
      </c>
      <c r="H13" s="205" t="str">
        <f>IF('Zoopl Count'!H13="","",'Zoopl Count'!H13*(2^H$9)/H$8)</f>
        <v/>
      </c>
      <c r="I13" s="205" t="str">
        <f>IF('Zoopl Count'!I13="","",'Zoopl Count'!I13*(2^I$9)/I$8)</f>
        <v/>
      </c>
      <c r="J13" s="205" t="str">
        <f>IF('Zoopl Count'!J13="","",'Zoopl Count'!J13*(2^J$9)/J$8)</f>
        <v/>
      </c>
      <c r="K13" s="205" t="str">
        <f>IF('Zoopl Count'!K13="","",'Zoopl Count'!K13*(2^K$9)/K$8)</f>
        <v/>
      </c>
      <c r="L13" s="205" t="str">
        <f>IF('Zoopl Count'!L13="","",'Zoopl Count'!L13*(2^L$9)/L$8)</f>
        <v/>
      </c>
      <c r="M13" s="205" t="str">
        <f>IF('Zoopl Count'!M13="","",'Zoopl Count'!M13*(2^M$9)/M$8)</f>
        <v/>
      </c>
      <c r="N13" s="205" t="str">
        <f>IF('Zoopl Count'!N13="","",'Zoopl Count'!N13*(2^N$9)/N$8)</f>
        <v/>
      </c>
      <c r="O13" s="205" t="str">
        <f>IF('Zoopl Count'!O13="","",'Zoopl Count'!O13*(2^O$9)/O$8)</f>
        <v/>
      </c>
      <c r="P13" s="205" t="str">
        <f>IF('Zoopl Count'!P13="","",'Zoopl Count'!P13*(2^P$9)/P$8)</f>
        <v/>
      </c>
    </row>
    <row r="14" spans="1:109" s="125" customFormat="1" ht="15" hidden="1" customHeight="1">
      <c r="A14" s="193"/>
      <c r="B14" s="193"/>
      <c r="C14" s="193"/>
      <c r="D14" s="193"/>
      <c r="E14" s="195" t="s">
        <v>14</v>
      </c>
      <c r="F14" s="198" t="s">
        <v>352</v>
      </c>
      <c r="G14" s="205" t="str">
        <f>IF('Zoopl Count'!G14="","",'Zoopl Count'!G14*(2^G$9)/G$8)</f>
        <v/>
      </c>
      <c r="H14" s="205" t="str">
        <f>IF('Zoopl Count'!H14="","",'Zoopl Count'!H14*(2^H$9)/H$8)</f>
        <v/>
      </c>
      <c r="I14" s="205" t="str">
        <f>IF('Zoopl Count'!I14="","",'Zoopl Count'!I14*(2^I$9)/I$8)</f>
        <v/>
      </c>
      <c r="J14" s="205" t="str">
        <f>IF('Zoopl Count'!J14="","",'Zoopl Count'!J14*(2^J$9)/J$8)</f>
        <v/>
      </c>
      <c r="K14" s="205" t="str">
        <f>IF('Zoopl Count'!K14="","",'Zoopl Count'!K14*(2^K$9)/K$8)</f>
        <v/>
      </c>
      <c r="L14" s="205" t="str">
        <f>IF('Zoopl Count'!L14="","",'Zoopl Count'!L14*(2^L$9)/L$8)</f>
        <v/>
      </c>
      <c r="M14" s="205" t="str">
        <f>IF('Zoopl Count'!M14="","",'Zoopl Count'!M14*(2^M$9)/M$8)</f>
        <v/>
      </c>
      <c r="N14" s="205" t="str">
        <f>IF('Zoopl Count'!N14="","",'Zoopl Count'!N14*(2^N$9)/N$8)</f>
        <v/>
      </c>
      <c r="O14" s="205" t="str">
        <f>IF('Zoopl Count'!O14="","",'Zoopl Count'!O14*(2^O$9)/O$8)</f>
        <v/>
      </c>
      <c r="P14" s="205" t="str">
        <f>IF('Zoopl Count'!P14="","",'Zoopl Count'!P14*(2^P$9)/P$8)</f>
        <v/>
      </c>
    </row>
    <row r="15" spans="1:109" s="125" customFormat="1" ht="15" hidden="1" customHeight="1">
      <c r="A15" s="239"/>
      <c r="B15" s="193"/>
      <c r="C15" s="193"/>
      <c r="D15" s="195" t="s">
        <v>12</v>
      </c>
      <c r="E15" s="193" t="s">
        <v>293</v>
      </c>
      <c r="F15" s="197"/>
      <c r="G15" s="205" t="str">
        <f>IF('Zoopl Count'!G15="","",'Zoopl Count'!G15*(2^G$9)/G$8)</f>
        <v/>
      </c>
      <c r="H15" s="205" t="str">
        <f>IF('Zoopl Count'!H15="","",'Zoopl Count'!H15*(2^H$9)/H$8)</f>
        <v/>
      </c>
      <c r="I15" s="205" t="str">
        <f>IF('Zoopl Count'!I15="","",'Zoopl Count'!I15*(2^I$9)/I$8)</f>
        <v/>
      </c>
      <c r="J15" s="205" t="str">
        <f>IF('Zoopl Count'!J15="","",'Zoopl Count'!J15*(2^J$9)/J$8)</f>
        <v/>
      </c>
      <c r="K15" s="205" t="str">
        <f>IF('Zoopl Count'!K15="","",'Zoopl Count'!K15*(2^K$9)/K$8)</f>
        <v/>
      </c>
      <c r="L15" s="205" t="str">
        <f>IF('Zoopl Count'!L15="","",'Zoopl Count'!L15*(2^L$9)/L$8)</f>
        <v/>
      </c>
      <c r="M15" s="205" t="str">
        <f>IF('Zoopl Count'!M15="","",'Zoopl Count'!M15*(2^M$9)/M$8)</f>
        <v/>
      </c>
      <c r="N15" s="205" t="str">
        <f>IF('Zoopl Count'!N15="","",'Zoopl Count'!N15*(2^N$9)/N$8)</f>
        <v/>
      </c>
      <c r="O15" s="205" t="str">
        <f>IF('Zoopl Count'!O15="","",'Zoopl Count'!O15*(2^O$9)/O$8)</f>
        <v/>
      </c>
      <c r="P15" s="205" t="str">
        <f>IF('Zoopl Count'!P15="","",'Zoopl Count'!P15*(2^P$9)/P$8)</f>
        <v/>
      </c>
    </row>
    <row r="16" spans="1:109" s="125" customFormat="1" ht="15" hidden="1" customHeight="1">
      <c r="A16" s="193"/>
      <c r="B16" s="193"/>
      <c r="C16" s="193"/>
      <c r="D16" s="193"/>
      <c r="E16" s="195" t="s">
        <v>14</v>
      </c>
      <c r="F16" s="198" t="s">
        <v>294</v>
      </c>
      <c r="G16" s="205" t="str">
        <f>IF('Zoopl Count'!G16="","",'Zoopl Count'!G16*(2^G$9)/G$8)</f>
        <v/>
      </c>
      <c r="H16" s="205" t="str">
        <f>IF('Zoopl Count'!H16="","",'Zoopl Count'!H16*(2^H$9)/H$8)</f>
        <v/>
      </c>
      <c r="I16" s="205" t="str">
        <f>IF('Zoopl Count'!I16="","",'Zoopl Count'!I16*(2^I$9)/I$8)</f>
        <v/>
      </c>
      <c r="J16" s="205" t="str">
        <f>IF('Zoopl Count'!J16="","",'Zoopl Count'!J16*(2^J$9)/J$8)</f>
        <v/>
      </c>
      <c r="K16" s="205" t="str">
        <f>IF('Zoopl Count'!K16="","",'Zoopl Count'!K16*(2^K$9)/K$8)</f>
        <v/>
      </c>
      <c r="L16" s="205" t="str">
        <f>IF('Zoopl Count'!L16="","",'Zoopl Count'!L16*(2^L$9)/L$8)</f>
        <v/>
      </c>
      <c r="M16" s="205" t="str">
        <f>IF('Zoopl Count'!M16="","",'Zoopl Count'!M16*(2^M$9)/M$8)</f>
        <v/>
      </c>
      <c r="N16" s="205" t="str">
        <f>IF('Zoopl Count'!N16="","",'Zoopl Count'!N16*(2^N$9)/N$8)</f>
        <v/>
      </c>
      <c r="O16" s="205" t="str">
        <f>IF('Zoopl Count'!O16="","",'Zoopl Count'!O16*(2^O$9)/O$8)</f>
        <v/>
      </c>
      <c r="P16" s="205" t="str">
        <f>IF('Zoopl Count'!P16="","",'Zoopl Count'!P16*(2^P$9)/P$8)</f>
        <v/>
      </c>
    </row>
    <row r="17" spans="1:16" s="125" customFormat="1" ht="15" hidden="1" customHeight="1">
      <c r="A17" s="239"/>
      <c r="B17" s="193"/>
      <c r="C17" s="193"/>
      <c r="D17" s="195" t="s">
        <v>12</v>
      </c>
      <c r="E17" s="239" t="s">
        <v>349</v>
      </c>
      <c r="F17" s="197"/>
      <c r="G17" s="205" t="str">
        <f>IF('Zoopl Count'!G17="","",'Zoopl Count'!G17*(2^G$9)/G$8)</f>
        <v/>
      </c>
      <c r="H17" s="205" t="str">
        <f>IF('Zoopl Count'!H17="","",'Zoopl Count'!H17*(2^H$9)/H$8)</f>
        <v/>
      </c>
      <c r="I17" s="205" t="str">
        <f>IF('Zoopl Count'!I17="","",'Zoopl Count'!I17*(2^I$9)/I$8)</f>
        <v/>
      </c>
      <c r="J17" s="205" t="str">
        <f>IF('Zoopl Count'!J17="","",'Zoopl Count'!J17*(2^J$9)/J$8)</f>
        <v/>
      </c>
      <c r="K17" s="205" t="str">
        <f>IF('Zoopl Count'!K17="","",'Zoopl Count'!K17*(2^K$9)/K$8)</f>
        <v/>
      </c>
      <c r="L17" s="205" t="str">
        <f>IF('Zoopl Count'!L17="","",'Zoopl Count'!L17*(2^L$9)/L$8)</f>
        <v/>
      </c>
      <c r="M17" s="205" t="str">
        <f>IF('Zoopl Count'!M17="","",'Zoopl Count'!M17*(2^M$9)/M$8)</f>
        <v/>
      </c>
      <c r="N17" s="205" t="str">
        <f>IF('Zoopl Count'!N17="","",'Zoopl Count'!N17*(2^N$9)/N$8)</f>
        <v/>
      </c>
      <c r="O17" s="205" t="str">
        <f>IF('Zoopl Count'!O17="","",'Zoopl Count'!O17*(2^O$9)/O$8)</f>
        <v/>
      </c>
      <c r="P17" s="205" t="str">
        <f>IF('Zoopl Count'!P17="","",'Zoopl Count'!P17*(2^P$9)/P$8)</f>
        <v/>
      </c>
    </row>
    <row r="18" spans="1:16" s="125" customFormat="1" ht="15" hidden="1" customHeight="1">
      <c r="A18" s="193"/>
      <c r="B18" s="193"/>
      <c r="C18" s="193"/>
      <c r="D18" s="193"/>
      <c r="E18" s="195" t="s">
        <v>14</v>
      </c>
      <c r="F18" s="198" t="s">
        <v>350</v>
      </c>
      <c r="G18" s="205" t="str">
        <f>IF('Zoopl Count'!G18="","",'Zoopl Count'!G18*(2^G$9)/G$8)</f>
        <v/>
      </c>
      <c r="H18" s="205" t="str">
        <f>IF('Zoopl Count'!H18="","",'Zoopl Count'!H18*(2^H$9)/H$8)</f>
        <v/>
      </c>
      <c r="I18" s="205" t="str">
        <f>IF('Zoopl Count'!I18="","",'Zoopl Count'!I18*(2^I$9)/I$8)</f>
        <v/>
      </c>
      <c r="J18" s="205" t="str">
        <f>IF('Zoopl Count'!J18="","",'Zoopl Count'!J18*(2^J$9)/J$8)</f>
        <v/>
      </c>
      <c r="K18" s="205" t="str">
        <f>IF('Zoopl Count'!K18="","",'Zoopl Count'!K18*(2^K$9)/K$8)</f>
        <v/>
      </c>
      <c r="L18" s="205" t="str">
        <f>IF('Zoopl Count'!L18="","",'Zoopl Count'!L18*(2^L$9)/L$8)</f>
        <v/>
      </c>
      <c r="M18" s="205" t="str">
        <f>IF('Zoopl Count'!M18="","",'Zoopl Count'!M18*(2^M$9)/M$8)</f>
        <v/>
      </c>
      <c r="N18" s="205" t="str">
        <f>IF('Zoopl Count'!N18="","",'Zoopl Count'!N18*(2^N$9)/N$8)</f>
        <v/>
      </c>
      <c r="O18" s="205" t="str">
        <f>IF('Zoopl Count'!O18="","",'Zoopl Count'!O18*(2^O$9)/O$8)</f>
        <v/>
      </c>
      <c r="P18" s="205" t="str">
        <f>IF('Zoopl Count'!P18="","",'Zoopl Count'!P18*(2^P$9)/P$8)</f>
        <v/>
      </c>
    </row>
    <row r="19" spans="1:16" s="125" customFormat="1" ht="15" hidden="1" customHeight="1">
      <c r="A19" s="239"/>
      <c r="B19" s="193"/>
      <c r="C19" s="193"/>
      <c r="D19" s="195" t="s">
        <v>12</v>
      </c>
      <c r="E19" s="239" t="s">
        <v>353</v>
      </c>
      <c r="F19" s="197"/>
      <c r="G19" s="205" t="str">
        <f>IF('Zoopl Count'!G19="","",'Zoopl Count'!G19*(2^G$9)/G$8)</f>
        <v/>
      </c>
      <c r="H19" s="205" t="str">
        <f>IF('Zoopl Count'!H19="","",'Zoopl Count'!H19*(2^H$9)/H$8)</f>
        <v/>
      </c>
      <c r="I19" s="205" t="str">
        <f>IF('Zoopl Count'!I19="","",'Zoopl Count'!I19*(2^I$9)/I$8)</f>
        <v/>
      </c>
      <c r="J19" s="205" t="str">
        <f>IF('Zoopl Count'!J19="","",'Zoopl Count'!J19*(2^J$9)/J$8)</f>
        <v/>
      </c>
      <c r="K19" s="205" t="str">
        <f>IF('Zoopl Count'!K19="","",'Zoopl Count'!K19*(2^K$9)/K$8)</f>
        <v/>
      </c>
      <c r="L19" s="205" t="str">
        <f>IF('Zoopl Count'!L19="","",'Zoopl Count'!L19*(2^L$9)/L$8)</f>
        <v/>
      </c>
      <c r="M19" s="205" t="str">
        <f>IF('Zoopl Count'!M19="","",'Zoopl Count'!M19*(2^M$9)/M$8)</f>
        <v/>
      </c>
      <c r="N19" s="205" t="str">
        <f>IF('Zoopl Count'!N19="","",'Zoopl Count'!N19*(2^N$9)/N$8)</f>
        <v/>
      </c>
      <c r="O19" s="205" t="str">
        <f>IF('Zoopl Count'!O19="","",'Zoopl Count'!O19*(2^O$9)/O$8)</f>
        <v/>
      </c>
      <c r="P19" s="205" t="str">
        <f>IF('Zoopl Count'!P19="","",'Zoopl Count'!P19*(2^P$9)/P$8)</f>
        <v/>
      </c>
    </row>
    <row r="20" spans="1:16" s="125" customFormat="1" ht="15" hidden="1" customHeight="1">
      <c r="A20" s="193"/>
      <c r="B20" s="193"/>
      <c r="C20" s="193"/>
      <c r="D20" s="193"/>
      <c r="E20" s="195" t="s">
        <v>14</v>
      </c>
      <c r="F20" s="198" t="s">
        <v>354</v>
      </c>
      <c r="G20" s="205" t="str">
        <f>IF('Zoopl Count'!G20="","",'Zoopl Count'!G20*(2^G$9)/G$8)</f>
        <v/>
      </c>
      <c r="H20" s="205" t="str">
        <f>IF('Zoopl Count'!H20="","",'Zoopl Count'!H20*(2^H$9)/H$8)</f>
        <v/>
      </c>
      <c r="I20" s="205" t="str">
        <f>IF('Zoopl Count'!I20="","",'Zoopl Count'!I20*(2^I$9)/I$8)</f>
        <v/>
      </c>
      <c r="J20" s="205" t="str">
        <f>IF('Zoopl Count'!J20="","",'Zoopl Count'!J20*(2^J$9)/J$8)</f>
        <v/>
      </c>
      <c r="K20" s="205" t="str">
        <f>IF('Zoopl Count'!K20="","",'Zoopl Count'!K20*(2^K$9)/K$8)</f>
        <v/>
      </c>
      <c r="L20" s="205" t="str">
        <f>IF('Zoopl Count'!L20="","",'Zoopl Count'!L20*(2^L$9)/L$8)</f>
        <v/>
      </c>
      <c r="M20" s="205" t="str">
        <f>IF('Zoopl Count'!M20="","",'Zoopl Count'!M20*(2^M$9)/M$8)</f>
        <v/>
      </c>
      <c r="N20" s="205" t="str">
        <f>IF('Zoopl Count'!N20="","",'Zoopl Count'!N20*(2^N$9)/N$8)</f>
        <v/>
      </c>
      <c r="O20" s="205" t="str">
        <f>IF('Zoopl Count'!O20="","",'Zoopl Count'!O20*(2^O$9)/O$8)</f>
        <v/>
      </c>
      <c r="P20" s="205" t="str">
        <f>IF('Zoopl Count'!P20="","",'Zoopl Count'!P20*(2^P$9)/P$8)</f>
        <v/>
      </c>
    </row>
    <row r="21" spans="1:16" s="125" customFormat="1" ht="15" hidden="1" customHeight="1">
      <c r="A21" s="239"/>
      <c r="B21" s="193"/>
      <c r="C21" s="193"/>
      <c r="D21" s="195" t="s">
        <v>12</v>
      </c>
      <c r="E21" s="239" t="s">
        <v>356</v>
      </c>
      <c r="F21" s="197"/>
      <c r="G21" s="205" t="str">
        <f>IF('Zoopl Count'!G21="","",'Zoopl Count'!G21*(2^G$9)/G$8)</f>
        <v/>
      </c>
      <c r="H21" s="205" t="str">
        <f>IF('Zoopl Count'!H21="","",'Zoopl Count'!H21*(2^H$9)/H$8)</f>
        <v/>
      </c>
      <c r="I21" s="205" t="str">
        <f>IF('Zoopl Count'!I21="","",'Zoopl Count'!I21*(2^I$9)/I$8)</f>
        <v/>
      </c>
      <c r="J21" s="205" t="str">
        <f>IF('Zoopl Count'!J21="","",'Zoopl Count'!J21*(2^J$9)/J$8)</f>
        <v/>
      </c>
      <c r="K21" s="205" t="str">
        <f>IF('Zoopl Count'!K21="","",'Zoopl Count'!K21*(2^K$9)/K$8)</f>
        <v/>
      </c>
      <c r="L21" s="205" t="str">
        <f>IF('Zoopl Count'!L21="","",'Zoopl Count'!L21*(2^L$9)/L$8)</f>
        <v/>
      </c>
      <c r="M21" s="205" t="str">
        <f>IF('Zoopl Count'!M21="","",'Zoopl Count'!M21*(2^M$9)/M$8)</f>
        <v/>
      </c>
      <c r="N21" s="205" t="str">
        <f>IF('Zoopl Count'!N21="","",'Zoopl Count'!N21*(2^N$9)/N$8)</f>
        <v/>
      </c>
      <c r="O21" s="205" t="str">
        <f>IF('Zoopl Count'!O21="","",'Zoopl Count'!O21*(2^O$9)/O$8)</f>
        <v/>
      </c>
      <c r="P21" s="205" t="str">
        <f>IF('Zoopl Count'!P21="","",'Zoopl Count'!P21*(2^P$9)/P$8)</f>
        <v/>
      </c>
    </row>
    <row r="22" spans="1:16" s="125" customFormat="1" ht="15" hidden="1" customHeight="1">
      <c r="A22" s="193"/>
      <c r="B22" s="193"/>
      <c r="C22" s="193"/>
      <c r="D22" s="193"/>
      <c r="E22" s="195" t="s">
        <v>14</v>
      </c>
      <c r="F22" s="198" t="s">
        <v>355</v>
      </c>
      <c r="G22" s="205" t="str">
        <f>IF('Zoopl Count'!G22="","",'Zoopl Count'!G22*(2^G$9)/G$8)</f>
        <v/>
      </c>
      <c r="H22" s="205" t="str">
        <f>IF('Zoopl Count'!H22="","",'Zoopl Count'!H22*(2^H$9)/H$8)</f>
        <v/>
      </c>
      <c r="I22" s="205" t="str">
        <f>IF('Zoopl Count'!I22="","",'Zoopl Count'!I22*(2^I$9)/I$8)</f>
        <v/>
      </c>
      <c r="J22" s="205" t="str">
        <f>IF('Zoopl Count'!J22="","",'Zoopl Count'!J22*(2^J$9)/J$8)</f>
        <v/>
      </c>
      <c r="K22" s="205" t="str">
        <f>IF('Zoopl Count'!K22="","",'Zoopl Count'!K22*(2^K$9)/K$8)</f>
        <v/>
      </c>
      <c r="L22" s="205" t="str">
        <f>IF('Zoopl Count'!L22="","",'Zoopl Count'!L22*(2^L$9)/L$8)</f>
        <v/>
      </c>
      <c r="M22" s="205" t="str">
        <f>IF('Zoopl Count'!M22="","",'Zoopl Count'!M22*(2^M$9)/M$8)</f>
        <v/>
      </c>
      <c r="N22" s="205" t="str">
        <f>IF('Zoopl Count'!N22="","",'Zoopl Count'!N22*(2^N$9)/N$8)</f>
        <v/>
      </c>
      <c r="O22" s="205" t="str">
        <f>IF('Zoopl Count'!O22="","",'Zoopl Count'!O22*(2^O$9)/O$8)</f>
        <v/>
      </c>
      <c r="P22" s="205" t="str">
        <f>IF('Zoopl Count'!P22="","",'Zoopl Count'!P22*(2^P$9)/P$8)</f>
        <v/>
      </c>
    </row>
    <row r="23" spans="1:16" s="125" customFormat="1" ht="15" hidden="1" customHeight="1">
      <c r="A23" s="193"/>
      <c r="B23" s="193"/>
      <c r="C23" s="193"/>
      <c r="D23" s="193"/>
      <c r="E23" s="195"/>
      <c r="F23" s="198"/>
      <c r="G23" s="205" t="str">
        <f>IF('Zoopl Count'!G23="","",'Zoopl Count'!G23*(2^G$9)/G$8)</f>
        <v/>
      </c>
      <c r="H23" s="205" t="str">
        <f>IF('Zoopl Count'!H23="","",'Zoopl Count'!H23*(2^H$9)/H$8)</f>
        <v/>
      </c>
      <c r="I23" s="205" t="str">
        <f>IF('Zoopl Count'!I23="","",'Zoopl Count'!I23*(2^I$9)/I$8)</f>
        <v/>
      </c>
      <c r="J23" s="205" t="str">
        <f>IF('Zoopl Count'!J23="","",'Zoopl Count'!J23*(2^J$9)/J$8)</f>
        <v/>
      </c>
      <c r="K23" s="205" t="str">
        <f>IF('Zoopl Count'!K23="","",'Zoopl Count'!K23*(2^K$9)/K$8)</f>
        <v/>
      </c>
      <c r="L23" s="205" t="str">
        <f>IF('Zoopl Count'!L23="","",'Zoopl Count'!L23*(2^L$9)/L$8)</f>
        <v/>
      </c>
      <c r="M23" s="205" t="str">
        <f>IF('Zoopl Count'!M23="","",'Zoopl Count'!M23*(2^M$9)/M$8)</f>
        <v/>
      </c>
      <c r="N23" s="205" t="str">
        <f>IF('Zoopl Count'!N23="","",'Zoopl Count'!N23*(2^N$9)/N$8)</f>
        <v/>
      </c>
      <c r="O23" s="205" t="str">
        <f>IF('Zoopl Count'!O23="","",'Zoopl Count'!O23*(2^O$9)/O$8)</f>
        <v/>
      </c>
      <c r="P23" s="205" t="str">
        <f>IF('Zoopl Count'!P23="","",'Zoopl Count'!P23*(2^P$9)/P$8)</f>
        <v/>
      </c>
    </row>
    <row r="24" spans="1:16" s="125" customFormat="1" ht="15" hidden="1" customHeight="1">
      <c r="B24" s="124" t="s">
        <v>79</v>
      </c>
      <c r="C24" s="125" t="s">
        <v>357</v>
      </c>
      <c r="F24" s="128"/>
      <c r="G24" s="205" t="str">
        <f>IF('Zoopl Count'!G24="","",'Zoopl Count'!G24*(2^G$9)/G$8)</f>
        <v/>
      </c>
      <c r="H24" s="205" t="str">
        <f>IF('Zoopl Count'!H24="","",'Zoopl Count'!H24*(2^H$9)/H$8)</f>
        <v/>
      </c>
      <c r="I24" s="205" t="str">
        <f>IF('Zoopl Count'!I24="","",'Zoopl Count'!I24*(2^I$9)/I$8)</f>
        <v/>
      </c>
      <c r="J24" s="205" t="str">
        <f>IF('Zoopl Count'!J24="","",'Zoopl Count'!J24*(2^J$9)/J$8)</f>
        <v/>
      </c>
      <c r="K24" s="205" t="str">
        <f>IF('Zoopl Count'!K24="","",'Zoopl Count'!K24*(2^K$9)/K$8)</f>
        <v/>
      </c>
      <c r="L24" s="205" t="str">
        <f>IF('Zoopl Count'!L24="","",'Zoopl Count'!L24*(2^L$9)/L$8)</f>
        <v/>
      </c>
      <c r="M24" s="205" t="str">
        <f>IF('Zoopl Count'!M24="","",'Zoopl Count'!M24*(2^M$9)/M$8)</f>
        <v/>
      </c>
      <c r="N24" s="205" t="str">
        <f>IF('Zoopl Count'!N24="","",'Zoopl Count'!N24*(2^N$9)/N$8)</f>
        <v/>
      </c>
      <c r="O24" s="205" t="str">
        <f>IF('Zoopl Count'!O24="","",'Zoopl Count'!O24*(2^O$9)/O$8)</f>
        <v/>
      </c>
      <c r="P24" s="205" t="str">
        <f>IF('Zoopl Count'!P24="","",'Zoopl Count'!P24*(2^P$9)/P$8)</f>
        <v/>
      </c>
    </row>
    <row r="25" spans="1:16" s="125" customFormat="1" ht="15" hidden="1" customHeight="1">
      <c r="C25" s="124" t="s">
        <v>10</v>
      </c>
      <c r="D25" s="125" t="s">
        <v>358</v>
      </c>
      <c r="F25" s="128"/>
      <c r="G25" s="205" t="str">
        <f>IF('Zoopl Count'!G25="","",'Zoopl Count'!G25*(2^G$9)/G$8)</f>
        <v/>
      </c>
      <c r="H25" s="205" t="str">
        <f>IF('Zoopl Count'!H25="","",'Zoopl Count'!H25*(2^H$9)/H$8)</f>
        <v/>
      </c>
      <c r="I25" s="205" t="str">
        <f>IF('Zoopl Count'!I25="","",'Zoopl Count'!I25*(2^I$9)/I$8)</f>
        <v/>
      </c>
      <c r="J25" s="205" t="str">
        <f>IF('Zoopl Count'!J25="","",'Zoopl Count'!J25*(2^J$9)/J$8)</f>
        <v/>
      </c>
      <c r="K25" s="205" t="str">
        <f>IF('Zoopl Count'!K25="","",'Zoopl Count'!K25*(2^K$9)/K$8)</f>
        <v/>
      </c>
      <c r="L25" s="205" t="str">
        <f>IF('Zoopl Count'!L25="","",'Zoopl Count'!L25*(2^L$9)/L$8)</f>
        <v/>
      </c>
      <c r="M25" s="205" t="str">
        <f>IF('Zoopl Count'!M25="","",'Zoopl Count'!M25*(2^M$9)/M$8)</f>
        <v/>
      </c>
      <c r="N25" s="205" t="str">
        <f>IF('Zoopl Count'!N25="","",'Zoopl Count'!N25*(2^N$9)/N$8)</f>
        <v/>
      </c>
      <c r="O25" s="205" t="str">
        <f>IF('Zoopl Count'!O25="","",'Zoopl Count'!O25*(2^O$9)/O$8)</f>
        <v/>
      </c>
      <c r="P25" s="205" t="str">
        <f>IF('Zoopl Count'!P25="","",'Zoopl Count'!P25*(2^P$9)/P$8)</f>
        <v/>
      </c>
    </row>
    <row r="26" spans="1:16" s="125" customFormat="1" ht="15" hidden="1" customHeight="1">
      <c r="A26" s="193"/>
      <c r="B26" s="193"/>
      <c r="C26" s="193"/>
      <c r="D26" s="195" t="s">
        <v>12</v>
      </c>
      <c r="E26" s="239" t="s">
        <v>359</v>
      </c>
      <c r="F26" s="197"/>
      <c r="G26" s="205" t="str">
        <f>IF('Zoopl Count'!G26="","",'Zoopl Count'!G26*(2^G$9)/G$8)</f>
        <v/>
      </c>
      <c r="H26" s="205" t="str">
        <f>IF('Zoopl Count'!H26="","",'Zoopl Count'!H26*(2^H$9)/H$8)</f>
        <v/>
      </c>
      <c r="I26" s="205" t="str">
        <f>IF('Zoopl Count'!I26="","",'Zoopl Count'!I26*(2^I$9)/I$8)</f>
        <v/>
      </c>
      <c r="J26" s="205" t="str">
        <f>IF('Zoopl Count'!J26="","",'Zoopl Count'!J26*(2^J$9)/J$8)</f>
        <v/>
      </c>
      <c r="K26" s="205" t="str">
        <f>IF('Zoopl Count'!K26="","",'Zoopl Count'!K26*(2^K$9)/K$8)</f>
        <v/>
      </c>
      <c r="L26" s="205" t="str">
        <f>IF('Zoopl Count'!L26="","",'Zoopl Count'!L26*(2^L$9)/L$8)</f>
        <v/>
      </c>
      <c r="M26" s="205" t="str">
        <f>IF('Zoopl Count'!M26="","",'Zoopl Count'!M26*(2^M$9)/M$8)</f>
        <v/>
      </c>
      <c r="N26" s="205" t="str">
        <f>IF('Zoopl Count'!N26="","",'Zoopl Count'!N26*(2^N$9)/N$8)</f>
        <v/>
      </c>
      <c r="O26" s="205" t="str">
        <f>IF('Zoopl Count'!O26="","",'Zoopl Count'!O26*(2^O$9)/O$8)</f>
        <v/>
      </c>
      <c r="P26" s="205" t="str">
        <f>IF('Zoopl Count'!P26="","",'Zoopl Count'!P26*(2^P$9)/P$8)</f>
        <v/>
      </c>
    </row>
    <row r="27" spans="1:16" s="125" customFormat="1" ht="15" hidden="1" customHeight="1">
      <c r="A27" s="193"/>
      <c r="B27" s="193"/>
      <c r="C27" s="193"/>
      <c r="D27" s="193"/>
      <c r="E27" s="195" t="s">
        <v>14</v>
      </c>
      <c r="F27" s="198" t="s">
        <v>360</v>
      </c>
      <c r="G27" s="205" t="str">
        <f>IF('Zoopl Count'!G27="","",'Zoopl Count'!G27*(2^G$9)/G$8)</f>
        <v/>
      </c>
      <c r="H27" s="205" t="str">
        <f>IF('Zoopl Count'!H27="","",'Zoopl Count'!H27*(2^H$9)/H$8)</f>
        <v/>
      </c>
      <c r="I27" s="205" t="str">
        <f>IF('Zoopl Count'!I27="","",'Zoopl Count'!I27*(2^I$9)/I$8)</f>
        <v/>
      </c>
      <c r="J27" s="205" t="str">
        <f>IF('Zoopl Count'!J27="","",'Zoopl Count'!J27*(2^J$9)/J$8)</f>
        <v/>
      </c>
      <c r="K27" s="205" t="str">
        <f>IF('Zoopl Count'!K27="","",'Zoopl Count'!K27*(2^K$9)/K$8)</f>
        <v/>
      </c>
      <c r="L27" s="205" t="str">
        <f>IF('Zoopl Count'!L27="","",'Zoopl Count'!L27*(2^L$9)/L$8)</f>
        <v/>
      </c>
      <c r="M27" s="205" t="str">
        <f>IF('Zoopl Count'!M27="","",'Zoopl Count'!M27*(2^M$9)/M$8)</f>
        <v/>
      </c>
      <c r="N27" s="205" t="str">
        <f>IF('Zoopl Count'!N27="","",'Zoopl Count'!N27*(2^N$9)/N$8)</f>
        <v/>
      </c>
      <c r="O27" s="205" t="str">
        <f>IF('Zoopl Count'!O27="","",'Zoopl Count'!O27*(2^O$9)/O$8)</f>
        <v/>
      </c>
      <c r="P27" s="205" t="str">
        <f>IF('Zoopl Count'!P27="","",'Zoopl Count'!P27*(2^P$9)/P$8)</f>
        <v/>
      </c>
    </row>
    <row r="28" spans="1:16" s="125" customFormat="1" ht="15" hidden="1" customHeight="1">
      <c r="A28" s="193"/>
      <c r="B28" s="193"/>
      <c r="C28" s="193"/>
      <c r="D28" s="193"/>
      <c r="E28" s="195"/>
      <c r="F28" s="198"/>
      <c r="G28" s="205" t="str">
        <f>IF('Zoopl Count'!G28="","",'Zoopl Count'!G28*(2^G$9)/G$8)</f>
        <v/>
      </c>
      <c r="H28" s="205" t="str">
        <f>IF('Zoopl Count'!H28="","",'Zoopl Count'!H28*(2^H$9)/H$8)</f>
        <v/>
      </c>
      <c r="I28" s="205" t="str">
        <f>IF('Zoopl Count'!I28="","",'Zoopl Count'!I28*(2^I$9)/I$8)</f>
        <v/>
      </c>
      <c r="J28" s="205" t="str">
        <f>IF('Zoopl Count'!J28="","",'Zoopl Count'!J28*(2^J$9)/J$8)</f>
        <v/>
      </c>
      <c r="K28" s="205" t="str">
        <f>IF('Zoopl Count'!K28="","",'Zoopl Count'!K28*(2^K$9)/K$8)</f>
        <v/>
      </c>
      <c r="L28" s="205" t="str">
        <f>IF('Zoopl Count'!L28="","",'Zoopl Count'!L28*(2^L$9)/L$8)</f>
        <v/>
      </c>
      <c r="M28" s="205" t="str">
        <f>IF('Zoopl Count'!M28="","",'Zoopl Count'!M28*(2^M$9)/M$8)</f>
        <v/>
      </c>
      <c r="N28" s="205" t="str">
        <f>IF('Zoopl Count'!N28="","",'Zoopl Count'!N28*(2^N$9)/N$8)</f>
        <v/>
      </c>
      <c r="O28" s="205" t="str">
        <f>IF('Zoopl Count'!O28="","",'Zoopl Count'!O28*(2^O$9)/O$8)</f>
        <v/>
      </c>
      <c r="P28" s="205" t="str">
        <f>IF('Zoopl Count'!P28="","",'Zoopl Count'!P28*(2^P$9)/P$8)</f>
        <v/>
      </c>
    </row>
    <row r="29" spans="1:16" s="125" customFormat="1" ht="15" hidden="1" customHeight="1">
      <c r="B29" s="124" t="s">
        <v>79</v>
      </c>
      <c r="C29" s="125" t="s">
        <v>361</v>
      </c>
      <c r="F29" s="128"/>
      <c r="G29" s="205" t="str">
        <f>IF('Zoopl Count'!G29="","",'Zoopl Count'!G29*(2^G$9)/G$8)</f>
        <v/>
      </c>
      <c r="H29" s="205" t="str">
        <f>IF('Zoopl Count'!H29="","",'Zoopl Count'!H29*(2^H$9)/H$8)</f>
        <v/>
      </c>
      <c r="I29" s="205" t="str">
        <f>IF('Zoopl Count'!I29="","",'Zoopl Count'!I29*(2^I$9)/I$8)</f>
        <v/>
      </c>
      <c r="J29" s="205" t="str">
        <f>IF('Zoopl Count'!J29="","",'Zoopl Count'!J29*(2^J$9)/J$8)</f>
        <v/>
      </c>
      <c r="K29" s="205" t="str">
        <f>IF('Zoopl Count'!K29="","",'Zoopl Count'!K29*(2^K$9)/K$8)</f>
        <v/>
      </c>
      <c r="L29" s="205" t="str">
        <f>IF('Zoopl Count'!L29="","",'Zoopl Count'!L29*(2^L$9)/L$8)</f>
        <v/>
      </c>
      <c r="M29" s="205" t="str">
        <f>IF('Zoopl Count'!M29="","",'Zoopl Count'!M29*(2^M$9)/M$8)</f>
        <v/>
      </c>
      <c r="N29" s="205" t="str">
        <f>IF('Zoopl Count'!N29="","",'Zoopl Count'!N29*(2^N$9)/N$8)</f>
        <v/>
      </c>
      <c r="O29" s="205" t="str">
        <f>IF('Zoopl Count'!O29="","",'Zoopl Count'!O29*(2^O$9)/O$8)</f>
        <v/>
      </c>
      <c r="P29" s="205" t="str">
        <f>IF('Zoopl Count'!P29="","",'Zoopl Count'!P29*(2^P$9)/P$8)</f>
        <v/>
      </c>
    </row>
    <row r="30" spans="1:16" s="125" customFormat="1" ht="15" hidden="1" customHeight="1">
      <c r="C30" s="124" t="s">
        <v>10</v>
      </c>
      <c r="D30" s="125" t="s">
        <v>411</v>
      </c>
      <c r="F30" s="128"/>
      <c r="G30" s="205" t="str">
        <f>IF('Zoopl Count'!G30="","",'Zoopl Count'!G30*(2^G$9)/G$8)</f>
        <v/>
      </c>
      <c r="H30" s="205" t="str">
        <f>IF('Zoopl Count'!H30="","",'Zoopl Count'!H30*(2^H$9)/H$8)</f>
        <v/>
      </c>
      <c r="I30" s="205" t="str">
        <f>IF('Zoopl Count'!I30="","",'Zoopl Count'!I30*(2^I$9)/I$8)</f>
        <v/>
      </c>
      <c r="J30" s="205" t="str">
        <f>IF('Zoopl Count'!J30="","",'Zoopl Count'!J30*(2^J$9)/J$8)</f>
        <v/>
      </c>
      <c r="K30" s="205" t="str">
        <f>IF('Zoopl Count'!K30="","",'Zoopl Count'!K30*(2^K$9)/K$8)</f>
        <v/>
      </c>
      <c r="L30" s="205" t="str">
        <f>IF('Zoopl Count'!L30="","",'Zoopl Count'!L30*(2^L$9)/L$8)</f>
        <v/>
      </c>
      <c r="M30" s="205" t="str">
        <f>IF('Zoopl Count'!M30="","",'Zoopl Count'!M30*(2^M$9)/M$8)</f>
        <v/>
      </c>
      <c r="N30" s="205" t="str">
        <f>IF('Zoopl Count'!N30="","",'Zoopl Count'!N30*(2^N$9)/N$8)</f>
        <v/>
      </c>
      <c r="O30" s="205" t="str">
        <f>IF('Zoopl Count'!O30="","",'Zoopl Count'!O30*(2^O$9)/O$8)</f>
        <v/>
      </c>
      <c r="P30" s="205" t="str">
        <f>IF('Zoopl Count'!P30="","",'Zoopl Count'!P30*(2^P$9)/P$8)</f>
        <v/>
      </c>
    </row>
    <row r="31" spans="1:16" s="125" customFormat="1" ht="15" hidden="1" customHeight="1">
      <c r="A31" s="193"/>
      <c r="B31" s="193"/>
      <c r="C31" s="193"/>
      <c r="D31" s="195" t="s">
        <v>12</v>
      </c>
      <c r="E31" s="239" t="s">
        <v>363</v>
      </c>
      <c r="F31" s="197"/>
      <c r="G31" s="205" t="str">
        <f>IF('Zoopl Count'!G31="","",'Zoopl Count'!G31*(2^G$9)/G$8)</f>
        <v/>
      </c>
      <c r="H31" s="205" t="str">
        <f>IF('Zoopl Count'!H31="","",'Zoopl Count'!H31*(2^H$9)/H$8)</f>
        <v/>
      </c>
      <c r="I31" s="205" t="str">
        <f>IF('Zoopl Count'!I31="","",'Zoopl Count'!I31*(2^I$9)/I$8)</f>
        <v/>
      </c>
      <c r="J31" s="205" t="str">
        <f>IF('Zoopl Count'!J31="","",'Zoopl Count'!J31*(2^J$9)/J$8)</f>
        <v/>
      </c>
      <c r="K31" s="205" t="str">
        <f>IF('Zoopl Count'!K31="","",'Zoopl Count'!K31*(2^K$9)/K$8)</f>
        <v/>
      </c>
      <c r="L31" s="205" t="str">
        <f>IF('Zoopl Count'!L31="","",'Zoopl Count'!L31*(2^L$9)/L$8)</f>
        <v/>
      </c>
      <c r="M31" s="205" t="str">
        <f>IF('Zoopl Count'!M31="","",'Zoopl Count'!M31*(2^M$9)/M$8)</f>
        <v/>
      </c>
      <c r="N31" s="205" t="str">
        <f>IF('Zoopl Count'!N31="","",'Zoopl Count'!N31*(2^N$9)/N$8)</f>
        <v/>
      </c>
      <c r="O31" s="205" t="str">
        <f>IF('Zoopl Count'!O31="","",'Zoopl Count'!O31*(2^O$9)/O$8)</f>
        <v/>
      </c>
      <c r="P31" s="205" t="str">
        <f>IF('Zoopl Count'!P31="","",'Zoopl Count'!P31*(2^P$9)/P$8)</f>
        <v/>
      </c>
    </row>
    <row r="32" spans="1:16" s="125" customFormat="1" ht="15" hidden="1" customHeight="1">
      <c r="A32" s="193"/>
      <c r="B32" s="193"/>
      <c r="C32" s="193"/>
      <c r="D32" s="193"/>
      <c r="E32" s="195" t="s">
        <v>14</v>
      </c>
      <c r="F32" s="198" t="s">
        <v>364</v>
      </c>
      <c r="G32" s="205" t="str">
        <f>IF('Zoopl Count'!G32="","",'Zoopl Count'!G32*(2^G$9)/G$8)</f>
        <v/>
      </c>
      <c r="H32" s="205" t="str">
        <f>IF('Zoopl Count'!H32="","",'Zoopl Count'!H32*(2^H$9)/H$8)</f>
        <v/>
      </c>
      <c r="I32" s="205" t="str">
        <f>IF('Zoopl Count'!I32="","",'Zoopl Count'!I32*(2^I$9)/I$8)</f>
        <v/>
      </c>
      <c r="J32" s="205" t="str">
        <f>IF('Zoopl Count'!J32="","",'Zoopl Count'!J32*(2^J$9)/J$8)</f>
        <v/>
      </c>
      <c r="K32" s="205" t="str">
        <f>IF('Zoopl Count'!K32="","",'Zoopl Count'!K32*(2^K$9)/K$8)</f>
        <v/>
      </c>
      <c r="L32" s="205" t="str">
        <f>IF('Zoopl Count'!L32="","",'Zoopl Count'!L32*(2^L$9)/L$8)</f>
        <v/>
      </c>
      <c r="M32" s="205" t="str">
        <f>IF('Zoopl Count'!M32="","",'Zoopl Count'!M32*(2^M$9)/M$8)</f>
        <v/>
      </c>
      <c r="N32" s="205" t="str">
        <f>IF('Zoopl Count'!N32="","",'Zoopl Count'!N32*(2^N$9)/N$8)</f>
        <v/>
      </c>
      <c r="O32" s="205" t="str">
        <f>IF('Zoopl Count'!O32="","",'Zoopl Count'!O32*(2^O$9)/O$8)</f>
        <v/>
      </c>
      <c r="P32" s="205" t="str">
        <f>IF('Zoopl Count'!P32="","",'Zoopl Count'!P32*(2^P$9)/P$8)</f>
        <v/>
      </c>
    </row>
    <row r="33" spans="1:16" s="125" customFormat="1" ht="15" hidden="1" customHeight="1">
      <c r="A33" s="193"/>
      <c r="B33" s="193"/>
      <c r="C33" s="193"/>
      <c r="D33" s="193"/>
      <c r="E33" s="195"/>
      <c r="F33" s="198" t="s">
        <v>365</v>
      </c>
      <c r="G33" s="205" t="str">
        <f>IF('Zoopl Count'!G33="","",'Zoopl Count'!G33*(2^G$9)/G$8)</f>
        <v/>
      </c>
      <c r="H33" s="205" t="str">
        <f>IF('Zoopl Count'!H33="","",'Zoopl Count'!H33*(2^H$9)/H$8)</f>
        <v/>
      </c>
      <c r="I33" s="205" t="str">
        <f>IF('Zoopl Count'!I33="","",'Zoopl Count'!I33*(2^I$9)/I$8)</f>
        <v/>
      </c>
      <c r="J33" s="205" t="str">
        <f>IF('Zoopl Count'!J33="","",'Zoopl Count'!J33*(2^J$9)/J$8)</f>
        <v/>
      </c>
      <c r="K33" s="205" t="str">
        <f>IF('Zoopl Count'!K33="","",'Zoopl Count'!K33*(2^K$9)/K$8)</f>
        <v/>
      </c>
      <c r="L33" s="205" t="str">
        <f>IF('Zoopl Count'!L33="","",'Zoopl Count'!L33*(2^L$9)/L$8)</f>
        <v/>
      </c>
      <c r="M33" s="205" t="str">
        <f>IF('Zoopl Count'!M33="","",'Zoopl Count'!M33*(2^M$9)/M$8)</f>
        <v/>
      </c>
      <c r="N33" s="205" t="str">
        <f>IF('Zoopl Count'!N33="","",'Zoopl Count'!N33*(2^N$9)/N$8)</f>
        <v/>
      </c>
      <c r="O33" s="205" t="str">
        <f>IF('Zoopl Count'!O33="","",'Zoopl Count'!O33*(2^O$9)/O$8)</f>
        <v/>
      </c>
      <c r="P33" s="205" t="str">
        <f>IF('Zoopl Count'!P33="","",'Zoopl Count'!P33*(2^P$9)/P$8)</f>
        <v/>
      </c>
    </row>
    <row r="34" spans="1:16" s="125" customFormat="1" ht="15" hidden="1" customHeight="1">
      <c r="A34" s="193"/>
      <c r="B34" s="193"/>
      <c r="C34" s="193"/>
      <c r="D34" s="193"/>
      <c r="E34" s="195"/>
      <c r="F34" s="198" t="s">
        <v>366</v>
      </c>
      <c r="G34" s="205" t="str">
        <f>IF('Zoopl Count'!G34="","",'Zoopl Count'!G34*(2^G$9)/G$8)</f>
        <v/>
      </c>
      <c r="H34" s="205" t="str">
        <f>IF('Zoopl Count'!H34="","",'Zoopl Count'!H34*(2^H$9)/H$8)</f>
        <v/>
      </c>
      <c r="I34" s="205" t="str">
        <f>IF('Zoopl Count'!I34="","",'Zoopl Count'!I34*(2^I$9)/I$8)</f>
        <v/>
      </c>
      <c r="J34" s="205" t="str">
        <f>IF('Zoopl Count'!J34="","",'Zoopl Count'!J34*(2^J$9)/J$8)</f>
        <v/>
      </c>
      <c r="K34" s="205" t="str">
        <f>IF('Zoopl Count'!K34="","",'Zoopl Count'!K34*(2^K$9)/K$8)</f>
        <v/>
      </c>
      <c r="L34" s="205" t="str">
        <f>IF('Zoopl Count'!L34="","",'Zoopl Count'!L34*(2^L$9)/L$8)</f>
        <v/>
      </c>
      <c r="M34" s="205" t="str">
        <f>IF('Zoopl Count'!M34="","",'Zoopl Count'!M34*(2^M$9)/M$8)</f>
        <v/>
      </c>
      <c r="N34" s="205" t="str">
        <f>IF('Zoopl Count'!N34="","",'Zoopl Count'!N34*(2^N$9)/N$8)</f>
        <v/>
      </c>
      <c r="O34" s="205" t="str">
        <f>IF('Zoopl Count'!O34="","",'Zoopl Count'!O34*(2^O$9)/O$8)</f>
        <v/>
      </c>
      <c r="P34" s="205" t="str">
        <f>IF('Zoopl Count'!P34="","",'Zoopl Count'!P34*(2^P$9)/P$8)</f>
        <v/>
      </c>
    </row>
    <row r="35" spans="1:16" s="125" customFormat="1" ht="15" hidden="1" customHeight="1">
      <c r="F35" s="128"/>
      <c r="G35" s="205" t="str">
        <f>IF('Zoopl Count'!G35="","",'Zoopl Count'!G35*(2^G$9)/G$8)</f>
        <v/>
      </c>
      <c r="H35" s="205" t="str">
        <f>IF('Zoopl Count'!H35="","",'Zoopl Count'!H35*(2^H$9)/H$8)</f>
        <v/>
      </c>
      <c r="I35" s="205" t="str">
        <f>IF('Zoopl Count'!I35="","",'Zoopl Count'!I35*(2^I$9)/I$8)</f>
        <v/>
      </c>
      <c r="J35" s="205" t="str">
        <f>IF('Zoopl Count'!J35="","",'Zoopl Count'!J35*(2^J$9)/J$8)</f>
        <v/>
      </c>
      <c r="K35" s="205" t="str">
        <f>IF('Zoopl Count'!K35="","",'Zoopl Count'!K35*(2^K$9)/K$8)</f>
        <v/>
      </c>
      <c r="L35" s="205" t="str">
        <f>IF('Zoopl Count'!L35="","",'Zoopl Count'!L35*(2^L$9)/L$8)</f>
        <v/>
      </c>
      <c r="M35" s="205" t="str">
        <f>IF('Zoopl Count'!M35="","",'Zoopl Count'!M35*(2^M$9)/M$8)</f>
        <v/>
      </c>
      <c r="N35" s="205" t="str">
        <f>IF('Zoopl Count'!N35="","",'Zoopl Count'!N35*(2^N$9)/N$8)</f>
        <v/>
      </c>
      <c r="O35" s="205" t="str">
        <f>IF('Zoopl Count'!O35="","",'Zoopl Count'!O35*(2^O$9)/O$8)</f>
        <v/>
      </c>
      <c r="P35" s="205" t="str">
        <f>IF('Zoopl Count'!P35="","",'Zoopl Count'!P35*(2^P$9)/P$8)</f>
        <v/>
      </c>
    </row>
    <row r="36" spans="1:16" s="125" customFormat="1" hidden="1">
      <c r="A36" s="124" t="s">
        <v>7</v>
      </c>
      <c r="B36" s="125" t="s">
        <v>188</v>
      </c>
      <c r="F36" s="128"/>
      <c r="G36" s="205" t="str">
        <f>IF('Zoopl Count'!G36="","",'Zoopl Count'!G36*(2^G$9)/G$8)</f>
        <v/>
      </c>
      <c r="H36" s="205" t="str">
        <f>IF('Zoopl Count'!H36="","",'Zoopl Count'!H36*(2^H$9)/H$8)</f>
        <v/>
      </c>
      <c r="I36" s="205" t="str">
        <f>IF('Zoopl Count'!I36="","",'Zoopl Count'!I36*(2^I$9)/I$8)</f>
        <v/>
      </c>
      <c r="J36" s="205" t="str">
        <f>IF('Zoopl Count'!J36="","",'Zoopl Count'!J36*(2^J$9)/J$8)</f>
        <v/>
      </c>
      <c r="K36" s="205" t="str">
        <f>IF('Zoopl Count'!K36="","",'Zoopl Count'!K36*(2^K$9)/K$8)</f>
        <v/>
      </c>
      <c r="L36" s="205" t="str">
        <f>IF('Zoopl Count'!L36="","",'Zoopl Count'!L36*(2^L$9)/L$8)</f>
        <v/>
      </c>
      <c r="M36" s="205" t="str">
        <f>IF('Zoopl Count'!M36="","",'Zoopl Count'!M36*(2^M$9)/M$8)</f>
        <v/>
      </c>
      <c r="N36" s="205" t="str">
        <f>IF('Zoopl Count'!N36="","",'Zoopl Count'!N36*(2^N$9)/N$8)</f>
        <v/>
      </c>
      <c r="O36" s="205" t="str">
        <f>IF('Zoopl Count'!O36="","",'Zoopl Count'!O36*(2^O$9)/O$8)</f>
        <v/>
      </c>
      <c r="P36" s="205" t="str">
        <f>IF('Zoopl Count'!P36="","",'Zoopl Count'!P36*(2^P$9)/P$8)</f>
        <v/>
      </c>
    </row>
    <row r="37" spans="1:16" s="125" customFormat="1" hidden="1">
      <c r="B37" s="124" t="s">
        <v>79</v>
      </c>
      <c r="C37" s="125" t="s">
        <v>189</v>
      </c>
      <c r="F37" s="128"/>
      <c r="G37" s="205" t="str">
        <f>IF('Zoopl Count'!G37="","",'Zoopl Count'!G37*(2^G$9)/G$8)</f>
        <v/>
      </c>
      <c r="H37" s="205" t="str">
        <f>IF('Zoopl Count'!H37="","",'Zoopl Count'!H37*(2^H$9)/H$8)</f>
        <v/>
      </c>
      <c r="I37" s="205" t="str">
        <f>IF('Zoopl Count'!I37="","",'Zoopl Count'!I37*(2^I$9)/I$8)</f>
        <v/>
      </c>
      <c r="J37" s="205" t="str">
        <f>IF('Zoopl Count'!J37="","",'Zoopl Count'!J37*(2^J$9)/J$8)</f>
        <v/>
      </c>
      <c r="K37" s="205" t="str">
        <f>IF('Zoopl Count'!K37="","",'Zoopl Count'!K37*(2^K$9)/K$8)</f>
        <v/>
      </c>
      <c r="L37" s="205" t="str">
        <f>IF('Zoopl Count'!L37="","",'Zoopl Count'!L37*(2^L$9)/L$8)</f>
        <v/>
      </c>
      <c r="M37" s="205" t="str">
        <f>IF('Zoopl Count'!M37="","",'Zoopl Count'!M37*(2^M$9)/M$8)</f>
        <v/>
      </c>
      <c r="N37" s="205" t="str">
        <f>IF('Zoopl Count'!N37="","",'Zoopl Count'!N37*(2^N$9)/N$8)</f>
        <v/>
      </c>
      <c r="O37" s="205" t="str">
        <f>IF('Zoopl Count'!O37="","",'Zoopl Count'!O37*(2^O$9)/O$8)</f>
        <v/>
      </c>
      <c r="P37" s="205" t="str">
        <f>IF('Zoopl Count'!P37="","",'Zoopl Count'!P37*(2^P$9)/P$8)</f>
        <v/>
      </c>
    </row>
    <row r="38" spans="1:16" s="125" customFormat="1" ht="15" hidden="1" customHeight="1">
      <c r="C38" s="124" t="s">
        <v>10</v>
      </c>
      <c r="D38" s="125" t="s">
        <v>190</v>
      </c>
      <c r="F38" s="128"/>
      <c r="G38" s="205" t="str">
        <f>IF('Zoopl Count'!G38="","",'Zoopl Count'!G38*(2^G$9)/G$8)</f>
        <v/>
      </c>
      <c r="H38" s="205" t="str">
        <f>IF('Zoopl Count'!H38="","",'Zoopl Count'!H38*(2^H$9)/H$8)</f>
        <v/>
      </c>
      <c r="I38" s="205" t="str">
        <f>IF('Zoopl Count'!I38="","",'Zoopl Count'!I38*(2^I$9)/I$8)</f>
        <v/>
      </c>
      <c r="J38" s="205" t="str">
        <f>IF('Zoopl Count'!J38="","",'Zoopl Count'!J38*(2^J$9)/J$8)</f>
        <v/>
      </c>
      <c r="K38" s="205" t="str">
        <f>IF('Zoopl Count'!K38="","",'Zoopl Count'!K38*(2^K$9)/K$8)</f>
        <v/>
      </c>
      <c r="L38" s="205" t="str">
        <f>IF('Zoopl Count'!L38="","",'Zoopl Count'!L38*(2^L$9)/L$8)</f>
        <v/>
      </c>
      <c r="M38" s="205" t="str">
        <f>IF('Zoopl Count'!M38="","",'Zoopl Count'!M38*(2^M$9)/M$8)</f>
        <v/>
      </c>
      <c r="N38" s="205" t="str">
        <f>IF('Zoopl Count'!N38="","",'Zoopl Count'!N38*(2^N$9)/N$8)</f>
        <v/>
      </c>
      <c r="O38" s="205" t="str">
        <f>IF('Zoopl Count'!O38="","",'Zoopl Count'!O38*(2^O$9)/O$8)</f>
        <v/>
      </c>
      <c r="P38" s="205" t="str">
        <f>IF('Zoopl Count'!P38="","",'Zoopl Count'!P38*(2^P$9)/P$8)</f>
        <v/>
      </c>
    </row>
    <row r="39" spans="1:16" s="125" customFormat="1" ht="15" hidden="1" customHeight="1">
      <c r="D39" s="129" t="s">
        <v>12</v>
      </c>
      <c r="E39" s="130" t="s">
        <v>191</v>
      </c>
      <c r="F39" s="131"/>
      <c r="G39" s="205" t="str">
        <f>IF('Zoopl Count'!G39="","",'Zoopl Count'!G39*(2^G$9)/G$8)</f>
        <v/>
      </c>
      <c r="H39" s="205" t="str">
        <f>IF('Zoopl Count'!H39="","",'Zoopl Count'!H39*(2^H$9)/H$8)</f>
        <v/>
      </c>
      <c r="I39" s="205" t="str">
        <f>IF('Zoopl Count'!I39="","",'Zoopl Count'!I39*(2^I$9)/I$8)</f>
        <v/>
      </c>
      <c r="J39" s="205" t="str">
        <f>IF('Zoopl Count'!J39="","",'Zoopl Count'!J39*(2^J$9)/J$8)</f>
        <v/>
      </c>
      <c r="K39" s="205" t="str">
        <f>IF('Zoopl Count'!K39="","",'Zoopl Count'!K39*(2^K$9)/K$8)</f>
        <v/>
      </c>
      <c r="L39" s="205" t="str">
        <f>IF('Zoopl Count'!L39="","",'Zoopl Count'!L39*(2^L$9)/L$8)</f>
        <v/>
      </c>
      <c r="M39" s="205" t="str">
        <f>IF('Zoopl Count'!M39="","",'Zoopl Count'!M39*(2^M$9)/M$8)</f>
        <v/>
      </c>
      <c r="N39" s="205" t="str">
        <f>IF('Zoopl Count'!N39="","",'Zoopl Count'!N39*(2^N$9)/N$8)</f>
        <v/>
      </c>
      <c r="O39" s="205" t="str">
        <f>IF('Zoopl Count'!O39="","",'Zoopl Count'!O39*(2^O$9)/O$8)</f>
        <v/>
      </c>
      <c r="P39" s="205" t="str">
        <f>IF('Zoopl Count'!P39="","",'Zoopl Count'!P39*(2^P$9)/P$8)</f>
        <v/>
      </c>
    </row>
    <row r="40" spans="1:16" s="125" customFormat="1" ht="15" hidden="1" customHeight="1">
      <c r="E40" s="129" t="s">
        <v>14</v>
      </c>
      <c r="F40" s="167" t="s">
        <v>192</v>
      </c>
      <c r="G40" s="205" t="str">
        <f>IF('Zoopl Count'!G40="","",'Zoopl Count'!G40*(2^G$9)/G$8)</f>
        <v/>
      </c>
      <c r="H40" s="205" t="str">
        <f>IF('Zoopl Count'!H40="","",'Zoopl Count'!H40*(2^H$9)/H$8)</f>
        <v/>
      </c>
      <c r="I40" s="205" t="str">
        <f>IF('Zoopl Count'!I40="","",'Zoopl Count'!I40*(2^I$9)/I$8)</f>
        <v/>
      </c>
      <c r="J40" s="205" t="str">
        <f>IF('Zoopl Count'!J40="","",'Zoopl Count'!J40*(2^J$9)/J$8)</f>
        <v/>
      </c>
      <c r="K40" s="205" t="str">
        <f>IF('Zoopl Count'!K40="","",'Zoopl Count'!K40*(2^K$9)/K$8)</f>
        <v/>
      </c>
      <c r="L40" s="205" t="str">
        <f>IF('Zoopl Count'!L40="","",'Zoopl Count'!L40*(2^L$9)/L$8)</f>
        <v/>
      </c>
      <c r="M40" s="205" t="str">
        <f>IF('Zoopl Count'!M40="","",'Zoopl Count'!M40*(2^M$9)/M$8)</f>
        <v/>
      </c>
      <c r="N40" s="205" t="str">
        <f>IF('Zoopl Count'!N40="","",'Zoopl Count'!N40*(2^N$9)/N$8)</f>
        <v/>
      </c>
      <c r="O40" s="205" t="str">
        <f>IF('Zoopl Count'!O40="","",'Zoopl Count'!O40*(2^O$9)/O$8)</f>
        <v/>
      </c>
      <c r="P40" s="205" t="str">
        <f>IF('Zoopl Count'!P40="","",'Zoopl Count'!P40*(2^P$9)/P$8)</f>
        <v/>
      </c>
    </row>
    <row r="41" spans="1:16" s="125" customFormat="1" ht="15" hidden="1" customHeight="1">
      <c r="E41" s="129"/>
      <c r="F41" s="128"/>
      <c r="G41" s="205" t="str">
        <f>IF('Zoopl Count'!G41="","",'Zoopl Count'!G41*(2^G$9)/G$8)</f>
        <v/>
      </c>
      <c r="H41" s="205" t="str">
        <f>IF('Zoopl Count'!H41="","",'Zoopl Count'!H41*(2^H$9)/H$8)</f>
        <v/>
      </c>
      <c r="I41" s="205" t="str">
        <f>IF('Zoopl Count'!I41="","",'Zoopl Count'!I41*(2^I$9)/I$8)</f>
        <v/>
      </c>
      <c r="J41" s="205" t="str">
        <f>IF('Zoopl Count'!J41="","",'Zoopl Count'!J41*(2^J$9)/J$8)</f>
        <v/>
      </c>
      <c r="K41" s="205" t="str">
        <f>IF('Zoopl Count'!K41="","",'Zoopl Count'!K41*(2^K$9)/K$8)</f>
        <v/>
      </c>
      <c r="L41" s="205" t="str">
        <f>IF('Zoopl Count'!L41="","",'Zoopl Count'!L41*(2^L$9)/L$8)</f>
        <v/>
      </c>
      <c r="M41" s="205" t="str">
        <f>IF('Zoopl Count'!M41="","",'Zoopl Count'!M41*(2^M$9)/M$8)</f>
        <v/>
      </c>
      <c r="N41" s="205" t="str">
        <f>IF('Zoopl Count'!N41="","",'Zoopl Count'!N41*(2^N$9)/N$8)</f>
        <v/>
      </c>
      <c r="O41" s="205" t="str">
        <f>IF('Zoopl Count'!O41="","",'Zoopl Count'!O41*(2^O$9)/O$8)</f>
        <v/>
      </c>
      <c r="P41" s="205" t="str">
        <f>IF('Zoopl Count'!P41="","",'Zoopl Count'!P41*(2^P$9)/P$8)</f>
        <v/>
      </c>
    </row>
    <row r="42" spans="1:16" s="132" customFormat="1" hidden="1">
      <c r="A42" s="125"/>
      <c r="B42" s="125"/>
      <c r="C42" s="125"/>
      <c r="D42" s="125"/>
      <c r="E42" s="125"/>
      <c r="F42" s="128"/>
      <c r="G42" s="205" t="str">
        <f>IF('Zoopl Count'!G42="","",'Zoopl Count'!G42*(2^G$9)/G$8)</f>
        <v/>
      </c>
      <c r="H42" s="205" t="str">
        <f>IF('Zoopl Count'!H42="","",'Zoopl Count'!H42*(2^H$9)/H$8)</f>
        <v/>
      </c>
      <c r="I42" s="205" t="str">
        <f>IF('Zoopl Count'!I42="","",'Zoopl Count'!I42*(2^I$9)/I$8)</f>
        <v/>
      </c>
      <c r="J42" s="205" t="str">
        <f>IF('Zoopl Count'!J42="","",'Zoopl Count'!J42*(2^J$9)/J$8)</f>
        <v/>
      </c>
      <c r="K42" s="205" t="str">
        <f>IF('Zoopl Count'!K42="","",'Zoopl Count'!K42*(2^K$9)/K$8)</f>
        <v/>
      </c>
      <c r="L42" s="205" t="str">
        <f>IF('Zoopl Count'!L42="","",'Zoopl Count'!L42*(2^L$9)/L$8)</f>
        <v/>
      </c>
      <c r="M42" s="205" t="str">
        <f>IF('Zoopl Count'!M42="","",'Zoopl Count'!M42*(2^M$9)/M$8)</f>
        <v/>
      </c>
      <c r="N42" s="205" t="str">
        <f>IF('Zoopl Count'!N42="","",'Zoopl Count'!N42*(2^N$9)/N$8)</f>
        <v/>
      </c>
      <c r="O42" s="205" t="str">
        <f>IF('Zoopl Count'!O42="","",'Zoopl Count'!O42*(2^O$9)/O$8)</f>
        <v/>
      </c>
      <c r="P42" s="205" t="str">
        <f>IF('Zoopl Count'!P42="","",'Zoopl Count'!P42*(2^P$9)/P$8)</f>
        <v/>
      </c>
    </row>
    <row r="43" spans="1:16" s="132" customFormat="1" hidden="1">
      <c r="A43" s="124" t="s">
        <v>7</v>
      </c>
      <c r="B43" s="125" t="s">
        <v>151</v>
      </c>
      <c r="C43" s="125"/>
      <c r="D43" s="125"/>
      <c r="E43" s="125"/>
      <c r="F43" s="128"/>
      <c r="G43" s="205" t="str">
        <f>IF('Zoopl Count'!G43="","",'Zoopl Count'!G43*(2^G$9)/G$8)</f>
        <v/>
      </c>
      <c r="H43" s="205" t="str">
        <f>IF('Zoopl Count'!H43="","",'Zoopl Count'!H43*(2^H$9)/H$8)</f>
        <v/>
      </c>
      <c r="I43" s="205" t="str">
        <f>IF('Zoopl Count'!I43="","",'Zoopl Count'!I43*(2^I$9)/I$8)</f>
        <v/>
      </c>
      <c r="J43" s="205" t="str">
        <f>IF('Zoopl Count'!J43="","",'Zoopl Count'!J43*(2^J$9)/J$8)</f>
        <v/>
      </c>
      <c r="K43" s="205" t="str">
        <f>IF('Zoopl Count'!K43="","",'Zoopl Count'!K43*(2^K$9)/K$8)</f>
        <v/>
      </c>
      <c r="L43" s="205" t="str">
        <f>IF('Zoopl Count'!L43="","",'Zoopl Count'!L43*(2^L$9)/L$8)</f>
        <v/>
      </c>
      <c r="M43" s="205" t="str">
        <f>IF('Zoopl Count'!M43="","",'Zoopl Count'!M43*(2^M$9)/M$8)</f>
        <v/>
      </c>
      <c r="N43" s="205" t="str">
        <f>IF('Zoopl Count'!N43="","",'Zoopl Count'!N43*(2^N$9)/N$8)</f>
        <v/>
      </c>
      <c r="O43" s="205" t="str">
        <f>IF('Zoopl Count'!O43="","",'Zoopl Count'!O43*(2^O$9)/O$8)</f>
        <v/>
      </c>
      <c r="P43" s="205" t="str">
        <f>IF('Zoopl Count'!P43="","",'Zoopl Count'!P43*(2^P$9)/P$8)</f>
        <v/>
      </c>
    </row>
    <row r="44" spans="1:16" s="132" customFormat="1" hidden="1">
      <c r="A44" s="125"/>
      <c r="B44" s="124" t="s">
        <v>79</v>
      </c>
      <c r="C44" s="125" t="s">
        <v>318</v>
      </c>
      <c r="D44" s="125"/>
      <c r="E44" s="125"/>
      <c r="F44" s="128"/>
      <c r="G44" s="205" t="str">
        <f>IF('Zoopl Count'!G44="","",'Zoopl Count'!G44*(2^G$9)/G$8)</f>
        <v/>
      </c>
      <c r="H44" s="205" t="str">
        <f>IF('Zoopl Count'!H44="","",'Zoopl Count'!H44*(2^H$9)/H$8)</f>
        <v/>
      </c>
      <c r="I44" s="205" t="str">
        <f>IF('Zoopl Count'!I44="","",'Zoopl Count'!I44*(2^I$9)/I$8)</f>
        <v/>
      </c>
      <c r="J44" s="205" t="str">
        <f>IF('Zoopl Count'!J44="","",'Zoopl Count'!J44*(2^J$9)/J$8)</f>
        <v/>
      </c>
      <c r="K44" s="205" t="str">
        <f>IF('Zoopl Count'!K44="","",'Zoopl Count'!K44*(2^K$9)/K$8)</f>
        <v/>
      </c>
      <c r="L44" s="205" t="str">
        <f>IF('Zoopl Count'!L44="","",'Zoopl Count'!L44*(2^L$9)/L$8)</f>
        <v/>
      </c>
      <c r="M44" s="205" t="str">
        <f>IF('Zoopl Count'!M44="","",'Zoopl Count'!M44*(2^M$9)/M$8)</f>
        <v/>
      </c>
      <c r="N44" s="205" t="str">
        <f>IF('Zoopl Count'!N44="","",'Zoopl Count'!N44*(2^N$9)/N$8)</f>
        <v/>
      </c>
      <c r="O44" s="205" t="str">
        <f>IF('Zoopl Count'!O44="","",'Zoopl Count'!O44*(2^O$9)/O$8)</f>
        <v/>
      </c>
      <c r="P44" s="205" t="str">
        <f>IF('Zoopl Count'!P44="","",'Zoopl Count'!P44*(2^P$9)/P$8)</f>
        <v/>
      </c>
    </row>
    <row r="45" spans="1:16" s="132" customFormat="1" hidden="1">
      <c r="A45" s="125"/>
      <c r="B45" s="124"/>
      <c r="C45" s="124" t="s">
        <v>10</v>
      </c>
      <c r="D45" s="125" t="s">
        <v>319</v>
      </c>
      <c r="E45" s="125"/>
      <c r="F45" s="128"/>
      <c r="G45" s="205" t="str">
        <f>IF('Zoopl Count'!G45="","",'Zoopl Count'!G45*(2^G$9)/G$8)</f>
        <v/>
      </c>
      <c r="H45" s="205" t="str">
        <f>IF('Zoopl Count'!H45="","",'Zoopl Count'!H45*(2^H$9)/H$8)</f>
        <v/>
      </c>
      <c r="I45" s="205" t="str">
        <f>IF('Zoopl Count'!I45="","",'Zoopl Count'!I45*(2^I$9)/I$8)</f>
        <v/>
      </c>
      <c r="J45" s="205" t="str">
        <f>IF('Zoopl Count'!J45="","",'Zoopl Count'!J45*(2^J$9)/J$8)</f>
        <v/>
      </c>
      <c r="K45" s="205" t="str">
        <f>IF('Zoopl Count'!K45="","",'Zoopl Count'!K45*(2^K$9)/K$8)</f>
        <v/>
      </c>
      <c r="L45" s="205" t="str">
        <f>IF('Zoopl Count'!L45="","",'Zoopl Count'!L45*(2^L$9)/L$8)</f>
        <v/>
      </c>
      <c r="M45" s="205" t="str">
        <f>IF('Zoopl Count'!M45="","",'Zoopl Count'!M45*(2^M$9)/M$8)</f>
        <v/>
      </c>
      <c r="N45" s="205" t="str">
        <f>IF('Zoopl Count'!N45="","",'Zoopl Count'!N45*(2^N$9)/N$8)</f>
        <v/>
      </c>
      <c r="O45" s="205" t="str">
        <f>IF('Zoopl Count'!O45="","",'Zoopl Count'!O45*(2^O$9)/O$8)</f>
        <v/>
      </c>
      <c r="P45" s="205" t="str">
        <f>IF('Zoopl Count'!P45="","",'Zoopl Count'!P45*(2^P$9)/P$8)</f>
        <v/>
      </c>
    </row>
    <row r="46" spans="1:16" s="132" customFormat="1" hidden="1">
      <c r="D46" s="133" t="s">
        <v>12</v>
      </c>
      <c r="E46" s="132" t="s">
        <v>154</v>
      </c>
      <c r="F46" s="116"/>
      <c r="G46" s="205" t="str">
        <f>IF('Zoopl Count'!G46="","",'Zoopl Count'!G46*(2^G$9)/G$8)</f>
        <v/>
      </c>
      <c r="H46" s="205" t="str">
        <f>IF('Zoopl Count'!H46="","",'Zoopl Count'!H46*(2^H$9)/H$8)</f>
        <v/>
      </c>
      <c r="I46" s="205" t="str">
        <f>IF('Zoopl Count'!I46="","",'Zoopl Count'!I46*(2^I$9)/I$8)</f>
        <v/>
      </c>
      <c r="J46" s="205" t="str">
        <f>IF('Zoopl Count'!J46="","",'Zoopl Count'!J46*(2^J$9)/J$8)</f>
        <v/>
      </c>
      <c r="K46" s="205" t="str">
        <f>IF('Zoopl Count'!K46="","",'Zoopl Count'!K46*(2^K$9)/K$8)</f>
        <v/>
      </c>
      <c r="L46" s="205" t="str">
        <f>IF('Zoopl Count'!L46="","",'Zoopl Count'!L46*(2^L$9)/L$8)</f>
        <v/>
      </c>
      <c r="M46" s="205" t="str">
        <f>IF('Zoopl Count'!M46="","",'Zoopl Count'!M46*(2^M$9)/M$8)</f>
        <v/>
      </c>
      <c r="N46" s="205" t="str">
        <f>IF('Zoopl Count'!N46="","",'Zoopl Count'!N46*(2^N$9)/N$8)</f>
        <v/>
      </c>
      <c r="O46" s="205" t="str">
        <f>IF('Zoopl Count'!O46="","",'Zoopl Count'!O46*(2^O$9)/O$8)</f>
        <v/>
      </c>
      <c r="P46" s="205" t="str">
        <f>IF('Zoopl Count'!P46="","",'Zoopl Count'!P46*(2^P$9)/P$8)</f>
        <v/>
      </c>
    </row>
    <row r="47" spans="1:16" s="132" customFormat="1" hidden="1">
      <c r="D47" s="133"/>
      <c r="E47" s="133" t="s">
        <v>14</v>
      </c>
      <c r="F47" s="168" t="s">
        <v>155</v>
      </c>
      <c r="G47" s="205" t="str">
        <f>IF('Zoopl Count'!G47="","",'Zoopl Count'!G47*(2^G$9)/G$8)</f>
        <v/>
      </c>
      <c r="H47" s="205" t="str">
        <f>IF('Zoopl Count'!H47="","",'Zoopl Count'!H47*(2^H$9)/H$8)</f>
        <v/>
      </c>
      <c r="I47" s="205" t="str">
        <f>IF('Zoopl Count'!I47="","",'Zoopl Count'!I47*(2^I$9)/I$8)</f>
        <v/>
      </c>
      <c r="J47" s="205" t="str">
        <f>IF('Zoopl Count'!J47="","",'Zoopl Count'!J47*(2^J$9)/J$8)</f>
        <v/>
      </c>
      <c r="K47" s="205" t="str">
        <f>IF('Zoopl Count'!K47="","",'Zoopl Count'!K47*(2^K$9)/K$8)</f>
        <v/>
      </c>
      <c r="L47" s="205" t="str">
        <f>IF('Zoopl Count'!L47="","",'Zoopl Count'!L47*(2^L$9)/L$8)</f>
        <v/>
      </c>
      <c r="M47" s="205" t="str">
        <f>IF('Zoopl Count'!M47="","",'Zoopl Count'!M47*(2^M$9)/M$8)</f>
        <v/>
      </c>
      <c r="N47" s="205" t="str">
        <f>IF('Zoopl Count'!N47="","",'Zoopl Count'!N47*(2^N$9)/N$8)</f>
        <v/>
      </c>
      <c r="O47" s="205" t="str">
        <f>IF('Zoopl Count'!O47="","",'Zoopl Count'!O47*(2^O$9)/O$8)</f>
        <v/>
      </c>
      <c r="P47" s="205" t="str">
        <f>IF('Zoopl Count'!P47="","",'Zoopl Count'!P47*(2^P$9)/P$8)</f>
        <v/>
      </c>
    </row>
    <row r="48" spans="1:16" s="132" customFormat="1" hidden="1">
      <c r="D48" s="133"/>
      <c r="E48" s="133"/>
      <c r="F48" s="168" t="s">
        <v>367</v>
      </c>
      <c r="G48" s="205" t="str">
        <f>IF('Zoopl Count'!G48="","",'Zoopl Count'!G48*(2^G$9)/G$8)</f>
        <v/>
      </c>
      <c r="H48" s="205" t="str">
        <f>IF('Zoopl Count'!H48="","",'Zoopl Count'!H48*(2^H$9)/H$8)</f>
        <v/>
      </c>
      <c r="I48" s="205" t="str">
        <f>IF('Zoopl Count'!I48="","",'Zoopl Count'!I48*(2^I$9)/I$8)</f>
        <v/>
      </c>
      <c r="J48" s="205" t="str">
        <f>IF('Zoopl Count'!J48="","",'Zoopl Count'!J48*(2^J$9)/J$8)</f>
        <v/>
      </c>
      <c r="K48" s="205" t="str">
        <f>IF('Zoopl Count'!K48="","",'Zoopl Count'!K48*(2^K$9)/K$8)</f>
        <v/>
      </c>
      <c r="L48" s="205" t="str">
        <f>IF('Zoopl Count'!L48="","",'Zoopl Count'!L48*(2^L$9)/L$8)</f>
        <v/>
      </c>
      <c r="M48" s="205" t="str">
        <f>IF('Zoopl Count'!M48="","",'Zoopl Count'!M48*(2^M$9)/M$8)</f>
        <v/>
      </c>
      <c r="N48" s="205" t="str">
        <f>IF('Zoopl Count'!N48="","",'Zoopl Count'!N48*(2^N$9)/N$8)</f>
        <v/>
      </c>
      <c r="O48" s="205" t="str">
        <f>IF('Zoopl Count'!O48="","",'Zoopl Count'!O48*(2^O$9)/O$8)</f>
        <v/>
      </c>
      <c r="P48" s="205" t="str">
        <f>IF('Zoopl Count'!P48="","",'Zoopl Count'!P48*(2^P$9)/P$8)</f>
        <v/>
      </c>
    </row>
    <row r="49" spans="4:16" s="132" customFormat="1" hidden="1">
      <c r="D49" s="133" t="s">
        <v>12</v>
      </c>
      <c r="E49" s="240" t="s">
        <v>368</v>
      </c>
      <c r="F49" s="116"/>
      <c r="G49" s="205" t="str">
        <f>IF('Zoopl Count'!G49="","",'Zoopl Count'!G49*(2^G$9)/G$8)</f>
        <v/>
      </c>
      <c r="H49" s="205" t="str">
        <f>IF('Zoopl Count'!H49="","",'Zoopl Count'!H49*(2^H$9)/H$8)</f>
        <v/>
      </c>
      <c r="I49" s="205" t="str">
        <f>IF('Zoopl Count'!I49="","",'Zoopl Count'!I49*(2^I$9)/I$8)</f>
        <v/>
      </c>
      <c r="J49" s="205" t="str">
        <f>IF('Zoopl Count'!J49="","",'Zoopl Count'!J49*(2^J$9)/J$8)</f>
        <v/>
      </c>
      <c r="K49" s="205" t="str">
        <f>IF('Zoopl Count'!K49="","",'Zoopl Count'!K49*(2^K$9)/K$8)</f>
        <v/>
      </c>
      <c r="L49" s="205" t="str">
        <f>IF('Zoopl Count'!L49="","",'Zoopl Count'!L49*(2^L$9)/L$8)</f>
        <v/>
      </c>
      <c r="M49" s="205" t="str">
        <f>IF('Zoopl Count'!M49="","",'Zoopl Count'!M49*(2^M$9)/M$8)</f>
        <v/>
      </c>
      <c r="N49" s="205" t="str">
        <f>IF('Zoopl Count'!N49="","",'Zoopl Count'!N49*(2^N$9)/N$8)</f>
        <v/>
      </c>
      <c r="O49" s="205" t="str">
        <f>IF('Zoopl Count'!O49="","",'Zoopl Count'!O49*(2^O$9)/O$8)</f>
        <v/>
      </c>
      <c r="P49" s="205" t="str">
        <f>IF('Zoopl Count'!P49="","",'Zoopl Count'!P49*(2^P$9)/P$8)</f>
        <v/>
      </c>
    </row>
    <row r="50" spans="4:16" s="132" customFormat="1" hidden="1">
      <c r="D50" s="133"/>
      <c r="E50" s="133" t="s">
        <v>14</v>
      </c>
      <c r="F50" s="168" t="s">
        <v>368</v>
      </c>
      <c r="G50" s="205" t="str">
        <f>IF('Zoopl Count'!G50="","",'Zoopl Count'!G50*(2^G$9)/G$8)</f>
        <v/>
      </c>
      <c r="H50" s="205" t="str">
        <f>IF('Zoopl Count'!H50="","",'Zoopl Count'!H50*(2^H$9)/H$8)</f>
        <v/>
      </c>
      <c r="I50" s="205" t="str">
        <f>IF('Zoopl Count'!I50="","",'Zoopl Count'!I50*(2^I$9)/I$8)</f>
        <v/>
      </c>
      <c r="J50" s="205" t="str">
        <f>IF('Zoopl Count'!J50="","",'Zoopl Count'!J50*(2^J$9)/J$8)</f>
        <v/>
      </c>
      <c r="K50" s="205" t="str">
        <f>IF('Zoopl Count'!K50="","",'Zoopl Count'!K50*(2^K$9)/K$8)</f>
        <v/>
      </c>
      <c r="L50" s="205" t="str">
        <f>IF('Zoopl Count'!L50="","",'Zoopl Count'!L50*(2^L$9)/L$8)</f>
        <v/>
      </c>
      <c r="M50" s="205" t="str">
        <f>IF('Zoopl Count'!M50="","",'Zoopl Count'!M50*(2^M$9)/M$8)</f>
        <v/>
      </c>
      <c r="N50" s="205" t="str">
        <f>IF('Zoopl Count'!N50="","",'Zoopl Count'!N50*(2^N$9)/N$8)</f>
        <v/>
      </c>
      <c r="O50" s="205" t="str">
        <f>IF('Zoopl Count'!O50="","",'Zoopl Count'!O50*(2^O$9)/O$8)</f>
        <v/>
      </c>
      <c r="P50" s="205" t="str">
        <f>IF('Zoopl Count'!P50="","",'Zoopl Count'!P50*(2^P$9)/P$8)</f>
        <v/>
      </c>
    </row>
    <row r="51" spans="4:16" s="132" customFormat="1" hidden="1">
      <c r="D51" s="133"/>
      <c r="E51" s="133"/>
      <c r="F51" s="168" t="s">
        <v>370</v>
      </c>
      <c r="G51" s="205" t="str">
        <f>IF('Zoopl Count'!G51="","",'Zoopl Count'!G51*(2^G$9)/G$8)</f>
        <v/>
      </c>
      <c r="H51" s="205" t="str">
        <f>IF('Zoopl Count'!H51="","",'Zoopl Count'!H51*(2^H$9)/H$8)</f>
        <v/>
      </c>
      <c r="I51" s="205" t="str">
        <f>IF('Zoopl Count'!I51="","",'Zoopl Count'!I51*(2^I$9)/I$8)</f>
        <v/>
      </c>
      <c r="J51" s="205" t="str">
        <f>IF('Zoopl Count'!J51="","",'Zoopl Count'!J51*(2^J$9)/J$8)</f>
        <v/>
      </c>
      <c r="K51" s="205" t="str">
        <f>IF('Zoopl Count'!K51="","",'Zoopl Count'!K51*(2^K$9)/K$8)</f>
        <v/>
      </c>
      <c r="L51" s="205" t="str">
        <f>IF('Zoopl Count'!L51="","",'Zoopl Count'!L51*(2^L$9)/L$8)</f>
        <v/>
      </c>
      <c r="M51" s="205" t="str">
        <f>IF('Zoopl Count'!M51="","",'Zoopl Count'!M51*(2^M$9)/M$8)</f>
        <v/>
      </c>
      <c r="N51" s="205" t="str">
        <f>IF('Zoopl Count'!N51="","",'Zoopl Count'!N51*(2^N$9)/N$8)</f>
        <v/>
      </c>
      <c r="O51" s="205" t="str">
        <f>IF('Zoopl Count'!O51="","",'Zoopl Count'!O51*(2^O$9)/O$8)</f>
        <v/>
      </c>
      <c r="P51" s="205" t="str">
        <f>IF('Zoopl Count'!P51="","",'Zoopl Count'!P51*(2^P$9)/P$8)</f>
        <v/>
      </c>
    </row>
    <row r="52" spans="4:16" s="132" customFormat="1" hidden="1">
      <c r="D52" s="133" t="s">
        <v>12</v>
      </c>
      <c r="E52" s="240" t="s">
        <v>412</v>
      </c>
      <c r="F52" s="116"/>
      <c r="G52" s="205" t="str">
        <f>IF('Zoopl Count'!G52="","",'Zoopl Count'!G52*(2^G$9)/G$8)</f>
        <v/>
      </c>
      <c r="H52" s="205" t="str">
        <f>IF('Zoopl Count'!H52="","",'Zoopl Count'!H52*(2^H$9)/H$8)</f>
        <v/>
      </c>
      <c r="I52" s="205" t="str">
        <f>IF('Zoopl Count'!I52="","",'Zoopl Count'!I52*(2^I$9)/I$8)</f>
        <v/>
      </c>
      <c r="J52" s="205" t="str">
        <f>IF('Zoopl Count'!J52="","",'Zoopl Count'!J52*(2^J$9)/J$8)</f>
        <v/>
      </c>
      <c r="K52" s="205" t="str">
        <f>IF('Zoopl Count'!K52="","",'Zoopl Count'!K52*(2^K$9)/K$8)</f>
        <v/>
      </c>
      <c r="L52" s="205" t="str">
        <f>IF('Zoopl Count'!L52="","",'Zoopl Count'!L52*(2^L$9)/L$8)</f>
        <v/>
      </c>
      <c r="M52" s="205" t="str">
        <f>IF('Zoopl Count'!M52="","",'Zoopl Count'!M52*(2^M$9)/M$8)</f>
        <v/>
      </c>
      <c r="N52" s="205" t="str">
        <f>IF('Zoopl Count'!N52="","",'Zoopl Count'!N52*(2^N$9)/N$8)</f>
        <v/>
      </c>
      <c r="O52" s="205" t="str">
        <f>IF('Zoopl Count'!O52="","",'Zoopl Count'!O52*(2^O$9)/O$8)</f>
        <v/>
      </c>
      <c r="P52" s="205" t="str">
        <f>IF('Zoopl Count'!P52="","",'Zoopl Count'!P52*(2^P$9)/P$8)</f>
        <v/>
      </c>
    </row>
    <row r="53" spans="4:16" s="132" customFormat="1" hidden="1">
      <c r="D53" s="133"/>
      <c r="E53" s="133" t="s">
        <v>14</v>
      </c>
      <c r="F53" s="168" t="s">
        <v>372</v>
      </c>
      <c r="G53" s="205" t="str">
        <f>IF('Zoopl Count'!G53="","",'Zoopl Count'!G53*(2^G$9)/G$8)</f>
        <v/>
      </c>
      <c r="H53" s="205" t="str">
        <f>IF('Zoopl Count'!H53="","",'Zoopl Count'!H53*(2^H$9)/H$8)</f>
        <v/>
      </c>
      <c r="I53" s="205" t="str">
        <f>IF('Zoopl Count'!I53="","",'Zoopl Count'!I53*(2^I$9)/I$8)</f>
        <v/>
      </c>
      <c r="J53" s="205" t="str">
        <f>IF('Zoopl Count'!J53="","",'Zoopl Count'!J53*(2^J$9)/J$8)</f>
        <v/>
      </c>
      <c r="K53" s="205" t="str">
        <f>IF('Zoopl Count'!K53="","",'Zoopl Count'!K53*(2^K$9)/K$8)</f>
        <v/>
      </c>
      <c r="L53" s="205" t="str">
        <f>IF('Zoopl Count'!L53="","",'Zoopl Count'!L53*(2^L$9)/L$8)</f>
        <v/>
      </c>
      <c r="M53" s="205" t="str">
        <f>IF('Zoopl Count'!M53="","",'Zoopl Count'!M53*(2^M$9)/M$8)</f>
        <v/>
      </c>
      <c r="N53" s="205" t="str">
        <f>IF('Zoopl Count'!N53="","",'Zoopl Count'!N53*(2^N$9)/N$8)</f>
        <v/>
      </c>
      <c r="O53" s="205" t="str">
        <f>IF('Zoopl Count'!O53="","",'Zoopl Count'!O53*(2^O$9)/O$8)</f>
        <v/>
      </c>
      <c r="P53" s="205" t="str">
        <f>IF('Zoopl Count'!P53="","",'Zoopl Count'!P53*(2^P$9)/P$8)</f>
        <v/>
      </c>
    </row>
    <row r="54" spans="4:16" s="132" customFormat="1" hidden="1">
      <c r="D54" s="133" t="s">
        <v>12</v>
      </c>
      <c r="E54" s="240" t="s">
        <v>373</v>
      </c>
      <c r="F54" s="116"/>
      <c r="G54" s="205" t="str">
        <f>IF('Zoopl Count'!G54="","",'Zoopl Count'!G54*(2^G$9)/G$8)</f>
        <v/>
      </c>
      <c r="H54" s="205" t="str">
        <f>IF('Zoopl Count'!H54="","",'Zoopl Count'!H54*(2^H$9)/H$8)</f>
        <v/>
      </c>
      <c r="I54" s="205" t="str">
        <f>IF('Zoopl Count'!I54="","",'Zoopl Count'!I54*(2^I$9)/I$8)</f>
        <v/>
      </c>
      <c r="J54" s="205" t="str">
        <f>IF('Zoopl Count'!J54="","",'Zoopl Count'!J54*(2^J$9)/J$8)</f>
        <v/>
      </c>
      <c r="K54" s="205" t="str">
        <f>IF('Zoopl Count'!K54="","",'Zoopl Count'!K54*(2^K$9)/K$8)</f>
        <v/>
      </c>
      <c r="L54" s="205" t="str">
        <f>IF('Zoopl Count'!L54="","",'Zoopl Count'!L54*(2^L$9)/L$8)</f>
        <v/>
      </c>
      <c r="M54" s="205" t="str">
        <f>IF('Zoopl Count'!M54="","",'Zoopl Count'!M54*(2^M$9)/M$8)</f>
        <v/>
      </c>
      <c r="N54" s="205" t="str">
        <f>IF('Zoopl Count'!N54="","",'Zoopl Count'!N54*(2^N$9)/N$8)</f>
        <v/>
      </c>
      <c r="O54" s="205" t="str">
        <f>IF('Zoopl Count'!O54="","",'Zoopl Count'!O54*(2^O$9)/O$8)</f>
        <v/>
      </c>
      <c r="P54" s="205" t="str">
        <f>IF('Zoopl Count'!P54="","",'Zoopl Count'!P54*(2^P$9)/P$8)</f>
        <v/>
      </c>
    </row>
    <row r="55" spans="4:16" s="132" customFormat="1" hidden="1">
      <c r="D55" s="133"/>
      <c r="E55" s="133" t="s">
        <v>14</v>
      </c>
      <c r="F55" s="168" t="s">
        <v>374</v>
      </c>
      <c r="G55" s="205" t="str">
        <f>IF('Zoopl Count'!G55="","",'Zoopl Count'!G55*(2^G$9)/G$8)</f>
        <v/>
      </c>
      <c r="H55" s="205" t="str">
        <f>IF('Zoopl Count'!H55="","",'Zoopl Count'!H55*(2^H$9)/H$8)</f>
        <v/>
      </c>
      <c r="I55" s="205" t="str">
        <f>IF('Zoopl Count'!I55="","",'Zoopl Count'!I55*(2^I$9)/I$8)</f>
        <v/>
      </c>
      <c r="J55" s="205" t="str">
        <f>IF('Zoopl Count'!J55="","",'Zoopl Count'!J55*(2^J$9)/J$8)</f>
        <v/>
      </c>
      <c r="K55" s="205" t="str">
        <f>IF('Zoopl Count'!K55="","",'Zoopl Count'!K55*(2^K$9)/K$8)</f>
        <v/>
      </c>
      <c r="L55" s="205" t="str">
        <f>IF('Zoopl Count'!L55="","",'Zoopl Count'!L55*(2^L$9)/L$8)</f>
        <v/>
      </c>
      <c r="M55" s="205" t="str">
        <f>IF('Zoopl Count'!M55="","",'Zoopl Count'!M55*(2^M$9)/M$8)</f>
        <v/>
      </c>
      <c r="N55" s="205" t="str">
        <f>IF('Zoopl Count'!N55="","",'Zoopl Count'!N55*(2^N$9)/N$8)</f>
        <v/>
      </c>
      <c r="O55" s="205" t="str">
        <f>IF('Zoopl Count'!O55="","",'Zoopl Count'!O55*(2^O$9)/O$8)</f>
        <v/>
      </c>
      <c r="P55" s="205" t="str">
        <f>IF('Zoopl Count'!P55="","",'Zoopl Count'!P55*(2^P$9)/P$8)</f>
        <v/>
      </c>
    </row>
    <row r="56" spans="4:16" s="132" customFormat="1" hidden="1">
      <c r="D56" s="133" t="s">
        <v>12</v>
      </c>
      <c r="E56" s="240" t="s">
        <v>375</v>
      </c>
      <c r="F56" s="116"/>
      <c r="G56" s="205" t="str">
        <f>IF('Zoopl Count'!G56="","",'Zoopl Count'!G56*(2^G$9)/G$8)</f>
        <v/>
      </c>
      <c r="H56" s="205" t="str">
        <f>IF('Zoopl Count'!H56="","",'Zoopl Count'!H56*(2^H$9)/H$8)</f>
        <v/>
      </c>
      <c r="I56" s="205" t="str">
        <f>IF('Zoopl Count'!I56="","",'Zoopl Count'!I56*(2^I$9)/I$8)</f>
        <v/>
      </c>
      <c r="J56" s="205" t="str">
        <f>IF('Zoopl Count'!J56="","",'Zoopl Count'!J56*(2^J$9)/J$8)</f>
        <v/>
      </c>
      <c r="K56" s="205" t="str">
        <f>IF('Zoopl Count'!K56="","",'Zoopl Count'!K56*(2^K$9)/K$8)</f>
        <v/>
      </c>
      <c r="L56" s="205" t="str">
        <f>IF('Zoopl Count'!L56="","",'Zoopl Count'!L56*(2^L$9)/L$8)</f>
        <v/>
      </c>
      <c r="M56" s="205" t="str">
        <f>IF('Zoopl Count'!M56="","",'Zoopl Count'!M56*(2^M$9)/M$8)</f>
        <v/>
      </c>
      <c r="N56" s="205" t="str">
        <f>IF('Zoopl Count'!N56="","",'Zoopl Count'!N56*(2^N$9)/N$8)</f>
        <v/>
      </c>
      <c r="O56" s="205" t="str">
        <f>IF('Zoopl Count'!O56="","",'Zoopl Count'!O56*(2^O$9)/O$8)</f>
        <v/>
      </c>
      <c r="P56" s="205" t="str">
        <f>IF('Zoopl Count'!P56="","",'Zoopl Count'!P56*(2^P$9)/P$8)</f>
        <v/>
      </c>
    </row>
    <row r="57" spans="4:16" s="132" customFormat="1" hidden="1">
      <c r="D57" s="133"/>
      <c r="E57" s="133" t="s">
        <v>14</v>
      </c>
      <c r="F57" s="168" t="s">
        <v>376</v>
      </c>
      <c r="G57" s="205" t="str">
        <f>IF('Zoopl Count'!G57="","",'Zoopl Count'!G57*(2^G$9)/G$8)</f>
        <v/>
      </c>
      <c r="H57" s="205" t="str">
        <f>IF('Zoopl Count'!H57="","",'Zoopl Count'!H57*(2^H$9)/H$8)</f>
        <v/>
      </c>
      <c r="I57" s="205" t="str">
        <f>IF('Zoopl Count'!I57="","",'Zoopl Count'!I57*(2^I$9)/I$8)</f>
        <v/>
      </c>
      <c r="J57" s="205" t="str">
        <f>IF('Zoopl Count'!J57="","",'Zoopl Count'!J57*(2^J$9)/J$8)</f>
        <v/>
      </c>
      <c r="K57" s="205" t="str">
        <f>IF('Zoopl Count'!K57="","",'Zoopl Count'!K57*(2^K$9)/K$8)</f>
        <v/>
      </c>
      <c r="L57" s="205" t="str">
        <f>IF('Zoopl Count'!L57="","",'Zoopl Count'!L57*(2^L$9)/L$8)</f>
        <v/>
      </c>
      <c r="M57" s="205" t="str">
        <f>IF('Zoopl Count'!M57="","",'Zoopl Count'!M57*(2^M$9)/M$8)</f>
        <v/>
      </c>
      <c r="N57" s="205" t="str">
        <f>IF('Zoopl Count'!N57="","",'Zoopl Count'!N57*(2^N$9)/N$8)</f>
        <v/>
      </c>
      <c r="O57" s="205" t="str">
        <f>IF('Zoopl Count'!O57="","",'Zoopl Count'!O57*(2^O$9)/O$8)</f>
        <v/>
      </c>
      <c r="P57" s="205" t="str">
        <f>IF('Zoopl Count'!P57="","",'Zoopl Count'!P57*(2^P$9)/P$8)</f>
        <v/>
      </c>
    </row>
    <row r="58" spans="4:16" s="132" customFormat="1" hidden="1">
      <c r="D58" s="133" t="s">
        <v>12</v>
      </c>
      <c r="E58" s="240" t="s">
        <v>377</v>
      </c>
      <c r="F58" s="116"/>
      <c r="G58" s="205" t="str">
        <f>IF('Zoopl Count'!G58="","",'Zoopl Count'!G58*(2^G$9)/G$8)</f>
        <v/>
      </c>
      <c r="H58" s="205" t="str">
        <f>IF('Zoopl Count'!H58="","",'Zoopl Count'!H58*(2^H$9)/H$8)</f>
        <v/>
      </c>
      <c r="I58" s="205" t="str">
        <f>IF('Zoopl Count'!I58="","",'Zoopl Count'!I58*(2^I$9)/I$8)</f>
        <v/>
      </c>
      <c r="J58" s="205" t="str">
        <f>IF('Zoopl Count'!J58="","",'Zoopl Count'!J58*(2^J$9)/J$8)</f>
        <v/>
      </c>
      <c r="K58" s="205" t="str">
        <f>IF('Zoopl Count'!K58="","",'Zoopl Count'!K58*(2^K$9)/K$8)</f>
        <v/>
      </c>
      <c r="L58" s="205" t="str">
        <f>IF('Zoopl Count'!L58="","",'Zoopl Count'!L58*(2^L$9)/L$8)</f>
        <v/>
      </c>
      <c r="M58" s="205" t="str">
        <f>IF('Zoopl Count'!M58="","",'Zoopl Count'!M58*(2^M$9)/M$8)</f>
        <v/>
      </c>
      <c r="N58" s="205" t="str">
        <f>IF('Zoopl Count'!N58="","",'Zoopl Count'!N58*(2^N$9)/N$8)</f>
        <v/>
      </c>
      <c r="O58" s="205" t="str">
        <f>IF('Zoopl Count'!O58="","",'Zoopl Count'!O58*(2^O$9)/O$8)</f>
        <v/>
      </c>
      <c r="P58" s="205" t="str">
        <f>IF('Zoopl Count'!P58="","",'Zoopl Count'!P58*(2^P$9)/P$8)</f>
        <v/>
      </c>
    </row>
    <row r="59" spans="4:16" s="132" customFormat="1" hidden="1">
      <c r="D59" s="133"/>
      <c r="E59" s="133" t="s">
        <v>14</v>
      </c>
      <c r="F59" s="168" t="s">
        <v>378</v>
      </c>
      <c r="G59" s="205" t="str">
        <f>IF('Zoopl Count'!G59="","",'Zoopl Count'!G59*(2^G$9)/G$8)</f>
        <v/>
      </c>
      <c r="H59" s="205" t="str">
        <f>IF('Zoopl Count'!H59="","",'Zoopl Count'!H59*(2^H$9)/H$8)</f>
        <v/>
      </c>
      <c r="I59" s="205" t="str">
        <f>IF('Zoopl Count'!I59="","",'Zoopl Count'!I59*(2^I$9)/I$8)</f>
        <v/>
      </c>
      <c r="J59" s="205" t="str">
        <f>IF('Zoopl Count'!J59="","",'Zoopl Count'!J59*(2^J$9)/J$8)</f>
        <v/>
      </c>
      <c r="K59" s="205" t="str">
        <f>IF('Zoopl Count'!K59="","",'Zoopl Count'!K59*(2^K$9)/K$8)</f>
        <v/>
      </c>
      <c r="L59" s="205" t="str">
        <f>IF('Zoopl Count'!L59="","",'Zoopl Count'!L59*(2^L$9)/L$8)</f>
        <v/>
      </c>
      <c r="M59" s="205" t="str">
        <f>IF('Zoopl Count'!M59="","",'Zoopl Count'!M59*(2^M$9)/M$8)</f>
        <v/>
      </c>
      <c r="N59" s="205" t="str">
        <f>IF('Zoopl Count'!N59="","",'Zoopl Count'!N59*(2^N$9)/N$8)</f>
        <v/>
      </c>
      <c r="O59" s="205" t="str">
        <f>IF('Zoopl Count'!O59="","",'Zoopl Count'!O59*(2^O$9)/O$8)</f>
        <v/>
      </c>
      <c r="P59" s="205" t="str">
        <f>IF('Zoopl Count'!P59="","",'Zoopl Count'!P59*(2^P$9)/P$8)</f>
        <v/>
      </c>
    </row>
    <row r="60" spans="4:16" s="132" customFormat="1" hidden="1">
      <c r="D60" s="133"/>
      <c r="E60" s="133"/>
      <c r="F60" s="168" t="s">
        <v>379</v>
      </c>
      <c r="G60" s="205" t="str">
        <f>IF('Zoopl Count'!G60="","",'Zoopl Count'!G60*(2^G$9)/G$8)</f>
        <v/>
      </c>
      <c r="H60" s="205" t="str">
        <f>IF('Zoopl Count'!H60="","",'Zoopl Count'!H60*(2^H$9)/H$8)</f>
        <v/>
      </c>
      <c r="I60" s="205" t="str">
        <f>IF('Zoopl Count'!I60="","",'Zoopl Count'!I60*(2^I$9)/I$8)</f>
        <v/>
      </c>
      <c r="J60" s="205" t="str">
        <f>IF('Zoopl Count'!J60="","",'Zoopl Count'!J60*(2^J$9)/J$8)</f>
        <v/>
      </c>
      <c r="K60" s="205" t="str">
        <f>IF('Zoopl Count'!K60="","",'Zoopl Count'!K60*(2^K$9)/K$8)</f>
        <v/>
      </c>
      <c r="L60" s="205" t="str">
        <f>IF('Zoopl Count'!L60="","",'Zoopl Count'!L60*(2^L$9)/L$8)</f>
        <v/>
      </c>
      <c r="M60" s="205" t="str">
        <f>IF('Zoopl Count'!M60="","",'Zoopl Count'!M60*(2^M$9)/M$8)</f>
        <v/>
      </c>
      <c r="N60" s="205" t="str">
        <f>IF('Zoopl Count'!N60="","",'Zoopl Count'!N60*(2^N$9)/N$8)</f>
        <v/>
      </c>
      <c r="O60" s="205" t="str">
        <f>IF('Zoopl Count'!O60="","",'Zoopl Count'!O60*(2^O$9)/O$8)</f>
        <v/>
      </c>
      <c r="P60" s="205" t="str">
        <f>IF('Zoopl Count'!P60="","",'Zoopl Count'!P60*(2^P$9)/P$8)</f>
        <v/>
      </c>
    </row>
    <row r="61" spans="4:16" s="132" customFormat="1" hidden="1">
      <c r="D61" s="133" t="s">
        <v>12</v>
      </c>
      <c r="E61" s="240" t="s">
        <v>380</v>
      </c>
      <c r="F61" s="116"/>
      <c r="G61" s="205" t="str">
        <f>IF('Zoopl Count'!G61="","",'Zoopl Count'!G61*(2^G$9)/G$8)</f>
        <v/>
      </c>
      <c r="H61" s="205" t="str">
        <f>IF('Zoopl Count'!H61="","",'Zoopl Count'!H61*(2^H$9)/H$8)</f>
        <v/>
      </c>
      <c r="I61" s="205" t="str">
        <f>IF('Zoopl Count'!I61="","",'Zoopl Count'!I61*(2^I$9)/I$8)</f>
        <v/>
      </c>
      <c r="J61" s="205" t="str">
        <f>IF('Zoopl Count'!J61="","",'Zoopl Count'!J61*(2^J$9)/J$8)</f>
        <v/>
      </c>
      <c r="K61" s="205" t="str">
        <f>IF('Zoopl Count'!K61="","",'Zoopl Count'!K61*(2^K$9)/K$8)</f>
        <v/>
      </c>
      <c r="L61" s="205" t="str">
        <f>IF('Zoopl Count'!L61="","",'Zoopl Count'!L61*(2^L$9)/L$8)</f>
        <v/>
      </c>
      <c r="M61" s="205" t="str">
        <f>IF('Zoopl Count'!M61="","",'Zoopl Count'!M61*(2^M$9)/M$8)</f>
        <v/>
      </c>
      <c r="N61" s="205" t="str">
        <f>IF('Zoopl Count'!N61="","",'Zoopl Count'!N61*(2^N$9)/N$8)</f>
        <v/>
      </c>
      <c r="O61" s="205" t="str">
        <f>IF('Zoopl Count'!O61="","",'Zoopl Count'!O61*(2^O$9)/O$8)</f>
        <v/>
      </c>
      <c r="P61" s="205" t="str">
        <f>IF('Zoopl Count'!P61="","",'Zoopl Count'!P61*(2^P$9)/P$8)</f>
        <v/>
      </c>
    </row>
    <row r="62" spans="4:16" s="132" customFormat="1" hidden="1">
      <c r="D62" s="133"/>
      <c r="E62" s="133" t="s">
        <v>14</v>
      </c>
      <c r="F62" s="168" t="s">
        <v>381</v>
      </c>
      <c r="G62" s="205" t="str">
        <f>IF('Zoopl Count'!G62="","",'Zoopl Count'!G62*(2^G$9)/G$8)</f>
        <v/>
      </c>
      <c r="H62" s="205" t="str">
        <f>IF('Zoopl Count'!H62="","",'Zoopl Count'!H62*(2^H$9)/H$8)</f>
        <v/>
      </c>
      <c r="I62" s="205" t="str">
        <f>IF('Zoopl Count'!I62="","",'Zoopl Count'!I62*(2^I$9)/I$8)</f>
        <v/>
      </c>
      <c r="J62" s="205" t="str">
        <f>IF('Zoopl Count'!J62="","",'Zoopl Count'!J62*(2^J$9)/J$8)</f>
        <v/>
      </c>
      <c r="K62" s="205" t="str">
        <f>IF('Zoopl Count'!K62="","",'Zoopl Count'!K62*(2^K$9)/K$8)</f>
        <v/>
      </c>
      <c r="L62" s="205" t="str">
        <f>IF('Zoopl Count'!L62="","",'Zoopl Count'!L62*(2^L$9)/L$8)</f>
        <v/>
      </c>
      <c r="M62" s="205" t="str">
        <f>IF('Zoopl Count'!M62="","",'Zoopl Count'!M62*(2^M$9)/M$8)</f>
        <v/>
      </c>
      <c r="N62" s="205" t="str">
        <f>IF('Zoopl Count'!N62="","",'Zoopl Count'!N62*(2^N$9)/N$8)</f>
        <v/>
      </c>
      <c r="O62" s="205" t="str">
        <f>IF('Zoopl Count'!O62="","",'Zoopl Count'!O62*(2^O$9)/O$8)</f>
        <v/>
      </c>
      <c r="P62" s="205" t="str">
        <f>IF('Zoopl Count'!P62="","",'Zoopl Count'!P62*(2^P$9)/P$8)</f>
        <v/>
      </c>
    </row>
    <row r="63" spans="4:16" s="132" customFormat="1" hidden="1">
      <c r="D63" s="133" t="s">
        <v>12</v>
      </c>
      <c r="E63" s="240" t="s">
        <v>382</v>
      </c>
      <c r="F63" s="116"/>
      <c r="G63" s="205" t="str">
        <f>IF('Zoopl Count'!G63="","",'Zoopl Count'!G63*(2^G$9)/G$8)</f>
        <v/>
      </c>
      <c r="H63" s="205" t="str">
        <f>IF('Zoopl Count'!H63="","",'Zoopl Count'!H63*(2^H$9)/H$8)</f>
        <v/>
      </c>
      <c r="I63" s="205" t="str">
        <f>IF('Zoopl Count'!I63="","",'Zoopl Count'!I63*(2^I$9)/I$8)</f>
        <v/>
      </c>
      <c r="J63" s="205" t="str">
        <f>IF('Zoopl Count'!J63="","",'Zoopl Count'!J63*(2^J$9)/J$8)</f>
        <v/>
      </c>
      <c r="K63" s="205" t="str">
        <f>IF('Zoopl Count'!K63="","",'Zoopl Count'!K63*(2^K$9)/K$8)</f>
        <v/>
      </c>
      <c r="L63" s="205" t="str">
        <f>IF('Zoopl Count'!L63="","",'Zoopl Count'!L63*(2^L$9)/L$8)</f>
        <v/>
      </c>
      <c r="M63" s="205" t="str">
        <f>IF('Zoopl Count'!M63="","",'Zoopl Count'!M63*(2^M$9)/M$8)</f>
        <v/>
      </c>
      <c r="N63" s="205" t="str">
        <f>IF('Zoopl Count'!N63="","",'Zoopl Count'!N63*(2^N$9)/N$8)</f>
        <v/>
      </c>
      <c r="O63" s="205" t="str">
        <f>IF('Zoopl Count'!O63="","",'Zoopl Count'!O63*(2^O$9)/O$8)</f>
        <v/>
      </c>
      <c r="P63" s="205" t="str">
        <f>IF('Zoopl Count'!P63="","",'Zoopl Count'!P63*(2^P$9)/P$8)</f>
        <v/>
      </c>
    </row>
    <row r="64" spans="4:16" s="132" customFormat="1" hidden="1">
      <c r="D64" s="133"/>
      <c r="E64" s="133" t="s">
        <v>14</v>
      </c>
      <c r="F64" s="168" t="s">
        <v>383</v>
      </c>
      <c r="G64" s="205" t="str">
        <f>IF('Zoopl Count'!G64="","",'Zoopl Count'!G64*(2^G$9)/G$8)</f>
        <v/>
      </c>
      <c r="H64" s="205" t="str">
        <f>IF('Zoopl Count'!H64="","",'Zoopl Count'!H64*(2^H$9)/H$8)</f>
        <v/>
      </c>
      <c r="I64" s="205" t="str">
        <f>IF('Zoopl Count'!I64="","",'Zoopl Count'!I64*(2^I$9)/I$8)</f>
        <v/>
      </c>
      <c r="J64" s="205" t="str">
        <f>IF('Zoopl Count'!J64="","",'Zoopl Count'!J64*(2^J$9)/J$8)</f>
        <v/>
      </c>
      <c r="K64" s="205" t="str">
        <f>IF('Zoopl Count'!K64="","",'Zoopl Count'!K64*(2^K$9)/K$8)</f>
        <v/>
      </c>
      <c r="L64" s="205" t="str">
        <f>IF('Zoopl Count'!L64="","",'Zoopl Count'!L64*(2^L$9)/L$8)</f>
        <v/>
      </c>
      <c r="M64" s="205" t="str">
        <f>IF('Zoopl Count'!M64="","",'Zoopl Count'!M64*(2^M$9)/M$8)</f>
        <v/>
      </c>
      <c r="N64" s="205" t="str">
        <f>IF('Zoopl Count'!N64="","",'Zoopl Count'!N64*(2^N$9)/N$8)</f>
        <v/>
      </c>
      <c r="O64" s="205" t="str">
        <f>IF('Zoopl Count'!O64="","",'Zoopl Count'!O64*(2^O$9)/O$8)</f>
        <v/>
      </c>
      <c r="P64" s="205" t="str">
        <f>IF('Zoopl Count'!P64="","",'Zoopl Count'!P64*(2^P$9)/P$8)</f>
        <v/>
      </c>
    </row>
    <row r="65" spans="1:16" s="132" customFormat="1" hidden="1">
      <c r="D65" s="133" t="s">
        <v>12</v>
      </c>
      <c r="E65" s="240" t="s">
        <v>384</v>
      </c>
      <c r="F65" s="116"/>
      <c r="G65" s="205" t="str">
        <f>IF('Zoopl Count'!G65="","",'Zoopl Count'!G65*(2^G$9)/G$8)</f>
        <v/>
      </c>
      <c r="H65" s="205" t="str">
        <f>IF('Zoopl Count'!H65="","",'Zoopl Count'!H65*(2^H$9)/H$8)</f>
        <v/>
      </c>
      <c r="I65" s="205" t="str">
        <f>IF('Zoopl Count'!I65="","",'Zoopl Count'!I65*(2^I$9)/I$8)</f>
        <v/>
      </c>
      <c r="J65" s="205" t="str">
        <f>IF('Zoopl Count'!J65="","",'Zoopl Count'!J65*(2^J$9)/J$8)</f>
        <v/>
      </c>
      <c r="K65" s="205" t="str">
        <f>IF('Zoopl Count'!K65="","",'Zoopl Count'!K65*(2^K$9)/K$8)</f>
        <v/>
      </c>
      <c r="L65" s="205" t="str">
        <f>IF('Zoopl Count'!L65="","",'Zoopl Count'!L65*(2^L$9)/L$8)</f>
        <v/>
      </c>
      <c r="M65" s="205" t="str">
        <f>IF('Zoopl Count'!M65="","",'Zoopl Count'!M65*(2^M$9)/M$8)</f>
        <v/>
      </c>
      <c r="N65" s="205" t="str">
        <f>IF('Zoopl Count'!N65="","",'Zoopl Count'!N65*(2^N$9)/N$8)</f>
        <v/>
      </c>
      <c r="O65" s="205" t="str">
        <f>IF('Zoopl Count'!O65="","",'Zoopl Count'!O65*(2^O$9)/O$8)</f>
        <v/>
      </c>
      <c r="P65" s="205" t="str">
        <f>IF('Zoopl Count'!P65="","",'Zoopl Count'!P65*(2^P$9)/P$8)</f>
        <v/>
      </c>
    </row>
    <row r="66" spans="1:16" s="132" customFormat="1" hidden="1">
      <c r="D66" s="133"/>
      <c r="E66" s="133" t="s">
        <v>14</v>
      </c>
      <c r="F66" s="168" t="s">
        <v>385</v>
      </c>
      <c r="G66" s="205" t="str">
        <f>IF('Zoopl Count'!G66="","",'Zoopl Count'!G66*(2^G$9)/G$8)</f>
        <v/>
      </c>
      <c r="H66" s="205" t="str">
        <f>IF('Zoopl Count'!H66="","",'Zoopl Count'!H66*(2^H$9)/H$8)</f>
        <v/>
      </c>
      <c r="I66" s="205" t="str">
        <f>IF('Zoopl Count'!I66="","",'Zoopl Count'!I66*(2^I$9)/I$8)</f>
        <v/>
      </c>
      <c r="J66" s="205" t="str">
        <f>IF('Zoopl Count'!J66="","",'Zoopl Count'!J66*(2^J$9)/J$8)</f>
        <v/>
      </c>
      <c r="K66" s="205" t="str">
        <f>IF('Zoopl Count'!K66="","",'Zoopl Count'!K66*(2^K$9)/K$8)</f>
        <v/>
      </c>
      <c r="L66" s="205" t="str">
        <f>IF('Zoopl Count'!L66="","",'Zoopl Count'!L66*(2^L$9)/L$8)</f>
        <v/>
      </c>
      <c r="M66" s="205" t="str">
        <f>IF('Zoopl Count'!M66="","",'Zoopl Count'!M66*(2^M$9)/M$8)</f>
        <v/>
      </c>
      <c r="N66" s="205" t="str">
        <f>IF('Zoopl Count'!N66="","",'Zoopl Count'!N66*(2^N$9)/N$8)</f>
        <v/>
      </c>
      <c r="O66" s="205" t="str">
        <f>IF('Zoopl Count'!O66="","",'Zoopl Count'!O66*(2^O$9)/O$8)</f>
        <v/>
      </c>
      <c r="P66" s="205" t="str">
        <f>IF('Zoopl Count'!P66="","",'Zoopl Count'!P66*(2^P$9)/P$8)</f>
        <v/>
      </c>
    </row>
    <row r="67" spans="1:16" s="132" customFormat="1" hidden="1">
      <c r="D67" s="133" t="s">
        <v>12</v>
      </c>
      <c r="E67" s="240" t="s">
        <v>386</v>
      </c>
      <c r="F67" s="116"/>
      <c r="G67" s="205" t="str">
        <f>IF('Zoopl Count'!G67="","",'Zoopl Count'!G67*(2^G$9)/G$8)</f>
        <v/>
      </c>
      <c r="H67" s="205" t="str">
        <f>IF('Zoopl Count'!H67="","",'Zoopl Count'!H67*(2^H$9)/H$8)</f>
        <v/>
      </c>
      <c r="I67" s="205" t="str">
        <f>IF('Zoopl Count'!I67="","",'Zoopl Count'!I67*(2^I$9)/I$8)</f>
        <v/>
      </c>
      <c r="J67" s="205" t="str">
        <f>IF('Zoopl Count'!J67="","",'Zoopl Count'!J67*(2^J$9)/J$8)</f>
        <v/>
      </c>
      <c r="K67" s="205" t="str">
        <f>IF('Zoopl Count'!K67="","",'Zoopl Count'!K67*(2^K$9)/K$8)</f>
        <v/>
      </c>
      <c r="L67" s="205" t="str">
        <f>IF('Zoopl Count'!L67="","",'Zoopl Count'!L67*(2^L$9)/L$8)</f>
        <v/>
      </c>
      <c r="M67" s="205" t="str">
        <f>IF('Zoopl Count'!M67="","",'Zoopl Count'!M67*(2^M$9)/M$8)</f>
        <v/>
      </c>
      <c r="N67" s="205" t="str">
        <f>IF('Zoopl Count'!N67="","",'Zoopl Count'!N67*(2^N$9)/N$8)</f>
        <v/>
      </c>
      <c r="O67" s="205" t="str">
        <f>IF('Zoopl Count'!O67="","",'Zoopl Count'!O67*(2^O$9)/O$8)</f>
        <v/>
      </c>
      <c r="P67" s="205" t="str">
        <f>IF('Zoopl Count'!P67="","",'Zoopl Count'!P67*(2^P$9)/P$8)</f>
        <v/>
      </c>
    </row>
    <row r="68" spans="1:16" s="132" customFormat="1" hidden="1">
      <c r="D68" s="133"/>
      <c r="E68" s="133" t="s">
        <v>14</v>
      </c>
      <c r="F68" s="168" t="s">
        <v>387</v>
      </c>
      <c r="G68" s="205" t="str">
        <f>IF('Zoopl Count'!G68="","",'Zoopl Count'!G68*(2^G$9)/G$8)</f>
        <v/>
      </c>
      <c r="H68" s="205" t="str">
        <f>IF('Zoopl Count'!H68="","",'Zoopl Count'!H68*(2^H$9)/H$8)</f>
        <v/>
      </c>
      <c r="I68" s="205" t="str">
        <f>IF('Zoopl Count'!I68="","",'Zoopl Count'!I68*(2^I$9)/I$8)</f>
        <v/>
      </c>
      <c r="J68" s="205" t="str">
        <f>IF('Zoopl Count'!J68="","",'Zoopl Count'!J68*(2^J$9)/J$8)</f>
        <v/>
      </c>
      <c r="K68" s="205" t="str">
        <f>IF('Zoopl Count'!K68="","",'Zoopl Count'!K68*(2^K$9)/K$8)</f>
        <v/>
      </c>
      <c r="L68" s="205" t="str">
        <f>IF('Zoopl Count'!L68="","",'Zoopl Count'!L68*(2^L$9)/L$8)</f>
        <v/>
      </c>
      <c r="M68" s="205" t="str">
        <f>IF('Zoopl Count'!M68="","",'Zoopl Count'!M68*(2^M$9)/M$8)</f>
        <v/>
      </c>
      <c r="N68" s="205" t="str">
        <f>IF('Zoopl Count'!N68="","",'Zoopl Count'!N68*(2^N$9)/N$8)</f>
        <v/>
      </c>
      <c r="O68" s="205" t="str">
        <f>IF('Zoopl Count'!O68="","",'Zoopl Count'!O68*(2^O$9)/O$8)</f>
        <v/>
      </c>
      <c r="P68" s="205" t="str">
        <f>IF('Zoopl Count'!P68="","",'Zoopl Count'!P68*(2^P$9)/P$8)</f>
        <v/>
      </c>
    </row>
    <row r="69" spans="1:16" s="132" customFormat="1" hidden="1">
      <c r="D69" s="133"/>
      <c r="E69" s="133"/>
      <c r="F69" s="168" t="s">
        <v>388</v>
      </c>
      <c r="G69" s="205" t="str">
        <f>IF('Zoopl Count'!G69="","",'Zoopl Count'!G69*(2^G$9)/G$8)</f>
        <v/>
      </c>
      <c r="H69" s="205" t="str">
        <f>IF('Zoopl Count'!H69="","",'Zoopl Count'!H69*(2^H$9)/H$8)</f>
        <v/>
      </c>
      <c r="I69" s="205" t="str">
        <f>IF('Zoopl Count'!I69="","",'Zoopl Count'!I69*(2^I$9)/I$8)</f>
        <v/>
      </c>
      <c r="J69" s="205" t="str">
        <f>IF('Zoopl Count'!J69="","",'Zoopl Count'!J69*(2^J$9)/J$8)</f>
        <v/>
      </c>
      <c r="K69" s="205" t="str">
        <f>IF('Zoopl Count'!K69="","",'Zoopl Count'!K69*(2^K$9)/K$8)</f>
        <v/>
      </c>
      <c r="L69" s="205" t="str">
        <f>IF('Zoopl Count'!L69="","",'Zoopl Count'!L69*(2^L$9)/L$8)</f>
        <v/>
      </c>
      <c r="M69" s="205" t="str">
        <f>IF('Zoopl Count'!M69="","",'Zoopl Count'!M69*(2^M$9)/M$8)</f>
        <v/>
      </c>
      <c r="N69" s="205" t="str">
        <f>IF('Zoopl Count'!N69="","",'Zoopl Count'!N69*(2^N$9)/N$8)</f>
        <v/>
      </c>
      <c r="O69" s="205" t="str">
        <f>IF('Zoopl Count'!O69="","",'Zoopl Count'!O69*(2^O$9)/O$8)</f>
        <v/>
      </c>
      <c r="P69" s="205" t="str">
        <f>IF('Zoopl Count'!P69="","",'Zoopl Count'!P69*(2^P$9)/P$8)</f>
        <v/>
      </c>
    </row>
    <row r="70" spans="1:16" s="132" customFormat="1" hidden="1">
      <c r="D70" s="133"/>
      <c r="F70" s="116"/>
      <c r="G70" s="205" t="str">
        <f>IF('Zoopl Count'!G70="","",'Zoopl Count'!G70*(2^G$9)/G$8)</f>
        <v/>
      </c>
      <c r="H70" s="205" t="str">
        <f>IF('Zoopl Count'!H70="","",'Zoopl Count'!H70*(2^H$9)/H$8)</f>
        <v/>
      </c>
      <c r="I70" s="205" t="str">
        <f>IF('Zoopl Count'!I70="","",'Zoopl Count'!I70*(2^I$9)/I$8)</f>
        <v/>
      </c>
      <c r="J70" s="205" t="str">
        <f>IF('Zoopl Count'!J70="","",'Zoopl Count'!J70*(2^J$9)/J$8)</f>
        <v/>
      </c>
      <c r="K70" s="205" t="str">
        <f>IF('Zoopl Count'!K70="","",'Zoopl Count'!K70*(2^K$9)/K$8)</f>
        <v/>
      </c>
      <c r="L70" s="205" t="str">
        <f>IF('Zoopl Count'!L70="","",'Zoopl Count'!L70*(2^L$9)/L$8)</f>
        <v/>
      </c>
      <c r="M70" s="205" t="str">
        <f>IF('Zoopl Count'!M70="","",'Zoopl Count'!M70*(2^M$9)/M$8)</f>
        <v/>
      </c>
      <c r="N70" s="205" t="str">
        <f>IF('Zoopl Count'!N70="","",'Zoopl Count'!N70*(2^N$9)/N$8)</f>
        <v/>
      </c>
      <c r="O70" s="205" t="str">
        <f>IF('Zoopl Count'!O70="","",'Zoopl Count'!O70*(2^O$9)/O$8)</f>
        <v/>
      </c>
      <c r="P70" s="205" t="str">
        <f>IF('Zoopl Count'!P70="","",'Zoopl Count'!P70*(2^P$9)/P$8)</f>
        <v/>
      </c>
    </row>
    <row r="71" spans="1:16" s="75" customFormat="1" ht="15" thickTop="1">
      <c r="A71" s="134" t="s">
        <v>7</v>
      </c>
      <c r="B71" s="135" t="s">
        <v>8</v>
      </c>
      <c r="C71" s="135"/>
      <c r="D71" s="135"/>
      <c r="E71" s="135"/>
      <c r="F71" s="136"/>
      <c r="G71" s="205" t="str">
        <f>IF('Zoopl Count'!G71="","",'Zoopl Count'!G71*(2^G$9)/G$8)</f>
        <v/>
      </c>
      <c r="H71" s="205" t="str">
        <f>IF('Zoopl Count'!H71="","",'Zoopl Count'!H71*(2^H$9)/H$8)</f>
        <v/>
      </c>
      <c r="I71" s="205" t="str">
        <f>IF('Zoopl Count'!I71="","",'Zoopl Count'!I71*(2^I$9)/I$8)</f>
        <v/>
      </c>
      <c r="J71" s="205" t="str">
        <f>IF('Zoopl Count'!J71="","",'Zoopl Count'!J71*(2^J$9)/J$8)</f>
        <v/>
      </c>
      <c r="K71" s="205" t="str">
        <f>IF('Zoopl Count'!K71="","",'Zoopl Count'!K71*(2^K$9)/K$8)</f>
        <v/>
      </c>
      <c r="L71" s="205" t="str">
        <f>IF('Zoopl Count'!L71="","",'Zoopl Count'!L71*(2^L$9)/L$8)</f>
        <v/>
      </c>
      <c r="M71" s="205" t="str">
        <f>IF('Zoopl Count'!M71="","",'Zoopl Count'!M71*(2^M$9)/M$8)</f>
        <v/>
      </c>
      <c r="N71" s="205" t="str">
        <f>IF('Zoopl Count'!N71="","",'Zoopl Count'!N71*(2^N$9)/N$8)</f>
        <v/>
      </c>
      <c r="O71" s="205" t="str">
        <f>IF('Zoopl Count'!O71="","",'Zoopl Count'!O71*(2^O$9)/O$8)</f>
        <v/>
      </c>
      <c r="P71" s="205" t="str">
        <f>IF('Zoopl Count'!P71="","",'Zoopl Count'!P71*(2^P$9)/P$8)</f>
        <v/>
      </c>
    </row>
    <row r="72" spans="1:16" s="75" customFormat="1" hidden="1">
      <c r="A72" s="134"/>
      <c r="B72" s="135"/>
      <c r="C72" s="135"/>
      <c r="D72" s="135"/>
      <c r="E72" s="135"/>
      <c r="F72" s="241" t="s">
        <v>337</v>
      </c>
      <c r="G72" s="205" t="str">
        <f>IF('Zoopl Count'!G72="","",'Zoopl Count'!G72*(2^G$9)/G$8)</f>
        <v/>
      </c>
      <c r="H72" s="205" t="str">
        <f>IF('Zoopl Count'!H72="","",'Zoopl Count'!H72*(2^H$9)/H$8)</f>
        <v/>
      </c>
      <c r="I72" s="205" t="str">
        <f>IF('Zoopl Count'!I72="","",'Zoopl Count'!I72*(2^I$9)/I$8)</f>
        <v/>
      </c>
      <c r="J72" s="205" t="str">
        <f>IF('Zoopl Count'!J72="","",'Zoopl Count'!J72*(2^J$9)/J$8)</f>
        <v/>
      </c>
      <c r="K72" s="205" t="str">
        <f>IF('Zoopl Count'!K72="","",'Zoopl Count'!K72*(2^K$9)/K$8)</f>
        <v/>
      </c>
      <c r="L72" s="205" t="str">
        <f>IF('Zoopl Count'!L72="","",'Zoopl Count'!L72*(2^L$9)/L$8)</f>
        <v/>
      </c>
      <c r="M72" s="205" t="str">
        <f>IF('Zoopl Count'!M72="","",'Zoopl Count'!M72*(2^M$9)/M$8)</f>
        <v/>
      </c>
      <c r="N72" s="205" t="str">
        <f>IF('Zoopl Count'!N72="","",'Zoopl Count'!N72*(2^N$9)/N$8)</f>
        <v/>
      </c>
      <c r="O72" s="205" t="str">
        <f>IF('Zoopl Count'!O72="","",'Zoopl Count'!O72*(2^O$9)/O$8)</f>
        <v/>
      </c>
      <c r="P72" s="205" t="str">
        <f>IF('Zoopl Count'!P72="","",'Zoopl Count'!P72*(2^P$9)/P$8)</f>
        <v/>
      </c>
    </row>
    <row r="73" spans="1:16" s="75" customFormat="1" hidden="1">
      <c r="A73" s="134"/>
      <c r="B73" s="135"/>
      <c r="C73" s="135"/>
      <c r="D73" s="135"/>
      <c r="E73" s="135"/>
      <c r="F73" s="263" t="s">
        <v>419</v>
      </c>
      <c r="G73" s="205" t="str">
        <f>IF('Zoopl Count'!G73="","",'Zoopl Count'!G73*(2^G$9)/G$8)</f>
        <v/>
      </c>
      <c r="H73" s="205" t="str">
        <f>IF('Zoopl Count'!H73="","",'Zoopl Count'!H73*(2^H$9)/H$8)</f>
        <v/>
      </c>
      <c r="I73" s="205" t="str">
        <f>IF('Zoopl Count'!I73="","",'Zoopl Count'!I73*(2^I$9)/I$8)</f>
        <v/>
      </c>
      <c r="J73" s="205" t="str">
        <f>IF('Zoopl Count'!J73="","",'Zoopl Count'!J73*(2^J$9)/J$8)</f>
        <v/>
      </c>
      <c r="K73" s="205" t="str">
        <f>IF('Zoopl Count'!K73="","",'Zoopl Count'!K73*(2^K$9)/K$8)</f>
        <v/>
      </c>
      <c r="L73" s="205" t="str">
        <f>IF('Zoopl Count'!L73="","",'Zoopl Count'!L73*(2^L$9)/L$8)</f>
        <v/>
      </c>
      <c r="M73" s="205" t="str">
        <f>IF('Zoopl Count'!M73="","",'Zoopl Count'!M73*(2^M$9)/M$8)</f>
        <v/>
      </c>
      <c r="N73" s="205" t="str">
        <f>IF('Zoopl Count'!N73="","",'Zoopl Count'!N73*(2^N$9)/N$8)</f>
        <v/>
      </c>
      <c r="O73" s="205" t="str">
        <f>IF('Zoopl Count'!O73="","",'Zoopl Count'!O73*(2^O$9)/O$8)</f>
        <v/>
      </c>
      <c r="P73" s="205" t="str">
        <f>IF('Zoopl Count'!P73="","",'Zoopl Count'!P73*(2^P$9)/P$8)</f>
        <v/>
      </c>
    </row>
    <row r="74" spans="1:16" s="75" customFormat="1">
      <c r="A74" s="21"/>
      <c r="B74" s="21" t="s">
        <v>79</v>
      </c>
      <c r="C74" s="2" t="s">
        <v>85</v>
      </c>
      <c r="D74" s="2"/>
      <c r="E74" s="2"/>
      <c r="F74" s="100"/>
      <c r="G74" s="205" t="str">
        <f>IF('Zoopl Count'!G74="","",'Zoopl Count'!G74*(2^G$9)/G$8)</f>
        <v/>
      </c>
      <c r="H74" s="205" t="str">
        <f>IF('Zoopl Count'!H74="","",'Zoopl Count'!H74*(2^H$9)/H$8)</f>
        <v/>
      </c>
      <c r="I74" s="205" t="str">
        <f>IF('Zoopl Count'!I74="","",'Zoopl Count'!I74*(2^I$9)/I$8)</f>
        <v/>
      </c>
      <c r="J74" s="205" t="str">
        <f>IF('Zoopl Count'!J74="","",'Zoopl Count'!J74*(2^J$9)/J$8)</f>
        <v/>
      </c>
      <c r="K74" s="205" t="str">
        <f>IF('Zoopl Count'!K74="","",'Zoopl Count'!K74*(2^K$9)/K$8)</f>
        <v/>
      </c>
      <c r="L74" s="205" t="str">
        <f>IF('Zoopl Count'!L74="","",'Zoopl Count'!L74*(2^L$9)/L$8)</f>
        <v/>
      </c>
      <c r="M74" s="205" t="str">
        <f>IF('Zoopl Count'!M74="","",'Zoopl Count'!M74*(2^M$9)/M$8)</f>
        <v/>
      </c>
      <c r="N74" s="205" t="str">
        <f>IF('Zoopl Count'!N74="","",'Zoopl Count'!N74*(2^N$9)/N$8)</f>
        <v/>
      </c>
      <c r="O74" s="205" t="str">
        <f>IF('Zoopl Count'!O74="","",'Zoopl Count'!O74*(2^O$9)/O$8)</f>
        <v/>
      </c>
      <c r="P74" s="205" t="str">
        <f>IF('Zoopl Count'!P74="","",'Zoopl Count'!P74*(2^P$9)/P$8)</f>
        <v/>
      </c>
    </row>
    <row r="75" spans="1:16" s="75" customFormat="1">
      <c r="A75" s="2"/>
      <c r="B75" s="195"/>
      <c r="C75" s="195"/>
      <c r="D75" s="2"/>
      <c r="E75" s="193"/>
      <c r="F75" s="194" t="s">
        <v>292</v>
      </c>
      <c r="G75" s="205" t="str">
        <f>IF('Zoopl Count'!G75="","",'Zoopl Count'!G75*(2^G$9)/G$8)</f>
        <v/>
      </c>
      <c r="H75" s="205">
        <f>IF('Zoopl Count'!H75="","",'Zoopl Count'!H75*(2^H$9)/H$8)</f>
        <v>6.518986469044033E-2</v>
      </c>
      <c r="I75" s="205" t="str">
        <f>IF('Zoopl Count'!I75="","",'Zoopl Count'!I75*(2^I$9)/I$8)</f>
        <v/>
      </c>
      <c r="J75" s="205" t="str">
        <f>IF('Zoopl Count'!J75="","",'Zoopl Count'!J75*(2^J$9)/J$8)</f>
        <v/>
      </c>
      <c r="K75" s="205">
        <f>IF('Zoopl Count'!K75="","",'Zoopl Count'!K75*(2^K$9)/K$8)</f>
        <v>0.26075945876176132</v>
      </c>
      <c r="L75" s="205" t="str">
        <f>IF('Zoopl Count'!L75="","",'Zoopl Count'!L75*(2^L$9)/L$8)</f>
        <v/>
      </c>
      <c r="M75" s="205" t="str">
        <f>IF('Zoopl Count'!M75="","",'Zoopl Count'!M75*(2^M$9)/M$8)</f>
        <v/>
      </c>
      <c r="N75" s="205" t="str">
        <f>IF('Zoopl Count'!N75="","",'Zoopl Count'!N75*(2^N$9)/N$8)</f>
        <v/>
      </c>
      <c r="O75" s="205" t="str">
        <f>IF('Zoopl Count'!O75="","",'Zoopl Count'!O75*(2^O$9)/O$8)</f>
        <v/>
      </c>
      <c r="P75" s="205" t="str">
        <f>IF('Zoopl Count'!P75="","",'Zoopl Count'!P75*(2^P$9)/P$8)</f>
        <v/>
      </c>
    </row>
    <row r="76" spans="1:16" s="75" customFormat="1">
      <c r="A76" s="2"/>
      <c r="B76" s="21"/>
      <c r="C76" s="21" t="s">
        <v>10</v>
      </c>
      <c r="D76" s="2" t="s">
        <v>280</v>
      </c>
      <c r="E76" s="193"/>
      <c r="F76" s="194"/>
      <c r="G76" s="205" t="str">
        <f>IF('Zoopl Count'!G76="","",'Zoopl Count'!G76*(2^G$9)/G$8)</f>
        <v/>
      </c>
      <c r="H76" s="205" t="str">
        <f>IF('Zoopl Count'!H76="","",'Zoopl Count'!H76*(2^H$9)/H$8)</f>
        <v/>
      </c>
      <c r="I76" s="205" t="str">
        <f>IF('Zoopl Count'!I76="","",'Zoopl Count'!I76*(2^I$9)/I$8)</f>
        <v/>
      </c>
      <c r="J76" s="205" t="str">
        <f>IF('Zoopl Count'!J76="","",'Zoopl Count'!J76*(2^J$9)/J$8)</f>
        <v/>
      </c>
      <c r="K76" s="205" t="str">
        <f>IF('Zoopl Count'!K76="","",'Zoopl Count'!K76*(2^K$9)/K$8)</f>
        <v/>
      </c>
      <c r="L76" s="205" t="str">
        <f>IF('Zoopl Count'!L76="","",'Zoopl Count'!L76*(2^L$9)/L$8)</f>
        <v/>
      </c>
      <c r="M76" s="205" t="str">
        <f>IF('Zoopl Count'!M76="","",'Zoopl Count'!M76*(2^M$9)/M$8)</f>
        <v/>
      </c>
      <c r="N76" s="205" t="str">
        <f>IF('Zoopl Count'!N76="","",'Zoopl Count'!N76*(2^N$9)/N$8)</f>
        <v/>
      </c>
      <c r="O76" s="205" t="str">
        <f>IF('Zoopl Count'!O76="","",'Zoopl Count'!O76*(2^O$9)/O$8)</f>
        <v/>
      </c>
      <c r="P76" s="205" t="str">
        <f>IF('Zoopl Count'!P76="","",'Zoopl Count'!P76*(2^P$9)/P$8)</f>
        <v/>
      </c>
    </row>
    <row r="77" spans="1:16" s="75" customFormat="1">
      <c r="A77" s="181"/>
      <c r="B77" s="181"/>
      <c r="C77" s="181"/>
      <c r="D77" s="180" t="s">
        <v>12</v>
      </c>
      <c r="E77" s="181" t="s">
        <v>281</v>
      </c>
      <c r="F77" s="182"/>
      <c r="G77" s="205" t="str">
        <f>IF('Zoopl Count'!G77="","",'Zoopl Count'!G77*(2^G$9)/G$8)</f>
        <v/>
      </c>
      <c r="H77" s="205" t="str">
        <f>IF('Zoopl Count'!H77="","",'Zoopl Count'!H77*(2^H$9)/H$8)</f>
        <v/>
      </c>
      <c r="I77" s="205" t="str">
        <f>IF('Zoopl Count'!I77="","",'Zoopl Count'!I77*(2^I$9)/I$8)</f>
        <v/>
      </c>
      <c r="J77" s="205" t="str">
        <f>IF('Zoopl Count'!J77="","",'Zoopl Count'!J77*(2^J$9)/J$8)</f>
        <v/>
      </c>
      <c r="K77" s="205" t="str">
        <f>IF('Zoopl Count'!K77="","",'Zoopl Count'!K77*(2^K$9)/K$8)</f>
        <v/>
      </c>
      <c r="L77" s="205" t="str">
        <f>IF('Zoopl Count'!L77="","",'Zoopl Count'!L77*(2^L$9)/L$8)</f>
        <v/>
      </c>
      <c r="M77" s="205" t="str">
        <f>IF('Zoopl Count'!M77="","",'Zoopl Count'!M77*(2^M$9)/M$8)</f>
        <v/>
      </c>
      <c r="N77" s="205" t="str">
        <f>IF('Zoopl Count'!N77="","",'Zoopl Count'!N77*(2^N$9)/N$8)</f>
        <v/>
      </c>
      <c r="O77" s="205" t="str">
        <f>IF('Zoopl Count'!O77="","",'Zoopl Count'!O77*(2^O$9)/O$8)</f>
        <v/>
      </c>
      <c r="P77" s="205" t="str">
        <f>IF('Zoopl Count'!P77="","",'Zoopl Count'!P77*(2^P$9)/P$8)</f>
        <v/>
      </c>
    </row>
    <row r="78" spans="1:16" s="75" customFormat="1">
      <c r="A78" s="181"/>
      <c r="B78" s="181"/>
      <c r="C78" s="181"/>
      <c r="D78" s="180"/>
      <c r="E78" s="180" t="s">
        <v>14</v>
      </c>
      <c r="F78" s="10" t="s">
        <v>282</v>
      </c>
      <c r="G78" s="205">
        <f>IF('Zoopl Count'!G78="","",'Zoopl Count'!G78*(2^G$9)/G$8)</f>
        <v>0.26075945876176132</v>
      </c>
      <c r="H78" s="205" t="str">
        <f>IF('Zoopl Count'!H78="","",'Zoopl Count'!H78*(2^H$9)/H$8)</f>
        <v/>
      </c>
      <c r="I78" s="205" t="str">
        <f>IF('Zoopl Count'!I78="","",'Zoopl Count'!I78*(2^I$9)/I$8)</f>
        <v/>
      </c>
      <c r="J78" s="205" t="str">
        <f>IF('Zoopl Count'!J78="","",'Zoopl Count'!J78*(2^J$9)/J$8)</f>
        <v/>
      </c>
      <c r="K78" s="205" t="str">
        <f>IF('Zoopl Count'!K78="","",'Zoopl Count'!K78*(2^K$9)/K$8)</f>
        <v/>
      </c>
      <c r="L78" s="205" t="str">
        <f>IF('Zoopl Count'!L78="","",'Zoopl Count'!L78*(2^L$9)/L$8)</f>
        <v/>
      </c>
      <c r="M78" s="205">
        <f>IF('Zoopl Count'!M78="","",'Zoopl Count'!M78*(2^M$9)/M$8)</f>
        <v>0.13037972938088066</v>
      </c>
      <c r="N78" s="205" t="str">
        <f>IF('Zoopl Count'!N78="","",'Zoopl Count'!N78*(2^N$9)/N$8)</f>
        <v/>
      </c>
      <c r="O78" s="205" t="str">
        <f>IF('Zoopl Count'!O78="","",'Zoopl Count'!O78*(2^O$9)/O$8)</f>
        <v/>
      </c>
      <c r="P78" s="205" t="str">
        <f>IF('Zoopl Count'!P78="","",'Zoopl Count'!P78*(2^P$9)/P$8)</f>
        <v/>
      </c>
    </row>
    <row r="79" spans="1:16" s="75" customFormat="1" ht="12.65" hidden="1" customHeight="1">
      <c r="A79" s="180"/>
      <c r="B79" s="180"/>
      <c r="C79" s="2"/>
      <c r="D79" s="181"/>
      <c r="E79" s="181"/>
      <c r="F79" s="182"/>
      <c r="G79" s="205" t="str">
        <f>IF('Zoopl Count'!G79="","",'Zoopl Count'!G79*(2^G$9)/G$8)</f>
        <v/>
      </c>
      <c r="H79" s="205" t="str">
        <f>IF('Zoopl Count'!H79="","",'Zoopl Count'!H79*(2^H$9)/H$8)</f>
        <v/>
      </c>
      <c r="I79" s="205" t="str">
        <f>IF('Zoopl Count'!I79="","",'Zoopl Count'!I79*(2^I$9)/I$8)</f>
        <v/>
      </c>
      <c r="J79" s="205" t="str">
        <f>IF('Zoopl Count'!J79="","",'Zoopl Count'!J79*(2^J$9)/J$8)</f>
        <v/>
      </c>
      <c r="K79" s="205" t="str">
        <f>IF('Zoopl Count'!K79="","",'Zoopl Count'!K79*(2^K$9)/K$8)</f>
        <v/>
      </c>
      <c r="L79" s="205" t="str">
        <f>IF('Zoopl Count'!L79="","",'Zoopl Count'!L79*(2^L$9)/L$8)</f>
        <v/>
      </c>
      <c r="M79" s="205" t="str">
        <f>IF('Zoopl Count'!M79="","",'Zoopl Count'!M79*(2^M$9)/M$8)</f>
        <v/>
      </c>
      <c r="N79" s="205" t="str">
        <f>IF('Zoopl Count'!N79="","",'Zoopl Count'!N79*(2^N$9)/N$8)</f>
        <v/>
      </c>
      <c r="O79" s="205" t="str">
        <f>IF('Zoopl Count'!O79="","",'Zoopl Count'!O79*(2^O$9)/O$8)</f>
        <v/>
      </c>
      <c r="P79" s="205" t="str">
        <f>IF('Zoopl Count'!P79="","",'Zoopl Count'!P79*(2^P$9)/P$8)</f>
        <v/>
      </c>
    </row>
    <row r="80" spans="1:16" s="75" customFormat="1" hidden="1">
      <c r="A80" s="2"/>
      <c r="B80" s="21"/>
      <c r="C80" s="21" t="s">
        <v>10</v>
      </c>
      <c r="D80" s="2" t="s">
        <v>278</v>
      </c>
      <c r="E80" s="2"/>
      <c r="F80" s="100"/>
      <c r="G80" s="205" t="str">
        <f>IF('Zoopl Count'!G80="","",'Zoopl Count'!G80*(2^G$9)/G$8)</f>
        <v/>
      </c>
      <c r="H80" s="205" t="str">
        <f>IF('Zoopl Count'!H80="","",'Zoopl Count'!H80*(2^H$9)/H$8)</f>
        <v/>
      </c>
      <c r="I80" s="205" t="str">
        <f>IF('Zoopl Count'!I80="","",'Zoopl Count'!I80*(2^I$9)/I$8)</f>
        <v/>
      </c>
      <c r="J80" s="205" t="str">
        <f>IF('Zoopl Count'!J80="","",'Zoopl Count'!J80*(2^J$9)/J$8)</f>
        <v/>
      </c>
      <c r="K80" s="205" t="str">
        <f>IF('Zoopl Count'!K80="","",'Zoopl Count'!K80*(2^K$9)/K$8)</f>
        <v/>
      </c>
      <c r="L80" s="205" t="str">
        <f>IF('Zoopl Count'!L80="","",'Zoopl Count'!L80*(2^L$9)/L$8)</f>
        <v/>
      </c>
      <c r="M80" s="205" t="str">
        <f>IF('Zoopl Count'!M80="","",'Zoopl Count'!M80*(2^M$9)/M$8)</f>
        <v/>
      </c>
      <c r="N80" s="205" t="str">
        <f>IF('Zoopl Count'!N80="","",'Zoopl Count'!N80*(2^N$9)/N$8)</f>
        <v/>
      </c>
      <c r="O80" s="205" t="str">
        <f>IF('Zoopl Count'!O80="","",'Zoopl Count'!O80*(2^O$9)/O$8)</f>
        <v/>
      </c>
      <c r="P80" s="205" t="str">
        <f>IF('Zoopl Count'!P80="","",'Zoopl Count'!P80*(2^P$9)/P$8)</f>
        <v/>
      </c>
    </row>
    <row r="81" spans="1:16" s="75" customFormat="1" hidden="1">
      <c r="A81" s="181"/>
      <c r="B81" s="181"/>
      <c r="C81" s="181"/>
      <c r="D81" s="180" t="s">
        <v>12</v>
      </c>
      <c r="E81" s="181" t="s">
        <v>279</v>
      </c>
      <c r="F81" s="182"/>
      <c r="G81" s="205" t="str">
        <f>IF('Zoopl Count'!G81="","",'Zoopl Count'!G81*(2^G$9)/G$8)</f>
        <v/>
      </c>
      <c r="H81" s="205" t="str">
        <f>IF('Zoopl Count'!H81="","",'Zoopl Count'!H81*(2^H$9)/H$8)</f>
        <v/>
      </c>
      <c r="I81" s="205" t="str">
        <f>IF('Zoopl Count'!I81="","",'Zoopl Count'!I81*(2^I$9)/I$8)</f>
        <v/>
      </c>
      <c r="J81" s="205" t="str">
        <f>IF('Zoopl Count'!J81="","",'Zoopl Count'!J81*(2^J$9)/J$8)</f>
        <v/>
      </c>
      <c r="K81" s="205" t="str">
        <f>IF('Zoopl Count'!K81="","",'Zoopl Count'!K81*(2^K$9)/K$8)</f>
        <v/>
      </c>
      <c r="L81" s="205" t="str">
        <f>IF('Zoopl Count'!L81="","",'Zoopl Count'!L81*(2^L$9)/L$8)</f>
        <v/>
      </c>
      <c r="M81" s="205" t="str">
        <f>IF('Zoopl Count'!M81="","",'Zoopl Count'!M81*(2^M$9)/M$8)</f>
        <v/>
      </c>
      <c r="N81" s="205" t="str">
        <f>IF('Zoopl Count'!N81="","",'Zoopl Count'!N81*(2^N$9)/N$8)</f>
        <v/>
      </c>
      <c r="O81" s="205" t="str">
        <f>IF('Zoopl Count'!O81="","",'Zoopl Count'!O81*(2^O$9)/O$8)</f>
        <v/>
      </c>
      <c r="P81" s="205" t="str">
        <f>IF('Zoopl Count'!P81="","",'Zoopl Count'!P81*(2^P$9)/P$8)</f>
        <v/>
      </c>
    </row>
    <row r="82" spans="1:16" s="75" customFormat="1" hidden="1">
      <c r="A82" s="181"/>
      <c r="B82" s="181"/>
      <c r="C82" s="181"/>
      <c r="D82" s="180"/>
      <c r="E82" s="180" t="s">
        <v>14</v>
      </c>
      <c r="F82" s="10" t="s">
        <v>5</v>
      </c>
      <c r="G82" s="205" t="str">
        <f>IF('Zoopl Count'!G82="","",'Zoopl Count'!G82*(2^G$9)/G$8)</f>
        <v/>
      </c>
      <c r="H82" s="205" t="str">
        <f>IF('Zoopl Count'!H82="","",'Zoopl Count'!H82*(2^H$9)/H$8)</f>
        <v/>
      </c>
      <c r="I82" s="205" t="str">
        <f>IF('Zoopl Count'!I82="","",'Zoopl Count'!I82*(2^I$9)/I$8)</f>
        <v/>
      </c>
      <c r="J82" s="205" t="str">
        <f>IF('Zoopl Count'!J82="","",'Zoopl Count'!J82*(2^J$9)/J$8)</f>
        <v/>
      </c>
      <c r="K82" s="205" t="str">
        <f>IF('Zoopl Count'!K82="","",'Zoopl Count'!K82*(2^K$9)/K$8)</f>
        <v/>
      </c>
      <c r="L82" s="205" t="str">
        <f>IF('Zoopl Count'!L82="","",'Zoopl Count'!L82*(2^L$9)/L$8)</f>
        <v/>
      </c>
      <c r="M82" s="205" t="str">
        <f>IF('Zoopl Count'!M82="","",'Zoopl Count'!M82*(2^M$9)/M$8)</f>
        <v/>
      </c>
      <c r="N82" s="205" t="str">
        <f>IF('Zoopl Count'!N82="","",'Zoopl Count'!N82*(2^N$9)/N$8)</f>
        <v/>
      </c>
      <c r="O82" s="205" t="str">
        <f>IF('Zoopl Count'!O82="","",'Zoopl Count'!O82*(2^O$9)/O$8)</f>
        <v/>
      </c>
      <c r="P82" s="205" t="str">
        <f>IF('Zoopl Count'!P82="","",'Zoopl Count'!P82*(2^P$9)/P$8)</f>
        <v/>
      </c>
    </row>
    <row r="83" spans="1:16" s="75" customFormat="1">
      <c r="A83" s="181"/>
      <c r="B83" s="181"/>
      <c r="C83" s="181"/>
      <c r="D83" s="180"/>
      <c r="E83" s="180"/>
      <c r="F83" s="10"/>
      <c r="G83" s="205" t="str">
        <f>IF('Zoopl Count'!G83="","",'Zoopl Count'!G83*(2^G$9)/G$8)</f>
        <v/>
      </c>
      <c r="H83" s="205" t="str">
        <f>IF('Zoopl Count'!H83="","",'Zoopl Count'!H83*(2^H$9)/H$8)</f>
        <v/>
      </c>
      <c r="I83" s="205" t="str">
        <f>IF('Zoopl Count'!I83="","",'Zoopl Count'!I83*(2^I$9)/I$8)</f>
        <v/>
      </c>
      <c r="J83" s="205" t="str">
        <f>IF('Zoopl Count'!J83="","",'Zoopl Count'!J83*(2^J$9)/J$8)</f>
        <v/>
      </c>
      <c r="K83" s="205" t="str">
        <f>IF('Zoopl Count'!K83="","",'Zoopl Count'!K83*(2^K$9)/K$8)</f>
        <v/>
      </c>
      <c r="L83" s="205" t="str">
        <f>IF('Zoopl Count'!L83="","",'Zoopl Count'!L83*(2^L$9)/L$8)</f>
        <v/>
      </c>
      <c r="M83" s="205" t="str">
        <f>IF('Zoopl Count'!M83="","",'Zoopl Count'!M83*(2^M$9)/M$8)</f>
        <v/>
      </c>
      <c r="N83" s="205" t="str">
        <f>IF('Zoopl Count'!N83="","",'Zoopl Count'!N83*(2^N$9)/N$8)</f>
        <v/>
      </c>
      <c r="O83" s="205" t="str">
        <f>IF('Zoopl Count'!O83="","",'Zoopl Count'!O83*(2^O$9)/O$8)</f>
        <v/>
      </c>
      <c r="P83" s="205" t="str">
        <f>IF('Zoopl Count'!P83="","",'Zoopl Count'!P83*(2^P$9)/P$8)</f>
        <v/>
      </c>
    </row>
    <row r="84" spans="1:16" s="75" customFormat="1">
      <c r="A84" s="2"/>
      <c r="B84" s="21"/>
      <c r="C84" s="21" t="s">
        <v>10</v>
      </c>
      <c r="D84" s="2" t="s">
        <v>283</v>
      </c>
      <c r="E84" s="181"/>
      <c r="F84" s="182"/>
      <c r="G84" s="205">
        <f>IF('Zoopl Count'!G84="","",'Zoopl Count'!G84*(2^G$9)/G$8)</f>
        <v>0.13037972938088066</v>
      </c>
      <c r="H84" s="205" t="str">
        <f>IF('Zoopl Count'!H84="","",'Zoopl Count'!H84*(2^H$9)/H$8)</f>
        <v/>
      </c>
      <c r="I84" s="205" t="str">
        <f>IF('Zoopl Count'!I84="","",'Zoopl Count'!I84*(2^I$9)/I$8)</f>
        <v/>
      </c>
      <c r="J84" s="205" t="str">
        <f>IF('Zoopl Count'!J84="","",'Zoopl Count'!J84*(2^J$9)/J$8)</f>
        <v/>
      </c>
      <c r="K84" s="205" t="str">
        <f>IF('Zoopl Count'!K84="","",'Zoopl Count'!K84*(2^K$9)/K$8)</f>
        <v/>
      </c>
      <c r="L84" s="205" t="str">
        <f>IF('Zoopl Count'!L84="","",'Zoopl Count'!L84*(2^L$9)/L$8)</f>
        <v/>
      </c>
      <c r="M84" s="205" t="str">
        <f>IF('Zoopl Count'!M84="","",'Zoopl Count'!M84*(2^M$9)/M$8)</f>
        <v/>
      </c>
      <c r="N84" s="205" t="str">
        <f>IF('Zoopl Count'!N84="","",'Zoopl Count'!N84*(2^N$9)/N$8)</f>
        <v/>
      </c>
      <c r="O84" s="205" t="str">
        <f>IF('Zoopl Count'!O84="","",'Zoopl Count'!O84*(2^O$9)/O$8)</f>
        <v/>
      </c>
      <c r="P84" s="205" t="str">
        <f>IF('Zoopl Count'!P84="","",'Zoopl Count'!P84*(2^P$9)/P$8)</f>
        <v/>
      </c>
    </row>
    <row r="85" spans="1:16" s="75" customFormat="1">
      <c r="A85" s="2"/>
      <c r="B85" s="180"/>
      <c r="C85" s="180"/>
      <c r="D85" s="2"/>
      <c r="E85" s="181"/>
      <c r="F85" s="182"/>
      <c r="G85" s="205" t="str">
        <f>IF('Zoopl Count'!G85="","",'Zoopl Count'!G85*(2^G$9)/G$8)</f>
        <v/>
      </c>
      <c r="H85" s="205" t="str">
        <f>IF('Zoopl Count'!H85="","",'Zoopl Count'!H85*(2^H$9)/H$8)</f>
        <v/>
      </c>
      <c r="I85" s="205" t="str">
        <f>IF('Zoopl Count'!I85="","",'Zoopl Count'!I85*(2^I$9)/I$8)</f>
        <v/>
      </c>
      <c r="J85" s="205" t="str">
        <f>IF('Zoopl Count'!J85="","",'Zoopl Count'!J85*(2^J$9)/J$8)</f>
        <v/>
      </c>
      <c r="K85" s="205" t="str">
        <f>IF('Zoopl Count'!K85="","",'Zoopl Count'!K85*(2^K$9)/K$8)</f>
        <v/>
      </c>
      <c r="L85" s="205" t="str">
        <f>IF('Zoopl Count'!L85="","",'Zoopl Count'!L85*(2^L$9)/L$8)</f>
        <v/>
      </c>
      <c r="M85" s="205" t="str">
        <f>IF('Zoopl Count'!M85="","",'Zoopl Count'!M85*(2^M$9)/M$8)</f>
        <v/>
      </c>
      <c r="N85" s="205" t="str">
        <f>IF('Zoopl Count'!N85="","",'Zoopl Count'!N85*(2^N$9)/N$8)</f>
        <v/>
      </c>
      <c r="O85" s="205" t="str">
        <f>IF('Zoopl Count'!O85="","",'Zoopl Count'!O85*(2^O$9)/O$8)</f>
        <v/>
      </c>
      <c r="P85" s="205" t="str">
        <f>IF('Zoopl Count'!P85="","",'Zoopl Count'!P85*(2^P$9)/P$8)</f>
        <v/>
      </c>
    </row>
    <row r="86" spans="1:16" s="75" customFormat="1" hidden="1">
      <c r="A86" s="2"/>
      <c r="B86" s="21"/>
      <c r="C86" s="21" t="s">
        <v>10</v>
      </c>
      <c r="D86" s="2" t="s">
        <v>275</v>
      </c>
      <c r="E86" s="2"/>
      <c r="F86" s="3"/>
      <c r="G86" s="205" t="str">
        <f>IF('Zoopl Count'!G86="","",'Zoopl Count'!G86*(2^G$9)/G$8)</f>
        <v/>
      </c>
      <c r="H86" s="205" t="str">
        <f>IF('Zoopl Count'!H86="","",'Zoopl Count'!H86*(2^H$9)/H$8)</f>
        <v/>
      </c>
      <c r="I86" s="205" t="str">
        <f>IF('Zoopl Count'!I86="","",'Zoopl Count'!I86*(2^I$9)/I$8)</f>
        <v/>
      </c>
      <c r="J86" s="205" t="str">
        <f>IF('Zoopl Count'!J86="","",'Zoopl Count'!J86*(2^J$9)/J$8)</f>
        <v/>
      </c>
      <c r="K86" s="205" t="str">
        <f>IF('Zoopl Count'!K86="","",'Zoopl Count'!K86*(2^K$9)/K$8)</f>
        <v/>
      </c>
      <c r="L86" s="205" t="str">
        <f>IF('Zoopl Count'!L86="","",'Zoopl Count'!L86*(2^L$9)/L$8)</f>
        <v/>
      </c>
      <c r="M86" s="205" t="str">
        <f>IF('Zoopl Count'!M86="","",'Zoopl Count'!M86*(2^M$9)/M$8)</f>
        <v/>
      </c>
      <c r="N86" s="205" t="str">
        <f>IF('Zoopl Count'!N86="","",'Zoopl Count'!N86*(2^N$9)/N$8)</f>
        <v/>
      </c>
      <c r="O86" s="205" t="str">
        <f>IF('Zoopl Count'!O86="","",'Zoopl Count'!O86*(2^O$9)/O$8)</f>
        <v/>
      </c>
      <c r="P86" s="205" t="str">
        <f>IF('Zoopl Count'!P86="","",'Zoopl Count'!P86*(2^P$9)/P$8)</f>
        <v/>
      </c>
    </row>
    <row r="87" spans="1:16" s="75" customFormat="1" hidden="1">
      <c r="A87" s="181"/>
      <c r="B87" s="181"/>
      <c r="C87" s="181"/>
      <c r="D87" s="180" t="s">
        <v>12</v>
      </c>
      <c r="E87" s="181" t="s">
        <v>276</v>
      </c>
      <c r="F87" s="182"/>
      <c r="G87" s="205" t="str">
        <f>IF('Zoopl Count'!G87="","",'Zoopl Count'!G87*(2^G$9)/G$8)</f>
        <v/>
      </c>
      <c r="H87" s="205" t="str">
        <f>IF('Zoopl Count'!H87="","",'Zoopl Count'!H87*(2^H$9)/H$8)</f>
        <v/>
      </c>
      <c r="I87" s="205" t="str">
        <f>IF('Zoopl Count'!I87="","",'Zoopl Count'!I87*(2^I$9)/I$8)</f>
        <v/>
      </c>
      <c r="J87" s="205" t="str">
        <f>IF('Zoopl Count'!J87="","",'Zoopl Count'!J87*(2^J$9)/J$8)</f>
        <v/>
      </c>
      <c r="K87" s="205" t="str">
        <f>IF('Zoopl Count'!K87="","",'Zoopl Count'!K87*(2^K$9)/K$8)</f>
        <v/>
      </c>
      <c r="L87" s="205" t="str">
        <f>IF('Zoopl Count'!L87="","",'Zoopl Count'!L87*(2^L$9)/L$8)</f>
        <v/>
      </c>
      <c r="M87" s="205" t="str">
        <f>IF('Zoopl Count'!M87="","",'Zoopl Count'!M87*(2^M$9)/M$8)</f>
        <v/>
      </c>
      <c r="N87" s="205" t="str">
        <f>IF('Zoopl Count'!N87="","",'Zoopl Count'!N87*(2^N$9)/N$8)</f>
        <v/>
      </c>
      <c r="O87" s="205" t="str">
        <f>IF('Zoopl Count'!O87="","",'Zoopl Count'!O87*(2^O$9)/O$8)</f>
        <v/>
      </c>
      <c r="P87" s="205" t="str">
        <f>IF('Zoopl Count'!P87="","",'Zoopl Count'!P87*(2^P$9)/P$8)</f>
        <v/>
      </c>
    </row>
    <row r="88" spans="1:16" s="75" customFormat="1" hidden="1">
      <c r="A88" s="181"/>
      <c r="B88" s="181"/>
      <c r="C88" s="181"/>
      <c r="D88" s="180"/>
      <c r="E88" s="180" t="s">
        <v>14</v>
      </c>
      <c r="F88" s="10" t="s">
        <v>277</v>
      </c>
      <c r="G88" s="205" t="str">
        <f>IF('Zoopl Count'!G88="","",'Zoopl Count'!G88*(2^G$9)/G$8)</f>
        <v/>
      </c>
      <c r="H88" s="205" t="str">
        <f>IF('Zoopl Count'!H88="","",'Zoopl Count'!H88*(2^H$9)/H$8)</f>
        <v/>
      </c>
      <c r="I88" s="205" t="str">
        <f>IF('Zoopl Count'!I88="","",'Zoopl Count'!I88*(2^I$9)/I$8)</f>
        <v/>
      </c>
      <c r="J88" s="205" t="str">
        <f>IF('Zoopl Count'!J88="","",'Zoopl Count'!J88*(2^J$9)/J$8)</f>
        <v/>
      </c>
      <c r="K88" s="205" t="str">
        <f>IF('Zoopl Count'!K88="","",'Zoopl Count'!K88*(2^K$9)/K$8)</f>
        <v/>
      </c>
      <c r="L88" s="205" t="str">
        <f>IF('Zoopl Count'!L88="","",'Zoopl Count'!L88*(2^L$9)/L$8)</f>
        <v/>
      </c>
      <c r="M88" s="205" t="str">
        <f>IF('Zoopl Count'!M88="","",'Zoopl Count'!M88*(2^M$9)/M$8)</f>
        <v/>
      </c>
      <c r="N88" s="205" t="str">
        <f>IF('Zoopl Count'!N88="","",'Zoopl Count'!N88*(2^N$9)/N$8)</f>
        <v/>
      </c>
      <c r="O88" s="205" t="str">
        <f>IF('Zoopl Count'!O88="","",'Zoopl Count'!O88*(2^O$9)/O$8)</f>
        <v/>
      </c>
      <c r="P88" s="205" t="str">
        <f>IF('Zoopl Count'!P88="","",'Zoopl Count'!P88*(2^P$9)/P$8)</f>
        <v/>
      </c>
    </row>
    <row r="89" spans="1:16" s="75" customFormat="1" hidden="1">
      <c r="A89" s="2"/>
      <c r="B89" s="211"/>
      <c r="C89" s="211"/>
      <c r="D89" s="2"/>
      <c r="E89" s="212"/>
      <c r="F89" s="234" t="s">
        <v>336</v>
      </c>
      <c r="G89" s="205" t="str">
        <f>IF('Zoopl Count'!G89="","",'Zoopl Count'!G89*(2^G$9)/G$8)</f>
        <v/>
      </c>
      <c r="H89" s="205" t="str">
        <f>IF('Zoopl Count'!H89="","",'Zoopl Count'!H89*(2^H$9)/H$8)</f>
        <v/>
      </c>
      <c r="I89" s="205" t="str">
        <f>IF('Zoopl Count'!I89="","",'Zoopl Count'!I89*(2^I$9)/I$8)</f>
        <v/>
      </c>
      <c r="J89" s="205" t="str">
        <f>IF('Zoopl Count'!J89="","",'Zoopl Count'!J89*(2^J$9)/J$8)</f>
        <v/>
      </c>
      <c r="K89" s="205" t="str">
        <f>IF('Zoopl Count'!K89="","",'Zoopl Count'!K89*(2^K$9)/K$8)</f>
        <v/>
      </c>
      <c r="L89" s="205" t="str">
        <f>IF('Zoopl Count'!L89="","",'Zoopl Count'!L89*(2^L$9)/L$8)</f>
        <v/>
      </c>
      <c r="M89" s="205" t="str">
        <f>IF('Zoopl Count'!M89="","",'Zoopl Count'!M89*(2^M$9)/M$8)</f>
        <v/>
      </c>
      <c r="N89" s="205" t="str">
        <f>IF('Zoopl Count'!N89="","",'Zoopl Count'!N89*(2^N$9)/N$8)</f>
        <v/>
      </c>
      <c r="O89" s="205" t="str">
        <f>IF('Zoopl Count'!O89="","",'Zoopl Count'!O89*(2^O$9)/O$8)</f>
        <v/>
      </c>
      <c r="P89" s="205" t="str">
        <f>IF('Zoopl Count'!P89="","",'Zoopl Count'!P89*(2^P$9)/P$8)</f>
        <v/>
      </c>
    </row>
    <row r="90" spans="1:16" s="75" customFormat="1" hidden="1">
      <c r="A90" s="181"/>
      <c r="B90" s="181"/>
      <c r="C90" s="181"/>
      <c r="D90" s="180"/>
      <c r="E90" s="180"/>
      <c r="F90" s="10"/>
      <c r="G90" s="205" t="str">
        <f>IF('Zoopl Count'!G90="","",'Zoopl Count'!G90*(2^G$9)/G$8)</f>
        <v/>
      </c>
      <c r="H90" s="205" t="str">
        <f>IF('Zoopl Count'!H90="","",'Zoopl Count'!H90*(2^H$9)/H$8)</f>
        <v/>
      </c>
      <c r="I90" s="205" t="str">
        <f>IF('Zoopl Count'!I90="","",'Zoopl Count'!I90*(2^I$9)/I$8)</f>
        <v/>
      </c>
      <c r="J90" s="205" t="str">
        <f>IF('Zoopl Count'!J90="","",'Zoopl Count'!J90*(2^J$9)/J$8)</f>
        <v/>
      </c>
      <c r="K90" s="205" t="str">
        <f>IF('Zoopl Count'!K90="","",'Zoopl Count'!K90*(2^K$9)/K$8)</f>
        <v/>
      </c>
      <c r="L90" s="205" t="str">
        <f>IF('Zoopl Count'!L90="","",'Zoopl Count'!L90*(2^L$9)/L$8)</f>
        <v/>
      </c>
      <c r="M90" s="205" t="str">
        <f>IF('Zoopl Count'!M90="","",'Zoopl Count'!M90*(2^M$9)/M$8)</f>
        <v/>
      </c>
      <c r="N90" s="205" t="str">
        <f>IF('Zoopl Count'!N90="","",'Zoopl Count'!N90*(2^N$9)/N$8)</f>
        <v/>
      </c>
      <c r="O90" s="205" t="str">
        <f>IF('Zoopl Count'!O90="","",'Zoopl Count'!O90*(2^O$9)/O$8)</f>
        <v/>
      </c>
      <c r="P90" s="205" t="str">
        <f>IF('Zoopl Count'!P90="","",'Zoopl Count'!P90*(2^P$9)/P$8)</f>
        <v/>
      </c>
    </row>
    <row r="91" spans="1:16" s="75" customFormat="1" hidden="1">
      <c r="A91" s="21"/>
      <c r="B91" s="21" t="s">
        <v>79</v>
      </c>
      <c r="C91" s="2" t="s">
        <v>303</v>
      </c>
      <c r="D91" s="2"/>
      <c r="E91" s="2"/>
      <c r="F91" s="100"/>
      <c r="G91" s="205" t="str">
        <f>IF('Zoopl Count'!G91="","",'Zoopl Count'!G91*(2^G$9)/G$8)</f>
        <v/>
      </c>
      <c r="H91" s="205" t="str">
        <f>IF('Zoopl Count'!H91="","",'Zoopl Count'!H91*(2^H$9)/H$8)</f>
        <v/>
      </c>
      <c r="I91" s="205" t="str">
        <f>IF('Zoopl Count'!I91="","",'Zoopl Count'!I91*(2^I$9)/I$8)</f>
        <v/>
      </c>
      <c r="J91" s="205" t="str">
        <f>IF('Zoopl Count'!J91="","",'Zoopl Count'!J91*(2^J$9)/J$8)</f>
        <v/>
      </c>
      <c r="K91" s="205" t="str">
        <f>IF('Zoopl Count'!K91="","",'Zoopl Count'!K91*(2^K$9)/K$8)</f>
        <v/>
      </c>
      <c r="L91" s="205" t="str">
        <f>IF('Zoopl Count'!L91="","",'Zoopl Count'!L91*(2^L$9)/L$8)</f>
        <v/>
      </c>
      <c r="M91" s="205" t="str">
        <f>IF('Zoopl Count'!M91="","",'Zoopl Count'!M91*(2^M$9)/M$8)</f>
        <v/>
      </c>
      <c r="N91" s="205" t="str">
        <f>IF('Zoopl Count'!N91="","",'Zoopl Count'!N91*(2^N$9)/N$8)</f>
        <v/>
      </c>
      <c r="O91" s="205" t="str">
        <f>IF('Zoopl Count'!O91="","",'Zoopl Count'!O91*(2^O$9)/O$8)</f>
        <v/>
      </c>
      <c r="P91" s="205" t="str">
        <f>IF('Zoopl Count'!P91="","",'Zoopl Count'!P91*(2^P$9)/P$8)</f>
        <v/>
      </c>
    </row>
    <row r="92" spans="1:16" s="75" customFormat="1" hidden="1">
      <c r="A92" s="2"/>
      <c r="B92" s="211"/>
      <c r="C92" s="211"/>
      <c r="D92" s="2"/>
      <c r="E92" s="212"/>
      <c r="F92" s="228" t="s">
        <v>304</v>
      </c>
      <c r="G92" s="205" t="str">
        <f>IF('Zoopl Count'!G92="","",'Zoopl Count'!G92*(2^G$9)/G$8)</f>
        <v/>
      </c>
      <c r="H92" s="205" t="str">
        <f>IF('Zoopl Count'!H92="","",'Zoopl Count'!H92*(2^H$9)/H$8)</f>
        <v/>
      </c>
      <c r="I92" s="205" t="str">
        <f>IF('Zoopl Count'!I92="","",'Zoopl Count'!I92*(2^I$9)/I$8)</f>
        <v/>
      </c>
      <c r="J92" s="205" t="str">
        <f>IF('Zoopl Count'!J92="","",'Zoopl Count'!J92*(2^J$9)/J$8)</f>
        <v/>
      </c>
      <c r="K92" s="205" t="str">
        <f>IF('Zoopl Count'!K92="","",'Zoopl Count'!K92*(2^K$9)/K$8)</f>
        <v/>
      </c>
      <c r="L92" s="205" t="str">
        <f>IF('Zoopl Count'!L92="","",'Zoopl Count'!L92*(2^L$9)/L$8)</f>
        <v/>
      </c>
      <c r="M92" s="205" t="str">
        <f>IF('Zoopl Count'!M92="","",'Zoopl Count'!M92*(2^M$9)/M$8)</f>
        <v/>
      </c>
      <c r="N92" s="205" t="str">
        <f>IF('Zoopl Count'!N92="","",'Zoopl Count'!N92*(2^N$9)/N$8)</f>
        <v/>
      </c>
      <c r="O92" s="205" t="str">
        <f>IF('Zoopl Count'!O92="","",'Zoopl Count'!O92*(2^O$9)/O$8)</f>
        <v/>
      </c>
      <c r="P92" s="205" t="str">
        <f>IF('Zoopl Count'!P92="","",'Zoopl Count'!P92*(2^P$9)/P$8)</f>
        <v/>
      </c>
    </row>
    <row r="93" spans="1:16" s="75" customFormat="1" hidden="1">
      <c r="F93" s="137"/>
      <c r="G93" s="205" t="str">
        <f>IF('Zoopl Count'!G93="","",'Zoopl Count'!G93*(2^G$9)/G$8)</f>
        <v/>
      </c>
      <c r="H93" s="205" t="str">
        <f>IF('Zoopl Count'!H93="","",'Zoopl Count'!H93*(2^H$9)/H$8)</f>
        <v/>
      </c>
      <c r="I93" s="205" t="str">
        <f>IF('Zoopl Count'!I93="","",'Zoopl Count'!I93*(2^I$9)/I$8)</f>
        <v/>
      </c>
      <c r="J93" s="205" t="str">
        <f>IF('Zoopl Count'!J93="","",'Zoopl Count'!J93*(2^J$9)/J$8)</f>
        <v/>
      </c>
      <c r="K93" s="205" t="str">
        <f>IF('Zoopl Count'!K93="","",'Zoopl Count'!K93*(2^K$9)/K$8)</f>
        <v/>
      </c>
      <c r="L93" s="205" t="str">
        <f>IF('Zoopl Count'!L93="","",'Zoopl Count'!L93*(2^L$9)/L$8)</f>
        <v/>
      </c>
      <c r="M93" s="205" t="str">
        <f>IF('Zoopl Count'!M93="","",'Zoopl Count'!M93*(2^M$9)/M$8)</f>
        <v/>
      </c>
      <c r="N93" s="205" t="str">
        <f>IF('Zoopl Count'!N93="","",'Zoopl Count'!N93*(2^N$9)/N$8)</f>
        <v/>
      </c>
      <c r="O93" s="205" t="str">
        <f>IF('Zoopl Count'!O93="","",'Zoopl Count'!O93*(2^O$9)/O$8)</f>
        <v/>
      </c>
      <c r="P93" s="205" t="str">
        <f>IF('Zoopl Count'!P93="","",'Zoopl Count'!P93*(2^P$9)/P$8)</f>
        <v/>
      </c>
    </row>
    <row r="94" spans="1:16" s="75" customFormat="1" hidden="1">
      <c r="A94" s="134" t="s">
        <v>7</v>
      </c>
      <c r="B94" s="135" t="s">
        <v>73</v>
      </c>
      <c r="C94" s="135"/>
      <c r="D94" s="135"/>
      <c r="E94" s="135"/>
      <c r="F94" s="136"/>
      <c r="G94" s="205" t="str">
        <f>IF('Zoopl Count'!G94="","",'Zoopl Count'!G94*(2^G$9)/G$8)</f>
        <v/>
      </c>
      <c r="H94" s="205" t="str">
        <f>IF('Zoopl Count'!H94="","",'Zoopl Count'!H94*(2^H$9)/H$8)</f>
        <v/>
      </c>
      <c r="I94" s="205" t="str">
        <f>IF('Zoopl Count'!I94="","",'Zoopl Count'!I94*(2^I$9)/I$8)</f>
        <v/>
      </c>
      <c r="J94" s="205" t="str">
        <f>IF('Zoopl Count'!J94="","",'Zoopl Count'!J94*(2^J$9)/J$8)</f>
        <v/>
      </c>
      <c r="K94" s="205" t="str">
        <f>IF('Zoopl Count'!K94="","",'Zoopl Count'!K94*(2^K$9)/K$8)</f>
        <v/>
      </c>
      <c r="L94" s="205" t="str">
        <f>IF('Zoopl Count'!L94="","",'Zoopl Count'!L94*(2^L$9)/L$8)</f>
        <v/>
      </c>
      <c r="M94" s="205" t="str">
        <f>IF('Zoopl Count'!M94="","",'Zoopl Count'!M94*(2^M$9)/M$8)</f>
        <v/>
      </c>
      <c r="N94" s="205" t="str">
        <f>IF('Zoopl Count'!N94="","",'Zoopl Count'!N94*(2^N$9)/N$8)</f>
        <v/>
      </c>
      <c r="O94" s="205" t="str">
        <f>IF('Zoopl Count'!O94="","",'Zoopl Count'!O94*(2^O$9)/O$8)</f>
        <v/>
      </c>
      <c r="P94" s="205" t="str">
        <f>IF('Zoopl Count'!P94="","",'Zoopl Count'!P94*(2^P$9)/P$8)</f>
        <v/>
      </c>
    </row>
    <row r="95" spans="1:16" s="75" customFormat="1" hidden="1">
      <c r="A95" s="138"/>
      <c r="B95" s="135"/>
      <c r="F95" s="137" t="s">
        <v>102</v>
      </c>
      <c r="G95" s="205" t="str">
        <f>IF('Zoopl Count'!G95="","",'Zoopl Count'!G95*(2^G$9)/G$8)</f>
        <v/>
      </c>
      <c r="H95" s="205" t="str">
        <f>IF('Zoopl Count'!H95="","",'Zoopl Count'!H95*(2^H$9)/H$8)</f>
        <v/>
      </c>
      <c r="I95" s="205" t="str">
        <f>IF('Zoopl Count'!I95="","",'Zoopl Count'!I95*(2^I$9)/I$8)</f>
        <v/>
      </c>
      <c r="J95" s="205" t="str">
        <f>IF('Zoopl Count'!J95="","",'Zoopl Count'!J95*(2^J$9)/J$8)</f>
        <v/>
      </c>
      <c r="K95" s="205" t="str">
        <f>IF('Zoopl Count'!K95="","",'Zoopl Count'!K95*(2^K$9)/K$8)</f>
        <v/>
      </c>
      <c r="L95" s="205" t="str">
        <f>IF('Zoopl Count'!L95="","",'Zoopl Count'!L95*(2^L$9)/L$8)</f>
        <v/>
      </c>
      <c r="M95" s="205" t="str">
        <f>IF('Zoopl Count'!M95="","",'Zoopl Count'!M95*(2^M$9)/M$8)</f>
        <v/>
      </c>
      <c r="N95" s="205" t="str">
        <f>IF('Zoopl Count'!N95="","",'Zoopl Count'!N95*(2^N$9)/N$8)</f>
        <v/>
      </c>
      <c r="O95" s="205" t="str">
        <f>IF('Zoopl Count'!O95="","",'Zoopl Count'!O95*(2^O$9)/O$8)</f>
        <v/>
      </c>
      <c r="P95" s="205" t="str">
        <f>IF('Zoopl Count'!P95="","",'Zoopl Count'!P95*(2^P$9)/P$8)</f>
        <v/>
      </c>
    </row>
    <row r="96" spans="1:16" s="135" customFormat="1" hidden="1">
      <c r="A96" s="134"/>
      <c r="B96" s="134" t="s">
        <v>79</v>
      </c>
      <c r="C96" s="135" t="s">
        <v>86</v>
      </c>
      <c r="F96" s="136"/>
      <c r="G96" s="205" t="str">
        <f>IF('Zoopl Count'!G96="","",'Zoopl Count'!G96*(2^G$9)/G$8)</f>
        <v/>
      </c>
      <c r="H96" s="205" t="str">
        <f>IF('Zoopl Count'!H96="","",'Zoopl Count'!H96*(2^H$9)/H$8)</f>
        <v/>
      </c>
      <c r="I96" s="205" t="str">
        <f>IF('Zoopl Count'!I96="","",'Zoopl Count'!I96*(2^I$9)/I$8)</f>
        <v/>
      </c>
      <c r="J96" s="205" t="str">
        <f>IF('Zoopl Count'!J96="","",'Zoopl Count'!J96*(2^J$9)/J$8)</f>
        <v/>
      </c>
      <c r="K96" s="205" t="str">
        <f>IF('Zoopl Count'!K96="","",'Zoopl Count'!K96*(2^K$9)/K$8)</f>
        <v/>
      </c>
      <c r="L96" s="205" t="str">
        <f>IF('Zoopl Count'!L96="","",'Zoopl Count'!L96*(2^L$9)/L$8)</f>
        <v/>
      </c>
      <c r="M96" s="205" t="str">
        <f>IF('Zoopl Count'!M96="","",'Zoopl Count'!M96*(2^M$9)/M$8)</f>
        <v/>
      </c>
      <c r="N96" s="205" t="str">
        <f>IF('Zoopl Count'!N96="","",'Zoopl Count'!N96*(2^N$9)/N$8)</f>
        <v/>
      </c>
      <c r="O96" s="205" t="str">
        <f>IF('Zoopl Count'!O96="","",'Zoopl Count'!O96*(2^O$9)/O$8)</f>
        <v/>
      </c>
      <c r="P96" s="205" t="str">
        <f>IF('Zoopl Count'!P96="","",'Zoopl Count'!P96*(2^P$9)/P$8)</f>
        <v/>
      </c>
    </row>
    <row r="97" spans="1:16" s="135" customFormat="1" hidden="1">
      <c r="A97" s="2"/>
      <c r="B97" s="21"/>
      <c r="C97" s="21" t="s">
        <v>10</v>
      </c>
      <c r="D97" s="2" t="s">
        <v>289</v>
      </c>
      <c r="E97" s="2"/>
      <c r="F97" s="3"/>
      <c r="G97" s="205" t="str">
        <f>IF('Zoopl Count'!G97="","",'Zoopl Count'!G97*(2^G$9)/G$8)</f>
        <v/>
      </c>
      <c r="H97" s="205" t="str">
        <f>IF('Zoopl Count'!H97="","",'Zoopl Count'!H97*(2^H$9)/H$8)</f>
        <v/>
      </c>
      <c r="I97" s="205" t="str">
        <f>IF('Zoopl Count'!I97="","",'Zoopl Count'!I97*(2^I$9)/I$8)</f>
        <v/>
      </c>
      <c r="J97" s="205" t="str">
        <f>IF('Zoopl Count'!J97="","",'Zoopl Count'!J97*(2^J$9)/J$8)</f>
        <v/>
      </c>
      <c r="K97" s="205" t="str">
        <f>IF('Zoopl Count'!K97="","",'Zoopl Count'!K97*(2^K$9)/K$8)</f>
        <v/>
      </c>
      <c r="L97" s="205" t="str">
        <f>IF('Zoopl Count'!L97="","",'Zoopl Count'!L97*(2^L$9)/L$8)</f>
        <v/>
      </c>
      <c r="M97" s="205" t="str">
        <f>IF('Zoopl Count'!M97="","",'Zoopl Count'!M97*(2^M$9)/M$8)</f>
        <v/>
      </c>
      <c r="N97" s="205" t="str">
        <f>IF('Zoopl Count'!N97="","",'Zoopl Count'!N97*(2^N$9)/N$8)</f>
        <v/>
      </c>
      <c r="O97" s="205" t="str">
        <f>IF('Zoopl Count'!O97="","",'Zoopl Count'!O97*(2^O$9)/O$8)</f>
        <v/>
      </c>
      <c r="P97" s="205" t="str">
        <f>IF('Zoopl Count'!P97="","",'Zoopl Count'!P97*(2^P$9)/P$8)</f>
        <v/>
      </c>
    </row>
    <row r="98" spans="1:16" s="135" customFormat="1" hidden="1">
      <c r="A98" s="187"/>
      <c r="B98" s="187"/>
      <c r="C98" s="187"/>
      <c r="D98" s="188" t="s">
        <v>12</v>
      </c>
      <c r="E98" s="187" t="s">
        <v>290</v>
      </c>
      <c r="F98" s="189"/>
      <c r="G98" s="205" t="str">
        <f>IF('Zoopl Count'!G98="","",'Zoopl Count'!G98*(2^G$9)/G$8)</f>
        <v/>
      </c>
      <c r="H98" s="205" t="str">
        <f>IF('Zoopl Count'!H98="","",'Zoopl Count'!H98*(2^H$9)/H$8)</f>
        <v/>
      </c>
      <c r="I98" s="205" t="str">
        <f>IF('Zoopl Count'!I98="","",'Zoopl Count'!I98*(2^I$9)/I$8)</f>
        <v/>
      </c>
      <c r="J98" s="205" t="str">
        <f>IF('Zoopl Count'!J98="","",'Zoopl Count'!J98*(2^J$9)/J$8)</f>
        <v/>
      </c>
      <c r="K98" s="205" t="str">
        <f>IF('Zoopl Count'!K98="","",'Zoopl Count'!K98*(2^K$9)/K$8)</f>
        <v/>
      </c>
      <c r="L98" s="205" t="str">
        <f>IF('Zoopl Count'!L98="","",'Zoopl Count'!L98*(2^L$9)/L$8)</f>
        <v/>
      </c>
      <c r="M98" s="205" t="str">
        <f>IF('Zoopl Count'!M98="","",'Zoopl Count'!M98*(2^M$9)/M$8)</f>
        <v/>
      </c>
      <c r="N98" s="205" t="str">
        <f>IF('Zoopl Count'!N98="","",'Zoopl Count'!N98*(2^N$9)/N$8)</f>
        <v/>
      </c>
      <c r="O98" s="205" t="str">
        <f>IF('Zoopl Count'!O98="","",'Zoopl Count'!O98*(2^O$9)/O$8)</f>
        <v/>
      </c>
      <c r="P98" s="205" t="str">
        <f>IF('Zoopl Count'!P98="","",'Zoopl Count'!P98*(2^P$9)/P$8)</f>
        <v/>
      </c>
    </row>
    <row r="99" spans="1:16" s="75" customFormat="1" hidden="1">
      <c r="E99" s="138" t="s">
        <v>14</v>
      </c>
      <c r="F99" s="139" t="s">
        <v>389</v>
      </c>
      <c r="G99" s="205" t="str">
        <f>IF('Zoopl Count'!G99="","",'Zoopl Count'!G99*(2^G$9)/G$8)</f>
        <v/>
      </c>
      <c r="H99" s="205" t="str">
        <f>IF('Zoopl Count'!H99="","",'Zoopl Count'!H99*(2^H$9)/H$8)</f>
        <v/>
      </c>
      <c r="I99" s="205" t="str">
        <f>IF('Zoopl Count'!I99="","",'Zoopl Count'!I99*(2^I$9)/I$8)</f>
        <v/>
      </c>
      <c r="J99" s="205" t="str">
        <f>IF('Zoopl Count'!J99="","",'Zoopl Count'!J99*(2^J$9)/J$8)</f>
        <v/>
      </c>
      <c r="K99" s="205" t="str">
        <f>IF('Zoopl Count'!K99="","",'Zoopl Count'!K99*(2^K$9)/K$8)</f>
        <v/>
      </c>
      <c r="L99" s="205" t="str">
        <f>IF('Zoopl Count'!L99="","",'Zoopl Count'!L99*(2^L$9)/L$8)</f>
        <v/>
      </c>
      <c r="M99" s="205" t="str">
        <f>IF('Zoopl Count'!M99="","",'Zoopl Count'!M99*(2^M$9)/M$8)</f>
        <v/>
      </c>
      <c r="N99" s="205" t="str">
        <f>IF('Zoopl Count'!N99="","",'Zoopl Count'!N99*(2^N$9)/N$8)</f>
        <v/>
      </c>
      <c r="O99" s="205" t="str">
        <f>IF('Zoopl Count'!O99="","",'Zoopl Count'!O99*(2^O$9)/O$8)</f>
        <v/>
      </c>
      <c r="P99" s="205" t="str">
        <f>IF('Zoopl Count'!P99="","",'Zoopl Count'!P99*(2^P$9)/P$8)</f>
        <v/>
      </c>
    </row>
    <row r="100" spans="1:16" s="75" customFormat="1" hidden="1">
      <c r="B100" s="138"/>
      <c r="F100" s="139"/>
      <c r="G100" s="205" t="str">
        <f>IF('Zoopl Count'!G100="","",'Zoopl Count'!G100*(2^G$9)/G$8)</f>
        <v/>
      </c>
      <c r="H100" s="205" t="str">
        <f>IF('Zoopl Count'!H100="","",'Zoopl Count'!H100*(2^H$9)/H$8)</f>
        <v/>
      </c>
      <c r="I100" s="205" t="str">
        <f>IF('Zoopl Count'!I100="","",'Zoopl Count'!I100*(2^I$9)/I$8)</f>
        <v/>
      </c>
      <c r="J100" s="205" t="str">
        <f>IF('Zoopl Count'!J100="","",'Zoopl Count'!J100*(2^J$9)/J$8)</f>
        <v/>
      </c>
      <c r="K100" s="205" t="str">
        <f>IF('Zoopl Count'!K100="","",'Zoopl Count'!K100*(2^K$9)/K$8)</f>
        <v/>
      </c>
      <c r="L100" s="205" t="str">
        <f>IF('Zoopl Count'!L100="","",'Zoopl Count'!L100*(2^L$9)/L$8)</f>
        <v/>
      </c>
      <c r="M100" s="205" t="str">
        <f>IF('Zoopl Count'!M100="","",'Zoopl Count'!M100*(2^M$9)/M$8)</f>
        <v/>
      </c>
      <c r="N100" s="205" t="str">
        <f>IF('Zoopl Count'!N100="","",'Zoopl Count'!N100*(2^N$9)/N$8)</f>
        <v/>
      </c>
      <c r="O100" s="205" t="str">
        <f>IF('Zoopl Count'!O100="","",'Zoopl Count'!O100*(2^O$9)/O$8)</f>
        <v/>
      </c>
      <c r="P100" s="205" t="str">
        <f>IF('Zoopl Count'!P100="","",'Zoopl Count'!P100*(2^P$9)/P$8)</f>
        <v/>
      </c>
    </row>
    <row r="101" spans="1:16" s="135" customFormat="1" hidden="1">
      <c r="A101" s="2"/>
      <c r="B101" s="21"/>
      <c r="C101" s="21" t="s">
        <v>10</v>
      </c>
      <c r="D101" s="2" t="s">
        <v>390</v>
      </c>
      <c r="E101" s="2"/>
      <c r="F101" s="3"/>
      <c r="G101" s="205" t="str">
        <f>IF('Zoopl Count'!G101="","",'Zoopl Count'!G101*(2^G$9)/G$8)</f>
        <v/>
      </c>
      <c r="H101" s="205" t="str">
        <f>IF('Zoopl Count'!H101="","",'Zoopl Count'!H101*(2^H$9)/H$8)</f>
        <v/>
      </c>
      <c r="I101" s="205" t="str">
        <f>IF('Zoopl Count'!I101="","",'Zoopl Count'!I101*(2^I$9)/I$8)</f>
        <v/>
      </c>
      <c r="J101" s="205" t="str">
        <f>IF('Zoopl Count'!J101="","",'Zoopl Count'!J101*(2^J$9)/J$8)</f>
        <v/>
      </c>
      <c r="K101" s="205" t="str">
        <f>IF('Zoopl Count'!K101="","",'Zoopl Count'!K101*(2^K$9)/K$8)</f>
        <v/>
      </c>
      <c r="L101" s="205" t="str">
        <f>IF('Zoopl Count'!L101="","",'Zoopl Count'!L101*(2^L$9)/L$8)</f>
        <v/>
      </c>
      <c r="M101" s="205" t="str">
        <f>IF('Zoopl Count'!M101="","",'Zoopl Count'!M101*(2^M$9)/M$8)</f>
        <v/>
      </c>
      <c r="N101" s="205" t="str">
        <f>IF('Zoopl Count'!N101="","",'Zoopl Count'!N101*(2^N$9)/N$8)</f>
        <v/>
      </c>
      <c r="O101" s="205" t="str">
        <f>IF('Zoopl Count'!O101="","",'Zoopl Count'!O101*(2^O$9)/O$8)</f>
        <v/>
      </c>
      <c r="P101" s="205" t="str">
        <f>IF('Zoopl Count'!P101="","",'Zoopl Count'!P101*(2^P$9)/P$8)</f>
        <v/>
      </c>
    </row>
    <row r="102" spans="1:16" s="135" customFormat="1" hidden="1">
      <c r="A102" s="187"/>
      <c r="B102" s="187"/>
      <c r="C102" s="187"/>
      <c r="D102" s="188" t="s">
        <v>12</v>
      </c>
      <c r="E102" s="239" t="s">
        <v>391</v>
      </c>
      <c r="F102" s="189"/>
      <c r="G102" s="205" t="str">
        <f>IF('Zoopl Count'!G102="","",'Zoopl Count'!G102*(2^G$9)/G$8)</f>
        <v/>
      </c>
      <c r="H102" s="205" t="str">
        <f>IF('Zoopl Count'!H102="","",'Zoopl Count'!H102*(2^H$9)/H$8)</f>
        <v/>
      </c>
      <c r="I102" s="205" t="str">
        <f>IF('Zoopl Count'!I102="","",'Zoopl Count'!I102*(2^I$9)/I$8)</f>
        <v/>
      </c>
      <c r="J102" s="205" t="str">
        <f>IF('Zoopl Count'!J102="","",'Zoopl Count'!J102*(2^J$9)/J$8)</f>
        <v/>
      </c>
      <c r="K102" s="205" t="str">
        <f>IF('Zoopl Count'!K102="","",'Zoopl Count'!K102*(2^K$9)/K$8)</f>
        <v/>
      </c>
      <c r="L102" s="205" t="str">
        <f>IF('Zoopl Count'!L102="","",'Zoopl Count'!L102*(2^L$9)/L$8)</f>
        <v/>
      </c>
      <c r="M102" s="205" t="str">
        <f>IF('Zoopl Count'!M102="","",'Zoopl Count'!M102*(2^M$9)/M$8)</f>
        <v/>
      </c>
      <c r="N102" s="205" t="str">
        <f>IF('Zoopl Count'!N102="","",'Zoopl Count'!N102*(2^N$9)/N$8)</f>
        <v/>
      </c>
      <c r="O102" s="205" t="str">
        <f>IF('Zoopl Count'!O102="","",'Zoopl Count'!O102*(2^O$9)/O$8)</f>
        <v/>
      </c>
      <c r="P102" s="205" t="str">
        <f>IF('Zoopl Count'!P102="","",'Zoopl Count'!P102*(2^P$9)/P$8)</f>
        <v/>
      </c>
    </row>
    <row r="103" spans="1:16" s="75" customFormat="1" hidden="1">
      <c r="E103" s="138" t="s">
        <v>14</v>
      </c>
      <c r="F103" s="139" t="s">
        <v>74</v>
      </c>
      <c r="G103" s="205" t="str">
        <f>IF('Zoopl Count'!G103="","",'Zoopl Count'!G103*(2^G$9)/G$8)</f>
        <v/>
      </c>
      <c r="H103" s="205" t="str">
        <f>IF('Zoopl Count'!H103="","",'Zoopl Count'!H103*(2^H$9)/H$8)</f>
        <v/>
      </c>
      <c r="I103" s="205" t="str">
        <f>IF('Zoopl Count'!I103="","",'Zoopl Count'!I103*(2^I$9)/I$8)</f>
        <v/>
      </c>
      <c r="J103" s="205" t="str">
        <f>IF('Zoopl Count'!J103="","",'Zoopl Count'!J103*(2^J$9)/J$8)</f>
        <v/>
      </c>
      <c r="K103" s="205" t="str">
        <f>IF('Zoopl Count'!K103="","",'Zoopl Count'!K103*(2^K$9)/K$8)</f>
        <v/>
      </c>
      <c r="L103" s="205" t="str">
        <f>IF('Zoopl Count'!L103="","",'Zoopl Count'!L103*(2^L$9)/L$8)</f>
        <v/>
      </c>
      <c r="M103" s="205" t="str">
        <f>IF('Zoopl Count'!M103="","",'Zoopl Count'!M103*(2^M$9)/M$8)</f>
        <v/>
      </c>
      <c r="N103" s="205" t="str">
        <f>IF('Zoopl Count'!N103="","",'Zoopl Count'!N103*(2^N$9)/N$8)</f>
        <v/>
      </c>
      <c r="O103" s="205" t="str">
        <f>IF('Zoopl Count'!O103="","",'Zoopl Count'!O103*(2^O$9)/O$8)</f>
        <v/>
      </c>
      <c r="P103" s="205" t="str">
        <f>IF('Zoopl Count'!P103="","",'Zoopl Count'!P103*(2^P$9)/P$8)</f>
        <v/>
      </c>
    </row>
    <row r="104" spans="1:16" s="75" customFormat="1" hidden="1">
      <c r="E104" s="138"/>
      <c r="F104" s="139"/>
      <c r="G104" s="205" t="str">
        <f>IF('Zoopl Count'!G104="","",'Zoopl Count'!G104*(2^G$9)/G$8)</f>
        <v/>
      </c>
      <c r="H104" s="205" t="str">
        <f>IF('Zoopl Count'!H104="","",'Zoopl Count'!H104*(2^H$9)/H$8)</f>
        <v/>
      </c>
      <c r="I104" s="205" t="str">
        <f>IF('Zoopl Count'!I104="","",'Zoopl Count'!I104*(2^I$9)/I$8)</f>
        <v/>
      </c>
      <c r="J104" s="205" t="str">
        <f>IF('Zoopl Count'!J104="","",'Zoopl Count'!J104*(2^J$9)/J$8)</f>
        <v/>
      </c>
      <c r="K104" s="205" t="str">
        <f>IF('Zoopl Count'!K104="","",'Zoopl Count'!K104*(2^K$9)/K$8)</f>
        <v/>
      </c>
      <c r="L104" s="205" t="str">
        <f>IF('Zoopl Count'!L104="","",'Zoopl Count'!L104*(2^L$9)/L$8)</f>
        <v/>
      </c>
      <c r="M104" s="205" t="str">
        <f>IF('Zoopl Count'!M104="","",'Zoopl Count'!M104*(2^M$9)/M$8)</f>
        <v/>
      </c>
      <c r="N104" s="205" t="str">
        <f>IF('Zoopl Count'!N104="","",'Zoopl Count'!N104*(2^N$9)/N$8)</f>
        <v/>
      </c>
      <c r="O104" s="205" t="str">
        <f>IF('Zoopl Count'!O104="","",'Zoopl Count'!O104*(2^O$9)/O$8)</f>
        <v/>
      </c>
      <c r="P104" s="205" t="str">
        <f>IF('Zoopl Count'!P104="","",'Zoopl Count'!P104*(2^P$9)/P$8)</f>
        <v/>
      </c>
    </row>
    <row r="105" spans="1:16" s="135" customFormat="1" hidden="1">
      <c r="B105" s="134" t="s">
        <v>79</v>
      </c>
      <c r="C105" s="135" t="s">
        <v>87</v>
      </c>
      <c r="F105" s="136"/>
      <c r="G105" s="205" t="str">
        <f>IF('Zoopl Count'!G105="","",'Zoopl Count'!G105*(2^G$9)/G$8)</f>
        <v/>
      </c>
      <c r="H105" s="205" t="str">
        <f>IF('Zoopl Count'!H105="","",'Zoopl Count'!H105*(2^H$9)/H$8)</f>
        <v/>
      </c>
      <c r="I105" s="205" t="str">
        <f>IF('Zoopl Count'!I105="","",'Zoopl Count'!I105*(2^I$9)/I$8)</f>
        <v/>
      </c>
      <c r="J105" s="205" t="str">
        <f>IF('Zoopl Count'!J105="","",'Zoopl Count'!J105*(2^J$9)/J$8)</f>
        <v/>
      </c>
      <c r="K105" s="205" t="str">
        <f>IF('Zoopl Count'!K105="","",'Zoopl Count'!K105*(2^K$9)/K$8)</f>
        <v/>
      </c>
      <c r="L105" s="205" t="str">
        <f>IF('Zoopl Count'!L105="","",'Zoopl Count'!L105*(2^L$9)/L$8)</f>
        <v/>
      </c>
      <c r="M105" s="205" t="str">
        <f>IF('Zoopl Count'!M105="","",'Zoopl Count'!M105*(2^M$9)/M$8)</f>
        <v/>
      </c>
      <c r="N105" s="205" t="str">
        <f>IF('Zoopl Count'!N105="","",'Zoopl Count'!N105*(2^N$9)/N$8)</f>
        <v/>
      </c>
      <c r="O105" s="205" t="str">
        <f>IF('Zoopl Count'!O105="","",'Zoopl Count'!O105*(2^O$9)/O$8)</f>
        <v/>
      </c>
      <c r="P105" s="205" t="str">
        <f>IF('Zoopl Count'!P105="","",'Zoopl Count'!P105*(2^P$9)/P$8)</f>
        <v/>
      </c>
    </row>
    <row r="106" spans="1:16" s="75" customFormat="1" hidden="1">
      <c r="C106" s="134" t="s">
        <v>10</v>
      </c>
      <c r="D106" s="135" t="s">
        <v>320</v>
      </c>
      <c r="E106" s="138"/>
      <c r="F106" s="139"/>
      <c r="G106" s="205" t="str">
        <f>IF('Zoopl Count'!G106="","",'Zoopl Count'!G106*(2^G$9)/G$8)</f>
        <v/>
      </c>
      <c r="H106" s="205" t="str">
        <f>IF('Zoopl Count'!H106="","",'Zoopl Count'!H106*(2^H$9)/H$8)</f>
        <v/>
      </c>
      <c r="I106" s="205" t="str">
        <f>IF('Zoopl Count'!I106="","",'Zoopl Count'!I106*(2^I$9)/I$8)</f>
        <v/>
      </c>
      <c r="J106" s="205" t="str">
        <f>IF('Zoopl Count'!J106="","",'Zoopl Count'!J106*(2^J$9)/J$8)</f>
        <v/>
      </c>
      <c r="K106" s="205" t="str">
        <f>IF('Zoopl Count'!K106="","",'Zoopl Count'!K106*(2^K$9)/K$8)</f>
        <v/>
      </c>
      <c r="L106" s="205" t="str">
        <f>IF('Zoopl Count'!L106="","",'Zoopl Count'!L106*(2^L$9)/L$8)</f>
        <v/>
      </c>
      <c r="M106" s="205" t="str">
        <f>IF('Zoopl Count'!M106="","",'Zoopl Count'!M106*(2^M$9)/M$8)</f>
        <v/>
      </c>
      <c r="N106" s="205" t="str">
        <f>IF('Zoopl Count'!N106="","",'Zoopl Count'!N106*(2^N$9)/N$8)</f>
        <v/>
      </c>
      <c r="O106" s="205" t="str">
        <f>IF('Zoopl Count'!O106="","",'Zoopl Count'!O106*(2^O$9)/O$8)</f>
        <v/>
      </c>
      <c r="P106" s="205" t="str">
        <f>IF('Zoopl Count'!P106="","",'Zoopl Count'!P106*(2^P$9)/P$8)</f>
        <v/>
      </c>
    </row>
    <row r="107" spans="1:16" s="75" customFormat="1" hidden="1">
      <c r="D107" s="138" t="s">
        <v>12</v>
      </c>
      <c r="E107" s="142" t="s">
        <v>321</v>
      </c>
      <c r="F107" s="139"/>
      <c r="G107" s="205" t="str">
        <f>IF('Zoopl Count'!G107="","",'Zoopl Count'!G107*(2^G$9)/G$8)</f>
        <v/>
      </c>
      <c r="H107" s="205" t="str">
        <f>IF('Zoopl Count'!H107="","",'Zoopl Count'!H107*(2^H$9)/H$8)</f>
        <v/>
      </c>
      <c r="I107" s="205" t="str">
        <f>IF('Zoopl Count'!I107="","",'Zoopl Count'!I107*(2^I$9)/I$8)</f>
        <v/>
      </c>
      <c r="J107" s="205" t="str">
        <f>IF('Zoopl Count'!J107="","",'Zoopl Count'!J107*(2^J$9)/J$8)</f>
        <v/>
      </c>
      <c r="K107" s="205" t="str">
        <f>IF('Zoopl Count'!K107="","",'Zoopl Count'!K107*(2^K$9)/K$8)</f>
        <v/>
      </c>
      <c r="L107" s="205" t="str">
        <f>IF('Zoopl Count'!L107="","",'Zoopl Count'!L107*(2^L$9)/L$8)</f>
        <v/>
      </c>
      <c r="M107" s="205" t="str">
        <f>IF('Zoopl Count'!M107="","",'Zoopl Count'!M107*(2^M$9)/M$8)</f>
        <v/>
      </c>
      <c r="N107" s="205" t="str">
        <f>IF('Zoopl Count'!N107="","",'Zoopl Count'!N107*(2^N$9)/N$8)</f>
        <v/>
      </c>
      <c r="O107" s="205" t="str">
        <f>IF('Zoopl Count'!O107="","",'Zoopl Count'!O107*(2^O$9)/O$8)</f>
        <v/>
      </c>
      <c r="P107" s="205" t="str">
        <f>IF('Zoopl Count'!P107="","",'Zoopl Count'!P107*(2^P$9)/P$8)</f>
        <v/>
      </c>
    </row>
    <row r="108" spans="1:16" s="75" customFormat="1" hidden="1">
      <c r="E108" s="138" t="s">
        <v>14</v>
      </c>
      <c r="F108" s="139" t="s">
        <v>75</v>
      </c>
      <c r="G108" s="205" t="str">
        <f>IF('Zoopl Count'!G108="","",'Zoopl Count'!G108*(2^G$9)/G$8)</f>
        <v/>
      </c>
      <c r="H108" s="205" t="str">
        <f>IF('Zoopl Count'!H108="","",'Zoopl Count'!H108*(2^H$9)/H$8)</f>
        <v/>
      </c>
      <c r="I108" s="205" t="str">
        <f>IF('Zoopl Count'!I108="","",'Zoopl Count'!I108*(2^I$9)/I$8)</f>
        <v/>
      </c>
      <c r="J108" s="205" t="str">
        <f>IF('Zoopl Count'!J108="","",'Zoopl Count'!J108*(2^J$9)/J$8)</f>
        <v/>
      </c>
      <c r="K108" s="205" t="str">
        <f>IF('Zoopl Count'!K108="","",'Zoopl Count'!K108*(2^K$9)/K$8)</f>
        <v/>
      </c>
      <c r="L108" s="205" t="str">
        <f>IF('Zoopl Count'!L108="","",'Zoopl Count'!L108*(2^L$9)/L$8)</f>
        <v/>
      </c>
      <c r="M108" s="205" t="str">
        <f>IF('Zoopl Count'!M108="","",'Zoopl Count'!M108*(2^M$9)/M$8)</f>
        <v/>
      </c>
      <c r="N108" s="205" t="str">
        <f>IF('Zoopl Count'!N108="","",'Zoopl Count'!N108*(2^N$9)/N$8)</f>
        <v/>
      </c>
      <c r="O108" s="205" t="str">
        <f>IF('Zoopl Count'!O108="","",'Zoopl Count'!O108*(2^O$9)/O$8)</f>
        <v/>
      </c>
      <c r="P108" s="205" t="str">
        <f>IF('Zoopl Count'!P108="","",'Zoopl Count'!P108*(2^P$9)/P$8)</f>
        <v/>
      </c>
    </row>
    <row r="109" spans="1:16" s="75" customFormat="1" hidden="1">
      <c r="F109" s="137"/>
      <c r="G109" s="205" t="str">
        <f>IF('Zoopl Count'!G109="","",'Zoopl Count'!G109*(2^G$9)/G$8)</f>
        <v/>
      </c>
      <c r="H109" s="205" t="str">
        <f>IF('Zoopl Count'!H109="","",'Zoopl Count'!H109*(2^H$9)/H$8)</f>
        <v/>
      </c>
      <c r="I109" s="205" t="str">
        <f>IF('Zoopl Count'!I109="","",'Zoopl Count'!I109*(2^I$9)/I$8)</f>
        <v/>
      </c>
      <c r="J109" s="205" t="str">
        <f>IF('Zoopl Count'!J109="","",'Zoopl Count'!J109*(2^J$9)/J$8)</f>
        <v/>
      </c>
      <c r="K109" s="205" t="str">
        <f>IF('Zoopl Count'!K109="","",'Zoopl Count'!K109*(2^K$9)/K$8)</f>
        <v/>
      </c>
      <c r="L109" s="205" t="str">
        <f>IF('Zoopl Count'!L109="","",'Zoopl Count'!L109*(2^L$9)/L$8)</f>
        <v/>
      </c>
      <c r="M109" s="205" t="str">
        <f>IF('Zoopl Count'!M109="","",'Zoopl Count'!M109*(2^M$9)/M$8)</f>
        <v/>
      </c>
      <c r="N109" s="205" t="str">
        <f>IF('Zoopl Count'!N109="","",'Zoopl Count'!N109*(2^N$9)/N$8)</f>
        <v/>
      </c>
      <c r="O109" s="205" t="str">
        <f>IF('Zoopl Count'!O109="","",'Zoopl Count'!O109*(2^O$9)/O$8)</f>
        <v/>
      </c>
      <c r="P109" s="205" t="str">
        <f>IF('Zoopl Count'!P109="","",'Zoopl Count'!P109*(2^P$9)/P$8)</f>
        <v/>
      </c>
    </row>
    <row r="110" spans="1:16" s="75" customFormat="1">
      <c r="A110" s="134" t="s">
        <v>7</v>
      </c>
      <c r="B110" s="135" t="s">
        <v>76</v>
      </c>
      <c r="C110" s="135"/>
      <c r="D110" s="135"/>
      <c r="E110" s="135"/>
      <c r="F110" s="136"/>
      <c r="G110" s="205" t="str">
        <f>IF('Zoopl Count'!G110="","",'Zoopl Count'!G110*(2^G$9)/G$8)</f>
        <v/>
      </c>
      <c r="H110" s="205" t="str">
        <f>IF('Zoopl Count'!H110="","",'Zoopl Count'!H110*(2^H$9)/H$8)</f>
        <v/>
      </c>
      <c r="I110" s="205" t="str">
        <f>IF('Zoopl Count'!I110="","",'Zoopl Count'!I110*(2^I$9)/I$8)</f>
        <v/>
      </c>
      <c r="J110" s="205" t="str">
        <f>IF('Zoopl Count'!J110="","",'Zoopl Count'!J110*(2^J$9)/J$8)</f>
        <v/>
      </c>
      <c r="K110" s="205" t="str">
        <f>IF('Zoopl Count'!K110="","",'Zoopl Count'!K110*(2^K$9)/K$8)</f>
        <v/>
      </c>
      <c r="L110" s="205" t="str">
        <f>IF('Zoopl Count'!L110="","",'Zoopl Count'!L110*(2^L$9)/L$8)</f>
        <v/>
      </c>
      <c r="M110" s="205" t="str">
        <f>IF('Zoopl Count'!M110="","",'Zoopl Count'!M110*(2^M$9)/M$8)</f>
        <v/>
      </c>
      <c r="N110" s="205" t="str">
        <f>IF('Zoopl Count'!N110="","",'Zoopl Count'!N110*(2^N$9)/N$8)</f>
        <v/>
      </c>
      <c r="O110" s="205" t="str">
        <f>IF('Zoopl Count'!O110="","",'Zoopl Count'!O110*(2^O$9)/O$8)</f>
        <v/>
      </c>
      <c r="P110" s="205" t="str">
        <f>IF('Zoopl Count'!P110="","",'Zoopl Count'!P110*(2^P$9)/P$8)</f>
        <v/>
      </c>
    </row>
    <row r="111" spans="1:16" s="172" customFormat="1" hidden="1">
      <c r="A111" s="171"/>
      <c r="F111" s="173" t="s">
        <v>101</v>
      </c>
      <c r="G111" s="205" t="str">
        <f>IF('Zoopl Count'!G111="","",'Zoopl Count'!G111*(2^G$9)/G$8)</f>
        <v/>
      </c>
      <c r="H111" s="205" t="str">
        <f>IF('Zoopl Count'!H111="","",'Zoopl Count'!H111*(2^H$9)/H$8)</f>
        <v/>
      </c>
      <c r="I111" s="205" t="str">
        <f>IF('Zoopl Count'!I111="","",'Zoopl Count'!I111*(2^I$9)/I$8)</f>
        <v/>
      </c>
      <c r="J111" s="205" t="str">
        <f>IF('Zoopl Count'!J111="","",'Zoopl Count'!J111*(2^J$9)/J$8)</f>
        <v/>
      </c>
      <c r="K111" s="205" t="str">
        <f>IF('Zoopl Count'!K111="","",'Zoopl Count'!K111*(2^K$9)/K$8)</f>
        <v/>
      </c>
      <c r="L111" s="205" t="str">
        <f>IF('Zoopl Count'!L111="","",'Zoopl Count'!L111*(2^L$9)/L$8)</f>
        <v/>
      </c>
      <c r="M111" s="205" t="str">
        <f>IF('Zoopl Count'!M111="","",'Zoopl Count'!M111*(2^M$9)/M$8)</f>
        <v/>
      </c>
      <c r="N111" s="205" t="str">
        <f>IF('Zoopl Count'!N111="","",'Zoopl Count'!N111*(2^N$9)/N$8)</f>
        <v/>
      </c>
      <c r="O111" s="205" t="str">
        <f>IF('Zoopl Count'!O111="","",'Zoopl Count'!O111*(2^O$9)/O$8)</f>
        <v/>
      </c>
      <c r="P111" s="205" t="str">
        <f>IF('Zoopl Count'!P111="","",'Zoopl Count'!P111*(2^P$9)/P$8)</f>
        <v/>
      </c>
    </row>
    <row r="112" spans="1:16" s="75" customFormat="1">
      <c r="A112" s="134"/>
      <c r="B112" s="134" t="s">
        <v>79</v>
      </c>
      <c r="C112" s="135" t="s">
        <v>88</v>
      </c>
      <c r="D112" s="135"/>
      <c r="E112" s="135"/>
      <c r="F112" s="136"/>
      <c r="G112" s="205" t="str">
        <f>IF('Zoopl Count'!G112="","",'Zoopl Count'!G112*(2^G$9)/G$8)</f>
        <v/>
      </c>
      <c r="H112" s="205" t="str">
        <f>IF('Zoopl Count'!H112="","",'Zoopl Count'!H112*(2^H$9)/H$8)</f>
        <v/>
      </c>
      <c r="I112" s="205" t="str">
        <f>IF('Zoopl Count'!I112="","",'Zoopl Count'!I112*(2^I$9)/I$8)</f>
        <v/>
      </c>
      <c r="J112" s="205" t="str">
        <f>IF('Zoopl Count'!J112="","",'Zoopl Count'!J112*(2^J$9)/J$8)</f>
        <v/>
      </c>
      <c r="K112" s="205" t="str">
        <f>IF('Zoopl Count'!K112="","",'Zoopl Count'!K112*(2^K$9)/K$8)</f>
        <v/>
      </c>
      <c r="L112" s="205" t="str">
        <f>IF('Zoopl Count'!L112="","",'Zoopl Count'!L112*(2^L$9)/L$8)</f>
        <v/>
      </c>
      <c r="M112" s="205" t="str">
        <f>IF('Zoopl Count'!M112="","",'Zoopl Count'!M112*(2^M$9)/M$8)</f>
        <v/>
      </c>
      <c r="N112" s="205" t="str">
        <f>IF('Zoopl Count'!N112="","",'Zoopl Count'!N112*(2^N$9)/N$8)</f>
        <v/>
      </c>
      <c r="O112" s="205" t="str">
        <f>IF('Zoopl Count'!O112="","",'Zoopl Count'!O112*(2^O$9)/O$8)</f>
        <v/>
      </c>
      <c r="P112" s="205" t="str">
        <f>IF('Zoopl Count'!P112="","",'Zoopl Count'!P112*(2^P$9)/P$8)</f>
        <v/>
      </c>
    </row>
    <row r="113" spans="1:16" s="75" customFormat="1" ht="15" customHeight="1">
      <c r="F113" s="137" t="s">
        <v>78</v>
      </c>
      <c r="G113" s="205">
        <f>IF('Zoopl Count'!G113="","",'Zoopl Count'!G113*(2^G$9)/G$8)</f>
        <v>0.52151891752352264</v>
      </c>
      <c r="H113" s="205">
        <f>IF('Zoopl Count'!H113="","",'Zoopl Count'!H113*(2^H$9)/H$8)</f>
        <v>0.26075945876176132</v>
      </c>
      <c r="I113" s="205">
        <f>IF('Zoopl Count'!I113="","",'Zoopl Count'!I113*(2^I$9)/I$8)</f>
        <v>0.22816452641654117</v>
      </c>
      <c r="J113" s="205">
        <f>IF('Zoopl Count'!J113="","",'Zoopl Count'!J113*(2^J$9)/J$8)</f>
        <v>0.91265810566616468</v>
      </c>
      <c r="K113" s="205">
        <f>IF('Zoopl Count'!K113="","",'Zoopl Count'!K113*(2^K$9)/K$8)</f>
        <v>0.26075945876176132</v>
      </c>
      <c r="L113" s="205" t="str">
        <f>IF('Zoopl Count'!L113="","",'Zoopl Count'!L113*(2^L$9)/L$8)</f>
        <v/>
      </c>
      <c r="M113" s="205">
        <f>IF('Zoopl Count'!M113="","",'Zoopl Count'!M113*(2^M$9)/M$8)</f>
        <v>0.91265810566616468</v>
      </c>
      <c r="N113" s="205">
        <f>IF('Zoopl Count'!N113="","",'Zoopl Count'!N113*(2^N$9)/N$8)</f>
        <v>0.26075945876176132</v>
      </c>
      <c r="O113" s="205" t="str">
        <f>IF('Zoopl Count'!O113="","",'Zoopl Count'!O113*(2^O$9)/O$8)</f>
        <v/>
      </c>
      <c r="P113" s="205">
        <f>IF('Zoopl Count'!P113="","",'Zoopl Count'!P113*(2^P$9)/P$8)</f>
        <v>0.26075945876176132</v>
      </c>
    </row>
    <row r="114" spans="1:16" s="75" customFormat="1" ht="15" hidden="1" customHeight="1">
      <c r="C114" s="134" t="s">
        <v>10</v>
      </c>
      <c r="D114" s="135" t="s">
        <v>322</v>
      </c>
      <c r="E114" s="138"/>
      <c r="F114" s="139"/>
      <c r="G114" s="205" t="str">
        <f>IF('Zoopl Count'!G114="","",'Zoopl Count'!G114*(2^G$9)/G$8)</f>
        <v/>
      </c>
      <c r="H114" s="205" t="str">
        <f>IF('Zoopl Count'!H114="","",'Zoopl Count'!H114*(2^H$9)/H$8)</f>
        <v/>
      </c>
      <c r="I114" s="205" t="str">
        <f>IF('Zoopl Count'!I114="","",'Zoopl Count'!I114*(2^I$9)/I$8)</f>
        <v/>
      </c>
      <c r="J114" s="205" t="str">
        <f>IF('Zoopl Count'!J114="","",'Zoopl Count'!J114*(2^J$9)/J$8)</f>
        <v/>
      </c>
      <c r="K114" s="205" t="str">
        <f>IF('Zoopl Count'!K114="","",'Zoopl Count'!K114*(2^K$9)/K$8)</f>
        <v/>
      </c>
      <c r="L114" s="205" t="str">
        <f>IF('Zoopl Count'!L114="","",'Zoopl Count'!L114*(2^L$9)/L$8)</f>
        <v/>
      </c>
      <c r="M114" s="205" t="str">
        <f>IF('Zoopl Count'!M114="","",'Zoopl Count'!M114*(2^M$9)/M$8)</f>
        <v/>
      </c>
      <c r="N114" s="205" t="str">
        <f>IF('Zoopl Count'!N114="","",'Zoopl Count'!N114*(2^N$9)/N$8)</f>
        <v/>
      </c>
      <c r="O114" s="205" t="str">
        <f>IF('Zoopl Count'!O114="","",'Zoopl Count'!O114*(2^O$9)/O$8)</f>
        <v/>
      </c>
      <c r="P114" s="205" t="str">
        <f>IF('Zoopl Count'!P114="","",'Zoopl Count'!P114*(2^P$9)/P$8)</f>
        <v/>
      </c>
    </row>
    <row r="115" spans="1:16" s="75" customFormat="1" ht="15" hidden="1" customHeight="1">
      <c r="D115" s="138" t="s">
        <v>12</v>
      </c>
      <c r="E115" s="142" t="s">
        <v>323</v>
      </c>
      <c r="F115" s="139"/>
      <c r="G115" s="205" t="str">
        <f>IF('Zoopl Count'!G115="","",'Zoopl Count'!G115*(2^G$9)/G$8)</f>
        <v/>
      </c>
      <c r="H115" s="205" t="str">
        <f>IF('Zoopl Count'!H115="","",'Zoopl Count'!H115*(2^H$9)/H$8)</f>
        <v/>
      </c>
      <c r="I115" s="205" t="str">
        <f>IF('Zoopl Count'!I115="","",'Zoopl Count'!I115*(2^I$9)/I$8)</f>
        <v/>
      </c>
      <c r="J115" s="205" t="str">
        <f>IF('Zoopl Count'!J115="","",'Zoopl Count'!J115*(2^J$9)/J$8)</f>
        <v/>
      </c>
      <c r="K115" s="205" t="str">
        <f>IF('Zoopl Count'!K115="","",'Zoopl Count'!K115*(2^K$9)/K$8)</f>
        <v/>
      </c>
      <c r="L115" s="205" t="str">
        <f>IF('Zoopl Count'!L115="","",'Zoopl Count'!L115*(2^L$9)/L$8)</f>
        <v/>
      </c>
      <c r="M115" s="205" t="str">
        <f>IF('Zoopl Count'!M115="","",'Zoopl Count'!M115*(2^M$9)/M$8)</f>
        <v/>
      </c>
      <c r="N115" s="205" t="str">
        <f>IF('Zoopl Count'!N115="","",'Zoopl Count'!N115*(2^N$9)/N$8)</f>
        <v/>
      </c>
      <c r="O115" s="205" t="str">
        <f>IF('Zoopl Count'!O115="","",'Zoopl Count'!O115*(2^O$9)/O$8)</f>
        <v/>
      </c>
      <c r="P115" s="205" t="str">
        <f>IF('Zoopl Count'!P115="","",'Zoopl Count'!P115*(2^P$9)/P$8)</f>
        <v/>
      </c>
    </row>
    <row r="116" spans="1:16" s="75" customFormat="1" ht="15" hidden="1" customHeight="1">
      <c r="E116" s="138" t="s">
        <v>14</v>
      </c>
      <c r="F116" s="139" t="s">
        <v>77</v>
      </c>
      <c r="G116" s="205" t="str">
        <f>IF('Zoopl Count'!G116="","",'Zoopl Count'!G116*(2^G$9)/G$8)</f>
        <v/>
      </c>
      <c r="H116" s="205" t="str">
        <f>IF('Zoopl Count'!H116="","",'Zoopl Count'!H116*(2^H$9)/H$8)</f>
        <v/>
      </c>
      <c r="I116" s="205" t="str">
        <f>IF('Zoopl Count'!I116="","",'Zoopl Count'!I116*(2^I$9)/I$8)</f>
        <v/>
      </c>
      <c r="J116" s="205" t="str">
        <f>IF('Zoopl Count'!J116="","",'Zoopl Count'!J116*(2^J$9)/J$8)</f>
        <v/>
      </c>
      <c r="K116" s="205" t="str">
        <f>IF('Zoopl Count'!K116="","",'Zoopl Count'!K116*(2^K$9)/K$8)</f>
        <v/>
      </c>
      <c r="L116" s="205" t="str">
        <f>IF('Zoopl Count'!L116="","",'Zoopl Count'!L116*(2^L$9)/L$8)</f>
        <v/>
      </c>
      <c r="M116" s="205" t="str">
        <f>IF('Zoopl Count'!M116="","",'Zoopl Count'!M116*(2^M$9)/M$8)</f>
        <v/>
      </c>
      <c r="N116" s="205" t="str">
        <f>IF('Zoopl Count'!N116="","",'Zoopl Count'!N116*(2^N$9)/N$8)</f>
        <v/>
      </c>
      <c r="O116" s="205" t="str">
        <f>IF('Zoopl Count'!O116="","",'Zoopl Count'!O116*(2^O$9)/O$8)</f>
        <v/>
      </c>
      <c r="P116" s="205" t="str">
        <f>IF('Zoopl Count'!P116="","",'Zoopl Count'!P116*(2^P$9)/P$8)</f>
        <v/>
      </c>
    </row>
    <row r="117" spans="1:16" s="75" customFormat="1" hidden="1">
      <c r="F117" s="137"/>
      <c r="G117" s="205" t="str">
        <f>IF('Zoopl Count'!G117="","",'Zoopl Count'!G117*(2^G$9)/G$8)</f>
        <v/>
      </c>
      <c r="H117" s="205" t="str">
        <f>IF('Zoopl Count'!H117="","",'Zoopl Count'!H117*(2^H$9)/H$8)</f>
        <v/>
      </c>
      <c r="I117" s="205" t="str">
        <f>IF('Zoopl Count'!I117="","",'Zoopl Count'!I117*(2^I$9)/I$8)</f>
        <v/>
      </c>
      <c r="J117" s="205" t="str">
        <f>IF('Zoopl Count'!J117="","",'Zoopl Count'!J117*(2^J$9)/J$8)</f>
        <v/>
      </c>
      <c r="K117" s="205" t="str">
        <f>IF('Zoopl Count'!K117="","",'Zoopl Count'!K117*(2^K$9)/K$8)</f>
        <v/>
      </c>
      <c r="L117" s="205" t="str">
        <f>IF('Zoopl Count'!L117="","",'Zoopl Count'!L117*(2^L$9)/L$8)</f>
        <v/>
      </c>
      <c r="M117" s="205" t="str">
        <f>IF('Zoopl Count'!M117="","",'Zoopl Count'!M117*(2^M$9)/M$8)</f>
        <v/>
      </c>
      <c r="N117" s="205" t="str">
        <f>IF('Zoopl Count'!N117="","",'Zoopl Count'!N117*(2^N$9)/N$8)</f>
        <v/>
      </c>
      <c r="O117" s="205" t="str">
        <f>IF('Zoopl Count'!O117="","",'Zoopl Count'!O117*(2^O$9)/O$8)</f>
        <v/>
      </c>
      <c r="P117" s="205" t="str">
        <f>IF('Zoopl Count'!P117="","",'Zoopl Count'!P117*(2^P$9)/P$8)</f>
        <v/>
      </c>
    </row>
    <row r="118" spans="1:16" s="75" customFormat="1" hidden="1">
      <c r="C118" s="134" t="s">
        <v>10</v>
      </c>
      <c r="D118" s="135" t="s">
        <v>324</v>
      </c>
      <c r="E118" s="138"/>
      <c r="F118" s="139"/>
      <c r="G118" s="205" t="str">
        <f>IF('Zoopl Count'!G118="","",'Zoopl Count'!G118*(2^G$9)/G$8)</f>
        <v/>
      </c>
      <c r="H118" s="205" t="str">
        <f>IF('Zoopl Count'!H118="","",'Zoopl Count'!H118*(2^H$9)/H$8)</f>
        <v/>
      </c>
      <c r="I118" s="205" t="str">
        <f>IF('Zoopl Count'!I118="","",'Zoopl Count'!I118*(2^I$9)/I$8)</f>
        <v/>
      </c>
      <c r="J118" s="205" t="str">
        <f>IF('Zoopl Count'!J118="","",'Zoopl Count'!J118*(2^J$9)/J$8)</f>
        <v/>
      </c>
      <c r="K118" s="205" t="str">
        <f>IF('Zoopl Count'!K118="","",'Zoopl Count'!K118*(2^K$9)/K$8)</f>
        <v/>
      </c>
      <c r="L118" s="205" t="str">
        <f>IF('Zoopl Count'!L118="","",'Zoopl Count'!L118*(2^L$9)/L$8)</f>
        <v/>
      </c>
      <c r="M118" s="205" t="str">
        <f>IF('Zoopl Count'!M118="","",'Zoopl Count'!M118*(2^M$9)/M$8)</f>
        <v/>
      </c>
      <c r="N118" s="205" t="str">
        <f>IF('Zoopl Count'!N118="","",'Zoopl Count'!N118*(2^N$9)/N$8)</f>
        <v/>
      </c>
      <c r="O118" s="205" t="str">
        <f>IF('Zoopl Count'!O118="","",'Zoopl Count'!O118*(2^O$9)/O$8)</f>
        <v/>
      </c>
      <c r="P118" s="205" t="str">
        <f>IF('Zoopl Count'!P118="","",'Zoopl Count'!P118*(2^P$9)/P$8)</f>
        <v/>
      </c>
    </row>
    <row r="119" spans="1:16" s="75" customFormat="1" ht="15" hidden="1" customHeight="1">
      <c r="A119" s="140"/>
      <c r="B119" s="140"/>
      <c r="C119" s="140" t="s">
        <v>223</v>
      </c>
      <c r="D119" s="140"/>
      <c r="E119" s="140"/>
      <c r="F119" s="141"/>
      <c r="G119" s="205" t="str">
        <f>IF('Zoopl Count'!G119="","",'Zoopl Count'!G119*(2^G$9)/G$8)</f>
        <v/>
      </c>
      <c r="H119" s="205" t="str">
        <f>IF('Zoopl Count'!H119="","",'Zoopl Count'!H119*(2^H$9)/H$8)</f>
        <v/>
      </c>
      <c r="I119" s="205" t="str">
        <f>IF('Zoopl Count'!I119="","",'Zoopl Count'!I119*(2^I$9)/I$8)</f>
        <v/>
      </c>
      <c r="J119" s="205" t="str">
        <f>IF('Zoopl Count'!J119="","",'Zoopl Count'!J119*(2^J$9)/J$8)</f>
        <v/>
      </c>
      <c r="K119" s="205" t="str">
        <f>IF('Zoopl Count'!K119="","",'Zoopl Count'!K119*(2^K$9)/K$8)</f>
        <v/>
      </c>
      <c r="L119" s="205" t="str">
        <f>IF('Zoopl Count'!L119="","",'Zoopl Count'!L119*(2^L$9)/L$8)</f>
        <v/>
      </c>
      <c r="M119" s="205" t="str">
        <f>IF('Zoopl Count'!M119="","",'Zoopl Count'!M119*(2^M$9)/M$8)</f>
        <v/>
      </c>
      <c r="N119" s="205" t="str">
        <f>IF('Zoopl Count'!N119="","",'Zoopl Count'!N119*(2^N$9)/N$8)</f>
        <v/>
      </c>
      <c r="O119" s="205" t="str">
        <f>IF('Zoopl Count'!O119="","",'Zoopl Count'!O119*(2^O$9)/O$8)</f>
        <v/>
      </c>
      <c r="P119" s="205" t="str">
        <f>IF('Zoopl Count'!P119="","",'Zoopl Count'!P119*(2^P$9)/P$8)</f>
        <v/>
      </c>
    </row>
    <row r="120" spans="1:16" s="75" customFormat="1" ht="15" hidden="1" customHeight="1">
      <c r="A120" s="169"/>
      <c r="B120" s="169"/>
      <c r="C120" s="169"/>
      <c r="D120" s="169"/>
      <c r="E120" s="170" t="s">
        <v>14</v>
      </c>
      <c r="F120" s="10" t="s">
        <v>268</v>
      </c>
      <c r="G120" s="205" t="str">
        <f>IF('Zoopl Count'!G120="","",'Zoopl Count'!G120*(2^G$9)/G$8)</f>
        <v/>
      </c>
      <c r="H120" s="205" t="str">
        <f>IF('Zoopl Count'!H120="","",'Zoopl Count'!H120*(2^H$9)/H$8)</f>
        <v/>
      </c>
      <c r="I120" s="205" t="str">
        <f>IF('Zoopl Count'!I120="","",'Zoopl Count'!I120*(2^I$9)/I$8)</f>
        <v/>
      </c>
      <c r="J120" s="205" t="str">
        <f>IF('Zoopl Count'!J120="","",'Zoopl Count'!J120*(2^J$9)/J$8)</f>
        <v/>
      </c>
      <c r="K120" s="205" t="str">
        <f>IF('Zoopl Count'!K120="","",'Zoopl Count'!K120*(2^K$9)/K$8)</f>
        <v/>
      </c>
      <c r="L120" s="205" t="str">
        <f>IF('Zoopl Count'!L120="","",'Zoopl Count'!L120*(2^L$9)/L$8)</f>
        <v/>
      </c>
      <c r="M120" s="205" t="str">
        <f>IF('Zoopl Count'!M120="","",'Zoopl Count'!M120*(2^M$9)/M$8)</f>
        <v/>
      </c>
      <c r="N120" s="205" t="str">
        <f>IF('Zoopl Count'!N120="","",'Zoopl Count'!N120*(2^N$9)/N$8)</f>
        <v/>
      </c>
      <c r="O120" s="205" t="str">
        <f>IF('Zoopl Count'!O120="","",'Zoopl Count'!O120*(2^O$9)/O$8)</f>
        <v/>
      </c>
      <c r="P120" s="205" t="str">
        <f>IF('Zoopl Count'!P120="","",'Zoopl Count'!P120*(2^P$9)/P$8)</f>
        <v/>
      </c>
    </row>
    <row r="121" spans="1:16" s="75" customFormat="1" ht="15" hidden="1" customHeight="1">
      <c r="A121" s="169"/>
      <c r="B121" s="169"/>
      <c r="C121" s="169"/>
      <c r="D121" s="169"/>
      <c r="E121" s="170"/>
      <c r="F121" s="10"/>
      <c r="G121" s="205" t="str">
        <f>IF('Zoopl Count'!G121="","",'Zoopl Count'!G121*(2^G$9)/G$8)</f>
        <v/>
      </c>
      <c r="H121" s="205" t="str">
        <f>IF('Zoopl Count'!H121="","",'Zoopl Count'!H121*(2^H$9)/H$8)</f>
        <v/>
      </c>
      <c r="I121" s="205" t="str">
        <f>IF('Zoopl Count'!I121="","",'Zoopl Count'!I121*(2^I$9)/I$8)</f>
        <v/>
      </c>
      <c r="J121" s="205" t="str">
        <f>IF('Zoopl Count'!J121="","",'Zoopl Count'!J121*(2^J$9)/J$8)</f>
        <v/>
      </c>
      <c r="K121" s="205" t="str">
        <f>IF('Zoopl Count'!K121="","",'Zoopl Count'!K121*(2^K$9)/K$8)</f>
        <v/>
      </c>
      <c r="L121" s="205" t="str">
        <f>IF('Zoopl Count'!L121="","",'Zoopl Count'!L121*(2^L$9)/L$8)</f>
        <v/>
      </c>
      <c r="M121" s="205" t="str">
        <f>IF('Zoopl Count'!M121="","",'Zoopl Count'!M121*(2^M$9)/M$8)</f>
        <v/>
      </c>
      <c r="N121" s="205" t="str">
        <f>IF('Zoopl Count'!N121="","",'Zoopl Count'!N121*(2^N$9)/N$8)</f>
        <v/>
      </c>
      <c r="O121" s="205" t="str">
        <f>IF('Zoopl Count'!O121="","",'Zoopl Count'!O121*(2^O$9)/O$8)</f>
        <v/>
      </c>
      <c r="P121" s="205" t="str">
        <f>IF('Zoopl Count'!P121="","",'Zoopl Count'!P121*(2^P$9)/P$8)</f>
        <v/>
      </c>
    </row>
    <row r="122" spans="1:16" s="75" customFormat="1" hidden="1">
      <c r="A122" s="134" t="s">
        <v>7</v>
      </c>
      <c r="B122" s="135" t="s">
        <v>347</v>
      </c>
      <c r="C122" s="135"/>
      <c r="D122" s="135"/>
      <c r="E122" s="135"/>
      <c r="F122" s="136"/>
      <c r="G122" s="205" t="str">
        <f>IF('Zoopl Count'!G122="","",'Zoopl Count'!G122*(2^G$9)/G$8)</f>
        <v/>
      </c>
      <c r="H122" s="205" t="str">
        <f>IF('Zoopl Count'!H122="","",'Zoopl Count'!H122*(2^H$9)/H$8)</f>
        <v/>
      </c>
      <c r="I122" s="205" t="str">
        <f>IF('Zoopl Count'!I122="","",'Zoopl Count'!I122*(2^I$9)/I$8)</f>
        <v/>
      </c>
      <c r="J122" s="205" t="str">
        <f>IF('Zoopl Count'!J122="","",'Zoopl Count'!J122*(2^J$9)/J$8)</f>
        <v/>
      </c>
      <c r="K122" s="205" t="str">
        <f>IF('Zoopl Count'!K122="","",'Zoopl Count'!K122*(2^K$9)/K$8)</f>
        <v/>
      </c>
      <c r="L122" s="205" t="str">
        <f>IF('Zoopl Count'!L122="","",'Zoopl Count'!L122*(2^L$9)/L$8)</f>
        <v/>
      </c>
      <c r="M122" s="205" t="str">
        <f>IF('Zoopl Count'!M122="","",'Zoopl Count'!M122*(2^M$9)/M$8)</f>
        <v/>
      </c>
      <c r="N122" s="205" t="str">
        <f>IF('Zoopl Count'!N122="","",'Zoopl Count'!N122*(2^N$9)/N$8)</f>
        <v/>
      </c>
      <c r="O122" s="205" t="str">
        <f>IF('Zoopl Count'!O122="","",'Zoopl Count'!O122*(2^O$9)/O$8)</f>
        <v/>
      </c>
      <c r="P122" s="205" t="str">
        <f>IF('Zoopl Count'!P122="","",'Zoopl Count'!P122*(2^P$9)/P$8)</f>
        <v/>
      </c>
    </row>
    <row r="123" spans="1:16" s="75" customFormat="1" hidden="1">
      <c r="A123" s="134"/>
      <c r="B123" s="134" t="s">
        <v>79</v>
      </c>
      <c r="C123" s="135" t="s">
        <v>392</v>
      </c>
      <c r="D123" s="135"/>
      <c r="E123" s="135"/>
      <c r="F123" s="136"/>
      <c r="G123" s="205" t="str">
        <f>IF('Zoopl Count'!G123="","",'Zoopl Count'!G123*(2^G$9)/G$8)</f>
        <v/>
      </c>
      <c r="H123" s="205" t="str">
        <f>IF('Zoopl Count'!H123="","",'Zoopl Count'!H123*(2^H$9)/H$8)</f>
        <v/>
      </c>
      <c r="I123" s="205" t="str">
        <f>IF('Zoopl Count'!I123="","",'Zoopl Count'!I123*(2^I$9)/I$8)</f>
        <v/>
      </c>
      <c r="J123" s="205" t="str">
        <f>IF('Zoopl Count'!J123="","",'Zoopl Count'!J123*(2^J$9)/J$8)</f>
        <v/>
      </c>
      <c r="K123" s="205" t="str">
        <f>IF('Zoopl Count'!K123="","",'Zoopl Count'!K123*(2^K$9)/K$8)</f>
        <v/>
      </c>
      <c r="L123" s="205" t="str">
        <f>IF('Zoopl Count'!L123="","",'Zoopl Count'!L123*(2^L$9)/L$8)</f>
        <v/>
      </c>
      <c r="M123" s="205" t="str">
        <f>IF('Zoopl Count'!M123="","",'Zoopl Count'!M123*(2^M$9)/M$8)</f>
        <v/>
      </c>
      <c r="N123" s="205" t="str">
        <f>IF('Zoopl Count'!N123="","",'Zoopl Count'!N123*(2^N$9)/N$8)</f>
        <v/>
      </c>
      <c r="O123" s="205" t="str">
        <f>IF('Zoopl Count'!O123="","",'Zoopl Count'!O123*(2^O$9)/O$8)</f>
        <v/>
      </c>
      <c r="P123" s="205" t="str">
        <f>IF('Zoopl Count'!P123="","",'Zoopl Count'!P123*(2^P$9)/P$8)</f>
        <v/>
      </c>
    </row>
    <row r="124" spans="1:16" s="75" customFormat="1" hidden="1">
      <c r="F124" s="137"/>
      <c r="G124" s="205" t="str">
        <f>IF('Zoopl Count'!G124="","",'Zoopl Count'!G124*(2^G$9)/G$8)</f>
        <v/>
      </c>
      <c r="H124" s="205" t="str">
        <f>IF('Zoopl Count'!H124="","",'Zoopl Count'!H124*(2^H$9)/H$8)</f>
        <v/>
      </c>
      <c r="I124" s="205" t="str">
        <f>IF('Zoopl Count'!I124="","",'Zoopl Count'!I124*(2^I$9)/I$8)</f>
        <v/>
      </c>
      <c r="J124" s="205" t="str">
        <f>IF('Zoopl Count'!J124="","",'Zoopl Count'!J124*(2^J$9)/J$8)</f>
        <v/>
      </c>
      <c r="K124" s="205" t="str">
        <f>IF('Zoopl Count'!K124="","",'Zoopl Count'!K124*(2^K$9)/K$8)</f>
        <v/>
      </c>
      <c r="L124" s="205" t="str">
        <f>IF('Zoopl Count'!L124="","",'Zoopl Count'!L124*(2^L$9)/L$8)</f>
        <v/>
      </c>
      <c r="M124" s="205" t="str">
        <f>IF('Zoopl Count'!M124="","",'Zoopl Count'!M124*(2^M$9)/M$8)</f>
        <v/>
      </c>
      <c r="N124" s="205" t="str">
        <f>IF('Zoopl Count'!N124="","",'Zoopl Count'!N124*(2^N$9)/N$8)</f>
        <v/>
      </c>
      <c r="O124" s="205" t="str">
        <f>IF('Zoopl Count'!O124="","",'Zoopl Count'!O124*(2^O$9)/O$8)</f>
        <v/>
      </c>
      <c r="P124" s="205" t="str">
        <f>IF('Zoopl Count'!P124="","",'Zoopl Count'!P124*(2^P$9)/P$8)</f>
        <v/>
      </c>
    </row>
    <row r="125" spans="1:16" s="75" customFormat="1" hidden="1">
      <c r="A125" s="134" t="s">
        <v>7</v>
      </c>
      <c r="B125" s="135" t="s">
        <v>395</v>
      </c>
      <c r="C125" s="135"/>
      <c r="D125" s="135"/>
      <c r="E125" s="135"/>
      <c r="F125" s="136"/>
      <c r="G125" s="205" t="str">
        <f>IF('Zoopl Count'!G125="","",'Zoopl Count'!G125*(2^G$9)/G$8)</f>
        <v/>
      </c>
      <c r="H125" s="205" t="str">
        <f>IF('Zoopl Count'!H125="","",'Zoopl Count'!H125*(2^H$9)/H$8)</f>
        <v/>
      </c>
      <c r="I125" s="205" t="str">
        <f>IF('Zoopl Count'!I125="","",'Zoopl Count'!I125*(2^I$9)/I$8)</f>
        <v/>
      </c>
      <c r="J125" s="205" t="str">
        <f>IF('Zoopl Count'!J125="","",'Zoopl Count'!J125*(2^J$9)/J$8)</f>
        <v/>
      </c>
      <c r="K125" s="205" t="str">
        <f>IF('Zoopl Count'!K125="","",'Zoopl Count'!K125*(2^K$9)/K$8)</f>
        <v/>
      </c>
      <c r="L125" s="205" t="str">
        <f>IF('Zoopl Count'!L125="","",'Zoopl Count'!L125*(2^L$9)/L$8)</f>
        <v/>
      </c>
      <c r="M125" s="205" t="str">
        <f>IF('Zoopl Count'!M125="","",'Zoopl Count'!M125*(2^M$9)/M$8)</f>
        <v/>
      </c>
      <c r="N125" s="205" t="str">
        <f>IF('Zoopl Count'!N125="","",'Zoopl Count'!N125*(2^N$9)/N$8)</f>
        <v/>
      </c>
      <c r="O125" s="205" t="str">
        <f>IF('Zoopl Count'!O125="","",'Zoopl Count'!O125*(2^O$9)/O$8)</f>
        <v/>
      </c>
      <c r="P125" s="205" t="str">
        <f>IF('Zoopl Count'!P125="","",'Zoopl Count'!P125*(2^P$9)/P$8)</f>
        <v/>
      </c>
    </row>
    <row r="126" spans="1:16" s="75" customFormat="1" hidden="1">
      <c r="A126" s="134"/>
      <c r="B126" s="134"/>
      <c r="C126" s="135"/>
      <c r="D126" s="135"/>
      <c r="E126" s="135"/>
      <c r="F126" s="241" t="s">
        <v>396</v>
      </c>
      <c r="G126" s="205" t="str">
        <f>IF('Zoopl Count'!G126="","",'Zoopl Count'!G126*(2^G$9)/G$8)</f>
        <v/>
      </c>
      <c r="H126" s="205" t="str">
        <f>IF('Zoopl Count'!H126="","",'Zoopl Count'!H126*(2^H$9)/H$8)</f>
        <v/>
      </c>
      <c r="I126" s="205" t="str">
        <f>IF('Zoopl Count'!I126="","",'Zoopl Count'!I126*(2^I$9)/I$8)</f>
        <v/>
      </c>
      <c r="J126" s="205" t="str">
        <f>IF('Zoopl Count'!J126="","",'Zoopl Count'!J126*(2^J$9)/J$8)</f>
        <v/>
      </c>
      <c r="K126" s="205" t="str">
        <f>IF('Zoopl Count'!K126="","",'Zoopl Count'!K126*(2^K$9)/K$8)</f>
        <v/>
      </c>
      <c r="L126" s="205" t="str">
        <f>IF('Zoopl Count'!L126="","",'Zoopl Count'!L126*(2^L$9)/L$8)</f>
        <v/>
      </c>
      <c r="M126" s="205" t="str">
        <f>IF('Zoopl Count'!M126="","",'Zoopl Count'!M126*(2^M$9)/M$8)</f>
        <v/>
      </c>
      <c r="N126" s="205" t="str">
        <f>IF('Zoopl Count'!N126="","",'Zoopl Count'!N126*(2^N$9)/N$8)</f>
        <v/>
      </c>
      <c r="O126" s="205" t="str">
        <f>IF('Zoopl Count'!O126="","",'Zoopl Count'!O126*(2^O$9)/O$8)</f>
        <v/>
      </c>
      <c r="P126" s="205" t="str">
        <f>IF('Zoopl Count'!P126="","",'Zoopl Count'!P126*(2^P$9)/P$8)</f>
        <v/>
      </c>
    </row>
    <row r="127" spans="1:16" s="75" customFormat="1" hidden="1">
      <c r="F127" s="137"/>
      <c r="G127" s="205" t="str">
        <f>IF('Zoopl Count'!G127="","",'Zoopl Count'!G127*(2^G$9)/G$8)</f>
        <v/>
      </c>
      <c r="H127" s="205" t="str">
        <f>IF('Zoopl Count'!H127="","",'Zoopl Count'!H127*(2^H$9)/H$8)</f>
        <v/>
      </c>
      <c r="I127" s="205" t="str">
        <f>IF('Zoopl Count'!I127="","",'Zoopl Count'!I127*(2^I$9)/I$8)</f>
        <v/>
      </c>
      <c r="J127" s="205" t="str">
        <f>IF('Zoopl Count'!J127="","",'Zoopl Count'!J127*(2^J$9)/J$8)</f>
        <v/>
      </c>
      <c r="K127" s="205" t="str">
        <f>IF('Zoopl Count'!K127="","",'Zoopl Count'!K127*(2^K$9)/K$8)</f>
        <v/>
      </c>
      <c r="L127" s="205" t="str">
        <f>IF('Zoopl Count'!L127="","",'Zoopl Count'!L127*(2^L$9)/L$8)</f>
        <v/>
      </c>
      <c r="M127" s="205" t="str">
        <f>IF('Zoopl Count'!M127="","",'Zoopl Count'!M127*(2^M$9)/M$8)</f>
        <v/>
      </c>
      <c r="N127" s="205" t="str">
        <f>IF('Zoopl Count'!N127="","",'Zoopl Count'!N127*(2^N$9)/N$8)</f>
        <v/>
      </c>
      <c r="O127" s="205" t="str">
        <f>IF('Zoopl Count'!O127="","",'Zoopl Count'!O127*(2^O$9)/O$8)</f>
        <v/>
      </c>
      <c r="P127" s="205" t="str">
        <f>IF('Zoopl Count'!P127="","",'Zoopl Count'!P127*(2^P$9)/P$8)</f>
        <v/>
      </c>
    </row>
    <row r="128" spans="1:16" s="75" customFormat="1" hidden="1">
      <c r="A128" s="134" t="s">
        <v>7</v>
      </c>
      <c r="B128" s="135" t="s">
        <v>9</v>
      </c>
      <c r="C128" s="135"/>
      <c r="D128" s="135"/>
      <c r="E128" s="135"/>
      <c r="F128" s="136"/>
      <c r="G128" s="205" t="str">
        <f>IF('Zoopl Count'!G128="","",'Zoopl Count'!G128*(2^G$9)/G$8)</f>
        <v/>
      </c>
      <c r="H128" s="205" t="str">
        <f>IF('Zoopl Count'!H128="","",'Zoopl Count'!H128*(2^H$9)/H$8)</f>
        <v/>
      </c>
      <c r="I128" s="205" t="str">
        <f>IF('Zoopl Count'!I128="","",'Zoopl Count'!I128*(2^I$9)/I$8)</f>
        <v/>
      </c>
      <c r="J128" s="205" t="str">
        <f>IF('Zoopl Count'!J128="","",'Zoopl Count'!J128*(2^J$9)/J$8)</f>
        <v/>
      </c>
      <c r="K128" s="205" t="str">
        <f>IF('Zoopl Count'!K128="","",'Zoopl Count'!K128*(2^K$9)/K$8)</f>
        <v/>
      </c>
      <c r="L128" s="205" t="str">
        <f>IF('Zoopl Count'!L128="","",'Zoopl Count'!L128*(2^L$9)/L$8)</f>
        <v/>
      </c>
      <c r="M128" s="205" t="str">
        <f>IF('Zoopl Count'!M128="","",'Zoopl Count'!M128*(2^M$9)/M$8)</f>
        <v/>
      </c>
      <c r="N128" s="205" t="str">
        <f>IF('Zoopl Count'!N128="","",'Zoopl Count'!N128*(2^N$9)/N$8)</f>
        <v/>
      </c>
      <c r="O128" s="205" t="str">
        <f>IF('Zoopl Count'!O128="","",'Zoopl Count'!O128*(2^O$9)/O$8)</f>
        <v/>
      </c>
      <c r="P128" s="205" t="str">
        <f>IF('Zoopl Count'!P128="","",'Zoopl Count'!P128*(2^P$9)/P$8)</f>
        <v/>
      </c>
    </row>
    <row r="129" spans="1:16" s="75" customFormat="1" hidden="1">
      <c r="A129" s="138"/>
      <c r="B129" s="134" t="s">
        <v>79</v>
      </c>
      <c r="C129" s="135" t="s">
        <v>80</v>
      </c>
      <c r="F129" s="137"/>
      <c r="G129" s="205" t="str">
        <f>IF('Zoopl Count'!G129="","",'Zoopl Count'!G129*(2^G$9)/G$8)</f>
        <v/>
      </c>
      <c r="H129" s="205" t="str">
        <f>IF('Zoopl Count'!H129="","",'Zoopl Count'!H129*(2^H$9)/H$8)</f>
        <v/>
      </c>
      <c r="I129" s="205" t="str">
        <f>IF('Zoopl Count'!I129="","",'Zoopl Count'!I129*(2^I$9)/I$8)</f>
        <v/>
      </c>
      <c r="J129" s="205" t="str">
        <f>IF('Zoopl Count'!J129="","",'Zoopl Count'!J129*(2^J$9)/J$8)</f>
        <v/>
      </c>
      <c r="K129" s="205" t="str">
        <f>IF('Zoopl Count'!K129="","",'Zoopl Count'!K129*(2^K$9)/K$8)</f>
        <v/>
      </c>
      <c r="L129" s="205" t="str">
        <f>IF('Zoopl Count'!L129="","",'Zoopl Count'!L129*(2^L$9)/L$8)</f>
        <v/>
      </c>
      <c r="M129" s="205" t="str">
        <f>IF('Zoopl Count'!M129="","",'Zoopl Count'!M129*(2^M$9)/M$8)</f>
        <v/>
      </c>
      <c r="N129" s="205" t="str">
        <f>IF('Zoopl Count'!N129="","",'Zoopl Count'!N129*(2^N$9)/N$8)</f>
        <v/>
      </c>
      <c r="O129" s="205" t="str">
        <f>IF('Zoopl Count'!O129="","",'Zoopl Count'!O129*(2^O$9)/O$8)</f>
        <v/>
      </c>
      <c r="P129" s="205" t="str">
        <f>IF('Zoopl Count'!P129="","",'Zoopl Count'!P129*(2^P$9)/P$8)</f>
        <v/>
      </c>
    </row>
    <row r="130" spans="1:16" s="172" customFormat="1" hidden="1">
      <c r="A130" s="171"/>
      <c r="B130" s="171"/>
      <c r="C130" s="135"/>
      <c r="F130" s="173" t="s">
        <v>103</v>
      </c>
      <c r="G130" s="205" t="str">
        <f>IF('Zoopl Count'!G130="","",'Zoopl Count'!G130*(2^G$9)/G$8)</f>
        <v/>
      </c>
      <c r="H130" s="205" t="str">
        <f>IF('Zoopl Count'!H130="","",'Zoopl Count'!H130*(2^H$9)/H$8)</f>
        <v/>
      </c>
      <c r="I130" s="205" t="str">
        <f>IF('Zoopl Count'!I130="","",'Zoopl Count'!I130*(2^I$9)/I$8)</f>
        <v/>
      </c>
      <c r="J130" s="205" t="str">
        <f>IF('Zoopl Count'!J130="","",'Zoopl Count'!J130*(2^J$9)/J$8)</f>
        <v/>
      </c>
      <c r="K130" s="205" t="str">
        <f>IF('Zoopl Count'!K130="","",'Zoopl Count'!K130*(2^K$9)/K$8)</f>
        <v/>
      </c>
      <c r="L130" s="205" t="str">
        <f>IF('Zoopl Count'!L130="","",'Zoopl Count'!L130*(2^L$9)/L$8)</f>
        <v/>
      </c>
      <c r="M130" s="205" t="str">
        <f>IF('Zoopl Count'!M130="","",'Zoopl Count'!M130*(2^M$9)/M$8)</f>
        <v/>
      </c>
      <c r="N130" s="205" t="str">
        <f>IF('Zoopl Count'!N130="","",'Zoopl Count'!N130*(2^N$9)/N$8)</f>
        <v/>
      </c>
      <c r="O130" s="205" t="str">
        <f>IF('Zoopl Count'!O130="","",'Zoopl Count'!O130*(2^O$9)/O$8)</f>
        <v/>
      </c>
      <c r="P130" s="205" t="str">
        <f>IF('Zoopl Count'!P130="","",'Zoopl Count'!P130*(2^P$9)/P$8)</f>
        <v/>
      </c>
    </row>
    <row r="131" spans="1:16" s="75" customFormat="1" hidden="1">
      <c r="C131" s="134" t="s">
        <v>10</v>
      </c>
      <c r="D131" s="135" t="s">
        <v>325</v>
      </c>
      <c r="E131" s="138"/>
      <c r="F131" s="139"/>
      <c r="G131" s="205" t="str">
        <f>IF('Zoopl Count'!G131="","",'Zoopl Count'!G131*(2^G$9)/G$8)</f>
        <v/>
      </c>
      <c r="H131" s="205" t="str">
        <f>IF('Zoopl Count'!H131="","",'Zoopl Count'!H131*(2^H$9)/H$8)</f>
        <v/>
      </c>
      <c r="I131" s="205" t="str">
        <f>IF('Zoopl Count'!I131="","",'Zoopl Count'!I131*(2^I$9)/I$8)</f>
        <v/>
      </c>
      <c r="J131" s="205" t="str">
        <f>IF('Zoopl Count'!J131="","",'Zoopl Count'!J131*(2^J$9)/J$8)</f>
        <v/>
      </c>
      <c r="K131" s="205" t="str">
        <f>IF('Zoopl Count'!K131="","",'Zoopl Count'!K131*(2^K$9)/K$8)</f>
        <v/>
      </c>
      <c r="L131" s="205" t="str">
        <f>IF('Zoopl Count'!L131="","",'Zoopl Count'!L131*(2^L$9)/L$8)</f>
        <v/>
      </c>
      <c r="M131" s="205" t="str">
        <f>IF('Zoopl Count'!M131="","",'Zoopl Count'!M131*(2^M$9)/M$8)</f>
        <v/>
      </c>
      <c r="N131" s="205" t="str">
        <f>IF('Zoopl Count'!N131="","",'Zoopl Count'!N131*(2^N$9)/N$8)</f>
        <v/>
      </c>
      <c r="O131" s="205" t="str">
        <f>IF('Zoopl Count'!O131="","",'Zoopl Count'!O131*(2^O$9)/O$8)</f>
        <v/>
      </c>
      <c r="P131" s="205" t="str">
        <f>IF('Zoopl Count'!P131="","",'Zoopl Count'!P131*(2^P$9)/P$8)</f>
        <v/>
      </c>
    </row>
    <row r="132" spans="1:16" s="75" customFormat="1" hidden="1">
      <c r="D132" s="138" t="s">
        <v>12</v>
      </c>
      <c r="E132" s="142" t="s">
        <v>68</v>
      </c>
      <c r="F132" s="139"/>
      <c r="G132" s="205" t="str">
        <f>IF('Zoopl Count'!G132="","",'Zoopl Count'!G132*(2^G$9)/G$8)</f>
        <v/>
      </c>
      <c r="H132" s="205" t="str">
        <f>IF('Zoopl Count'!H132="","",'Zoopl Count'!H132*(2^H$9)/H$8)</f>
        <v/>
      </c>
      <c r="I132" s="205" t="str">
        <f>IF('Zoopl Count'!I132="","",'Zoopl Count'!I132*(2^I$9)/I$8)</f>
        <v/>
      </c>
      <c r="J132" s="205" t="str">
        <f>IF('Zoopl Count'!J132="","",'Zoopl Count'!J132*(2^J$9)/J$8)</f>
        <v/>
      </c>
      <c r="K132" s="205" t="str">
        <f>IF('Zoopl Count'!K132="","",'Zoopl Count'!K132*(2^K$9)/K$8)</f>
        <v/>
      </c>
      <c r="L132" s="205" t="str">
        <f>IF('Zoopl Count'!L132="","",'Zoopl Count'!L132*(2^L$9)/L$8)</f>
        <v/>
      </c>
      <c r="M132" s="205" t="str">
        <f>IF('Zoopl Count'!M132="","",'Zoopl Count'!M132*(2^M$9)/M$8)</f>
        <v/>
      </c>
      <c r="N132" s="205" t="str">
        <f>IF('Zoopl Count'!N132="","",'Zoopl Count'!N132*(2^N$9)/N$8)</f>
        <v/>
      </c>
      <c r="O132" s="205" t="str">
        <f>IF('Zoopl Count'!O132="","",'Zoopl Count'!O132*(2^O$9)/O$8)</f>
        <v/>
      </c>
      <c r="P132" s="205" t="str">
        <f>IF('Zoopl Count'!P132="","",'Zoopl Count'!P132*(2^P$9)/P$8)</f>
        <v/>
      </c>
    </row>
    <row r="133" spans="1:16" s="75" customFormat="1" hidden="1">
      <c r="E133" s="138" t="s">
        <v>14</v>
      </c>
      <c r="F133" s="139" t="s">
        <v>69</v>
      </c>
      <c r="G133" s="205" t="str">
        <f>IF('Zoopl Count'!G133="","",'Zoopl Count'!G133*(2^G$9)/G$8)</f>
        <v/>
      </c>
      <c r="H133" s="205" t="str">
        <f>IF('Zoopl Count'!H133="","",'Zoopl Count'!H133*(2^H$9)/H$8)</f>
        <v/>
      </c>
      <c r="I133" s="205" t="str">
        <f>IF('Zoopl Count'!I133="","",'Zoopl Count'!I133*(2^I$9)/I$8)</f>
        <v/>
      </c>
      <c r="J133" s="205" t="str">
        <f>IF('Zoopl Count'!J133="","",'Zoopl Count'!J133*(2^J$9)/J$8)</f>
        <v/>
      </c>
      <c r="K133" s="205" t="str">
        <f>IF('Zoopl Count'!K133="","",'Zoopl Count'!K133*(2^K$9)/K$8)</f>
        <v/>
      </c>
      <c r="L133" s="205" t="str">
        <f>IF('Zoopl Count'!L133="","",'Zoopl Count'!L133*(2^L$9)/L$8)</f>
        <v/>
      </c>
      <c r="M133" s="205" t="str">
        <f>IF('Zoopl Count'!M133="","",'Zoopl Count'!M133*(2^M$9)/M$8)</f>
        <v/>
      </c>
      <c r="N133" s="205" t="str">
        <f>IF('Zoopl Count'!N133="","",'Zoopl Count'!N133*(2^N$9)/N$8)</f>
        <v/>
      </c>
      <c r="O133" s="205" t="str">
        <f>IF('Zoopl Count'!O133="","",'Zoopl Count'!O133*(2^O$9)/O$8)</f>
        <v/>
      </c>
      <c r="P133" s="205" t="str">
        <f>IF('Zoopl Count'!P133="","",'Zoopl Count'!P133*(2^P$9)/P$8)</f>
        <v/>
      </c>
    </row>
    <row r="134" spans="1:16" s="75" customFormat="1" hidden="1">
      <c r="E134" s="138"/>
      <c r="F134" s="139" t="s">
        <v>70</v>
      </c>
      <c r="G134" s="205" t="str">
        <f>IF('Zoopl Count'!G134="","",'Zoopl Count'!G134*(2^G$9)/G$8)</f>
        <v/>
      </c>
      <c r="H134" s="205" t="str">
        <f>IF('Zoopl Count'!H134="","",'Zoopl Count'!H134*(2^H$9)/H$8)</f>
        <v/>
      </c>
      <c r="I134" s="205" t="str">
        <f>IF('Zoopl Count'!I134="","",'Zoopl Count'!I134*(2^I$9)/I$8)</f>
        <v/>
      </c>
      <c r="J134" s="205" t="str">
        <f>IF('Zoopl Count'!J134="","",'Zoopl Count'!J134*(2^J$9)/J$8)</f>
        <v/>
      </c>
      <c r="K134" s="205" t="str">
        <f>IF('Zoopl Count'!K134="","",'Zoopl Count'!K134*(2^K$9)/K$8)</f>
        <v/>
      </c>
      <c r="L134" s="205" t="str">
        <f>IF('Zoopl Count'!L134="","",'Zoopl Count'!L134*(2^L$9)/L$8)</f>
        <v/>
      </c>
      <c r="M134" s="205" t="str">
        <f>IF('Zoopl Count'!M134="","",'Zoopl Count'!M134*(2^M$9)/M$8)</f>
        <v/>
      </c>
      <c r="N134" s="205" t="str">
        <f>IF('Zoopl Count'!N134="","",'Zoopl Count'!N134*(2^N$9)/N$8)</f>
        <v/>
      </c>
      <c r="O134" s="205" t="str">
        <f>IF('Zoopl Count'!O134="","",'Zoopl Count'!O134*(2^O$9)/O$8)</f>
        <v/>
      </c>
      <c r="P134" s="205" t="str">
        <f>IF('Zoopl Count'!P134="","",'Zoopl Count'!P134*(2^P$9)/P$8)</f>
        <v/>
      </c>
    </row>
    <row r="135" spans="1:16" s="75" customFormat="1" hidden="1">
      <c r="E135" s="138"/>
      <c r="F135" s="139"/>
      <c r="G135" s="205" t="str">
        <f>IF('Zoopl Count'!G135="","",'Zoopl Count'!G135*(2^G$9)/G$8)</f>
        <v/>
      </c>
      <c r="H135" s="205" t="str">
        <f>IF('Zoopl Count'!H135="","",'Zoopl Count'!H135*(2^H$9)/H$8)</f>
        <v/>
      </c>
      <c r="I135" s="205" t="str">
        <f>IF('Zoopl Count'!I135="","",'Zoopl Count'!I135*(2^I$9)/I$8)</f>
        <v/>
      </c>
      <c r="J135" s="205" t="str">
        <f>IF('Zoopl Count'!J135="","",'Zoopl Count'!J135*(2^J$9)/J$8)</f>
        <v/>
      </c>
      <c r="K135" s="205" t="str">
        <f>IF('Zoopl Count'!K135="","",'Zoopl Count'!K135*(2^K$9)/K$8)</f>
        <v/>
      </c>
      <c r="L135" s="205" t="str">
        <f>IF('Zoopl Count'!L135="","",'Zoopl Count'!L135*(2^L$9)/L$8)</f>
        <v/>
      </c>
      <c r="M135" s="205" t="str">
        <f>IF('Zoopl Count'!M135="","",'Zoopl Count'!M135*(2^M$9)/M$8)</f>
        <v/>
      </c>
      <c r="N135" s="205" t="str">
        <f>IF('Zoopl Count'!N135="","",'Zoopl Count'!N135*(2^N$9)/N$8)</f>
        <v/>
      </c>
      <c r="O135" s="205" t="str">
        <f>IF('Zoopl Count'!O135="","",'Zoopl Count'!O135*(2^O$9)/O$8)</f>
        <v/>
      </c>
      <c r="P135" s="205" t="str">
        <f>IF('Zoopl Count'!P135="","",'Zoopl Count'!P135*(2^P$9)/P$8)</f>
        <v/>
      </c>
    </row>
    <row r="136" spans="1:16" s="75" customFormat="1" hidden="1">
      <c r="C136" s="134" t="s">
        <v>10</v>
      </c>
      <c r="D136" s="135" t="s">
        <v>326</v>
      </c>
      <c r="E136" s="138"/>
      <c r="F136" s="139"/>
      <c r="G136" s="205" t="str">
        <f>IF('Zoopl Count'!G136="","",'Zoopl Count'!G136*(2^G$9)/G$8)</f>
        <v/>
      </c>
      <c r="H136" s="205" t="str">
        <f>IF('Zoopl Count'!H136="","",'Zoopl Count'!H136*(2^H$9)/H$8)</f>
        <v/>
      </c>
      <c r="I136" s="205" t="str">
        <f>IF('Zoopl Count'!I136="","",'Zoopl Count'!I136*(2^I$9)/I$8)</f>
        <v/>
      </c>
      <c r="J136" s="205" t="str">
        <f>IF('Zoopl Count'!J136="","",'Zoopl Count'!J136*(2^J$9)/J$8)</f>
        <v/>
      </c>
      <c r="K136" s="205" t="str">
        <f>IF('Zoopl Count'!K136="","",'Zoopl Count'!K136*(2^K$9)/K$8)</f>
        <v/>
      </c>
      <c r="L136" s="205" t="str">
        <f>IF('Zoopl Count'!L136="","",'Zoopl Count'!L136*(2^L$9)/L$8)</f>
        <v/>
      </c>
      <c r="M136" s="205" t="str">
        <f>IF('Zoopl Count'!M136="","",'Zoopl Count'!M136*(2^M$9)/M$8)</f>
        <v/>
      </c>
      <c r="N136" s="205" t="str">
        <f>IF('Zoopl Count'!N136="","",'Zoopl Count'!N136*(2^N$9)/N$8)</f>
        <v/>
      </c>
      <c r="O136" s="205" t="str">
        <f>IF('Zoopl Count'!O136="","",'Zoopl Count'!O136*(2^O$9)/O$8)</f>
        <v/>
      </c>
      <c r="P136" s="205" t="str">
        <f>IF('Zoopl Count'!P136="","",'Zoopl Count'!P136*(2^P$9)/P$8)</f>
        <v/>
      </c>
    </row>
    <row r="137" spans="1:16" s="75" customFormat="1" hidden="1">
      <c r="D137" s="138" t="s">
        <v>12</v>
      </c>
      <c r="E137" s="142" t="s">
        <v>71</v>
      </c>
      <c r="F137" s="139"/>
      <c r="G137" s="205" t="str">
        <f>IF('Zoopl Count'!G137="","",'Zoopl Count'!G137*(2^G$9)/G$8)</f>
        <v/>
      </c>
      <c r="H137" s="205" t="str">
        <f>IF('Zoopl Count'!H137="","",'Zoopl Count'!H137*(2^H$9)/H$8)</f>
        <v/>
      </c>
      <c r="I137" s="205" t="str">
        <f>IF('Zoopl Count'!I137="","",'Zoopl Count'!I137*(2^I$9)/I$8)</f>
        <v/>
      </c>
      <c r="J137" s="205" t="str">
        <f>IF('Zoopl Count'!J137="","",'Zoopl Count'!J137*(2^J$9)/J$8)</f>
        <v/>
      </c>
      <c r="K137" s="205" t="str">
        <f>IF('Zoopl Count'!K137="","",'Zoopl Count'!K137*(2^K$9)/K$8)</f>
        <v/>
      </c>
      <c r="L137" s="205" t="str">
        <f>IF('Zoopl Count'!L137="","",'Zoopl Count'!L137*(2^L$9)/L$8)</f>
        <v/>
      </c>
      <c r="M137" s="205" t="str">
        <f>IF('Zoopl Count'!M137="","",'Zoopl Count'!M137*(2^M$9)/M$8)</f>
        <v/>
      </c>
      <c r="N137" s="205" t="str">
        <f>IF('Zoopl Count'!N137="","",'Zoopl Count'!N137*(2^N$9)/N$8)</f>
        <v/>
      </c>
      <c r="O137" s="205" t="str">
        <f>IF('Zoopl Count'!O137="","",'Zoopl Count'!O137*(2^O$9)/O$8)</f>
        <v/>
      </c>
      <c r="P137" s="205" t="str">
        <f>IF('Zoopl Count'!P137="","",'Zoopl Count'!P137*(2^P$9)/P$8)</f>
        <v/>
      </c>
    </row>
    <row r="138" spans="1:16" s="75" customFormat="1" hidden="1">
      <c r="E138" s="138" t="s">
        <v>14</v>
      </c>
      <c r="F138" s="139" t="s">
        <v>72</v>
      </c>
      <c r="G138" s="205" t="str">
        <f>IF('Zoopl Count'!G138="","",'Zoopl Count'!G138*(2^G$9)/G$8)</f>
        <v/>
      </c>
      <c r="H138" s="205" t="str">
        <f>IF('Zoopl Count'!H138="","",'Zoopl Count'!H138*(2^H$9)/H$8)</f>
        <v/>
      </c>
      <c r="I138" s="205" t="str">
        <f>IF('Zoopl Count'!I138="","",'Zoopl Count'!I138*(2^I$9)/I$8)</f>
        <v/>
      </c>
      <c r="J138" s="205" t="str">
        <f>IF('Zoopl Count'!J138="","",'Zoopl Count'!J138*(2^J$9)/J$8)</f>
        <v/>
      </c>
      <c r="K138" s="205" t="str">
        <f>IF('Zoopl Count'!K138="","",'Zoopl Count'!K138*(2^K$9)/K$8)</f>
        <v/>
      </c>
      <c r="L138" s="205" t="str">
        <f>IF('Zoopl Count'!L138="","",'Zoopl Count'!L138*(2^L$9)/L$8)</f>
        <v/>
      </c>
      <c r="M138" s="205" t="str">
        <f>IF('Zoopl Count'!M138="","",'Zoopl Count'!M138*(2^M$9)/M$8)</f>
        <v/>
      </c>
      <c r="N138" s="205" t="str">
        <f>IF('Zoopl Count'!N138="","",'Zoopl Count'!N138*(2^N$9)/N$8)</f>
        <v/>
      </c>
      <c r="O138" s="205" t="str">
        <f>IF('Zoopl Count'!O138="","",'Zoopl Count'!O138*(2^O$9)/O$8)</f>
        <v/>
      </c>
      <c r="P138" s="205" t="str">
        <f>IF('Zoopl Count'!P138="","",'Zoopl Count'!P138*(2^P$9)/P$8)</f>
        <v/>
      </c>
    </row>
    <row r="139" spans="1:16" s="75" customFormat="1" ht="15" customHeight="1">
      <c r="E139" s="138"/>
      <c r="F139" s="139"/>
      <c r="G139" s="205" t="str">
        <f>IF('Zoopl Count'!G139="","",'Zoopl Count'!G139*(2^G$9)/G$8)</f>
        <v/>
      </c>
      <c r="H139" s="205" t="str">
        <f>IF('Zoopl Count'!H139="","",'Zoopl Count'!H139*(2^H$9)/H$8)</f>
        <v/>
      </c>
      <c r="I139" s="205" t="str">
        <f>IF('Zoopl Count'!I139="","",'Zoopl Count'!I139*(2^I$9)/I$8)</f>
        <v/>
      </c>
      <c r="J139" s="205" t="str">
        <f>IF('Zoopl Count'!J139="","",'Zoopl Count'!J139*(2^J$9)/J$8)</f>
        <v/>
      </c>
      <c r="K139" s="205" t="str">
        <f>IF('Zoopl Count'!K139="","",'Zoopl Count'!K139*(2^K$9)/K$8)</f>
        <v/>
      </c>
      <c r="L139" s="205" t="str">
        <f>IF('Zoopl Count'!L139="","",'Zoopl Count'!L139*(2^L$9)/L$8)</f>
        <v/>
      </c>
      <c r="M139" s="205" t="str">
        <f>IF('Zoopl Count'!M139="","",'Zoopl Count'!M139*(2^M$9)/M$8)</f>
        <v/>
      </c>
      <c r="N139" s="205" t="str">
        <f>IF('Zoopl Count'!N139="","",'Zoopl Count'!N139*(2^N$9)/N$8)</f>
        <v/>
      </c>
      <c r="O139" s="205" t="str">
        <f>IF('Zoopl Count'!O139="","",'Zoopl Count'!O139*(2^O$9)/O$8)</f>
        <v/>
      </c>
      <c r="P139" s="205" t="str">
        <f>IF('Zoopl Count'!P139="","",'Zoopl Count'!P139*(2^P$9)/P$8)</f>
        <v/>
      </c>
    </row>
    <row r="140" spans="1:16" s="75" customFormat="1">
      <c r="A140" s="135"/>
      <c r="B140" s="134" t="s">
        <v>79</v>
      </c>
      <c r="C140" s="135" t="s">
        <v>81</v>
      </c>
      <c r="D140" s="135"/>
      <c r="E140" s="134"/>
      <c r="F140" s="143"/>
      <c r="G140" s="205" t="str">
        <f>IF('Zoopl Count'!G140="","",'Zoopl Count'!G140*(2^G$9)/G$8)</f>
        <v/>
      </c>
      <c r="H140" s="205" t="str">
        <f>IF('Zoopl Count'!H140="","",'Zoopl Count'!H140*(2^H$9)/H$8)</f>
        <v/>
      </c>
      <c r="I140" s="205" t="str">
        <f>IF('Zoopl Count'!I140="","",'Zoopl Count'!I140*(2^I$9)/I$8)</f>
        <v/>
      </c>
      <c r="J140" s="205" t="str">
        <f>IF('Zoopl Count'!J140="","",'Zoopl Count'!J140*(2^J$9)/J$8)</f>
        <v/>
      </c>
      <c r="K140" s="205" t="str">
        <f>IF('Zoopl Count'!K140="","",'Zoopl Count'!K140*(2^K$9)/K$8)</f>
        <v/>
      </c>
      <c r="L140" s="205" t="str">
        <f>IF('Zoopl Count'!L140="","",'Zoopl Count'!L140*(2^L$9)/L$8)</f>
        <v/>
      </c>
      <c r="M140" s="205" t="str">
        <f>IF('Zoopl Count'!M140="","",'Zoopl Count'!M140*(2^M$9)/M$8)</f>
        <v/>
      </c>
      <c r="N140" s="205" t="str">
        <f>IF('Zoopl Count'!N140="","",'Zoopl Count'!N140*(2^N$9)/N$8)</f>
        <v/>
      </c>
      <c r="O140" s="205" t="str">
        <f>IF('Zoopl Count'!O140="","",'Zoopl Count'!O140*(2^O$9)/O$8)</f>
        <v/>
      </c>
      <c r="P140" s="205" t="str">
        <f>IF('Zoopl Count'!P140="","",'Zoopl Count'!P140*(2^P$9)/P$8)</f>
        <v/>
      </c>
    </row>
    <row r="141" spans="1:16" s="172" customFormat="1" ht="15" hidden="1" customHeight="1">
      <c r="B141" s="171"/>
      <c r="E141" s="171"/>
      <c r="F141" s="173" t="s">
        <v>100</v>
      </c>
      <c r="G141" s="205" t="str">
        <f>IF('Zoopl Count'!G141="","",'Zoopl Count'!G141*(2^G$9)/G$8)</f>
        <v/>
      </c>
      <c r="H141" s="205" t="str">
        <f>IF('Zoopl Count'!H141="","",'Zoopl Count'!H141*(2^H$9)/H$8)</f>
        <v/>
      </c>
      <c r="I141" s="205" t="str">
        <f>IF('Zoopl Count'!I141="","",'Zoopl Count'!I141*(2^I$9)/I$8)</f>
        <v/>
      </c>
      <c r="J141" s="205" t="str">
        <f>IF('Zoopl Count'!J141="","",'Zoopl Count'!J141*(2^J$9)/J$8)</f>
        <v/>
      </c>
      <c r="K141" s="205" t="str">
        <f>IF('Zoopl Count'!K141="","",'Zoopl Count'!K141*(2^K$9)/K$8)</f>
        <v/>
      </c>
      <c r="L141" s="205" t="str">
        <f>IF('Zoopl Count'!L141="","",'Zoopl Count'!L141*(2^L$9)/L$8)</f>
        <v/>
      </c>
      <c r="M141" s="205" t="str">
        <f>IF('Zoopl Count'!M141="","",'Zoopl Count'!M141*(2^M$9)/M$8)</f>
        <v/>
      </c>
      <c r="N141" s="205" t="str">
        <f>IF('Zoopl Count'!N141="","",'Zoopl Count'!N141*(2^N$9)/N$8)</f>
        <v/>
      </c>
      <c r="O141" s="205" t="str">
        <f>IF('Zoopl Count'!O141="","",'Zoopl Count'!O141*(2^O$9)/O$8)</f>
        <v/>
      </c>
      <c r="P141" s="205" t="str">
        <f>IF('Zoopl Count'!P141="","",'Zoopl Count'!P141*(2^P$9)/P$8)</f>
        <v/>
      </c>
    </row>
    <row r="142" spans="1:16" s="172" customFormat="1" ht="15" hidden="1" customHeight="1">
      <c r="A142" s="2"/>
      <c r="B142" s="21"/>
      <c r="C142" s="21" t="s">
        <v>10</v>
      </c>
      <c r="D142" s="2" t="s">
        <v>272</v>
      </c>
      <c r="E142" s="21"/>
      <c r="F142" s="78"/>
      <c r="G142" s="205" t="str">
        <f>IF('Zoopl Count'!G142="","",'Zoopl Count'!G142*(2^G$9)/G$8)</f>
        <v/>
      </c>
      <c r="H142" s="205" t="str">
        <f>IF('Zoopl Count'!H142="","",'Zoopl Count'!H142*(2^H$9)/H$8)</f>
        <v/>
      </c>
      <c r="I142" s="205" t="str">
        <f>IF('Zoopl Count'!I142="","",'Zoopl Count'!I142*(2^I$9)/I$8)</f>
        <v/>
      </c>
      <c r="J142" s="205" t="str">
        <f>IF('Zoopl Count'!J142="","",'Zoopl Count'!J142*(2^J$9)/J$8)</f>
        <v/>
      </c>
      <c r="K142" s="205" t="str">
        <f>IF('Zoopl Count'!K142="","",'Zoopl Count'!K142*(2^K$9)/K$8)</f>
        <v/>
      </c>
      <c r="L142" s="205" t="str">
        <f>IF('Zoopl Count'!L142="","",'Zoopl Count'!L142*(2^L$9)/L$8)</f>
        <v/>
      </c>
      <c r="M142" s="205" t="str">
        <f>IF('Zoopl Count'!M142="","",'Zoopl Count'!M142*(2^M$9)/M$8)</f>
        <v/>
      </c>
      <c r="N142" s="205" t="str">
        <f>IF('Zoopl Count'!N142="","",'Zoopl Count'!N142*(2^N$9)/N$8)</f>
        <v/>
      </c>
      <c r="O142" s="205" t="str">
        <f>IF('Zoopl Count'!O142="","",'Zoopl Count'!O142*(2^O$9)/O$8)</f>
        <v/>
      </c>
      <c r="P142" s="205" t="str">
        <f>IF('Zoopl Count'!P142="","",'Zoopl Count'!P142*(2^P$9)/P$8)</f>
        <v/>
      </c>
    </row>
    <row r="143" spans="1:16" s="172" customFormat="1" ht="15" hidden="1" customHeight="1">
      <c r="A143" s="176"/>
      <c r="B143" s="177"/>
      <c r="C143" s="2"/>
      <c r="D143" s="177" t="s">
        <v>12</v>
      </c>
      <c r="E143" s="178" t="s">
        <v>273</v>
      </c>
      <c r="F143" s="179"/>
      <c r="G143" s="205" t="str">
        <f>IF('Zoopl Count'!G143="","",'Zoopl Count'!G143*(2^G$9)/G$8)</f>
        <v/>
      </c>
      <c r="H143" s="205" t="str">
        <f>IF('Zoopl Count'!H143="","",'Zoopl Count'!H143*(2^H$9)/H$8)</f>
        <v/>
      </c>
      <c r="I143" s="205" t="str">
        <f>IF('Zoopl Count'!I143="","",'Zoopl Count'!I143*(2^I$9)/I$8)</f>
        <v/>
      </c>
      <c r="J143" s="205" t="str">
        <f>IF('Zoopl Count'!J143="","",'Zoopl Count'!J143*(2^J$9)/J$8)</f>
        <v/>
      </c>
      <c r="K143" s="205" t="str">
        <f>IF('Zoopl Count'!K143="","",'Zoopl Count'!K143*(2^K$9)/K$8)</f>
        <v/>
      </c>
      <c r="L143" s="205" t="str">
        <f>IF('Zoopl Count'!L143="","",'Zoopl Count'!L143*(2^L$9)/L$8)</f>
        <v/>
      </c>
      <c r="M143" s="205" t="str">
        <f>IF('Zoopl Count'!M143="","",'Zoopl Count'!M143*(2^M$9)/M$8)</f>
        <v/>
      </c>
      <c r="N143" s="205" t="str">
        <f>IF('Zoopl Count'!N143="","",'Zoopl Count'!N143*(2^N$9)/N$8)</f>
        <v/>
      </c>
      <c r="O143" s="205" t="str">
        <f>IF('Zoopl Count'!O143="","",'Zoopl Count'!O143*(2^O$9)/O$8)</f>
        <v/>
      </c>
      <c r="P143" s="205" t="str">
        <f>IF('Zoopl Count'!P143="","",'Zoopl Count'!P143*(2^P$9)/P$8)</f>
        <v/>
      </c>
    </row>
    <row r="144" spans="1:16" s="172" customFormat="1" ht="15" hidden="1" customHeight="1">
      <c r="A144" s="176"/>
      <c r="B144" s="176"/>
      <c r="C144" s="176"/>
      <c r="D144" s="176"/>
      <c r="E144" s="177" t="s">
        <v>14</v>
      </c>
      <c r="F144" s="10" t="s">
        <v>274</v>
      </c>
      <c r="G144" s="205" t="str">
        <f>IF('Zoopl Count'!G144="","",'Zoopl Count'!G144*(2^G$9)/G$8)</f>
        <v/>
      </c>
      <c r="H144" s="205" t="str">
        <f>IF('Zoopl Count'!H144="","",'Zoopl Count'!H144*(2^H$9)/H$8)</f>
        <v/>
      </c>
      <c r="I144" s="205" t="str">
        <f>IF('Zoopl Count'!I144="","",'Zoopl Count'!I144*(2^I$9)/I$8)</f>
        <v/>
      </c>
      <c r="J144" s="205" t="str">
        <f>IF('Zoopl Count'!J144="","",'Zoopl Count'!J144*(2^J$9)/J$8)</f>
        <v/>
      </c>
      <c r="K144" s="205" t="str">
        <f>IF('Zoopl Count'!K144="","",'Zoopl Count'!K144*(2^K$9)/K$8)</f>
        <v/>
      </c>
      <c r="L144" s="205" t="str">
        <f>IF('Zoopl Count'!L144="","",'Zoopl Count'!L144*(2^L$9)/L$8)</f>
        <v/>
      </c>
      <c r="M144" s="205" t="str">
        <f>IF('Zoopl Count'!M144="","",'Zoopl Count'!M144*(2^M$9)/M$8)</f>
        <v/>
      </c>
      <c r="N144" s="205" t="str">
        <f>IF('Zoopl Count'!N144="","",'Zoopl Count'!N144*(2^N$9)/N$8)</f>
        <v/>
      </c>
      <c r="O144" s="205" t="str">
        <f>IF('Zoopl Count'!O144="","",'Zoopl Count'!O144*(2^O$9)/O$8)</f>
        <v/>
      </c>
      <c r="P144" s="205" t="str">
        <f>IF('Zoopl Count'!P144="","",'Zoopl Count'!P144*(2^P$9)/P$8)</f>
        <v/>
      </c>
    </row>
    <row r="145" spans="1:16" s="75" customFormat="1">
      <c r="A145" s="135"/>
      <c r="B145" s="134"/>
      <c r="C145" s="134" t="s">
        <v>10</v>
      </c>
      <c r="D145" s="135" t="s">
        <v>90</v>
      </c>
      <c r="E145" s="134"/>
      <c r="F145" s="143"/>
      <c r="G145" s="205" t="str">
        <f>IF('Zoopl Count'!G145="","",'Zoopl Count'!G145*(2^G$9)/G$8)</f>
        <v/>
      </c>
      <c r="H145" s="205" t="str">
        <f>IF('Zoopl Count'!H145="","",'Zoopl Count'!H145*(2^H$9)/H$8)</f>
        <v/>
      </c>
      <c r="I145" s="205" t="str">
        <f>IF('Zoopl Count'!I145="","",'Zoopl Count'!I145*(2^I$9)/I$8)</f>
        <v/>
      </c>
      <c r="J145" s="205" t="str">
        <f>IF('Zoopl Count'!J145="","",'Zoopl Count'!J145*(2^J$9)/J$8)</f>
        <v/>
      </c>
      <c r="K145" s="205" t="str">
        <f>IF('Zoopl Count'!K145="","",'Zoopl Count'!K145*(2^K$9)/K$8)</f>
        <v/>
      </c>
      <c r="L145" s="205" t="str">
        <f>IF('Zoopl Count'!L145="","",'Zoopl Count'!L145*(2^L$9)/L$8)</f>
        <v/>
      </c>
      <c r="M145" s="205" t="str">
        <f>IF('Zoopl Count'!M145="","",'Zoopl Count'!M145*(2^M$9)/M$8)</f>
        <v/>
      </c>
      <c r="N145" s="205" t="str">
        <f>IF('Zoopl Count'!N145="","",'Zoopl Count'!N145*(2^N$9)/N$8)</f>
        <v/>
      </c>
      <c r="O145" s="205" t="str">
        <f>IF('Zoopl Count'!O145="","",'Zoopl Count'!O145*(2^O$9)/O$8)</f>
        <v/>
      </c>
      <c r="P145" s="205" t="str">
        <f>IF('Zoopl Count'!P145="","",'Zoopl Count'!P145*(2^P$9)/P$8)</f>
        <v/>
      </c>
    </row>
    <row r="146" spans="1:16" s="75" customFormat="1">
      <c r="B146" s="138"/>
      <c r="C146" s="135"/>
      <c r="D146" s="138" t="s">
        <v>12</v>
      </c>
      <c r="E146" s="142" t="s">
        <v>91</v>
      </c>
      <c r="F146" s="137"/>
      <c r="G146" s="205" t="str">
        <f>IF('Zoopl Count'!G146="","",'Zoopl Count'!G146*(2^G$9)/G$8)</f>
        <v/>
      </c>
      <c r="H146" s="205" t="str">
        <f>IF('Zoopl Count'!H146="","",'Zoopl Count'!H146*(2^H$9)/H$8)</f>
        <v/>
      </c>
      <c r="I146" s="205" t="str">
        <f>IF('Zoopl Count'!I146="","",'Zoopl Count'!I146*(2^I$9)/I$8)</f>
        <v/>
      </c>
      <c r="J146" s="205" t="str">
        <f>IF('Zoopl Count'!J146="","",'Zoopl Count'!J146*(2^J$9)/J$8)</f>
        <v/>
      </c>
      <c r="K146" s="205" t="str">
        <f>IF('Zoopl Count'!K146="","",'Zoopl Count'!K146*(2^K$9)/K$8)</f>
        <v/>
      </c>
      <c r="L146" s="205" t="str">
        <f>IF('Zoopl Count'!L146="","",'Zoopl Count'!L146*(2^L$9)/L$8)</f>
        <v/>
      </c>
      <c r="M146" s="205" t="str">
        <f>IF('Zoopl Count'!M146="","",'Zoopl Count'!M146*(2^M$9)/M$8)</f>
        <v/>
      </c>
      <c r="N146" s="205" t="str">
        <f>IF('Zoopl Count'!N146="","",'Zoopl Count'!N146*(2^N$9)/N$8)</f>
        <v/>
      </c>
      <c r="O146" s="205" t="str">
        <f>IF('Zoopl Count'!O146="","",'Zoopl Count'!O146*(2^O$9)/O$8)</f>
        <v/>
      </c>
      <c r="P146" s="205" t="str">
        <f>IF('Zoopl Count'!P146="","",'Zoopl Count'!P146*(2^P$9)/P$8)</f>
        <v/>
      </c>
    </row>
    <row r="147" spans="1:16" s="75" customFormat="1">
      <c r="E147" s="138" t="s">
        <v>14</v>
      </c>
      <c r="F147" s="139" t="s">
        <v>327</v>
      </c>
      <c r="G147" s="205" t="str">
        <f>IF('Zoopl Count'!G147="","",'Zoopl Count'!G147*(2^G$9)/G$8)</f>
        <v/>
      </c>
      <c r="H147" s="205">
        <f>IF('Zoopl Count'!H147="","",'Zoopl Count'!H147*(2^H$9)/H$8)</f>
        <v>0.19556959407132099</v>
      </c>
      <c r="I147" s="205">
        <f>IF('Zoopl Count'!I147="","",'Zoopl Count'!I147*(2^I$9)/I$8)</f>
        <v>6.518986469044033E-2</v>
      </c>
      <c r="J147" s="205" t="str">
        <f>IF('Zoopl Count'!J147="","",'Zoopl Count'!J147*(2^J$9)/J$8)</f>
        <v/>
      </c>
      <c r="K147" s="205" t="str">
        <f>IF('Zoopl Count'!K147="","",'Zoopl Count'!K147*(2^K$9)/K$8)</f>
        <v/>
      </c>
      <c r="L147" s="205" t="str">
        <f>IF('Zoopl Count'!L147="","",'Zoopl Count'!L147*(2^L$9)/L$8)</f>
        <v/>
      </c>
      <c r="M147" s="205" t="str">
        <f>IF('Zoopl Count'!M147="","",'Zoopl Count'!M147*(2^M$9)/M$8)</f>
        <v/>
      </c>
      <c r="N147" s="205" t="str">
        <f>IF('Zoopl Count'!N147="","",'Zoopl Count'!N147*(2^N$9)/N$8)</f>
        <v/>
      </c>
      <c r="O147" s="205" t="str">
        <f>IF('Zoopl Count'!O147="","",'Zoopl Count'!O147*(2^O$9)/O$8)</f>
        <v/>
      </c>
      <c r="P147" s="205" t="str">
        <f>IF('Zoopl Count'!P147="","",'Zoopl Count'!P147*(2^P$9)/P$8)</f>
        <v/>
      </c>
    </row>
    <row r="148" spans="1:16" s="75" customFormat="1" ht="15" hidden="1" customHeight="1">
      <c r="E148" s="138"/>
      <c r="F148" s="137"/>
      <c r="G148" s="205" t="str">
        <f>IF('Zoopl Count'!G148="","",'Zoopl Count'!G148*(2^G$9)/G$8)</f>
        <v/>
      </c>
      <c r="H148" s="205" t="str">
        <f>IF('Zoopl Count'!H148="","",'Zoopl Count'!H148*(2^H$9)/H$8)</f>
        <v/>
      </c>
      <c r="I148" s="205" t="str">
        <f>IF('Zoopl Count'!I148="","",'Zoopl Count'!I148*(2^I$9)/I$8)</f>
        <v/>
      </c>
      <c r="J148" s="205" t="str">
        <f>IF('Zoopl Count'!J148="","",'Zoopl Count'!J148*(2^J$9)/J$8)</f>
        <v/>
      </c>
      <c r="K148" s="205" t="str">
        <f>IF('Zoopl Count'!K148="","",'Zoopl Count'!K148*(2^K$9)/K$8)</f>
        <v/>
      </c>
      <c r="L148" s="205" t="str">
        <f>IF('Zoopl Count'!L148="","",'Zoopl Count'!L148*(2^L$9)/L$8)</f>
        <v/>
      </c>
      <c r="M148" s="205" t="str">
        <f>IF('Zoopl Count'!M148="","",'Zoopl Count'!M148*(2^M$9)/M$8)</f>
        <v/>
      </c>
      <c r="N148" s="205" t="str">
        <f>IF('Zoopl Count'!N148="","",'Zoopl Count'!N148*(2^N$9)/N$8)</f>
        <v/>
      </c>
      <c r="O148" s="205" t="str">
        <f>IF('Zoopl Count'!O148="","",'Zoopl Count'!O148*(2^O$9)/O$8)</f>
        <v/>
      </c>
      <c r="P148" s="205" t="str">
        <f>IF('Zoopl Count'!P148="","",'Zoopl Count'!P148*(2^P$9)/P$8)</f>
        <v/>
      </c>
    </row>
    <row r="149" spans="1:16" s="75" customFormat="1">
      <c r="E149" s="138"/>
      <c r="F149" s="139"/>
      <c r="G149" s="205" t="str">
        <f>IF('Zoopl Count'!G149="","",'Zoopl Count'!G149*(2^G$9)/G$8)</f>
        <v/>
      </c>
      <c r="H149" s="205" t="str">
        <f>IF('Zoopl Count'!H149="","",'Zoopl Count'!H149*(2^H$9)/H$8)</f>
        <v/>
      </c>
      <c r="I149" s="205" t="str">
        <f>IF('Zoopl Count'!I149="","",'Zoopl Count'!I149*(2^I$9)/I$8)</f>
        <v/>
      </c>
      <c r="J149" s="205" t="str">
        <f>IF('Zoopl Count'!J149="","",'Zoopl Count'!J149*(2^J$9)/J$8)</f>
        <v/>
      </c>
      <c r="K149" s="205" t="str">
        <f>IF('Zoopl Count'!K149="","",'Zoopl Count'!K149*(2^K$9)/K$8)</f>
        <v/>
      </c>
      <c r="L149" s="205" t="str">
        <f>IF('Zoopl Count'!L149="","",'Zoopl Count'!L149*(2^L$9)/L$8)</f>
        <v/>
      </c>
      <c r="M149" s="205" t="str">
        <f>IF('Zoopl Count'!M149="","",'Zoopl Count'!M149*(2^M$9)/M$8)</f>
        <v/>
      </c>
      <c r="N149" s="205" t="str">
        <f>IF('Zoopl Count'!N149="","",'Zoopl Count'!N149*(2^N$9)/N$8)</f>
        <v/>
      </c>
      <c r="O149" s="205" t="str">
        <f>IF('Zoopl Count'!O149="","",'Zoopl Count'!O149*(2^O$9)/O$8)</f>
        <v/>
      </c>
      <c r="P149" s="205" t="str">
        <f>IF('Zoopl Count'!P149="","",'Zoopl Count'!P149*(2^P$9)/P$8)</f>
        <v/>
      </c>
    </row>
    <row r="150" spans="1:16" s="75" customFormat="1">
      <c r="A150" s="134"/>
      <c r="B150" s="134" t="s">
        <v>79</v>
      </c>
      <c r="C150" s="135" t="s">
        <v>84</v>
      </c>
      <c r="D150" s="135"/>
      <c r="E150" s="135"/>
      <c r="F150" s="136"/>
      <c r="G150" s="205" t="str">
        <f>IF('Zoopl Count'!G150="","",'Zoopl Count'!G150*(2^G$9)/G$8)</f>
        <v/>
      </c>
      <c r="H150" s="205" t="str">
        <f>IF('Zoopl Count'!H150="","",'Zoopl Count'!H150*(2^H$9)/H$8)</f>
        <v/>
      </c>
      <c r="I150" s="205" t="str">
        <f>IF('Zoopl Count'!I150="","",'Zoopl Count'!I150*(2^I$9)/I$8)</f>
        <v/>
      </c>
      <c r="J150" s="205" t="str">
        <f>IF('Zoopl Count'!J150="","",'Zoopl Count'!J150*(2^J$9)/J$8)</f>
        <v/>
      </c>
      <c r="K150" s="205" t="str">
        <f>IF('Zoopl Count'!K150="","",'Zoopl Count'!K150*(2^K$9)/K$8)</f>
        <v/>
      </c>
      <c r="L150" s="205" t="str">
        <f>IF('Zoopl Count'!L150="","",'Zoopl Count'!L150*(2^L$9)/L$8)</f>
        <v/>
      </c>
      <c r="M150" s="205" t="str">
        <f>IF('Zoopl Count'!M150="","",'Zoopl Count'!M150*(2^M$9)/M$8)</f>
        <v/>
      </c>
      <c r="N150" s="205" t="str">
        <f>IF('Zoopl Count'!N150="","",'Zoopl Count'!N150*(2^N$9)/N$8)</f>
        <v/>
      </c>
      <c r="O150" s="205" t="str">
        <f>IF('Zoopl Count'!O150="","",'Zoopl Count'!O150*(2^O$9)/O$8)</f>
        <v/>
      </c>
      <c r="P150" s="205" t="str">
        <f>IF('Zoopl Count'!P150="","",'Zoopl Count'!P150*(2^P$9)/P$8)</f>
        <v/>
      </c>
    </row>
    <row r="151" spans="1:16" s="75" customFormat="1" ht="15" hidden="1" customHeight="1">
      <c r="A151" s="138"/>
      <c r="B151" s="138"/>
      <c r="C151" s="135"/>
      <c r="F151" s="137" t="s">
        <v>159</v>
      </c>
      <c r="G151" s="205" t="str">
        <f>IF('Zoopl Count'!G151="","",'Zoopl Count'!G151*(2^G$9)/G$8)</f>
        <v/>
      </c>
      <c r="H151" s="205" t="str">
        <f>IF('Zoopl Count'!H151="","",'Zoopl Count'!H151*(2^H$9)/H$8)</f>
        <v/>
      </c>
      <c r="I151" s="205" t="str">
        <f>IF('Zoopl Count'!I151="","",'Zoopl Count'!I151*(2^I$9)/I$8)</f>
        <v/>
      </c>
      <c r="J151" s="205" t="str">
        <f>IF('Zoopl Count'!J151="","",'Zoopl Count'!J151*(2^J$9)/J$8)</f>
        <v/>
      </c>
      <c r="K151" s="205" t="str">
        <f>IF('Zoopl Count'!K151="","",'Zoopl Count'!K151*(2^K$9)/K$8)</f>
        <v/>
      </c>
      <c r="L151" s="205" t="str">
        <f>IF('Zoopl Count'!L151="","",'Zoopl Count'!L151*(2^L$9)/L$8)</f>
        <v/>
      </c>
      <c r="M151" s="205" t="str">
        <f>IF('Zoopl Count'!M151="","",'Zoopl Count'!M151*(2^M$9)/M$8)</f>
        <v/>
      </c>
      <c r="N151" s="205" t="str">
        <f>IF('Zoopl Count'!N151="","",'Zoopl Count'!N151*(2^N$9)/N$8)</f>
        <v/>
      </c>
      <c r="O151" s="205" t="str">
        <f>IF('Zoopl Count'!O151="","",'Zoopl Count'!O151*(2^O$9)/O$8)</f>
        <v/>
      </c>
      <c r="P151" s="205" t="str">
        <f>IF('Zoopl Count'!P151="","",'Zoopl Count'!P151*(2^P$9)/P$8)</f>
        <v/>
      </c>
    </row>
    <row r="152" spans="1:16" s="75" customFormat="1" ht="15" hidden="1" customHeight="1">
      <c r="A152" s="138"/>
      <c r="B152" s="138"/>
      <c r="C152" s="135"/>
      <c r="F152" s="137" t="s">
        <v>156</v>
      </c>
      <c r="G152" s="205" t="str">
        <f>IF('Zoopl Count'!G152="","",'Zoopl Count'!G152*(2^G$9)/G$8)</f>
        <v/>
      </c>
      <c r="H152" s="205" t="str">
        <f>IF('Zoopl Count'!H152="","",'Zoopl Count'!H152*(2^H$9)/H$8)</f>
        <v/>
      </c>
      <c r="I152" s="205" t="str">
        <f>IF('Zoopl Count'!I152="","",'Zoopl Count'!I152*(2^I$9)/I$8)</f>
        <v/>
      </c>
      <c r="J152" s="205" t="str">
        <f>IF('Zoopl Count'!J152="","",'Zoopl Count'!J152*(2^J$9)/J$8)</f>
        <v/>
      </c>
      <c r="K152" s="205" t="str">
        <f>IF('Zoopl Count'!K152="","",'Zoopl Count'!K152*(2^K$9)/K$8)</f>
        <v/>
      </c>
      <c r="L152" s="205" t="str">
        <f>IF('Zoopl Count'!L152="","",'Zoopl Count'!L152*(2^L$9)/L$8)</f>
        <v/>
      </c>
      <c r="M152" s="205" t="str">
        <f>IF('Zoopl Count'!M152="","",'Zoopl Count'!M152*(2^M$9)/M$8)</f>
        <v/>
      </c>
      <c r="N152" s="205" t="str">
        <f>IF('Zoopl Count'!N152="","",'Zoopl Count'!N152*(2^N$9)/N$8)</f>
        <v/>
      </c>
      <c r="O152" s="205" t="str">
        <f>IF('Zoopl Count'!O152="","",'Zoopl Count'!O152*(2^O$9)/O$8)</f>
        <v/>
      </c>
      <c r="P152" s="205" t="str">
        <f>IF('Zoopl Count'!P152="","",'Zoopl Count'!P152*(2^P$9)/P$8)</f>
        <v/>
      </c>
    </row>
    <row r="153" spans="1:16" s="75" customFormat="1" ht="15" hidden="1" customHeight="1">
      <c r="A153" s="138"/>
      <c r="B153" s="138"/>
      <c r="C153" s="135"/>
      <c r="F153" s="137"/>
      <c r="G153" s="205" t="str">
        <f>IF('Zoopl Count'!G153="","",'Zoopl Count'!G153*(2^G$9)/G$8)</f>
        <v/>
      </c>
      <c r="H153" s="205" t="str">
        <f>IF('Zoopl Count'!H153="","",'Zoopl Count'!H153*(2^H$9)/H$8)</f>
        <v/>
      </c>
      <c r="I153" s="205" t="str">
        <f>IF('Zoopl Count'!I153="","",'Zoopl Count'!I153*(2^I$9)/I$8)</f>
        <v/>
      </c>
      <c r="J153" s="205" t="str">
        <f>IF('Zoopl Count'!J153="","",'Zoopl Count'!J153*(2^J$9)/J$8)</f>
        <v/>
      </c>
      <c r="K153" s="205" t="str">
        <f>IF('Zoopl Count'!K153="","",'Zoopl Count'!K153*(2^K$9)/K$8)</f>
        <v/>
      </c>
      <c r="L153" s="205" t="str">
        <f>IF('Zoopl Count'!L153="","",'Zoopl Count'!L153*(2^L$9)/L$8)</f>
        <v/>
      </c>
      <c r="M153" s="205" t="str">
        <f>IF('Zoopl Count'!M153="","",'Zoopl Count'!M153*(2^M$9)/M$8)</f>
        <v/>
      </c>
      <c r="N153" s="205" t="str">
        <f>IF('Zoopl Count'!N153="","",'Zoopl Count'!N153*(2^N$9)/N$8)</f>
        <v/>
      </c>
      <c r="O153" s="205" t="str">
        <f>IF('Zoopl Count'!O153="","",'Zoopl Count'!O153*(2^O$9)/O$8)</f>
        <v/>
      </c>
      <c r="P153" s="205" t="str">
        <f>IF('Zoopl Count'!P153="","",'Zoopl Count'!P153*(2^P$9)/P$8)</f>
        <v/>
      </c>
    </row>
    <row r="154" spans="1:16" s="75" customFormat="1">
      <c r="A154" s="135"/>
      <c r="B154" s="135"/>
      <c r="C154" s="134" t="s">
        <v>10</v>
      </c>
      <c r="D154" s="135" t="s">
        <v>11</v>
      </c>
      <c r="E154" s="135"/>
      <c r="F154" s="136"/>
      <c r="G154" s="205" t="str">
        <f>IF('Zoopl Count'!G154="","",'Zoopl Count'!G154*(2^G$9)/G$8)</f>
        <v/>
      </c>
      <c r="H154" s="205" t="str">
        <f>IF('Zoopl Count'!H154="","",'Zoopl Count'!H154*(2^H$9)/H$8)</f>
        <v/>
      </c>
      <c r="I154" s="205" t="str">
        <f>IF('Zoopl Count'!I154="","",'Zoopl Count'!I154*(2^I$9)/I$8)</f>
        <v/>
      </c>
      <c r="J154" s="205" t="str">
        <f>IF('Zoopl Count'!J154="","",'Zoopl Count'!J154*(2^J$9)/J$8)</f>
        <v/>
      </c>
      <c r="K154" s="205" t="str">
        <f>IF('Zoopl Count'!K154="","",'Zoopl Count'!K154*(2^K$9)/K$8)</f>
        <v/>
      </c>
      <c r="L154" s="205" t="str">
        <f>IF('Zoopl Count'!L154="","",'Zoopl Count'!L154*(2^L$9)/L$8)</f>
        <v/>
      </c>
      <c r="M154" s="205" t="str">
        <f>IF('Zoopl Count'!M154="","",'Zoopl Count'!M154*(2^M$9)/M$8)</f>
        <v/>
      </c>
      <c r="N154" s="205" t="str">
        <f>IF('Zoopl Count'!N154="","",'Zoopl Count'!N154*(2^N$9)/N$8)</f>
        <v/>
      </c>
      <c r="O154" s="205" t="str">
        <f>IF('Zoopl Count'!O154="","",'Zoopl Count'!O154*(2^O$9)/O$8)</f>
        <v/>
      </c>
      <c r="P154" s="205" t="str">
        <f>IF('Zoopl Count'!P154="","",'Zoopl Count'!P154*(2^P$9)/P$8)</f>
        <v/>
      </c>
    </row>
    <row r="155" spans="1:16" s="75" customFormat="1" ht="15" hidden="1" customHeight="1">
      <c r="C155" s="138"/>
      <c r="D155" s="135"/>
      <c r="F155" s="137" t="s">
        <v>157</v>
      </c>
      <c r="G155" s="205" t="str">
        <f>IF('Zoopl Count'!G155="","",'Zoopl Count'!G155*(2^G$9)/G$8)</f>
        <v/>
      </c>
      <c r="H155" s="205" t="str">
        <f>IF('Zoopl Count'!H155="","",'Zoopl Count'!H155*(2^H$9)/H$8)</f>
        <v/>
      </c>
      <c r="I155" s="205" t="str">
        <f>IF('Zoopl Count'!I155="","",'Zoopl Count'!I155*(2^I$9)/I$8)</f>
        <v/>
      </c>
      <c r="J155" s="205" t="str">
        <f>IF('Zoopl Count'!J155="","",'Zoopl Count'!J155*(2^J$9)/J$8)</f>
        <v/>
      </c>
      <c r="K155" s="205" t="str">
        <f>IF('Zoopl Count'!K155="","",'Zoopl Count'!K155*(2^K$9)/K$8)</f>
        <v/>
      </c>
      <c r="L155" s="205" t="str">
        <f>IF('Zoopl Count'!L155="","",'Zoopl Count'!L155*(2^L$9)/L$8)</f>
        <v/>
      </c>
      <c r="M155" s="205" t="str">
        <f>IF('Zoopl Count'!M155="","",'Zoopl Count'!M155*(2^M$9)/M$8)</f>
        <v/>
      </c>
      <c r="N155" s="205" t="str">
        <f>IF('Zoopl Count'!N155="","",'Zoopl Count'!N155*(2^N$9)/N$8)</f>
        <v/>
      </c>
      <c r="O155" s="205" t="str">
        <f>IF('Zoopl Count'!O155="","",'Zoopl Count'!O155*(2^O$9)/O$8)</f>
        <v/>
      </c>
      <c r="P155" s="205" t="str">
        <f>IF('Zoopl Count'!P155="","",'Zoopl Count'!P155*(2^P$9)/P$8)</f>
        <v/>
      </c>
    </row>
    <row r="156" spans="1:16" s="75" customFormat="1" ht="15" hidden="1" customHeight="1">
      <c r="C156" s="138"/>
      <c r="D156" s="135"/>
      <c r="F156" s="144" t="s">
        <v>104</v>
      </c>
      <c r="G156" s="205" t="str">
        <f>IF('Zoopl Count'!G156="","",'Zoopl Count'!G156*(2^G$9)/G$8)</f>
        <v/>
      </c>
      <c r="H156" s="205" t="str">
        <f>IF('Zoopl Count'!H156="","",'Zoopl Count'!H156*(2^H$9)/H$8)</f>
        <v/>
      </c>
      <c r="I156" s="205" t="str">
        <f>IF('Zoopl Count'!I156="","",'Zoopl Count'!I156*(2^I$9)/I$8)</f>
        <v/>
      </c>
      <c r="J156" s="205" t="str">
        <f>IF('Zoopl Count'!J156="","",'Zoopl Count'!J156*(2^J$9)/J$8)</f>
        <v/>
      </c>
      <c r="K156" s="205" t="str">
        <f>IF('Zoopl Count'!K156="","",'Zoopl Count'!K156*(2^K$9)/K$8)</f>
        <v/>
      </c>
      <c r="L156" s="205" t="str">
        <f>IF('Zoopl Count'!L156="","",'Zoopl Count'!L156*(2^L$9)/L$8)</f>
        <v/>
      </c>
      <c r="M156" s="205" t="str">
        <f>IF('Zoopl Count'!M156="","",'Zoopl Count'!M156*(2^M$9)/M$8)</f>
        <v/>
      </c>
      <c r="N156" s="205" t="str">
        <f>IF('Zoopl Count'!N156="","",'Zoopl Count'!N156*(2^N$9)/N$8)</f>
        <v/>
      </c>
      <c r="O156" s="205" t="str">
        <f>IF('Zoopl Count'!O156="","",'Zoopl Count'!O156*(2^O$9)/O$8)</f>
        <v/>
      </c>
      <c r="P156" s="205" t="str">
        <f>IF('Zoopl Count'!P156="","",'Zoopl Count'!P156*(2^P$9)/P$8)</f>
        <v/>
      </c>
    </row>
    <row r="157" spans="1:16" s="75" customFormat="1">
      <c r="D157" s="138" t="s">
        <v>12</v>
      </c>
      <c r="E157" s="75" t="s">
        <v>13</v>
      </c>
      <c r="F157" s="137"/>
      <c r="G157" s="205" t="str">
        <f>IF('Zoopl Count'!G157="","",'Zoopl Count'!G157*(2^G$9)/G$8)</f>
        <v/>
      </c>
      <c r="H157" s="205" t="str">
        <f>IF('Zoopl Count'!H157="","",'Zoopl Count'!H157*(2^H$9)/H$8)</f>
        <v/>
      </c>
      <c r="I157" s="205" t="str">
        <f>IF('Zoopl Count'!I157="","",'Zoopl Count'!I157*(2^I$9)/I$8)</f>
        <v/>
      </c>
      <c r="J157" s="205" t="str">
        <f>IF('Zoopl Count'!J157="","",'Zoopl Count'!J157*(2^J$9)/J$8)</f>
        <v/>
      </c>
      <c r="K157" s="205" t="str">
        <f>IF('Zoopl Count'!K157="","",'Zoopl Count'!K157*(2^K$9)/K$8)</f>
        <v/>
      </c>
      <c r="L157" s="205" t="str">
        <f>IF('Zoopl Count'!L157="","",'Zoopl Count'!L157*(2^L$9)/L$8)</f>
        <v/>
      </c>
      <c r="M157" s="205" t="str">
        <f>IF('Zoopl Count'!M157="","",'Zoopl Count'!M157*(2^M$9)/M$8)</f>
        <v/>
      </c>
      <c r="N157" s="205" t="str">
        <f>IF('Zoopl Count'!N157="","",'Zoopl Count'!N157*(2^N$9)/N$8)</f>
        <v/>
      </c>
      <c r="O157" s="205" t="str">
        <f>IF('Zoopl Count'!O157="","",'Zoopl Count'!O157*(2^O$9)/O$8)</f>
        <v/>
      </c>
      <c r="P157" s="205" t="str">
        <f>IF('Zoopl Count'!P157="","",'Zoopl Count'!P157*(2^P$9)/P$8)</f>
        <v/>
      </c>
    </row>
    <row r="158" spans="1:16" s="75" customFormat="1">
      <c r="E158" s="138" t="s">
        <v>14</v>
      </c>
      <c r="F158" s="139" t="s">
        <v>15</v>
      </c>
      <c r="G158" s="205">
        <f>IF('Zoopl Count'!G158="","",'Zoopl Count'!G158*(2^G$9)/G$8)</f>
        <v>11.082276997374857</v>
      </c>
      <c r="H158" s="205">
        <f>IF('Zoopl Count'!H158="","",'Zoopl Count'!H158*(2^H$9)/H$8)</f>
        <v>5.3455689046161075</v>
      </c>
      <c r="I158" s="205">
        <f>IF('Zoopl Count'!I158="","",'Zoopl Count'!I158*(2^I$9)/I$8)</f>
        <v>1.95569594071321</v>
      </c>
      <c r="J158" s="205">
        <f>IF('Zoopl Count'!J158="","",'Zoopl Count'!J158*(2^J$9)/J$8)</f>
        <v>6.7797459278057941</v>
      </c>
      <c r="K158" s="205">
        <f>IF('Zoopl Count'!K158="","",'Zoopl Count'!K158*(2^K$9)/K$8)</f>
        <v>7.5620243040910786</v>
      </c>
      <c r="L158" s="205">
        <f>IF('Zoopl Count'!L158="","",'Zoopl Count'!L158*(2^L$9)/L$8)</f>
        <v>26.597464793699654</v>
      </c>
      <c r="M158" s="205">
        <f>IF('Zoopl Count'!M158="","",'Zoopl Count'!M158*(2^M$9)/M$8)</f>
        <v>15.906326984467441</v>
      </c>
      <c r="N158" s="205">
        <f>IF('Zoopl Count'!N158="","",'Zoopl Count'!N158*(2^N$9)/N$8)</f>
        <v>6.1930371455918314</v>
      </c>
      <c r="O158" s="205">
        <f>IF('Zoopl Count'!O158="","",'Zoopl Count'!O158*(2^O$9)/O$8)</f>
        <v>83.44302680376363</v>
      </c>
      <c r="P158" s="205">
        <f>IF('Zoopl Count'!P158="","",'Zoopl Count'!P158*(2^P$9)/P$8)</f>
        <v>10.03923916232781</v>
      </c>
    </row>
    <row r="159" spans="1:16" s="75" customFormat="1" hidden="1">
      <c r="D159" s="138" t="s">
        <v>12</v>
      </c>
      <c r="E159" s="236" t="s">
        <v>342</v>
      </c>
      <c r="F159" s="137"/>
      <c r="G159" s="205" t="str">
        <f>IF('Zoopl Count'!G159="","",'Zoopl Count'!G159*(2^G$9)/G$8)</f>
        <v/>
      </c>
      <c r="H159" s="205" t="str">
        <f>IF('Zoopl Count'!H159="","",'Zoopl Count'!H159*(2^H$9)/H$8)</f>
        <v/>
      </c>
      <c r="I159" s="205" t="str">
        <f>IF('Zoopl Count'!I159="","",'Zoopl Count'!I159*(2^I$9)/I$8)</f>
        <v/>
      </c>
      <c r="J159" s="205" t="str">
        <f>IF('Zoopl Count'!J159="","",'Zoopl Count'!J159*(2^J$9)/J$8)</f>
        <v/>
      </c>
      <c r="K159" s="205" t="str">
        <f>IF('Zoopl Count'!K159="","",'Zoopl Count'!K159*(2^K$9)/K$8)</f>
        <v/>
      </c>
      <c r="L159" s="205" t="str">
        <f>IF('Zoopl Count'!L159="","",'Zoopl Count'!L159*(2^L$9)/L$8)</f>
        <v/>
      </c>
      <c r="M159" s="205" t="str">
        <f>IF('Zoopl Count'!M159="","",'Zoopl Count'!M159*(2^M$9)/M$8)</f>
        <v/>
      </c>
      <c r="N159" s="205" t="str">
        <f>IF('Zoopl Count'!N159="","",'Zoopl Count'!N159*(2^N$9)/N$8)</f>
        <v/>
      </c>
      <c r="O159" s="205" t="str">
        <f>IF('Zoopl Count'!O159="","",'Zoopl Count'!O159*(2^O$9)/O$8)</f>
        <v/>
      </c>
      <c r="P159" s="205" t="str">
        <f>IF('Zoopl Count'!P159="","",'Zoopl Count'!P159*(2^P$9)/P$8)</f>
        <v/>
      </c>
    </row>
    <row r="160" spans="1:16" s="75" customFormat="1" hidden="1">
      <c r="E160" s="138" t="s">
        <v>14</v>
      </c>
      <c r="F160" s="139" t="s">
        <v>343</v>
      </c>
      <c r="G160" s="205" t="str">
        <f>IF('Zoopl Count'!G160="","",'Zoopl Count'!G160*(2^G$9)/G$8)</f>
        <v/>
      </c>
      <c r="H160" s="205" t="str">
        <f>IF('Zoopl Count'!H160="","",'Zoopl Count'!H160*(2^H$9)/H$8)</f>
        <v/>
      </c>
      <c r="I160" s="205" t="str">
        <f>IF('Zoopl Count'!I160="","",'Zoopl Count'!I160*(2^I$9)/I$8)</f>
        <v/>
      </c>
      <c r="J160" s="205" t="str">
        <f>IF('Zoopl Count'!J160="","",'Zoopl Count'!J160*(2^J$9)/J$8)</f>
        <v/>
      </c>
      <c r="K160" s="205" t="str">
        <f>IF('Zoopl Count'!K160="","",'Zoopl Count'!K160*(2^K$9)/K$8)</f>
        <v/>
      </c>
      <c r="L160" s="205" t="str">
        <f>IF('Zoopl Count'!L160="","",'Zoopl Count'!L160*(2^L$9)/L$8)</f>
        <v/>
      </c>
      <c r="M160" s="205" t="str">
        <f>IF('Zoopl Count'!M160="","",'Zoopl Count'!M160*(2^M$9)/M$8)</f>
        <v/>
      </c>
      <c r="N160" s="205" t="str">
        <f>IF('Zoopl Count'!N160="","",'Zoopl Count'!N160*(2^N$9)/N$8)</f>
        <v/>
      </c>
      <c r="O160" s="205" t="str">
        <f>IF('Zoopl Count'!O160="","",'Zoopl Count'!O160*(2^O$9)/O$8)</f>
        <v/>
      </c>
      <c r="P160" s="205" t="str">
        <f>IF('Zoopl Count'!P160="","",'Zoopl Count'!P160*(2^P$9)/P$8)</f>
        <v/>
      </c>
    </row>
    <row r="161" spans="1:16" s="75" customFormat="1" hidden="1">
      <c r="D161" s="138" t="s">
        <v>12</v>
      </c>
      <c r="E161" s="142" t="s">
        <v>180</v>
      </c>
      <c r="F161" s="139"/>
      <c r="G161" s="205" t="str">
        <f>IF('Zoopl Count'!G161="","",'Zoopl Count'!G161*(2^G$9)/G$8)</f>
        <v/>
      </c>
      <c r="H161" s="205" t="str">
        <f>IF('Zoopl Count'!H161="","",'Zoopl Count'!H161*(2^H$9)/H$8)</f>
        <v/>
      </c>
      <c r="I161" s="205" t="str">
        <f>IF('Zoopl Count'!I161="","",'Zoopl Count'!I161*(2^I$9)/I$8)</f>
        <v/>
      </c>
      <c r="J161" s="205" t="str">
        <f>IF('Zoopl Count'!J161="","",'Zoopl Count'!J161*(2^J$9)/J$8)</f>
        <v/>
      </c>
      <c r="K161" s="205" t="str">
        <f>IF('Zoopl Count'!K161="","",'Zoopl Count'!K161*(2^K$9)/K$8)</f>
        <v/>
      </c>
      <c r="L161" s="205" t="str">
        <f>IF('Zoopl Count'!L161="","",'Zoopl Count'!L161*(2^L$9)/L$8)</f>
        <v/>
      </c>
      <c r="M161" s="205" t="str">
        <f>IF('Zoopl Count'!M161="","",'Zoopl Count'!M161*(2^M$9)/M$8)</f>
        <v/>
      </c>
      <c r="N161" s="205" t="str">
        <f>IF('Zoopl Count'!N161="","",'Zoopl Count'!N161*(2^N$9)/N$8)</f>
        <v/>
      </c>
      <c r="O161" s="205" t="str">
        <f>IF('Zoopl Count'!O161="","",'Zoopl Count'!O161*(2^O$9)/O$8)</f>
        <v/>
      </c>
      <c r="P161" s="205" t="str">
        <f>IF('Zoopl Count'!P161="","",'Zoopl Count'!P161*(2^P$9)/P$8)</f>
        <v/>
      </c>
    </row>
    <row r="162" spans="1:16" s="75" customFormat="1" hidden="1">
      <c r="E162" s="138" t="s">
        <v>14</v>
      </c>
      <c r="F162" s="139" t="s">
        <v>181</v>
      </c>
      <c r="G162" s="205" t="str">
        <f>IF('Zoopl Count'!G162="","",'Zoopl Count'!G162*(2^G$9)/G$8)</f>
        <v/>
      </c>
      <c r="H162" s="205" t="str">
        <f>IF('Zoopl Count'!H162="","",'Zoopl Count'!H162*(2^H$9)/H$8)</f>
        <v/>
      </c>
      <c r="I162" s="205" t="str">
        <f>IF('Zoopl Count'!I162="","",'Zoopl Count'!I162*(2^I$9)/I$8)</f>
        <v/>
      </c>
      <c r="J162" s="205" t="str">
        <f>IF('Zoopl Count'!J162="","",'Zoopl Count'!J162*(2^J$9)/J$8)</f>
        <v/>
      </c>
      <c r="K162" s="205" t="str">
        <f>IF('Zoopl Count'!K162="","",'Zoopl Count'!K162*(2^K$9)/K$8)</f>
        <v/>
      </c>
      <c r="L162" s="205" t="str">
        <f>IF('Zoopl Count'!L162="","",'Zoopl Count'!L162*(2^L$9)/L$8)</f>
        <v/>
      </c>
      <c r="M162" s="205" t="str">
        <f>IF('Zoopl Count'!M162="","",'Zoopl Count'!M162*(2^M$9)/M$8)</f>
        <v/>
      </c>
      <c r="N162" s="205" t="str">
        <f>IF('Zoopl Count'!N162="","",'Zoopl Count'!N162*(2^N$9)/N$8)</f>
        <v/>
      </c>
      <c r="O162" s="205" t="str">
        <f>IF('Zoopl Count'!O162="","",'Zoopl Count'!O162*(2^O$9)/O$8)</f>
        <v/>
      </c>
      <c r="P162" s="205" t="str">
        <f>IF('Zoopl Count'!P162="","",'Zoopl Count'!P162*(2^P$9)/P$8)</f>
        <v/>
      </c>
    </row>
    <row r="163" spans="1:16" s="75" customFormat="1">
      <c r="D163" s="138" t="s">
        <v>12</v>
      </c>
      <c r="E163" s="265" t="s">
        <v>421</v>
      </c>
      <c r="F163" s="139"/>
      <c r="G163" s="205" t="str">
        <f>IF('Zoopl Count'!G163="","",'Zoopl Count'!G163*(2^G$9)/G$8)</f>
        <v/>
      </c>
      <c r="H163" s="205" t="str">
        <f>IF('Zoopl Count'!H163="","",'Zoopl Count'!H163*(2^H$9)/H$8)</f>
        <v/>
      </c>
      <c r="I163" s="205" t="str">
        <f>IF('Zoopl Count'!I163="","",'Zoopl Count'!I163*(2^I$9)/I$8)</f>
        <v/>
      </c>
      <c r="J163" s="205" t="str">
        <f>IF('Zoopl Count'!J163="","",'Zoopl Count'!J163*(2^J$9)/J$8)</f>
        <v/>
      </c>
      <c r="K163" s="205" t="str">
        <f>IF('Zoopl Count'!K163="","",'Zoopl Count'!K163*(2^K$9)/K$8)</f>
        <v/>
      </c>
      <c r="L163" s="205" t="str">
        <f>IF('Zoopl Count'!L163="","",'Zoopl Count'!L163*(2^L$9)/L$8)</f>
        <v/>
      </c>
      <c r="M163" s="205" t="str">
        <f>IF('Zoopl Count'!M163="","",'Zoopl Count'!M163*(2^M$9)/M$8)</f>
        <v/>
      </c>
      <c r="N163" s="205" t="str">
        <f>IF('Zoopl Count'!N163="","",'Zoopl Count'!N163*(2^N$9)/N$8)</f>
        <v/>
      </c>
      <c r="O163" s="205" t="str">
        <f>IF('Zoopl Count'!O163="","",'Zoopl Count'!O163*(2^O$9)/O$8)</f>
        <v/>
      </c>
      <c r="P163" s="205" t="str">
        <f>IF('Zoopl Count'!P163="","",'Zoopl Count'!P163*(2^P$9)/P$8)</f>
        <v/>
      </c>
    </row>
    <row r="164" spans="1:16" s="75" customFormat="1">
      <c r="E164" s="138" t="s">
        <v>14</v>
      </c>
      <c r="F164" s="139" t="s">
        <v>422</v>
      </c>
      <c r="G164" s="205" t="str">
        <f>IF('Zoopl Count'!G164="","",'Zoopl Count'!G164*(2^G$9)/G$8)</f>
        <v/>
      </c>
      <c r="H164" s="205" t="str">
        <f>IF('Zoopl Count'!H164="","",'Zoopl Count'!H164*(2^H$9)/H$8)</f>
        <v/>
      </c>
      <c r="I164" s="205" t="str">
        <f>IF('Zoopl Count'!I164="","",'Zoopl Count'!I164*(2^I$9)/I$8)</f>
        <v/>
      </c>
      <c r="J164" s="205" t="str">
        <f>IF('Zoopl Count'!J164="","",'Zoopl Count'!J164*(2^J$9)/J$8)</f>
        <v/>
      </c>
      <c r="K164" s="205" t="str">
        <f>IF('Zoopl Count'!K164="","",'Zoopl Count'!K164*(2^K$9)/K$8)</f>
        <v/>
      </c>
      <c r="L164" s="205" t="str">
        <f>IF('Zoopl Count'!L164="","",'Zoopl Count'!L164*(2^L$9)/L$8)</f>
        <v/>
      </c>
      <c r="M164" s="205">
        <f>IF('Zoopl Count'!M164="","",'Zoopl Count'!M164*(2^M$9)/M$8)</f>
        <v>1.1734175644279259</v>
      </c>
      <c r="N164" s="205" t="str">
        <f>IF('Zoopl Count'!N164="","",'Zoopl Count'!N164*(2^N$9)/N$8)</f>
        <v/>
      </c>
      <c r="O164" s="205" t="str">
        <f>IF('Zoopl Count'!O164="","",'Zoopl Count'!O164*(2^O$9)/O$8)</f>
        <v/>
      </c>
      <c r="P164" s="205" t="str">
        <f>IF('Zoopl Count'!P164="","",'Zoopl Count'!P164*(2^P$9)/P$8)</f>
        <v/>
      </c>
    </row>
    <row r="165" spans="1:16" s="75" customFormat="1" hidden="1">
      <c r="A165" s="209"/>
      <c r="B165" s="209"/>
      <c r="C165" s="209"/>
      <c r="D165" s="210" t="s">
        <v>12</v>
      </c>
      <c r="E165" s="209" t="s">
        <v>16</v>
      </c>
      <c r="F165" s="229"/>
      <c r="G165" s="205" t="str">
        <f>IF('Zoopl Count'!G165="","",'Zoopl Count'!G165*(2^G$9)/G$8)</f>
        <v/>
      </c>
      <c r="H165" s="205" t="str">
        <f>IF('Zoopl Count'!H165="","",'Zoopl Count'!H165*(2^H$9)/H$8)</f>
        <v/>
      </c>
      <c r="I165" s="205" t="str">
        <f>IF('Zoopl Count'!I165="","",'Zoopl Count'!I165*(2^I$9)/I$8)</f>
        <v/>
      </c>
      <c r="J165" s="205" t="str">
        <f>IF('Zoopl Count'!J165="","",'Zoopl Count'!J165*(2^J$9)/J$8)</f>
        <v/>
      </c>
      <c r="K165" s="205" t="str">
        <f>IF('Zoopl Count'!K165="","",'Zoopl Count'!K165*(2^K$9)/K$8)</f>
        <v/>
      </c>
      <c r="L165" s="205" t="str">
        <f>IF('Zoopl Count'!L165="","",'Zoopl Count'!L165*(2^L$9)/L$8)</f>
        <v/>
      </c>
      <c r="M165" s="205" t="str">
        <f>IF('Zoopl Count'!M165="","",'Zoopl Count'!M165*(2^M$9)/M$8)</f>
        <v/>
      </c>
      <c r="N165" s="205" t="str">
        <f>IF('Zoopl Count'!N165="","",'Zoopl Count'!N165*(2^N$9)/N$8)</f>
        <v/>
      </c>
      <c r="O165" s="205" t="str">
        <f>IF('Zoopl Count'!O165="","",'Zoopl Count'!O165*(2^O$9)/O$8)</f>
        <v/>
      </c>
      <c r="P165" s="205" t="str">
        <f>IF('Zoopl Count'!P165="","",'Zoopl Count'!P165*(2^P$9)/P$8)</f>
        <v/>
      </c>
    </row>
    <row r="166" spans="1:16" s="75" customFormat="1" hidden="1">
      <c r="A166" s="209"/>
      <c r="B166" s="209"/>
      <c r="C166" s="209"/>
      <c r="D166" s="209"/>
      <c r="E166" s="210" t="s">
        <v>14</v>
      </c>
      <c r="F166" s="10" t="s">
        <v>19</v>
      </c>
      <c r="G166" s="205" t="str">
        <f>IF('Zoopl Count'!G166="","",'Zoopl Count'!G166*(2^G$9)/G$8)</f>
        <v/>
      </c>
      <c r="H166" s="205" t="str">
        <f>IF('Zoopl Count'!H166="","",'Zoopl Count'!H166*(2^H$9)/H$8)</f>
        <v/>
      </c>
      <c r="I166" s="205" t="str">
        <f>IF('Zoopl Count'!I166="","",'Zoopl Count'!I166*(2^I$9)/I$8)</f>
        <v/>
      </c>
      <c r="J166" s="205" t="str">
        <f>IF('Zoopl Count'!J166="","",'Zoopl Count'!J166*(2^J$9)/J$8)</f>
        <v/>
      </c>
      <c r="K166" s="205" t="str">
        <f>IF('Zoopl Count'!K166="","",'Zoopl Count'!K166*(2^K$9)/K$8)</f>
        <v/>
      </c>
      <c r="L166" s="205" t="str">
        <f>IF('Zoopl Count'!L166="","",'Zoopl Count'!L166*(2^L$9)/L$8)</f>
        <v/>
      </c>
      <c r="M166" s="205" t="str">
        <f>IF('Zoopl Count'!M166="","",'Zoopl Count'!M166*(2^M$9)/M$8)</f>
        <v/>
      </c>
      <c r="N166" s="205" t="str">
        <f>IF('Zoopl Count'!N166="","",'Zoopl Count'!N166*(2^N$9)/N$8)</f>
        <v/>
      </c>
      <c r="O166" s="205" t="str">
        <f>IF('Zoopl Count'!O166="","",'Zoopl Count'!O166*(2^O$9)/O$8)</f>
        <v/>
      </c>
      <c r="P166" s="205" t="str">
        <f>IF('Zoopl Count'!P166="","",'Zoopl Count'!P166*(2^P$9)/P$8)</f>
        <v/>
      </c>
    </row>
    <row r="167" spans="1:16" s="75" customFormat="1" ht="15" hidden="1" customHeight="1">
      <c r="A167" s="209"/>
      <c r="B167" s="209"/>
      <c r="C167" s="209"/>
      <c r="D167" s="209"/>
      <c r="E167" s="210"/>
      <c r="F167" s="10" t="s">
        <v>17</v>
      </c>
      <c r="G167" s="205" t="str">
        <f>IF('Zoopl Count'!G167="","",'Zoopl Count'!G167*(2^G$9)/G$8)</f>
        <v/>
      </c>
      <c r="H167" s="205" t="str">
        <f>IF('Zoopl Count'!H167="","",'Zoopl Count'!H167*(2^H$9)/H$8)</f>
        <v/>
      </c>
      <c r="I167" s="205" t="str">
        <f>IF('Zoopl Count'!I167="","",'Zoopl Count'!I167*(2^I$9)/I$8)</f>
        <v/>
      </c>
      <c r="J167" s="205" t="str">
        <f>IF('Zoopl Count'!J167="","",'Zoopl Count'!J167*(2^J$9)/J$8)</f>
        <v/>
      </c>
      <c r="K167" s="205" t="str">
        <f>IF('Zoopl Count'!K167="","",'Zoopl Count'!K167*(2^K$9)/K$8)</f>
        <v/>
      </c>
      <c r="L167" s="205" t="str">
        <f>IF('Zoopl Count'!L167="","",'Zoopl Count'!L167*(2^L$9)/L$8)</f>
        <v/>
      </c>
      <c r="M167" s="205" t="str">
        <f>IF('Zoopl Count'!M167="","",'Zoopl Count'!M167*(2^M$9)/M$8)</f>
        <v/>
      </c>
      <c r="N167" s="205" t="str">
        <f>IF('Zoopl Count'!N167="","",'Zoopl Count'!N167*(2^N$9)/N$8)</f>
        <v/>
      </c>
      <c r="O167" s="205" t="str">
        <f>IF('Zoopl Count'!O167="","",'Zoopl Count'!O167*(2^O$9)/O$8)</f>
        <v/>
      </c>
      <c r="P167" s="205" t="str">
        <f>IF('Zoopl Count'!P167="","",'Zoopl Count'!P167*(2^P$9)/P$8)</f>
        <v/>
      </c>
    </row>
    <row r="168" spans="1:16" s="75" customFormat="1" hidden="1">
      <c r="E168" s="138"/>
      <c r="F168" s="139" t="s">
        <v>18</v>
      </c>
      <c r="G168" s="205" t="str">
        <f>IF('Zoopl Count'!G168="","",'Zoopl Count'!G168*(2^G$9)/G$8)</f>
        <v/>
      </c>
      <c r="H168" s="205" t="str">
        <f>IF('Zoopl Count'!H168="","",'Zoopl Count'!H168*(2^H$9)/H$8)</f>
        <v/>
      </c>
      <c r="I168" s="205" t="str">
        <f>IF('Zoopl Count'!I168="","",'Zoopl Count'!I168*(2^I$9)/I$8)</f>
        <v/>
      </c>
      <c r="J168" s="205" t="str">
        <f>IF('Zoopl Count'!J168="","",'Zoopl Count'!J168*(2^J$9)/J$8)</f>
        <v/>
      </c>
      <c r="K168" s="205" t="str">
        <f>IF('Zoopl Count'!K168="","",'Zoopl Count'!K168*(2^K$9)/K$8)</f>
        <v/>
      </c>
      <c r="L168" s="205" t="str">
        <f>IF('Zoopl Count'!L168="","",'Zoopl Count'!L168*(2^L$9)/L$8)</f>
        <v/>
      </c>
      <c r="M168" s="205" t="str">
        <f>IF('Zoopl Count'!M168="","",'Zoopl Count'!M168*(2^M$9)/M$8)</f>
        <v/>
      </c>
      <c r="N168" s="205" t="str">
        <f>IF('Zoopl Count'!N168="","",'Zoopl Count'!N168*(2^N$9)/N$8)</f>
        <v/>
      </c>
      <c r="O168" s="205" t="str">
        <f>IF('Zoopl Count'!O168="","",'Zoopl Count'!O168*(2^O$9)/O$8)</f>
        <v/>
      </c>
      <c r="P168" s="205" t="str">
        <f>IF('Zoopl Count'!P168="","",'Zoopl Count'!P168*(2^P$9)/P$8)</f>
        <v/>
      </c>
    </row>
    <row r="169" spans="1:16" s="75" customFormat="1" hidden="1">
      <c r="F169" s="10" t="s">
        <v>302</v>
      </c>
      <c r="G169" s="205" t="str">
        <f>IF('Zoopl Count'!G169="","",'Zoopl Count'!G169*(2^G$9)/G$8)</f>
        <v/>
      </c>
      <c r="H169" s="205" t="str">
        <f>IF('Zoopl Count'!H169="","",'Zoopl Count'!H169*(2^H$9)/H$8)</f>
        <v/>
      </c>
      <c r="I169" s="205" t="str">
        <f>IF('Zoopl Count'!I169="","",'Zoopl Count'!I169*(2^I$9)/I$8)</f>
        <v/>
      </c>
      <c r="J169" s="205" t="str">
        <f>IF('Zoopl Count'!J169="","",'Zoopl Count'!J169*(2^J$9)/J$8)</f>
        <v/>
      </c>
      <c r="K169" s="205" t="str">
        <f>IF('Zoopl Count'!K169="","",'Zoopl Count'!K169*(2^K$9)/K$8)</f>
        <v/>
      </c>
      <c r="L169" s="205" t="str">
        <f>IF('Zoopl Count'!L169="","",'Zoopl Count'!L169*(2^L$9)/L$8)</f>
        <v/>
      </c>
      <c r="M169" s="205" t="str">
        <f>IF('Zoopl Count'!M169="","",'Zoopl Count'!M169*(2^M$9)/M$8)</f>
        <v/>
      </c>
      <c r="N169" s="205" t="str">
        <f>IF('Zoopl Count'!N169="","",'Zoopl Count'!N169*(2^N$9)/N$8)</f>
        <v/>
      </c>
      <c r="O169" s="205" t="str">
        <f>IF('Zoopl Count'!O169="","",'Zoopl Count'!O169*(2^O$9)/O$8)</f>
        <v/>
      </c>
      <c r="P169" s="205" t="str">
        <f>IF('Zoopl Count'!P169="","",'Zoopl Count'!P169*(2^P$9)/P$8)</f>
        <v/>
      </c>
    </row>
    <row r="170" spans="1:16" s="75" customFormat="1" ht="15" hidden="1" customHeight="1">
      <c r="F170" s="139" t="s">
        <v>169</v>
      </c>
      <c r="G170" s="205" t="str">
        <f>IF('Zoopl Count'!G170="","",'Zoopl Count'!G170*(2^G$9)/G$8)</f>
        <v/>
      </c>
      <c r="H170" s="205" t="str">
        <f>IF('Zoopl Count'!H170="","",'Zoopl Count'!H170*(2^H$9)/H$8)</f>
        <v/>
      </c>
      <c r="I170" s="205" t="str">
        <f>IF('Zoopl Count'!I170="","",'Zoopl Count'!I170*(2^I$9)/I$8)</f>
        <v/>
      </c>
      <c r="J170" s="205" t="str">
        <f>IF('Zoopl Count'!J170="","",'Zoopl Count'!J170*(2^J$9)/J$8)</f>
        <v/>
      </c>
      <c r="K170" s="205" t="str">
        <f>IF('Zoopl Count'!K170="","",'Zoopl Count'!K170*(2^K$9)/K$8)</f>
        <v/>
      </c>
      <c r="L170" s="205" t="str">
        <f>IF('Zoopl Count'!L170="","",'Zoopl Count'!L170*(2^L$9)/L$8)</f>
        <v/>
      </c>
      <c r="M170" s="205" t="str">
        <f>IF('Zoopl Count'!M170="","",'Zoopl Count'!M170*(2^M$9)/M$8)</f>
        <v/>
      </c>
      <c r="N170" s="205" t="str">
        <f>IF('Zoopl Count'!N170="","",'Zoopl Count'!N170*(2^N$9)/N$8)</f>
        <v/>
      </c>
      <c r="O170" s="205" t="str">
        <f>IF('Zoopl Count'!O170="","",'Zoopl Count'!O170*(2^O$9)/O$8)</f>
        <v/>
      </c>
      <c r="P170" s="205" t="str">
        <f>IF('Zoopl Count'!P170="","",'Zoopl Count'!P170*(2^P$9)/P$8)</f>
        <v/>
      </c>
    </row>
    <row r="171" spans="1:16" s="75" customFormat="1" hidden="1">
      <c r="E171" s="138"/>
      <c r="F171" s="139" t="s">
        <v>171</v>
      </c>
      <c r="G171" s="205" t="str">
        <f>IF('Zoopl Count'!G171="","",'Zoopl Count'!G171*(2^G$9)/G$8)</f>
        <v/>
      </c>
      <c r="H171" s="205" t="str">
        <f>IF('Zoopl Count'!H171="","",'Zoopl Count'!H171*(2^H$9)/H$8)</f>
        <v/>
      </c>
      <c r="I171" s="205" t="str">
        <f>IF('Zoopl Count'!I171="","",'Zoopl Count'!I171*(2^I$9)/I$8)</f>
        <v/>
      </c>
      <c r="J171" s="205" t="str">
        <f>IF('Zoopl Count'!J171="","",'Zoopl Count'!J171*(2^J$9)/J$8)</f>
        <v/>
      </c>
      <c r="K171" s="205" t="str">
        <f>IF('Zoopl Count'!K171="","",'Zoopl Count'!K171*(2^K$9)/K$8)</f>
        <v/>
      </c>
      <c r="L171" s="205" t="str">
        <f>IF('Zoopl Count'!L171="","",'Zoopl Count'!L171*(2^L$9)/L$8)</f>
        <v/>
      </c>
      <c r="M171" s="205" t="str">
        <f>IF('Zoopl Count'!M171="","",'Zoopl Count'!M171*(2^M$9)/M$8)</f>
        <v/>
      </c>
      <c r="N171" s="205" t="str">
        <f>IF('Zoopl Count'!N171="","",'Zoopl Count'!N171*(2^N$9)/N$8)</f>
        <v/>
      </c>
      <c r="O171" s="205" t="str">
        <f>IF('Zoopl Count'!O171="","",'Zoopl Count'!O171*(2^O$9)/O$8)</f>
        <v/>
      </c>
      <c r="P171" s="205" t="str">
        <f>IF('Zoopl Count'!P171="","",'Zoopl Count'!P171*(2^P$9)/P$8)</f>
        <v/>
      </c>
    </row>
    <row r="172" spans="1:16" s="75" customFormat="1" hidden="1">
      <c r="E172" s="138"/>
      <c r="F172" s="139" t="s">
        <v>348</v>
      </c>
      <c r="G172" s="205" t="str">
        <f>IF('Zoopl Count'!G172="","",'Zoopl Count'!G172*(2^G$9)/G$8)</f>
        <v/>
      </c>
      <c r="H172" s="205" t="str">
        <f>IF('Zoopl Count'!H172="","",'Zoopl Count'!H172*(2^H$9)/H$8)</f>
        <v/>
      </c>
      <c r="I172" s="205" t="str">
        <f>IF('Zoopl Count'!I172="","",'Zoopl Count'!I172*(2^I$9)/I$8)</f>
        <v/>
      </c>
      <c r="J172" s="205" t="str">
        <f>IF('Zoopl Count'!J172="","",'Zoopl Count'!J172*(2^J$9)/J$8)</f>
        <v/>
      </c>
      <c r="K172" s="205" t="str">
        <f>IF('Zoopl Count'!K172="","",'Zoopl Count'!K172*(2^K$9)/K$8)</f>
        <v/>
      </c>
      <c r="L172" s="205" t="str">
        <f>IF('Zoopl Count'!L172="","",'Zoopl Count'!L172*(2^L$9)/L$8)</f>
        <v/>
      </c>
      <c r="M172" s="205" t="str">
        <f>IF('Zoopl Count'!M172="","",'Zoopl Count'!M172*(2^M$9)/M$8)</f>
        <v/>
      </c>
      <c r="N172" s="205" t="str">
        <f>IF('Zoopl Count'!N172="","",'Zoopl Count'!N172*(2^N$9)/N$8)</f>
        <v/>
      </c>
      <c r="O172" s="205" t="str">
        <f>IF('Zoopl Count'!O172="","",'Zoopl Count'!O172*(2^O$9)/O$8)</f>
        <v/>
      </c>
      <c r="P172" s="205" t="str">
        <f>IF('Zoopl Count'!P172="","",'Zoopl Count'!P172*(2^P$9)/P$8)</f>
        <v/>
      </c>
    </row>
    <row r="173" spans="1:16" s="75" customFormat="1">
      <c r="D173" s="138" t="s">
        <v>12</v>
      </c>
      <c r="E173" s="75" t="s">
        <v>23</v>
      </c>
      <c r="F173" s="139"/>
      <c r="G173" s="205" t="str">
        <f>IF('Zoopl Count'!G173="","",'Zoopl Count'!G173*(2^G$9)/G$8)</f>
        <v/>
      </c>
      <c r="H173" s="205" t="str">
        <f>IF('Zoopl Count'!H173="","",'Zoopl Count'!H173*(2^H$9)/H$8)</f>
        <v/>
      </c>
      <c r="I173" s="205" t="str">
        <f>IF('Zoopl Count'!I173="","",'Zoopl Count'!I173*(2^I$9)/I$8)</f>
        <v/>
      </c>
      <c r="J173" s="205" t="str">
        <f>IF('Zoopl Count'!J173="","",'Zoopl Count'!J173*(2^J$9)/J$8)</f>
        <v/>
      </c>
      <c r="K173" s="205" t="str">
        <f>IF('Zoopl Count'!K173="","",'Zoopl Count'!K173*(2^K$9)/K$8)</f>
        <v/>
      </c>
      <c r="L173" s="205" t="str">
        <f>IF('Zoopl Count'!L173="","",'Zoopl Count'!L173*(2^L$9)/L$8)</f>
        <v/>
      </c>
      <c r="M173" s="205" t="str">
        <f>IF('Zoopl Count'!M173="","",'Zoopl Count'!M173*(2^M$9)/M$8)</f>
        <v/>
      </c>
      <c r="N173" s="205" t="str">
        <f>IF('Zoopl Count'!N173="","",'Zoopl Count'!N173*(2^N$9)/N$8)</f>
        <v/>
      </c>
      <c r="O173" s="205" t="str">
        <f>IF('Zoopl Count'!O173="","",'Zoopl Count'!O173*(2^O$9)/O$8)</f>
        <v/>
      </c>
      <c r="P173" s="205" t="str">
        <f>IF('Zoopl Count'!P173="","",'Zoopl Count'!P173*(2^P$9)/P$8)</f>
        <v/>
      </c>
    </row>
    <row r="174" spans="1:16" s="75" customFormat="1">
      <c r="E174" s="138" t="s">
        <v>14</v>
      </c>
      <c r="F174" s="139" t="s">
        <v>20</v>
      </c>
      <c r="G174" s="205">
        <f>IF('Zoopl Count'!G174="","",'Zoopl Count'!G174*(2^G$9)/G$8)</f>
        <v>0.26075945876176132</v>
      </c>
      <c r="H174" s="205" t="str">
        <f>IF('Zoopl Count'!H174="","",'Zoopl Count'!H174*(2^H$9)/H$8)</f>
        <v/>
      </c>
      <c r="I174" s="205" t="str">
        <f>IF('Zoopl Count'!I174="","",'Zoopl Count'!I174*(2^I$9)/I$8)</f>
        <v/>
      </c>
      <c r="J174" s="205" t="str">
        <f>IF('Zoopl Count'!J174="","",'Zoopl Count'!J174*(2^J$9)/J$8)</f>
        <v/>
      </c>
      <c r="K174" s="205" t="str">
        <f>IF('Zoopl Count'!K174="","",'Zoopl Count'!K174*(2^K$9)/K$8)</f>
        <v/>
      </c>
      <c r="L174" s="205" t="str">
        <f>IF('Zoopl Count'!L174="","",'Zoopl Count'!L174*(2^L$9)/L$8)</f>
        <v/>
      </c>
      <c r="M174" s="205" t="str">
        <f>IF('Zoopl Count'!M174="","",'Zoopl Count'!M174*(2^M$9)/M$8)</f>
        <v/>
      </c>
      <c r="N174" s="205" t="str">
        <f>IF('Zoopl Count'!N174="","",'Zoopl Count'!N174*(2^N$9)/N$8)</f>
        <v/>
      </c>
      <c r="O174" s="205" t="str">
        <f>IF('Zoopl Count'!O174="","",'Zoopl Count'!O174*(2^O$9)/O$8)</f>
        <v/>
      </c>
      <c r="P174" s="205" t="str">
        <f>IF('Zoopl Count'!P174="","",'Zoopl Count'!P174*(2^P$9)/P$8)</f>
        <v/>
      </c>
    </row>
    <row r="175" spans="1:16" s="75" customFormat="1">
      <c r="D175" s="138" t="s">
        <v>12</v>
      </c>
      <c r="E175" s="75" t="s">
        <v>24</v>
      </c>
      <c r="F175" s="139"/>
      <c r="G175" s="205" t="str">
        <f>IF('Zoopl Count'!G175="","",'Zoopl Count'!G175*(2^G$9)/G$8)</f>
        <v/>
      </c>
      <c r="H175" s="205" t="str">
        <f>IF('Zoopl Count'!H175="","",'Zoopl Count'!H175*(2^H$9)/H$8)</f>
        <v/>
      </c>
      <c r="I175" s="205" t="str">
        <f>IF('Zoopl Count'!I175="","",'Zoopl Count'!I175*(2^I$9)/I$8)</f>
        <v/>
      </c>
      <c r="J175" s="205" t="str">
        <f>IF('Zoopl Count'!J175="","",'Zoopl Count'!J175*(2^J$9)/J$8)</f>
        <v/>
      </c>
      <c r="K175" s="205" t="str">
        <f>IF('Zoopl Count'!K175="","",'Zoopl Count'!K175*(2^K$9)/K$8)</f>
        <v/>
      </c>
      <c r="L175" s="205" t="str">
        <f>IF('Zoopl Count'!L175="","",'Zoopl Count'!L175*(2^L$9)/L$8)</f>
        <v/>
      </c>
      <c r="M175" s="205" t="str">
        <f>IF('Zoopl Count'!M175="","",'Zoopl Count'!M175*(2^M$9)/M$8)</f>
        <v/>
      </c>
      <c r="N175" s="205" t="str">
        <f>IF('Zoopl Count'!N175="","",'Zoopl Count'!N175*(2^N$9)/N$8)</f>
        <v/>
      </c>
      <c r="O175" s="205" t="str">
        <f>IF('Zoopl Count'!O175="","",'Zoopl Count'!O175*(2^O$9)/O$8)</f>
        <v/>
      </c>
      <c r="P175" s="205" t="str">
        <f>IF('Zoopl Count'!P175="","",'Zoopl Count'!P175*(2^P$9)/P$8)</f>
        <v/>
      </c>
    </row>
    <row r="176" spans="1:16" s="75" customFormat="1">
      <c r="E176" s="138" t="s">
        <v>14</v>
      </c>
      <c r="F176" s="139" t="s">
        <v>21</v>
      </c>
      <c r="G176" s="205">
        <f>IF('Zoopl Count'!G176="","",'Zoopl Count'!G176*(2^G$9)/G$8)</f>
        <v>0.13037972938088066</v>
      </c>
      <c r="H176" s="205" t="str">
        <f>IF('Zoopl Count'!H176="","",'Zoopl Count'!H176*(2^H$9)/H$8)</f>
        <v/>
      </c>
      <c r="I176" s="205">
        <f>IF('Zoopl Count'!I176="","",'Zoopl Count'!I176*(2^I$9)/I$8)</f>
        <v>6.518986469044033E-2</v>
      </c>
      <c r="J176" s="205">
        <f>IF('Zoopl Count'!J176="","",'Zoopl Count'!J176*(2^J$9)/J$8)</f>
        <v>0.13037972938088066</v>
      </c>
      <c r="K176" s="205">
        <f>IF('Zoopl Count'!K176="","",'Zoopl Count'!K176*(2^K$9)/K$8)</f>
        <v>0.13037972938088066</v>
      </c>
      <c r="L176" s="205" t="str">
        <f>IF('Zoopl Count'!L176="","",'Zoopl Count'!L176*(2^L$9)/L$8)</f>
        <v/>
      </c>
      <c r="M176" s="205">
        <f>IF('Zoopl Count'!M176="","",'Zoopl Count'!M176*(2^M$9)/M$8)</f>
        <v>0.52151891752352264</v>
      </c>
      <c r="N176" s="205" t="str">
        <f>IF('Zoopl Count'!N176="","",'Zoopl Count'!N176*(2^N$9)/N$8)</f>
        <v/>
      </c>
      <c r="O176" s="205">
        <f>IF('Zoopl Count'!O176="","",'Zoopl Count'!O176*(2^O$9)/O$8)</f>
        <v>3.1291135051411358</v>
      </c>
      <c r="P176" s="205" t="str">
        <f>IF('Zoopl Count'!P176="","",'Zoopl Count'!P176*(2^P$9)/P$8)</f>
        <v/>
      </c>
    </row>
    <row r="177" spans="1:16" s="75" customFormat="1" hidden="1">
      <c r="D177" s="138" t="s">
        <v>12</v>
      </c>
      <c r="E177" s="142" t="s">
        <v>25</v>
      </c>
      <c r="F177" s="139"/>
      <c r="G177" s="205" t="str">
        <f>IF('Zoopl Count'!G177="","",'Zoopl Count'!G177*(2^G$9)/G$8)</f>
        <v/>
      </c>
      <c r="H177" s="205" t="str">
        <f>IF('Zoopl Count'!H177="","",'Zoopl Count'!H177*(2^H$9)/H$8)</f>
        <v/>
      </c>
      <c r="I177" s="205" t="str">
        <f>IF('Zoopl Count'!I177="","",'Zoopl Count'!I177*(2^I$9)/I$8)</f>
        <v/>
      </c>
      <c r="J177" s="205" t="str">
        <f>IF('Zoopl Count'!J177="","",'Zoopl Count'!J177*(2^J$9)/J$8)</f>
        <v/>
      </c>
      <c r="K177" s="205" t="str">
        <f>IF('Zoopl Count'!K177="","",'Zoopl Count'!K177*(2^K$9)/K$8)</f>
        <v/>
      </c>
      <c r="L177" s="205" t="str">
        <f>IF('Zoopl Count'!L177="","",'Zoopl Count'!L177*(2^L$9)/L$8)</f>
        <v/>
      </c>
      <c r="M177" s="205" t="str">
        <f>IF('Zoopl Count'!M177="","",'Zoopl Count'!M177*(2^M$9)/M$8)</f>
        <v/>
      </c>
      <c r="N177" s="205" t="str">
        <f>IF('Zoopl Count'!N177="","",'Zoopl Count'!N177*(2^N$9)/N$8)</f>
        <v/>
      </c>
      <c r="O177" s="205" t="str">
        <f>IF('Zoopl Count'!O177="","",'Zoopl Count'!O177*(2^O$9)/O$8)</f>
        <v/>
      </c>
      <c r="P177" s="205" t="str">
        <f>IF('Zoopl Count'!P177="","",'Zoopl Count'!P177*(2^P$9)/P$8)</f>
        <v/>
      </c>
    </row>
    <row r="178" spans="1:16" s="75" customFormat="1" hidden="1">
      <c r="E178" s="138" t="s">
        <v>14</v>
      </c>
      <c r="F178" s="139" t="s">
        <v>22</v>
      </c>
      <c r="G178" s="205" t="str">
        <f>IF('Zoopl Count'!G178="","",'Zoopl Count'!G178*(2^G$9)/G$8)</f>
        <v/>
      </c>
      <c r="H178" s="205" t="str">
        <f>IF('Zoopl Count'!H178="","",'Zoopl Count'!H178*(2^H$9)/H$8)</f>
        <v/>
      </c>
      <c r="I178" s="205" t="str">
        <f>IF('Zoopl Count'!I178="","",'Zoopl Count'!I178*(2^I$9)/I$8)</f>
        <v/>
      </c>
      <c r="J178" s="205" t="str">
        <f>IF('Zoopl Count'!J178="","",'Zoopl Count'!J178*(2^J$9)/J$8)</f>
        <v/>
      </c>
      <c r="K178" s="205" t="str">
        <f>IF('Zoopl Count'!K178="","",'Zoopl Count'!K178*(2^K$9)/K$8)</f>
        <v/>
      </c>
      <c r="L178" s="205" t="str">
        <f>IF('Zoopl Count'!L178="","",'Zoopl Count'!L178*(2^L$9)/L$8)</f>
        <v/>
      </c>
      <c r="M178" s="205" t="str">
        <f>IF('Zoopl Count'!M178="","",'Zoopl Count'!M178*(2^M$9)/M$8)</f>
        <v/>
      </c>
      <c r="N178" s="205" t="str">
        <f>IF('Zoopl Count'!N178="","",'Zoopl Count'!N178*(2^N$9)/N$8)</f>
        <v/>
      </c>
      <c r="O178" s="205" t="str">
        <f>IF('Zoopl Count'!O178="","",'Zoopl Count'!O178*(2^O$9)/O$8)</f>
        <v/>
      </c>
      <c r="P178" s="205" t="str">
        <f>IF('Zoopl Count'!P178="","",'Zoopl Count'!P178*(2^P$9)/P$8)</f>
        <v/>
      </c>
    </row>
    <row r="179" spans="1:16" s="75" customFormat="1" hidden="1">
      <c r="E179" s="138"/>
      <c r="F179" s="139" t="s">
        <v>339</v>
      </c>
      <c r="G179" s="205" t="str">
        <f>IF('Zoopl Count'!G179="","",'Zoopl Count'!G179*(2^G$9)/G$8)</f>
        <v/>
      </c>
      <c r="H179" s="205" t="str">
        <f>IF('Zoopl Count'!H179="","",'Zoopl Count'!H179*(2^H$9)/H$8)</f>
        <v/>
      </c>
      <c r="I179" s="205" t="str">
        <f>IF('Zoopl Count'!I179="","",'Zoopl Count'!I179*(2^I$9)/I$8)</f>
        <v/>
      </c>
      <c r="J179" s="205" t="str">
        <f>IF('Zoopl Count'!J179="","",'Zoopl Count'!J179*(2^J$9)/J$8)</f>
        <v/>
      </c>
      <c r="K179" s="205" t="str">
        <f>IF('Zoopl Count'!K179="","",'Zoopl Count'!K179*(2^K$9)/K$8)</f>
        <v/>
      </c>
      <c r="L179" s="205" t="str">
        <f>IF('Zoopl Count'!L179="","",'Zoopl Count'!L179*(2^L$9)/L$8)</f>
        <v/>
      </c>
      <c r="M179" s="205" t="str">
        <f>IF('Zoopl Count'!M179="","",'Zoopl Count'!M179*(2^M$9)/M$8)</f>
        <v/>
      </c>
      <c r="N179" s="205" t="str">
        <f>IF('Zoopl Count'!N179="","",'Zoopl Count'!N179*(2^N$9)/N$8)</f>
        <v/>
      </c>
      <c r="O179" s="205" t="str">
        <f>IF('Zoopl Count'!O179="","",'Zoopl Count'!O179*(2^O$9)/O$8)</f>
        <v/>
      </c>
      <c r="P179" s="205" t="str">
        <f>IF('Zoopl Count'!P179="","",'Zoopl Count'!P179*(2^P$9)/P$8)</f>
        <v/>
      </c>
    </row>
    <row r="180" spans="1:16" s="75" customFormat="1" ht="15" hidden="1" customHeight="1">
      <c r="D180" s="138" t="s">
        <v>12</v>
      </c>
      <c r="E180" s="142" t="s">
        <v>176</v>
      </c>
      <c r="F180" s="139"/>
      <c r="G180" s="205" t="str">
        <f>IF('Zoopl Count'!G180="","",'Zoopl Count'!G180*(2^G$9)/G$8)</f>
        <v/>
      </c>
      <c r="H180" s="205" t="str">
        <f>IF('Zoopl Count'!H180="","",'Zoopl Count'!H180*(2^H$9)/H$8)</f>
        <v/>
      </c>
      <c r="I180" s="205" t="str">
        <f>IF('Zoopl Count'!I180="","",'Zoopl Count'!I180*(2^I$9)/I$8)</f>
        <v/>
      </c>
      <c r="J180" s="205" t="str">
        <f>IF('Zoopl Count'!J180="","",'Zoopl Count'!J180*(2^J$9)/J$8)</f>
        <v/>
      </c>
      <c r="K180" s="205" t="str">
        <f>IF('Zoopl Count'!K180="","",'Zoopl Count'!K180*(2^K$9)/K$8)</f>
        <v/>
      </c>
      <c r="L180" s="205" t="str">
        <f>IF('Zoopl Count'!L180="","",'Zoopl Count'!L180*(2^L$9)/L$8)</f>
        <v/>
      </c>
      <c r="M180" s="205" t="str">
        <f>IF('Zoopl Count'!M180="","",'Zoopl Count'!M180*(2^M$9)/M$8)</f>
        <v/>
      </c>
      <c r="N180" s="205" t="str">
        <f>IF('Zoopl Count'!N180="","",'Zoopl Count'!N180*(2^N$9)/N$8)</f>
        <v/>
      </c>
      <c r="O180" s="205" t="str">
        <f>IF('Zoopl Count'!O180="","",'Zoopl Count'!O180*(2^O$9)/O$8)</f>
        <v/>
      </c>
      <c r="P180" s="205" t="str">
        <f>IF('Zoopl Count'!P180="","",'Zoopl Count'!P180*(2^P$9)/P$8)</f>
        <v/>
      </c>
    </row>
    <row r="181" spans="1:16" s="75" customFormat="1" ht="15" hidden="1" customHeight="1">
      <c r="E181" s="138" t="s">
        <v>14</v>
      </c>
      <c r="F181" s="139" t="s">
        <v>177</v>
      </c>
      <c r="G181" s="205" t="str">
        <f>IF('Zoopl Count'!G181="","",'Zoopl Count'!G181*(2^G$9)/G$8)</f>
        <v/>
      </c>
      <c r="H181" s="205" t="str">
        <f>IF('Zoopl Count'!H181="","",'Zoopl Count'!H181*(2^H$9)/H$8)</f>
        <v/>
      </c>
      <c r="I181" s="205" t="str">
        <f>IF('Zoopl Count'!I181="","",'Zoopl Count'!I181*(2^I$9)/I$8)</f>
        <v/>
      </c>
      <c r="J181" s="205" t="str">
        <f>IF('Zoopl Count'!J181="","",'Zoopl Count'!J181*(2^J$9)/J$8)</f>
        <v/>
      </c>
      <c r="K181" s="205" t="str">
        <f>IF('Zoopl Count'!K181="","",'Zoopl Count'!K181*(2^K$9)/K$8)</f>
        <v/>
      </c>
      <c r="L181" s="205" t="str">
        <f>IF('Zoopl Count'!L181="","",'Zoopl Count'!L181*(2^L$9)/L$8)</f>
        <v/>
      </c>
      <c r="M181" s="205" t="str">
        <f>IF('Zoopl Count'!M181="","",'Zoopl Count'!M181*(2^M$9)/M$8)</f>
        <v/>
      </c>
      <c r="N181" s="205" t="str">
        <f>IF('Zoopl Count'!N181="","",'Zoopl Count'!N181*(2^N$9)/N$8)</f>
        <v/>
      </c>
      <c r="O181" s="205" t="str">
        <f>IF('Zoopl Count'!O181="","",'Zoopl Count'!O181*(2^O$9)/O$8)</f>
        <v/>
      </c>
      <c r="P181" s="205" t="str">
        <f>IF('Zoopl Count'!P181="","",'Zoopl Count'!P181*(2^P$9)/P$8)</f>
        <v/>
      </c>
    </row>
    <row r="182" spans="1:16" s="75" customFormat="1" ht="15" customHeight="1">
      <c r="A182" s="199"/>
      <c r="B182" s="199"/>
      <c r="C182" s="199"/>
      <c r="D182" s="200" t="s">
        <v>12</v>
      </c>
      <c r="E182" s="201" t="s">
        <v>26</v>
      </c>
      <c r="F182" s="10"/>
      <c r="G182" s="205" t="str">
        <f>IF('Zoopl Count'!G182="","",'Zoopl Count'!G182*(2^G$9)/G$8)</f>
        <v/>
      </c>
      <c r="H182" s="205" t="str">
        <f>IF('Zoopl Count'!H182="","",'Zoopl Count'!H182*(2^H$9)/H$8)</f>
        <v/>
      </c>
      <c r="I182" s="205" t="str">
        <f>IF('Zoopl Count'!I182="","",'Zoopl Count'!I182*(2^I$9)/I$8)</f>
        <v/>
      </c>
      <c r="J182" s="205" t="str">
        <f>IF('Zoopl Count'!J182="","",'Zoopl Count'!J182*(2^J$9)/J$8)</f>
        <v/>
      </c>
      <c r="K182" s="205" t="str">
        <f>IF('Zoopl Count'!K182="","",'Zoopl Count'!K182*(2^K$9)/K$8)</f>
        <v/>
      </c>
      <c r="L182" s="205" t="str">
        <f>IF('Zoopl Count'!L182="","",'Zoopl Count'!L182*(2^L$9)/L$8)</f>
        <v/>
      </c>
      <c r="M182" s="205" t="str">
        <f>IF('Zoopl Count'!M182="","",'Zoopl Count'!M182*(2^M$9)/M$8)</f>
        <v/>
      </c>
      <c r="N182" s="205" t="str">
        <f>IF('Zoopl Count'!N182="","",'Zoopl Count'!N182*(2^N$9)/N$8)</f>
        <v/>
      </c>
      <c r="O182" s="205" t="str">
        <f>IF('Zoopl Count'!O182="","",'Zoopl Count'!O182*(2^O$9)/O$8)</f>
        <v/>
      </c>
      <c r="P182" s="205" t="str">
        <f>IF('Zoopl Count'!P182="","",'Zoopl Count'!P182*(2^P$9)/P$8)</f>
        <v/>
      </c>
    </row>
    <row r="183" spans="1:16" s="75" customFormat="1" ht="15" customHeight="1">
      <c r="A183" s="199"/>
      <c r="B183" s="199"/>
      <c r="C183" s="199"/>
      <c r="D183" s="199"/>
      <c r="F183" s="10" t="s">
        <v>297</v>
      </c>
      <c r="G183" s="205" t="str">
        <f>IF('Zoopl Count'!G183="","",'Zoopl Count'!G183*(2^G$9)/G$8)</f>
        <v/>
      </c>
      <c r="H183" s="205" t="str">
        <f>IF('Zoopl Count'!H183="","",'Zoopl Count'!H183*(2^H$9)/H$8)</f>
        <v/>
      </c>
      <c r="I183" s="205" t="str">
        <f>IF('Zoopl Count'!I183="","",'Zoopl Count'!I183*(2^I$9)/I$8)</f>
        <v/>
      </c>
      <c r="J183" s="205" t="str">
        <f>IF('Zoopl Count'!J183="","",'Zoopl Count'!J183*(2^J$9)/J$8)</f>
        <v/>
      </c>
      <c r="K183" s="205" t="str">
        <f>IF('Zoopl Count'!K183="","",'Zoopl Count'!K183*(2^K$9)/K$8)</f>
        <v/>
      </c>
      <c r="L183" s="205" t="str">
        <f>IF('Zoopl Count'!L183="","",'Zoopl Count'!L183*(2^L$9)/L$8)</f>
        <v/>
      </c>
      <c r="M183" s="205" t="str">
        <f>IF('Zoopl Count'!M183="","",'Zoopl Count'!M183*(2^M$9)/M$8)</f>
        <v/>
      </c>
      <c r="N183" s="205" t="str">
        <f>IF('Zoopl Count'!N183="","",'Zoopl Count'!N183*(2^N$9)/N$8)</f>
        <v/>
      </c>
      <c r="O183" s="205" t="str">
        <f>IF('Zoopl Count'!O183="","",'Zoopl Count'!O183*(2^O$9)/O$8)</f>
        <v/>
      </c>
      <c r="P183" s="205" t="str">
        <f>IF('Zoopl Count'!P183="","",'Zoopl Count'!P183*(2^P$9)/P$8)</f>
        <v/>
      </c>
    </row>
    <row r="184" spans="1:16" s="75" customFormat="1" ht="15" customHeight="1">
      <c r="A184" s="199"/>
      <c r="B184" s="199"/>
      <c r="C184" s="199"/>
      <c r="D184" s="199"/>
      <c r="E184" s="200" t="s">
        <v>14</v>
      </c>
      <c r="F184" s="10" t="s">
        <v>27</v>
      </c>
      <c r="G184" s="205" t="str">
        <f>IF('Zoopl Count'!G184="","",'Zoopl Count'!G184*(2^G$9)/G$8)</f>
        <v/>
      </c>
      <c r="H184" s="205">
        <f>IF('Zoopl Count'!H184="","",'Zoopl Count'!H184*(2^H$9)/H$8)</f>
        <v>6.518986469044033E-2</v>
      </c>
      <c r="I184" s="205">
        <f>IF('Zoopl Count'!I184="","",'Zoopl Count'!I184*(2^I$9)/I$8)</f>
        <v>0.13037972938088066</v>
      </c>
      <c r="J184" s="205">
        <f>IF('Zoopl Count'!J184="","",'Zoopl Count'!J184*(2^J$9)/J$8)</f>
        <v>0.13037972938088066</v>
      </c>
      <c r="K184" s="205" t="str">
        <f>IF('Zoopl Count'!K184="","",'Zoopl Count'!K184*(2^K$9)/K$8)</f>
        <v/>
      </c>
      <c r="L184" s="205" t="str">
        <f>IF('Zoopl Count'!L184="","",'Zoopl Count'!L184*(2^L$9)/L$8)</f>
        <v/>
      </c>
      <c r="M184" s="205">
        <f>IF('Zoopl Count'!M184="","",'Zoopl Count'!M184*(2^M$9)/M$8)</f>
        <v>0.91265810566616468</v>
      </c>
      <c r="N184" s="205">
        <f>IF('Zoopl Count'!N184="","",'Zoopl Count'!N184*(2^N$9)/N$8)</f>
        <v>9.7784797035660495E-2</v>
      </c>
      <c r="O184" s="205">
        <f>IF('Zoopl Count'!O184="","",'Zoopl Count'!O184*(2^O$9)/O$8)</f>
        <v>1.0430378350470453</v>
      </c>
      <c r="P184" s="205">
        <f>IF('Zoopl Count'!P184="","",'Zoopl Count'!P184*(2^P$9)/P$8)</f>
        <v>0.78227837628528396</v>
      </c>
    </row>
    <row r="185" spans="1:16" s="75" customFormat="1" ht="15" customHeight="1">
      <c r="A185" s="213"/>
      <c r="B185" s="213"/>
      <c r="C185" s="213"/>
      <c r="D185" s="214" t="s">
        <v>12</v>
      </c>
      <c r="E185" s="215" t="s">
        <v>28</v>
      </c>
      <c r="F185" s="230"/>
      <c r="G185" s="205" t="str">
        <f>IF('Zoopl Count'!G185="","",'Zoopl Count'!G185*(2^G$9)/G$8)</f>
        <v/>
      </c>
      <c r="H185" s="205" t="str">
        <f>IF('Zoopl Count'!H185="","",'Zoopl Count'!H185*(2^H$9)/H$8)</f>
        <v/>
      </c>
      <c r="I185" s="205" t="str">
        <f>IF('Zoopl Count'!I185="","",'Zoopl Count'!I185*(2^I$9)/I$8)</f>
        <v/>
      </c>
      <c r="J185" s="205" t="str">
        <f>IF('Zoopl Count'!J185="","",'Zoopl Count'!J185*(2^J$9)/J$8)</f>
        <v/>
      </c>
      <c r="K185" s="205" t="str">
        <f>IF('Zoopl Count'!K185="","",'Zoopl Count'!K185*(2^K$9)/K$8)</f>
        <v/>
      </c>
      <c r="L185" s="205" t="str">
        <f>IF('Zoopl Count'!L185="","",'Zoopl Count'!L185*(2^L$9)/L$8)</f>
        <v/>
      </c>
      <c r="M185" s="205" t="str">
        <f>IF('Zoopl Count'!M185="","",'Zoopl Count'!M185*(2^M$9)/M$8)</f>
        <v/>
      </c>
      <c r="N185" s="205" t="str">
        <f>IF('Zoopl Count'!N185="","",'Zoopl Count'!N185*(2^N$9)/N$8)</f>
        <v/>
      </c>
      <c r="O185" s="205" t="str">
        <f>IF('Zoopl Count'!O185="","",'Zoopl Count'!O185*(2^O$9)/O$8)</f>
        <v/>
      </c>
      <c r="P185" s="205" t="str">
        <f>IF('Zoopl Count'!P185="","",'Zoopl Count'!P185*(2^P$9)/P$8)</f>
        <v/>
      </c>
    </row>
    <row r="186" spans="1:16" s="75" customFormat="1" ht="15" customHeight="1">
      <c r="F186" s="139" t="s">
        <v>29</v>
      </c>
      <c r="G186" s="205">
        <f>IF('Zoopl Count'!G186="","",'Zoopl Count'!G186*(2^G$9)/G$8)</f>
        <v>0.91265810566616468</v>
      </c>
      <c r="H186" s="205" t="str">
        <f>IF('Zoopl Count'!H186="","",'Zoopl Count'!H186*(2^H$9)/H$8)</f>
        <v/>
      </c>
      <c r="I186" s="205" t="str">
        <f>IF('Zoopl Count'!I186="","",'Zoopl Count'!I186*(2^I$9)/I$8)</f>
        <v/>
      </c>
      <c r="J186" s="205">
        <f>IF('Zoopl Count'!J186="","",'Zoopl Count'!J186*(2^J$9)/J$8)</f>
        <v>0.52151891752352264</v>
      </c>
      <c r="K186" s="205">
        <f>IF('Zoopl Count'!K186="","",'Zoopl Count'!K186*(2^K$9)/K$8)</f>
        <v>0.13037972938088066</v>
      </c>
      <c r="L186" s="205" t="str">
        <f>IF('Zoopl Count'!L186="","",'Zoopl Count'!L186*(2^L$9)/L$8)</f>
        <v/>
      </c>
      <c r="M186" s="205" t="str">
        <f>IF('Zoopl Count'!M186="","",'Zoopl Count'!M186*(2^M$9)/M$8)</f>
        <v/>
      </c>
      <c r="N186" s="205">
        <f>IF('Zoopl Count'!N186="","",'Zoopl Count'!N186*(2^N$9)/N$8)</f>
        <v>3.2594932345220165E-2</v>
      </c>
      <c r="O186" s="205" t="str">
        <f>IF('Zoopl Count'!O186="","",'Zoopl Count'!O186*(2^O$9)/O$8)</f>
        <v/>
      </c>
      <c r="P186" s="205" t="str">
        <f>IF('Zoopl Count'!P186="","",'Zoopl Count'!P186*(2^P$9)/P$8)</f>
        <v/>
      </c>
    </row>
    <row r="187" spans="1:16" s="75" customFormat="1">
      <c r="E187" s="138" t="s">
        <v>14</v>
      </c>
      <c r="F187" s="139" t="s">
        <v>30</v>
      </c>
      <c r="G187" s="205">
        <f>IF('Zoopl Count'!G187="","",'Zoopl Count'!G187*(2^G$9)/G$8)</f>
        <v>3.9113918814264199</v>
      </c>
      <c r="H187" s="205">
        <f>IF('Zoopl Count'!H187="","",'Zoopl Count'!H187*(2^H$9)/H$8)</f>
        <v>1.7601263466418888</v>
      </c>
      <c r="I187" s="205">
        <f>IF('Zoopl Count'!I187="","",'Zoopl Count'!I187*(2^I$9)/I$8)</f>
        <v>1.0104429027018251</v>
      </c>
      <c r="J187" s="205">
        <f>IF('Zoopl Count'!J187="","",'Zoopl Count'!J187*(2^J$9)/J$8)</f>
        <v>2.737974316998494</v>
      </c>
      <c r="K187" s="205">
        <f>IF('Zoopl Count'!K187="","",'Zoopl Count'!K187*(2^K$9)/K$8)</f>
        <v>6.7797459278057941</v>
      </c>
      <c r="L187" s="205">
        <f>IF('Zoopl Count'!L187="","",'Zoopl Count'!L187*(2^L$9)/L$8)</f>
        <v>65.711383607963853</v>
      </c>
      <c r="M187" s="205">
        <f>IF('Zoopl Count'!M187="","",'Zoopl Count'!M187*(2^M$9)/M$8)</f>
        <v>2.0860756700940906</v>
      </c>
      <c r="N187" s="205">
        <f>IF('Zoopl Count'!N187="","",'Zoopl Count'!N187*(2^N$9)/N$8)</f>
        <v>0.32594932345220168</v>
      </c>
      <c r="O187" s="205">
        <f>IF('Zoopl Count'!O187="","",'Zoopl Count'!O187*(2^O$9)/O$8)</f>
        <v>63.625307937869763</v>
      </c>
      <c r="P187" s="205">
        <f>IF('Zoopl Count'!P187="","",'Zoopl Count'!P187*(2^P$9)/P$8)</f>
        <v>7.431644574710198</v>
      </c>
    </row>
    <row r="188" spans="1:16" s="75" customFormat="1">
      <c r="F188" s="139" t="s">
        <v>173</v>
      </c>
      <c r="G188" s="205">
        <f>IF('Zoopl Count'!G188="","",'Zoopl Count'!G188*(2^G$9)/G$8)</f>
        <v>0.26075945876176132</v>
      </c>
      <c r="H188" s="205">
        <f>IF('Zoopl Count'!H188="","",'Zoopl Count'!H188*(2^H$9)/H$8)</f>
        <v>0.39113918814264198</v>
      </c>
      <c r="I188" s="205">
        <f>IF('Zoopl Count'!I188="","",'Zoopl Count'!I188*(2^I$9)/I$8)</f>
        <v>0.48892398517830249</v>
      </c>
      <c r="J188" s="205">
        <f>IF('Zoopl Count'!J188="","",'Zoopl Count'!J188*(2^J$9)/J$8)</f>
        <v>1.5645567525705679</v>
      </c>
      <c r="K188" s="205">
        <f>IF('Zoopl Count'!K188="","",'Zoopl Count'!K188*(2^K$9)/K$8)</f>
        <v>0.65189864690440336</v>
      </c>
      <c r="L188" s="205">
        <f>IF('Zoopl Count'!L188="","",'Zoopl Count'!L188*(2^L$9)/L$8)</f>
        <v>0.52151891752352264</v>
      </c>
      <c r="M188" s="205">
        <f>IF('Zoopl Count'!M188="","",'Zoopl Count'!M188*(2^M$9)/M$8)</f>
        <v>0.39113918814264198</v>
      </c>
      <c r="N188" s="205">
        <f>IF('Zoopl Count'!N188="","",'Zoopl Count'!N188*(2^N$9)/N$8)</f>
        <v>3.2594932345220165E-2</v>
      </c>
      <c r="O188" s="205">
        <f>IF('Zoopl Count'!O188="","",'Zoopl Count'!O188*(2^O$9)/O$8)</f>
        <v>14.602529690658635</v>
      </c>
      <c r="P188" s="205">
        <f>IF('Zoopl Count'!P188="","",'Zoopl Count'!P188*(2^P$9)/P$8)</f>
        <v>3.1291135051411358</v>
      </c>
    </row>
    <row r="189" spans="1:16" s="75" customFormat="1" ht="15" hidden="1" customHeight="1">
      <c r="F189" s="139" t="s">
        <v>222</v>
      </c>
      <c r="G189" s="205" t="str">
        <f>IF('Zoopl Count'!G189="","",'Zoopl Count'!G189*(2^G$9)/G$8)</f>
        <v/>
      </c>
      <c r="H189" s="205" t="str">
        <f>IF('Zoopl Count'!H189="","",'Zoopl Count'!H189*(2^H$9)/H$8)</f>
        <v/>
      </c>
      <c r="I189" s="205" t="str">
        <f>IF('Zoopl Count'!I189="","",'Zoopl Count'!I189*(2^I$9)/I$8)</f>
        <v/>
      </c>
      <c r="J189" s="205" t="str">
        <f>IF('Zoopl Count'!J189="","",'Zoopl Count'!J189*(2^J$9)/J$8)</f>
        <v/>
      </c>
      <c r="K189" s="205" t="str">
        <f>IF('Zoopl Count'!K189="","",'Zoopl Count'!K189*(2^K$9)/K$8)</f>
        <v/>
      </c>
      <c r="L189" s="205" t="str">
        <f>IF('Zoopl Count'!L189="","",'Zoopl Count'!L189*(2^L$9)/L$8)</f>
        <v/>
      </c>
      <c r="M189" s="205" t="str">
        <f>IF('Zoopl Count'!M189="","",'Zoopl Count'!M189*(2^M$9)/M$8)</f>
        <v/>
      </c>
      <c r="N189" s="205" t="str">
        <f>IF('Zoopl Count'!N189="","",'Zoopl Count'!N189*(2^N$9)/N$8)</f>
        <v/>
      </c>
      <c r="O189" s="205" t="str">
        <f>IF('Zoopl Count'!O189="","",'Zoopl Count'!O189*(2^O$9)/O$8)</f>
        <v/>
      </c>
      <c r="P189" s="205" t="str">
        <f>IF('Zoopl Count'!P189="","",'Zoopl Count'!P189*(2^P$9)/P$8)</f>
        <v/>
      </c>
    </row>
    <row r="190" spans="1:16" s="75" customFormat="1">
      <c r="D190" s="145" t="s">
        <v>12</v>
      </c>
      <c r="E190" s="75" t="s">
        <v>31</v>
      </c>
      <c r="F190" s="137"/>
      <c r="G190" s="205" t="str">
        <f>IF('Zoopl Count'!G190="","",'Zoopl Count'!G190*(2^G$9)/G$8)</f>
        <v/>
      </c>
      <c r="H190" s="205" t="str">
        <f>IF('Zoopl Count'!H190="","",'Zoopl Count'!H190*(2^H$9)/H$8)</f>
        <v/>
      </c>
      <c r="I190" s="205" t="str">
        <f>IF('Zoopl Count'!I190="","",'Zoopl Count'!I190*(2^I$9)/I$8)</f>
        <v/>
      </c>
      <c r="J190" s="205" t="str">
        <f>IF('Zoopl Count'!J190="","",'Zoopl Count'!J190*(2^J$9)/J$8)</f>
        <v/>
      </c>
      <c r="K190" s="205" t="str">
        <f>IF('Zoopl Count'!K190="","",'Zoopl Count'!K190*(2^K$9)/K$8)</f>
        <v/>
      </c>
      <c r="L190" s="205" t="str">
        <f>IF('Zoopl Count'!L190="","",'Zoopl Count'!L190*(2^L$9)/L$8)</f>
        <v/>
      </c>
      <c r="M190" s="205" t="str">
        <f>IF('Zoopl Count'!M190="","",'Zoopl Count'!M190*(2^M$9)/M$8)</f>
        <v/>
      </c>
      <c r="N190" s="205" t="str">
        <f>IF('Zoopl Count'!N190="","",'Zoopl Count'!N190*(2^N$9)/N$8)</f>
        <v/>
      </c>
      <c r="O190" s="205" t="str">
        <f>IF('Zoopl Count'!O190="","",'Zoopl Count'!O190*(2^O$9)/O$8)</f>
        <v/>
      </c>
      <c r="P190" s="205" t="str">
        <f>IF('Zoopl Count'!P190="","",'Zoopl Count'!P190*(2^P$9)/P$8)</f>
        <v/>
      </c>
    </row>
    <row r="191" spans="1:16" s="75" customFormat="1">
      <c r="F191" s="10" t="s">
        <v>170</v>
      </c>
      <c r="G191" s="205" t="str">
        <f>IF('Zoopl Count'!G191="","",'Zoopl Count'!G191*(2^G$9)/G$8)</f>
        <v/>
      </c>
      <c r="H191" s="205" t="str">
        <f>IF('Zoopl Count'!H191="","",'Zoopl Count'!H191*(2^H$9)/H$8)</f>
        <v/>
      </c>
      <c r="I191" s="205" t="str">
        <f>IF('Zoopl Count'!I191="","",'Zoopl Count'!I191*(2^I$9)/I$8)</f>
        <v/>
      </c>
      <c r="J191" s="205" t="str">
        <f>IF('Zoopl Count'!J191="","",'Zoopl Count'!J191*(2^J$9)/J$8)</f>
        <v/>
      </c>
      <c r="K191" s="205" t="str">
        <f>IF('Zoopl Count'!K191="","",'Zoopl Count'!K191*(2^K$9)/K$8)</f>
        <v/>
      </c>
      <c r="L191" s="205" t="str">
        <f>IF('Zoopl Count'!L191="","",'Zoopl Count'!L191*(2^L$9)/L$8)</f>
        <v/>
      </c>
      <c r="M191" s="205" t="str">
        <f>IF('Zoopl Count'!M191="","",'Zoopl Count'!M191*(2^M$9)/M$8)</f>
        <v/>
      </c>
      <c r="N191" s="205" t="str">
        <f>IF('Zoopl Count'!N191="","",'Zoopl Count'!N191*(2^N$9)/N$8)</f>
        <v/>
      </c>
      <c r="O191" s="205" t="str">
        <f>IF('Zoopl Count'!O191="","",'Zoopl Count'!O191*(2^O$9)/O$8)</f>
        <v/>
      </c>
      <c r="P191" s="205" t="str">
        <f>IF('Zoopl Count'!P191="","",'Zoopl Count'!P191*(2^P$9)/P$8)</f>
        <v/>
      </c>
    </row>
    <row r="192" spans="1:16" s="75" customFormat="1">
      <c r="E192" s="138" t="s">
        <v>14</v>
      </c>
      <c r="F192" s="10" t="s">
        <v>32</v>
      </c>
      <c r="G192" s="205">
        <f>IF('Zoopl Count'!G192="","",'Zoopl Count'!G192*(2^G$9)/G$8)</f>
        <v>0.13037972938088066</v>
      </c>
      <c r="H192" s="205" t="str">
        <f>IF('Zoopl Count'!H192="","",'Zoopl Count'!H192*(2^H$9)/H$8)</f>
        <v/>
      </c>
      <c r="I192" s="205" t="str">
        <f>IF('Zoopl Count'!I192="","",'Zoopl Count'!I192*(2^I$9)/I$8)</f>
        <v/>
      </c>
      <c r="J192" s="205" t="str">
        <f>IF('Zoopl Count'!J192="","",'Zoopl Count'!J192*(2^J$9)/J$8)</f>
        <v/>
      </c>
      <c r="K192" s="205" t="str">
        <f>IF('Zoopl Count'!K192="","",'Zoopl Count'!K192*(2^K$9)/K$8)</f>
        <v/>
      </c>
      <c r="L192" s="205" t="str">
        <f>IF('Zoopl Count'!L192="","",'Zoopl Count'!L192*(2^L$9)/L$8)</f>
        <v/>
      </c>
      <c r="M192" s="205" t="str">
        <f>IF('Zoopl Count'!M192="","",'Zoopl Count'!M192*(2^M$9)/M$8)</f>
        <v/>
      </c>
      <c r="N192" s="205" t="str">
        <f>IF('Zoopl Count'!N192="","",'Zoopl Count'!N192*(2^N$9)/N$8)</f>
        <v/>
      </c>
      <c r="O192" s="205" t="str">
        <f>IF('Zoopl Count'!O192="","",'Zoopl Count'!O192*(2^O$9)/O$8)</f>
        <v/>
      </c>
      <c r="P192" s="205" t="str">
        <f>IF('Zoopl Count'!P192="","",'Zoopl Count'!P192*(2^P$9)/P$8)</f>
        <v/>
      </c>
    </row>
    <row r="193" spans="1:16" s="75" customFormat="1">
      <c r="E193" s="138"/>
      <c r="F193" s="10" t="s">
        <v>309</v>
      </c>
      <c r="G193" s="205" t="str">
        <f>IF('Zoopl Count'!G193="","",'Zoopl Count'!G193*(2^G$9)/G$8)</f>
        <v/>
      </c>
      <c r="H193" s="205" t="str">
        <f>IF('Zoopl Count'!H193="","",'Zoopl Count'!H193*(2^H$9)/H$8)</f>
        <v/>
      </c>
      <c r="I193" s="205" t="str">
        <f>IF('Zoopl Count'!I193="","",'Zoopl Count'!I193*(2^I$9)/I$8)</f>
        <v/>
      </c>
      <c r="J193" s="205" t="str">
        <f>IF('Zoopl Count'!J193="","",'Zoopl Count'!J193*(2^J$9)/J$8)</f>
        <v/>
      </c>
      <c r="K193" s="205" t="str">
        <f>IF('Zoopl Count'!K193="","",'Zoopl Count'!K193*(2^K$9)/K$8)</f>
        <v/>
      </c>
      <c r="L193" s="205" t="str">
        <f>IF('Zoopl Count'!L193="","",'Zoopl Count'!L193*(2^L$9)/L$8)</f>
        <v/>
      </c>
      <c r="M193" s="205" t="str">
        <f>IF('Zoopl Count'!M193="","",'Zoopl Count'!M193*(2^M$9)/M$8)</f>
        <v/>
      </c>
      <c r="N193" s="205" t="str">
        <f>IF('Zoopl Count'!N193="","",'Zoopl Count'!N193*(2^N$9)/N$8)</f>
        <v/>
      </c>
      <c r="O193" s="205" t="str">
        <f>IF('Zoopl Count'!O193="","",'Zoopl Count'!O193*(2^O$9)/O$8)</f>
        <v/>
      </c>
      <c r="P193" s="205" t="str">
        <f>IF('Zoopl Count'!P193="","",'Zoopl Count'!P193*(2^P$9)/P$8)</f>
        <v/>
      </c>
    </row>
    <row r="194" spans="1:16" s="75" customFormat="1">
      <c r="E194" s="138"/>
      <c r="F194" s="10" t="s">
        <v>344</v>
      </c>
      <c r="G194" s="205">
        <f>IF('Zoopl Count'!G194="","",'Zoopl Count'!G194*(2^G$9)/G$8)</f>
        <v>0.26075945876176132</v>
      </c>
      <c r="H194" s="205" t="str">
        <f>IF('Zoopl Count'!H194="","",'Zoopl Count'!H194*(2^H$9)/H$8)</f>
        <v/>
      </c>
      <c r="I194" s="205" t="str">
        <f>IF('Zoopl Count'!I194="","",'Zoopl Count'!I194*(2^I$9)/I$8)</f>
        <v/>
      </c>
      <c r="J194" s="205" t="str">
        <f>IF('Zoopl Count'!J194="","",'Zoopl Count'!J194*(2^J$9)/J$8)</f>
        <v/>
      </c>
      <c r="K194" s="205" t="str">
        <f>IF('Zoopl Count'!K194="","",'Zoopl Count'!K194*(2^K$9)/K$8)</f>
        <v/>
      </c>
      <c r="L194" s="205" t="str">
        <f>IF('Zoopl Count'!L194="","",'Zoopl Count'!L194*(2^L$9)/L$8)</f>
        <v/>
      </c>
      <c r="M194" s="205" t="str">
        <f>IF('Zoopl Count'!M194="","",'Zoopl Count'!M194*(2^M$9)/M$8)</f>
        <v/>
      </c>
      <c r="N194" s="205" t="str">
        <f>IF('Zoopl Count'!N194="","",'Zoopl Count'!N194*(2^N$9)/N$8)</f>
        <v/>
      </c>
      <c r="O194" s="205" t="str">
        <f>IF('Zoopl Count'!O194="","",'Zoopl Count'!O194*(2^O$9)/O$8)</f>
        <v/>
      </c>
      <c r="P194" s="205" t="str">
        <f>IF('Zoopl Count'!P194="","",'Zoopl Count'!P194*(2^P$9)/P$8)</f>
        <v/>
      </c>
    </row>
    <row r="195" spans="1:16" s="75" customFormat="1">
      <c r="D195" s="138" t="s">
        <v>12</v>
      </c>
      <c r="E195" s="75" t="s">
        <v>33</v>
      </c>
      <c r="F195" s="137"/>
      <c r="G195" s="205" t="str">
        <f>IF('Zoopl Count'!G195="","",'Zoopl Count'!G195*(2^G$9)/G$8)</f>
        <v/>
      </c>
      <c r="H195" s="205" t="str">
        <f>IF('Zoopl Count'!H195="","",'Zoopl Count'!H195*(2^H$9)/H$8)</f>
        <v/>
      </c>
      <c r="I195" s="205" t="str">
        <f>IF('Zoopl Count'!I195="","",'Zoopl Count'!I195*(2^I$9)/I$8)</f>
        <v/>
      </c>
      <c r="J195" s="205" t="str">
        <f>IF('Zoopl Count'!J195="","",'Zoopl Count'!J195*(2^J$9)/J$8)</f>
        <v/>
      </c>
      <c r="K195" s="205" t="str">
        <f>IF('Zoopl Count'!K195="","",'Zoopl Count'!K195*(2^K$9)/K$8)</f>
        <v/>
      </c>
      <c r="L195" s="205" t="str">
        <f>IF('Zoopl Count'!L195="","",'Zoopl Count'!L195*(2^L$9)/L$8)</f>
        <v/>
      </c>
      <c r="M195" s="205" t="str">
        <f>IF('Zoopl Count'!M195="","",'Zoopl Count'!M195*(2^M$9)/M$8)</f>
        <v/>
      </c>
      <c r="N195" s="205" t="str">
        <f>IF('Zoopl Count'!N195="","",'Zoopl Count'!N195*(2^N$9)/N$8)</f>
        <v/>
      </c>
      <c r="O195" s="205" t="str">
        <f>IF('Zoopl Count'!O195="","",'Zoopl Count'!O195*(2^O$9)/O$8)</f>
        <v/>
      </c>
      <c r="P195" s="205" t="str">
        <f>IF('Zoopl Count'!P195="","",'Zoopl Count'!P195*(2^P$9)/P$8)</f>
        <v/>
      </c>
    </row>
    <row r="196" spans="1:16" s="75" customFormat="1">
      <c r="E196" s="138" t="s">
        <v>14</v>
      </c>
      <c r="F196" s="139" t="s">
        <v>34</v>
      </c>
      <c r="G196" s="205">
        <f>IF('Zoopl Count'!G196="","",'Zoopl Count'!G196*(2^G$9)/G$8)</f>
        <v>0.13037972938088066</v>
      </c>
      <c r="H196" s="205">
        <f>IF('Zoopl Count'!H196="","",'Zoopl Count'!H196*(2^H$9)/H$8)</f>
        <v>0.13037972938088066</v>
      </c>
      <c r="I196" s="205" t="str">
        <f>IF('Zoopl Count'!I196="","",'Zoopl Count'!I196*(2^I$9)/I$8)</f>
        <v/>
      </c>
      <c r="J196" s="205" t="str">
        <f>IF('Zoopl Count'!J196="","",'Zoopl Count'!J196*(2^J$9)/J$8)</f>
        <v/>
      </c>
      <c r="K196" s="205" t="str">
        <f>IF('Zoopl Count'!K196="","",'Zoopl Count'!K196*(2^K$9)/K$8)</f>
        <v/>
      </c>
      <c r="L196" s="205" t="str">
        <f>IF('Zoopl Count'!L196="","",'Zoopl Count'!L196*(2^L$9)/L$8)</f>
        <v/>
      </c>
      <c r="M196" s="205" t="str">
        <f>IF('Zoopl Count'!M196="","",'Zoopl Count'!M196*(2^M$9)/M$8)</f>
        <v/>
      </c>
      <c r="N196" s="205" t="str">
        <f>IF('Zoopl Count'!N196="","",'Zoopl Count'!N196*(2^N$9)/N$8)</f>
        <v/>
      </c>
      <c r="O196" s="205" t="str">
        <f>IF('Zoopl Count'!O196="","",'Zoopl Count'!O196*(2^O$9)/O$8)</f>
        <v/>
      </c>
      <c r="P196" s="205" t="str">
        <f>IF('Zoopl Count'!P196="","",'Zoopl Count'!P196*(2^P$9)/P$8)</f>
        <v/>
      </c>
    </row>
    <row r="197" spans="1:16" s="75" customFormat="1">
      <c r="E197" s="138"/>
      <c r="F197" s="10" t="s">
        <v>341</v>
      </c>
      <c r="G197" s="205" t="str">
        <f>IF('Zoopl Count'!G197="","",'Zoopl Count'!G197*(2^G$9)/G$8)</f>
        <v/>
      </c>
      <c r="H197" s="205" t="str">
        <f>IF('Zoopl Count'!H197="","",'Zoopl Count'!H197*(2^H$9)/H$8)</f>
        <v/>
      </c>
      <c r="I197" s="205" t="str">
        <f>IF('Zoopl Count'!I197="","",'Zoopl Count'!I197*(2^I$9)/I$8)</f>
        <v/>
      </c>
      <c r="J197" s="205" t="str">
        <f>IF('Zoopl Count'!J197="","",'Zoopl Count'!J197*(2^J$9)/J$8)</f>
        <v/>
      </c>
      <c r="K197" s="205" t="str">
        <f>IF('Zoopl Count'!K197="","",'Zoopl Count'!K197*(2^K$9)/K$8)</f>
        <v/>
      </c>
      <c r="L197" s="205" t="str">
        <f>IF('Zoopl Count'!L197="","",'Zoopl Count'!L197*(2^L$9)/L$8)</f>
        <v/>
      </c>
      <c r="M197" s="205" t="str">
        <f>IF('Zoopl Count'!M197="","",'Zoopl Count'!M197*(2^M$9)/M$8)</f>
        <v/>
      </c>
      <c r="N197" s="205" t="str">
        <f>IF('Zoopl Count'!N197="","",'Zoopl Count'!N197*(2^N$9)/N$8)</f>
        <v/>
      </c>
      <c r="O197" s="205" t="str">
        <f>IF('Zoopl Count'!O197="","",'Zoopl Count'!O197*(2^O$9)/O$8)</f>
        <v/>
      </c>
      <c r="P197" s="205" t="str">
        <f>IF('Zoopl Count'!P197="","",'Zoopl Count'!P197*(2^P$9)/P$8)</f>
        <v/>
      </c>
    </row>
    <row r="198" spans="1:16" s="75" customFormat="1">
      <c r="A198" s="199"/>
      <c r="B198" s="199"/>
      <c r="C198" s="199"/>
      <c r="D198" s="200" t="s">
        <v>12</v>
      </c>
      <c r="E198" s="199" t="s">
        <v>295</v>
      </c>
      <c r="F198" s="202"/>
      <c r="G198" s="205" t="str">
        <f>IF('Zoopl Count'!G198="","",'Zoopl Count'!G198*(2^G$9)/G$8)</f>
        <v/>
      </c>
      <c r="H198" s="205" t="str">
        <f>IF('Zoopl Count'!H198="","",'Zoopl Count'!H198*(2^H$9)/H$8)</f>
        <v/>
      </c>
      <c r="I198" s="205" t="str">
        <f>IF('Zoopl Count'!I198="","",'Zoopl Count'!I198*(2^I$9)/I$8)</f>
        <v/>
      </c>
      <c r="J198" s="205" t="str">
        <f>IF('Zoopl Count'!J198="","",'Zoopl Count'!J198*(2^J$9)/J$8)</f>
        <v/>
      </c>
      <c r="K198" s="205" t="str">
        <f>IF('Zoopl Count'!K198="","",'Zoopl Count'!K198*(2^K$9)/K$8)</f>
        <v/>
      </c>
      <c r="L198" s="205" t="str">
        <f>IF('Zoopl Count'!L198="","",'Zoopl Count'!L198*(2^L$9)/L$8)</f>
        <v/>
      </c>
      <c r="M198" s="205" t="str">
        <f>IF('Zoopl Count'!M198="","",'Zoopl Count'!M198*(2^M$9)/M$8)</f>
        <v/>
      </c>
      <c r="N198" s="205" t="str">
        <f>IF('Zoopl Count'!N198="","",'Zoopl Count'!N198*(2^N$9)/N$8)</f>
        <v/>
      </c>
      <c r="O198" s="205" t="str">
        <f>IF('Zoopl Count'!O198="","",'Zoopl Count'!O198*(2^O$9)/O$8)</f>
        <v/>
      </c>
      <c r="P198" s="205" t="str">
        <f>IF('Zoopl Count'!P198="","",'Zoopl Count'!P198*(2^P$9)/P$8)</f>
        <v/>
      </c>
    </row>
    <row r="199" spans="1:16" s="75" customFormat="1">
      <c r="A199" s="199"/>
      <c r="B199" s="199"/>
      <c r="C199" s="199"/>
      <c r="D199" s="199"/>
      <c r="E199" s="200" t="s">
        <v>14</v>
      </c>
      <c r="F199" s="10" t="s">
        <v>296</v>
      </c>
      <c r="G199" s="205">
        <f>IF('Zoopl Count'!G199="","",'Zoopl Count'!G199*(2^G$9)/G$8)</f>
        <v>0.13037972938088066</v>
      </c>
      <c r="H199" s="205" t="str">
        <f>IF('Zoopl Count'!H199="","",'Zoopl Count'!H199*(2^H$9)/H$8)</f>
        <v/>
      </c>
      <c r="I199" s="205">
        <f>IF('Zoopl Count'!I199="","",'Zoopl Count'!I199*(2^I$9)/I$8)</f>
        <v>3.2594932345220165E-2</v>
      </c>
      <c r="J199" s="205" t="str">
        <f>IF('Zoopl Count'!J199="","",'Zoopl Count'!J199*(2^J$9)/J$8)</f>
        <v/>
      </c>
      <c r="K199" s="205">
        <f>IF('Zoopl Count'!K199="","",'Zoopl Count'!K199*(2^K$9)/K$8)</f>
        <v>0.13037972938088066</v>
      </c>
      <c r="L199" s="205" t="str">
        <f>IF('Zoopl Count'!L199="","",'Zoopl Count'!L199*(2^L$9)/L$8)</f>
        <v/>
      </c>
      <c r="M199" s="205" t="str">
        <f>IF('Zoopl Count'!M199="","",'Zoopl Count'!M199*(2^M$9)/M$8)</f>
        <v/>
      </c>
      <c r="N199" s="205">
        <f>IF('Zoopl Count'!N199="","",'Zoopl Count'!N199*(2^N$9)/N$8)</f>
        <v>3.2594932345220165E-2</v>
      </c>
      <c r="O199" s="205">
        <f>IF('Zoopl Count'!O199="","",'Zoopl Count'!O199*(2^O$9)/O$8)</f>
        <v>1.0430378350470453</v>
      </c>
      <c r="P199" s="205" t="str">
        <f>IF('Zoopl Count'!P199="","",'Zoopl Count'!P199*(2^P$9)/P$8)</f>
        <v/>
      </c>
    </row>
    <row r="200" spans="1:16" s="75" customFormat="1" hidden="1">
      <c r="A200" s="199"/>
      <c r="B200" s="199"/>
      <c r="C200" s="199"/>
      <c r="D200" s="200" t="s">
        <v>12</v>
      </c>
      <c r="E200" s="201" t="s">
        <v>160</v>
      </c>
      <c r="F200" s="10"/>
      <c r="G200" s="205" t="str">
        <f>IF('Zoopl Count'!G200="","",'Zoopl Count'!G200*(2^G$9)/G$8)</f>
        <v/>
      </c>
      <c r="H200" s="205" t="str">
        <f>IF('Zoopl Count'!H200="","",'Zoopl Count'!H200*(2^H$9)/H$8)</f>
        <v/>
      </c>
      <c r="I200" s="205" t="str">
        <f>IF('Zoopl Count'!I200="","",'Zoopl Count'!I200*(2^I$9)/I$8)</f>
        <v/>
      </c>
      <c r="J200" s="205" t="str">
        <f>IF('Zoopl Count'!J200="","",'Zoopl Count'!J200*(2^J$9)/J$8)</f>
        <v/>
      </c>
      <c r="K200" s="205" t="str">
        <f>IF('Zoopl Count'!K200="","",'Zoopl Count'!K200*(2^K$9)/K$8)</f>
        <v/>
      </c>
      <c r="L200" s="205" t="str">
        <f>IF('Zoopl Count'!L200="","",'Zoopl Count'!L200*(2^L$9)/L$8)</f>
        <v/>
      </c>
      <c r="M200" s="205" t="str">
        <f>IF('Zoopl Count'!M200="","",'Zoopl Count'!M200*(2^M$9)/M$8)</f>
        <v/>
      </c>
      <c r="N200" s="205" t="str">
        <f>IF('Zoopl Count'!N200="","",'Zoopl Count'!N200*(2^N$9)/N$8)</f>
        <v/>
      </c>
      <c r="O200" s="205" t="str">
        <f>IF('Zoopl Count'!O200="","",'Zoopl Count'!O200*(2^O$9)/O$8)</f>
        <v/>
      </c>
      <c r="P200" s="205" t="str">
        <f>IF('Zoopl Count'!P200="","",'Zoopl Count'!P200*(2^P$9)/P$8)</f>
        <v/>
      </c>
    </row>
    <row r="201" spans="1:16" s="75" customFormat="1" hidden="1">
      <c r="E201" s="138" t="s">
        <v>14</v>
      </c>
      <c r="F201" s="139" t="s">
        <v>161</v>
      </c>
      <c r="G201" s="205" t="str">
        <f>IF('Zoopl Count'!G201="","",'Zoopl Count'!G201*(2^G$9)/G$8)</f>
        <v/>
      </c>
      <c r="H201" s="205" t="str">
        <f>IF('Zoopl Count'!H201="","",'Zoopl Count'!H201*(2^H$9)/H$8)</f>
        <v/>
      </c>
      <c r="I201" s="205" t="str">
        <f>IF('Zoopl Count'!I201="","",'Zoopl Count'!I201*(2^I$9)/I$8)</f>
        <v/>
      </c>
      <c r="J201" s="205" t="str">
        <f>IF('Zoopl Count'!J201="","",'Zoopl Count'!J201*(2^J$9)/J$8)</f>
        <v/>
      </c>
      <c r="K201" s="205" t="str">
        <f>IF('Zoopl Count'!K201="","",'Zoopl Count'!K201*(2^K$9)/K$8)</f>
        <v/>
      </c>
      <c r="L201" s="205" t="str">
        <f>IF('Zoopl Count'!L201="","",'Zoopl Count'!L201*(2^L$9)/L$8)</f>
        <v/>
      </c>
      <c r="M201" s="205" t="str">
        <f>IF('Zoopl Count'!M201="","",'Zoopl Count'!M201*(2^M$9)/M$8)</f>
        <v/>
      </c>
      <c r="N201" s="205" t="str">
        <f>IF('Zoopl Count'!N201="","",'Zoopl Count'!N201*(2^N$9)/N$8)</f>
        <v/>
      </c>
      <c r="O201" s="205" t="str">
        <f>IF('Zoopl Count'!O201="","",'Zoopl Count'!O201*(2^O$9)/O$8)</f>
        <v/>
      </c>
      <c r="P201" s="205" t="str">
        <f>IF('Zoopl Count'!P201="","",'Zoopl Count'!P201*(2^P$9)/P$8)</f>
        <v/>
      </c>
    </row>
    <row r="202" spans="1:16" s="75" customFormat="1">
      <c r="F202" s="137"/>
      <c r="G202" s="205" t="str">
        <f>IF('Zoopl Count'!G202="","",'Zoopl Count'!G202*(2^G$9)/G$8)</f>
        <v/>
      </c>
      <c r="H202" s="205" t="str">
        <f>IF('Zoopl Count'!H202="","",'Zoopl Count'!H202*(2^H$9)/H$8)</f>
        <v/>
      </c>
      <c r="I202" s="205" t="str">
        <f>IF('Zoopl Count'!I202="","",'Zoopl Count'!I202*(2^I$9)/I$8)</f>
        <v/>
      </c>
      <c r="J202" s="205" t="str">
        <f>IF('Zoopl Count'!J202="","",'Zoopl Count'!J202*(2^J$9)/J$8)</f>
        <v/>
      </c>
      <c r="K202" s="205" t="str">
        <f>IF('Zoopl Count'!K202="","",'Zoopl Count'!K202*(2^K$9)/K$8)</f>
        <v/>
      </c>
      <c r="L202" s="205" t="str">
        <f>IF('Zoopl Count'!L202="","",'Zoopl Count'!L202*(2^L$9)/L$8)</f>
        <v/>
      </c>
      <c r="M202" s="205" t="str">
        <f>IF('Zoopl Count'!M202="","",'Zoopl Count'!M202*(2^M$9)/M$8)</f>
        <v/>
      </c>
      <c r="N202" s="205" t="str">
        <f>IF('Zoopl Count'!N202="","",'Zoopl Count'!N202*(2^N$9)/N$8)</f>
        <v/>
      </c>
      <c r="O202" s="205" t="str">
        <f>IF('Zoopl Count'!O202="","",'Zoopl Count'!O202*(2^O$9)/O$8)</f>
        <v/>
      </c>
      <c r="P202" s="205" t="str">
        <f>IF('Zoopl Count'!P202="","",'Zoopl Count'!P202*(2^P$9)/P$8)</f>
        <v/>
      </c>
    </row>
    <row r="203" spans="1:16" s="75" customFormat="1">
      <c r="A203" s="135"/>
      <c r="B203" s="135"/>
      <c r="C203" s="134" t="s">
        <v>10</v>
      </c>
      <c r="D203" s="135" t="s">
        <v>35</v>
      </c>
      <c r="E203" s="135"/>
      <c r="F203" s="136"/>
      <c r="G203" s="205" t="str">
        <f>IF('Zoopl Count'!G203="","",'Zoopl Count'!G203*(2^G$9)/G$8)</f>
        <v/>
      </c>
      <c r="H203" s="205" t="str">
        <f>IF('Zoopl Count'!H203="","",'Zoopl Count'!H203*(2^H$9)/H$8)</f>
        <v/>
      </c>
      <c r="I203" s="205" t="str">
        <f>IF('Zoopl Count'!I203="","",'Zoopl Count'!I203*(2^I$9)/I$8)</f>
        <v/>
      </c>
      <c r="J203" s="205" t="str">
        <f>IF('Zoopl Count'!J203="","",'Zoopl Count'!J203*(2^J$9)/J$8)</f>
        <v/>
      </c>
      <c r="K203" s="205" t="str">
        <f>IF('Zoopl Count'!K203="","",'Zoopl Count'!K203*(2^K$9)/K$8)</f>
        <v/>
      </c>
      <c r="L203" s="205" t="str">
        <f>IF('Zoopl Count'!L203="","",'Zoopl Count'!L203*(2^L$9)/L$8)</f>
        <v/>
      </c>
      <c r="M203" s="205" t="str">
        <f>IF('Zoopl Count'!M203="","",'Zoopl Count'!M203*(2^M$9)/M$8)</f>
        <v/>
      </c>
      <c r="N203" s="205" t="str">
        <f>IF('Zoopl Count'!N203="","",'Zoopl Count'!N203*(2^N$9)/N$8)</f>
        <v/>
      </c>
      <c r="O203" s="205" t="str">
        <f>IF('Zoopl Count'!O203="","",'Zoopl Count'!O203*(2^O$9)/O$8)</f>
        <v/>
      </c>
      <c r="P203" s="205" t="str">
        <f>IF('Zoopl Count'!P203="","",'Zoopl Count'!P203*(2^P$9)/P$8)</f>
        <v/>
      </c>
    </row>
    <row r="204" spans="1:16" s="75" customFormat="1">
      <c r="C204" s="138"/>
      <c r="D204" s="135"/>
      <c r="F204" s="137" t="s">
        <v>158</v>
      </c>
      <c r="G204" s="205" t="str">
        <f>IF('Zoopl Count'!G204="","",'Zoopl Count'!G204*(2^G$9)/G$8)</f>
        <v/>
      </c>
      <c r="H204" s="205" t="str">
        <f>IF('Zoopl Count'!H204="","",'Zoopl Count'!H204*(2^H$9)/H$8)</f>
        <v/>
      </c>
      <c r="I204" s="205" t="str">
        <f>IF('Zoopl Count'!I204="","",'Zoopl Count'!I204*(2^I$9)/I$8)</f>
        <v/>
      </c>
      <c r="J204" s="205" t="str">
        <f>IF('Zoopl Count'!J204="","",'Zoopl Count'!J204*(2^J$9)/J$8)</f>
        <v/>
      </c>
      <c r="K204" s="205" t="str">
        <f>IF('Zoopl Count'!K204="","",'Zoopl Count'!K204*(2^K$9)/K$8)</f>
        <v/>
      </c>
      <c r="L204" s="205" t="str">
        <f>IF('Zoopl Count'!L204="","",'Zoopl Count'!L204*(2^L$9)/L$8)</f>
        <v/>
      </c>
      <c r="M204" s="205" t="str">
        <f>IF('Zoopl Count'!M204="","",'Zoopl Count'!M204*(2^M$9)/M$8)</f>
        <v/>
      </c>
      <c r="N204" s="205" t="str">
        <f>IF('Zoopl Count'!N204="","",'Zoopl Count'!N204*(2^N$9)/N$8)</f>
        <v/>
      </c>
      <c r="O204" s="205" t="str">
        <f>IF('Zoopl Count'!O204="","",'Zoopl Count'!O204*(2^O$9)/O$8)</f>
        <v/>
      </c>
      <c r="P204" s="205" t="str">
        <f>IF('Zoopl Count'!P204="","",'Zoopl Count'!P204*(2^P$9)/P$8)</f>
        <v/>
      </c>
    </row>
    <row r="205" spans="1:16" s="75" customFormat="1">
      <c r="C205" s="138"/>
      <c r="D205" s="135"/>
      <c r="F205" s="137" t="s">
        <v>105</v>
      </c>
      <c r="G205" s="205" t="str">
        <f>IF('Zoopl Count'!G205="","",'Zoopl Count'!G205*(2^G$9)/G$8)</f>
        <v/>
      </c>
      <c r="H205" s="205" t="str">
        <f>IF('Zoopl Count'!H205="","",'Zoopl Count'!H205*(2^H$9)/H$8)</f>
        <v/>
      </c>
      <c r="I205" s="205" t="str">
        <f>IF('Zoopl Count'!I205="","",'Zoopl Count'!I205*(2^I$9)/I$8)</f>
        <v/>
      </c>
      <c r="J205" s="205" t="str">
        <f>IF('Zoopl Count'!J205="","",'Zoopl Count'!J205*(2^J$9)/J$8)</f>
        <v/>
      </c>
      <c r="K205" s="205" t="str">
        <f>IF('Zoopl Count'!K205="","",'Zoopl Count'!K205*(2^K$9)/K$8)</f>
        <v/>
      </c>
      <c r="L205" s="205" t="str">
        <f>IF('Zoopl Count'!L205="","",'Zoopl Count'!L205*(2^L$9)/L$8)</f>
        <v/>
      </c>
      <c r="M205" s="205" t="str">
        <f>IF('Zoopl Count'!M205="","",'Zoopl Count'!M205*(2^M$9)/M$8)</f>
        <v/>
      </c>
      <c r="N205" s="205" t="str">
        <f>IF('Zoopl Count'!N205="","",'Zoopl Count'!N205*(2^N$9)/N$8)</f>
        <v/>
      </c>
      <c r="O205" s="205" t="str">
        <f>IF('Zoopl Count'!O205="","",'Zoopl Count'!O205*(2^O$9)/O$8)</f>
        <v/>
      </c>
      <c r="P205" s="205" t="str">
        <f>IF('Zoopl Count'!P205="","",'Zoopl Count'!P205*(2^P$9)/P$8)</f>
        <v/>
      </c>
    </row>
    <row r="206" spans="1:16" s="75" customFormat="1">
      <c r="D206" s="138" t="s">
        <v>12</v>
      </c>
      <c r="E206" s="75" t="s">
        <v>36</v>
      </c>
      <c r="F206" s="137"/>
      <c r="G206" s="205" t="str">
        <f>IF('Zoopl Count'!G206="","",'Zoopl Count'!G206*(2^G$9)/G$8)</f>
        <v/>
      </c>
      <c r="H206" s="205" t="str">
        <f>IF('Zoopl Count'!H206="","",'Zoopl Count'!H206*(2^H$9)/H$8)</f>
        <v/>
      </c>
      <c r="I206" s="205" t="str">
        <f>IF('Zoopl Count'!I206="","",'Zoopl Count'!I206*(2^I$9)/I$8)</f>
        <v/>
      </c>
      <c r="J206" s="205" t="str">
        <f>IF('Zoopl Count'!J206="","",'Zoopl Count'!J206*(2^J$9)/J$8)</f>
        <v/>
      </c>
      <c r="K206" s="205" t="str">
        <f>IF('Zoopl Count'!K206="","",'Zoopl Count'!K206*(2^K$9)/K$8)</f>
        <v/>
      </c>
      <c r="L206" s="205" t="str">
        <f>IF('Zoopl Count'!L206="","",'Zoopl Count'!L206*(2^L$9)/L$8)</f>
        <v/>
      </c>
      <c r="M206" s="205" t="str">
        <f>IF('Zoopl Count'!M206="","",'Zoopl Count'!M206*(2^M$9)/M$8)</f>
        <v/>
      </c>
      <c r="N206" s="205" t="str">
        <f>IF('Zoopl Count'!N206="","",'Zoopl Count'!N206*(2^N$9)/N$8)</f>
        <v/>
      </c>
      <c r="O206" s="205" t="str">
        <f>IF('Zoopl Count'!O206="","",'Zoopl Count'!O206*(2^O$9)/O$8)</f>
        <v/>
      </c>
      <c r="P206" s="205" t="str">
        <f>IF('Zoopl Count'!P206="","",'Zoopl Count'!P206*(2^P$9)/P$8)</f>
        <v/>
      </c>
    </row>
    <row r="207" spans="1:16" s="75" customFormat="1">
      <c r="E207" s="138" t="s">
        <v>14</v>
      </c>
      <c r="F207" s="139" t="s">
        <v>37</v>
      </c>
      <c r="G207" s="205">
        <f>IF('Zoopl Count'!G207="","",'Zoopl Count'!G207*(2^G$9)/G$8)</f>
        <v>0.65189864690440336</v>
      </c>
      <c r="H207" s="205">
        <f>IF('Zoopl Count'!H207="","",'Zoopl Count'!H207*(2^H$9)/H$8)</f>
        <v>0.32594932345220168</v>
      </c>
      <c r="I207" s="205">
        <f>IF('Zoopl Count'!I207="","",'Zoopl Count'!I207*(2^I$9)/I$8)</f>
        <v>0.68449357924962351</v>
      </c>
      <c r="J207" s="205">
        <f>IF('Zoopl Count'!J207="","",'Zoopl Count'!J207*(2^J$9)/J$8)</f>
        <v>2.737974316998494</v>
      </c>
      <c r="K207" s="205">
        <f>IF('Zoopl Count'!K207="","",'Zoopl Count'!K207*(2^K$9)/K$8)</f>
        <v>1.5645567525705679</v>
      </c>
      <c r="L207" s="205" t="str">
        <f>IF('Zoopl Count'!L207="","",'Zoopl Count'!L207*(2^L$9)/L$8)</f>
        <v/>
      </c>
      <c r="M207" s="205">
        <f>IF('Zoopl Count'!M207="","",'Zoopl Count'!M207*(2^M$9)/M$8)</f>
        <v>3.2594932345220164</v>
      </c>
      <c r="N207" s="205">
        <f>IF('Zoopl Count'!N207="","",'Zoopl Count'!N207*(2^N$9)/N$8)</f>
        <v>0.32594932345220168</v>
      </c>
      <c r="O207" s="205">
        <f>IF('Zoopl Count'!O207="","",'Zoopl Count'!O207*(2^O$9)/O$8)</f>
        <v>3.1291135051411358</v>
      </c>
      <c r="P207" s="205">
        <f>IF('Zoopl Count'!P207="","",'Zoopl Count'!P207*(2^P$9)/P$8)</f>
        <v>0.52151891752352264</v>
      </c>
    </row>
    <row r="208" spans="1:16" s="75" customFormat="1">
      <c r="D208" s="138" t="s">
        <v>12</v>
      </c>
      <c r="E208" s="75" t="s">
        <v>38</v>
      </c>
      <c r="F208" s="137"/>
      <c r="G208" s="205" t="str">
        <f>IF('Zoopl Count'!G208="","",'Zoopl Count'!G208*(2^G$9)/G$8)</f>
        <v/>
      </c>
      <c r="H208" s="205" t="str">
        <f>IF('Zoopl Count'!H208="","",'Zoopl Count'!H208*(2^H$9)/H$8)</f>
        <v/>
      </c>
      <c r="I208" s="205" t="str">
        <f>IF('Zoopl Count'!I208="","",'Zoopl Count'!I208*(2^I$9)/I$8)</f>
        <v/>
      </c>
      <c r="J208" s="205" t="str">
        <f>IF('Zoopl Count'!J208="","",'Zoopl Count'!J208*(2^J$9)/J$8)</f>
        <v/>
      </c>
      <c r="K208" s="205" t="str">
        <f>IF('Zoopl Count'!K208="","",'Zoopl Count'!K208*(2^K$9)/K$8)</f>
        <v/>
      </c>
      <c r="L208" s="205" t="str">
        <f>IF('Zoopl Count'!L208="","",'Zoopl Count'!L208*(2^L$9)/L$8)</f>
        <v/>
      </c>
      <c r="M208" s="205" t="str">
        <f>IF('Zoopl Count'!M208="","",'Zoopl Count'!M208*(2^M$9)/M$8)</f>
        <v/>
      </c>
      <c r="N208" s="205" t="str">
        <f>IF('Zoopl Count'!N208="","",'Zoopl Count'!N208*(2^N$9)/N$8)</f>
        <v/>
      </c>
      <c r="O208" s="205" t="str">
        <f>IF('Zoopl Count'!O208="","",'Zoopl Count'!O208*(2^O$9)/O$8)</f>
        <v/>
      </c>
      <c r="P208" s="205" t="str">
        <f>IF('Zoopl Count'!P208="","",'Zoopl Count'!P208*(2^P$9)/P$8)</f>
        <v/>
      </c>
    </row>
    <row r="209" spans="1:16" s="75" customFormat="1">
      <c r="E209" s="138" t="s">
        <v>14</v>
      </c>
      <c r="F209" s="139" t="s">
        <v>39</v>
      </c>
      <c r="G209" s="205">
        <f>IF('Zoopl Count'!G209="","",'Zoopl Count'!G209*(2^G$9)/G$8)</f>
        <v>14.341770231896872</v>
      </c>
      <c r="H209" s="205">
        <f>IF('Zoopl Count'!H209="","",'Zoopl Count'!H209*(2^H$9)/H$8)</f>
        <v>4.9544297164734648</v>
      </c>
      <c r="I209" s="205">
        <f>IF('Zoopl Count'!I209="","",'Zoopl Count'!I209*(2^I$9)/I$8)</f>
        <v>0.52151891752352264</v>
      </c>
      <c r="J209" s="205">
        <f>IF('Zoopl Count'!J209="","",'Zoopl Count'!J209*(2^J$9)/J$8)</f>
        <v>2.9987337757602552</v>
      </c>
      <c r="K209" s="205">
        <f>IF('Zoopl Count'!K209="","",'Zoopl Count'!K209*(2^K$9)/K$8)</f>
        <v>4.6936702577117035</v>
      </c>
      <c r="L209" s="205">
        <f>IF('Zoopl Count'!L209="","",'Zoopl Count'!L209*(2^L$9)/L$8)</f>
        <v>6.2582270102822717</v>
      </c>
      <c r="M209" s="205">
        <f>IF('Zoopl Count'!M209="","",'Zoopl Count'!M209*(2^M$9)/M$8)</f>
        <v>7.0405053865675553</v>
      </c>
      <c r="N209" s="205">
        <f>IF('Zoopl Count'!N209="","",'Zoopl Count'!N209*(2^N$9)/N$8)</f>
        <v>1.368987158499247</v>
      </c>
      <c r="O209" s="205">
        <f>IF('Zoopl Count'!O209="","",'Zoopl Count'!O209*(2^O$9)/O$8)</f>
        <v>42.76455123692886</v>
      </c>
      <c r="P209" s="205">
        <f>IF('Zoopl Count'!P209="","",'Zoopl Count'!P209*(2^P$9)/P$8)</f>
        <v>1.8253162113323294</v>
      </c>
    </row>
    <row r="210" spans="1:16" s="75" customFormat="1">
      <c r="D210" s="138" t="s">
        <v>12</v>
      </c>
      <c r="E210" s="75" t="s">
        <v>41</v>
      </c>
      <c r="F210" s="137"/>
      <c r="G210" s="205" t="str">
        <f>IF('Zoopl Count'!G210="","",'Zoopl Count'!G210*(2^G$9)/G$8)</f>
        <v/>
      </c>
      <c r="H210" s="205" t="str">
        <f>IF('Zoopl Count'!H210="","",'Zoopl Count'!H210*(2^H$9)/H$8)</f>
        <v/>
      </c>
      <c r="I210" s="205" t="str">
        <f>IF('Zoopl Count'!I210="","",'Zoopl Count'!I210*(2^I$9)/I$8)</f>
        <v/>
      </c>
      <c r="J210" s="205" t="str">
        <f>IF('Zoopl Count'!J210="","",'Zoopl Count'!J210*(2^J$9)/J$8)</f>
        <v/>
      </c>
      <c r="K210" s="205" t="str">
        <f>IF('Zoopl Count'!K210="","",'Zoopl Count'!K210*(2^K$9)/K$8)</f>
        <v/>
      </c>
      <c r="L210" s="205" t="str">
        <f>IF('Zoopl Count'!L210="","",'Zoopl Count'!L210*(2^L$9)/L$8)</f>
        <v/>
      </c>
      <c r="M210" s="205" t="str">
        <f>IF('Zoopl Count'!M210="","",'Zoopl Count'!M210*(2^M$9)/M$8)</f>
        <v/>
      </c>
      <c r="N210" s="205" t="str">
        <f>IF('Zoopl Count'!N210="","",'Zoopl Count'!N210*(2^N$9)/N$8)</f>
        <v/>
      </c>
      <c r="O210" s="205" t="str">
        <f>IF('Zoopl Count'!O210="","",'Zoopl Count'!O210*(2^O$9)/O$8)</f>
        <v/>
      </c>
      <c r="P210" s="205" t="str">
        <f>IF('Zoopl Count'!P210="","",'Zoopl Count'!P210*(2^P$9)/P$8)</f>
        <v/>
      </c>
    </row>
    <row r="211" spans="1:16" s="75" customFormat="1">
      <c r="E211" s="138" t="s">
        <v>14</v>
      </c>
      <c r="F211" s="139" t="s">
        <v>42</v>
      </c>
      <c r="G211" s="205" t="str">
        <f>IF('Zoopl Count'!G211="","",'Zoopl Count'!G211*(2^G$9)/G$8)</f>
        <v/>
      </c>
      <c r="H211" s="205">
        <f>IF('Zoopl Count'!H211="","",'Zoopl Count'!H211*(2^H$9)/H$8)</f>
        <v>0.26075945876176132</v>
      </c>
      <c r="I211" s="205" t="str">
        <f>IF('Zoopl Count'!I211="","",'Zoopl Count'!I211*(2^I$9)/I$8)</f>
        <v/>
      </c>
      <c r="J211" s="205">
        <f>IF('Zoopl Count'!J211="","",'Zoopl Count'!J211*(2^J$9)/J$8)</f>
        <v>0.65189864690440336</v>
      </c>
      <c r="K211" s="205">
        <f>IF('Zoopl Count'!K211="","",'Zoopl Count'!K211*(2^K$9)/K$8)</f>
        <v>0.13037972938088066</v>
      </c>
      <c r="L211" s="205" t="str">
        <f>IF('Zoopl Count'!L211="","",'Zoopl Count'!L211*(2^L$9)/L$8)</f>
        <v/>
      </c>
      <c r="M211" s="205" t="str">
        <f>IF('Zoopl Count'!M211="","",'Zoopl Count'!M211*(2^M$9)/M$8)</f>
        <v/>
      </c>
      <c r="N211" s="205" t="str">
        <f>IF('Zoopl Count'!N211="","",'Zoopl Count'!N211*(2^N$9)/N$8)</f>
        <v/>
      </c>
      <c r="O211" s="205" t="str">
        <f>IF('Zoopl Count'!O211="","",'Zoopl Count'!O211*(2^O$9)/O$8)</f>
        <v/>
      </c>
      <c r="P211" s="205">
        <f>IF('Zoopl Count'!P211="","",'Zoopl Count'!P211*(2^P$9)/P$8)</f>
        <v>0.13037972938088066</v>
      </c>
    </row>
    <row r="212" spans="1:16" s="75" customFormat="1" hidden="1">
      <c r="A212" s="206"/>
      <c r="B212" s="206"/>
      <c r="C212" s="206"/>
      <c r="D212" s="207"/>
      <c r="E212" s="206"/>
      <c r="F212" s="10" t="s">
        <v>183</v>
      </c>
      <c r="G212" s="205" t="str">
        <f>IF('Zoopl Count'!G212="","",'Zoopl Count'!G212*(2^G$9)/G$8)</f>
        <v/>
      </c>
      <c r="H212" s="205" t="str">
        <f>IF('Zoopl Count'!H212="","",'Zoopl Count'!H212*(2^H$9)/H$8)</f>
        <v/>
      </c>
      <c r="I212" s="205" t="str">
        <f>IF('Zoopl Count'!I212="","",'Zoopl Count'!I212*(2^I$9)/I$8)</f>
        <v/>
      </c>
      <c r="J212" s="205" t="str">
        <f>IF('Zoopl Count'!J212="","",'Zoopl Count'!J212*(2^J$9)/J$8)</f>
        <v/>
      </c>
      <c r="K212" s="205" t="str">
        <f>IF('Zoopl Count'!K212="","",'Zoopl Count'!K212*(2^K$9)/K$8)</f>
        <v/>
      </c>
      <c r="L212" s="205" t="str">
        <f>IF('Zoopl Count'!L212="","",'Zoopl Count'!L212*(2^L$9)/L$8)</f>
        <v/>
      </c>
      <c r="M212" s="205" t="str">
        <f>IF('Zoopl Count'!M212="","",'Zoopl Count'!M212*(2^M$9)/M$8)</f>
        <v/>
      </c>
      <c r="N212" s="205" t="str">
        <f>IF('Zoopl Count'!N212="","",'Zoopl Count'!N212*(2^N$9)/N$8)</f>
        <v/>
      </c>
      <c r="O212" s="205" t="str">
        <f>IF('Zoopl Count'!O212="","",'Zoopl Count'!O212*(2^O$9)/O$8)</f>
        <v/>
      </c>
      <c r="P212" s="205" t="str">
        <f>IF('Zoopl Count'!P212="","",'Zoopl Count'!P212*(2^P$9)/P$8)</f>
        <v/>
      </c>
    </row>
    <row r="213" spans="1:16" s="75" customFormat="1" hidden="1">
      <c r="A213" s="206"/>
      <c r="B213" s="206"/>
      <c r="C213" s="206"/>
      <c r="D213" s="207" t="s">
        <v>12</v>
      </c>
      <c r="E213" s="206" t="s">
        <v>287</v>
      </c>
      <c r="F213" s="231"/>
      <c r="G213" s="205" t="str">
        <f>IF('Zoopl Count'!G213="","",'Zoopl Count'!G213*(2^G$9)/G$8)</f>
        <v/>
      </c>
      <c r="H213" s="205" t="str">
        <f>IF('Zoopl Count'!H213="","",'Zoopl Count'!H213*(2^H$9)/H$8)</f>
        <v/>
      </c>
      <c r="I213" s="205" t="str">
        <f>IF('Zoopl Count'!I213="","",'Zoopl Count'!I213*(2^I$9)/I$8)</f>
        <v/>
      </c>
      <c r="J213" s="205" t="str">
        <f>IF('Zoopl Count'!J213="","",'Zoopl Count'!J213*(2^J$9)/J$8)</f>
        <v/>
      </c>
      <c r="K213" s="205" t="str">
        <f>IF('Zoopl Count'!K213="","",'Zoopl Count'!K213*(2^K$9)/K$8)</f>
        <v/>
      </c>
      <c r="L213" s="205" t="str">
        <f>IF('Zoopl Count'!L213="","",'Zoopl Count'!L213*(2^L$9)/L$8)</f>
        <v/>
      </c>
      <c r="M213" s="205" t="str">
        <f>IF('Zoopl Count'!M213="","",'Zoopl Count'!M213*(2^M$9)/M$8)</f>
        <v/>
      </c>
      <c r="N213" s="205" t="str">
        <f>IF('Zoopl Count'!N213="","",'Zoopl Count'!N213*(2^N$9)/N$8)</f>
        <v/>
      </c>
      <c r="O213" s="205" t="str">
        <f>IF('Zoopl Count'!O213="","",'Zoopl Count'!O213*(2^O$9)/O$8)</f>
        <v/>
      </c>
      <c r="P213" s="205" t="str">
        <f>IF('Zoopl Count'!P213="","",'Zoopl Count'!P213*(2^P$9)/P$8)</f>
        <v/>
      </c>
    </row>
    <row r="214" spans="1:16" s="75" customFormat="1" hidden="1">
      <c r="A214" s="206"/>
      <c r="B214" s="206"/>
      <c r="C214" s="206"/>
      <c r="D214" s="206"/>
      <c r="E214" s="207" t="s">
        <v>14</v>
      </c>
      <c r="F214" s="10" t="s">
        <v>300</v>
      </c>
      <c r="G214" s="205" t="str">
        <f>IF('Zoopl Count'!G214="","",'Zoopl Count'!G214*(2^G$9)/G$8)</f>
        <v/>
      </c>
      <c r="H214" s="205" t="str">
        <f>IF('Zoopl Count'!H214="","",'Zoopl Count'!H214*(2^H$9)/H$8)</f>
        <v/>
      </c>
      <c r="I214" s="205" t="str">
        <f>IF('Zoopl Count'!I214="","",'Zoopl Count'!I214*(2^I$9)/I$8)</f>
        <v/>
      </c>
      <c r="J214" s="205" t="str">
        <f>IF('Zoopl Count'!J214="","",'Zoopl Count'!J214*(2^J$9)/J$8)</f>
        <v/>
      </c>
      <c r="K214" s="205" t="str">
        <f>IF('Zoopl Count'!K214="","",'Zoopl Count'!K214*(2^K$9)/K$8)</f>
        <v/>
      </c>
      <c r="L214" s="205" t="str">
        <f>IF('Zoopl Count'!L214="","",'Zoopl Count'!L214*(2^L$9)/L$8)</f>
        <v/>
      </c>
      <c r="M214" s="205" t="str">
        <f>IF('Zoopl Count'!M214="","",'Zoopl Count'!M214*(2^M$9)/M$8)</f>
        <v/>
      </c>
      <c r="N214" s="205" t="str">
        <f>IF('Zoopl Count'!N214="","",'Zoopl Count'!N214*(2^N$9)/N$8)</f>
        <v/>
      </c>
      <c r="O214" s="205" t="str">
        <f>IF('Zoopl Count'!O214="","",'Zoopl Count'!O214*(2^O$9)/O$8)</f>
        <v/>
      </c>
      <c r="P214" s="205" t="str">
        <f>IF('Zoopl Count'!P214="","",'Zoopl Count'!P214*(2^P$9)/P$8)</f>
        <v/>
      </c>
    </row>
    <row r="215" spans="1:16" s="75" customFormat="1" hidden="1">
      <c r="A215" s="206"/>
      <c r="B215" s="206"/>
      <c r="C215" s="206"/>
      <c r="D215" s="206"/>
      <c r="F215" s="10" t="s">
        <v>286</v>
      </c>
      <c r="G215" s="205" t="str">
        <f>IF('Zoopl Count'!G215="","",'Zoopl Count'!G215*(2^G$9)/G$8)</f>
        <v/>
      </c>
      <c r="H215" s="205" t="str">
        <f>IF('Zoopl Count'!H215="","",'Zoopl Count'!H215*(2^H$9)/H$8)</f>
        <v/>
      </c>
      <c r="I215" s="205" t="str">
        <f>IF('Zoopl Count'!I215="","",'Zoopl Count'!I215*(2^I$9)/I$8)</f>
        <v/>
      </c>
      <c r="J215" s="205" t="str">
        <f>IF('Zoopl Count'!J215="","",'Zoopl Count'!J215*(2^J$9)/J$8)</f>
        <v/>
      </c>
      <c r="K215" s="205" t="str">
        <f>IF('Zoopl Count'!K215="","",'Zoopl Count'!K215*(2^K$9)/K$8)</f>
        <v/>
      </c>
      <c r="L215" s="205" t="str">
        <f>IF('Zoopl Count'!L215="","",'Zoopl Count'!L215*(2^L$9)/L$8)</f>
        <v/>
      </c>
      <c r="M215" s="205" t="str">
        <f>IF('Zoopl Count'!M215="","",'Zoopl Count'!M215*(2^M$9)/M$8)</f>
        <v/>
      </c>
      <c r="N215" s="205" t="str">
        <f>IF('Zoopl Count'!N215="","",'Zoopl Count'!N215*(2^N$9)/N$8)</f>
        <v/>
      </c>
      <c r="O215" s="205" t="str">
        <f>IF('Zoopl Count'!O215="","",'Zoopl Count'!O215*(2^O$9)/O$8)</f>
        <v/>
      </c>
      <c r="P215" s="205" t="str">
        <f>IF('Zoopl Count'!P215="","",'Zoopl Count'!P215*(2^P$9)/P$8)</f>
        <v/>
      </c>
    </row>
    <row r="216" spans="1:16" s="75" customFormat="1" hidden="1">
      <c r="A216" s="206"/>
      <c r="B216" s="206"/>
      <c r="C216" s="206"/>
      <c r="D216" s="207" t="s">
        <v>12</v>
      </c>
      <c r="E216" s="239" t="s">
        <v>397</v>
      </c>
      <c r="F216" s="231"/>
      <c r="G216" s="205" t="str">
        <f>IF('Zoopl Count'!G216="","",'Zoopl Count'!G216*(2^G$9)/G$8)</f>
        <v/>
      </c>
      <c r="H216" s="205" t="str">
        <f>IF('Zoopl Count'!H216="","",'Zoopl Count'!H216*(2^H$9)/H$8)</f>
        <v/>
      </c>
      <c r="I216" s="205" t="str">
        <f>IF('Zoopl Count'!I216="","",'Zoopl Count'!I216*(2^I$9)/I$8)</f>
        <v/>
      </c>
      <c r="J216" s="205" t="str">
        <f>IF('Zoopl Count'!J216="","",'Zoopl Count'!J216*(2^J$9)/J$8)</f>
        <v/>
      </c>
      <c r="K216" s="205" t="str">
        <f>IF('Zoopl Count'!K216="","",'Zoopl Count'!K216*(2^K$9)/K$8)</f>
        <v/>
      </c>
      <c r="L216" s="205" t="str">
        <f>IF('Zoopl Count'!L216="","",'Zoopl Count'!L216*(2^L$9)/L$8)</f>
        <v/>
      </c>
      <c r="M216" s="205" t="str">
        <f>IF('Zoopl Count'!M216="","",'Zoopl Count'!M216*(2^M$9)/M$8)</f>
        <v/>
      </c>
      <c r="N216" s="205" t="str">
        <f>IF('Zoopl Count'!N216="","",'Zoopl Count'!N216*(2^N$9)/N$8)</f>
        <v/>
      </c>
      <c r="O216" s="205" t="str">
        <f>IF('Zoopl Count'!O216="","",'Zoopl Count'!O216*(2^O$9)/O$8)</f>
        <v/>
      </c>
      <c r="P216" s="205" t="str">
        <f>IF('Zoopl Count'!P216="","",'Zoopl Count'!P216*(2^P$9)/P$8)</f>
        <v/>
      </c>
    </row>
    <row r="217" spans="1:16" s="75" customFormat="1" hidden="1">
      <c r="A217" s="206"/>
      <c r="B217" s="206"/>
      <c r="C217" s="206"/>
      <c r="D217" s="206"/>
      <c r="E217" s="207" t="s">
        <v>14</v>
      </c>
      <c r="F217" s="10" t="s">
        <v>398</v>
      </c>
      <c r="G217" s="205" t="str">
        <f>IF('Zoopl Count'!G217="","",'Zoopl Count'!G217*(2^G$9)/G$8)</f>
        <v/>
      </c>
      <c r="H217" s="205" t="str">
        <f>IF('Zoopl Count'!H217="","",'Zoopl Count'!H217*(2^H$9)/H$8)</f>
        <v/>
      </c>
      <c r="I217" s="205" t="str">
        <f>IF('Zoopl Count'!I217="","",'Zoopl Count'!I217*(2^I$9)/I$8)</f>
        <v/>
      </c>
      <c r="J217" s="205" t="str">
        <f>IF('Zoopl Count'!J217="","",'Zoopl Count'!J217*(2^J$9)/J$8)</f>
        <v/>
      </c>
      <c r="K217" s="205" t="str">
        <f>IF('Zoopl Count'!K217="","",'Zoopl Count'!K217*(2^K$9)/K$8)</f>
        <v/>
      </c>
      <c r="L217" s="205" t="str">
        <f>IF('Zoopl Count'!L217="","",'Zoopl Count'!L217*(2^L$9)/L$8)</f>
        <v/>
      </c>
      <c r="M217" s="205" t="str">
        <f>IF('Zoopl Count'!M217="","",'Zoopl Count'!M217*(2^M$9)/M$8)</f>
        <v/>
      </c>
      <c r="N217" s="205" t="str">
        <f>IF('Zoopl Count'!N217="","",'Zoopl Count'!N217*(2^N$9)/N$8)</f>
        <v/>
      </c>
      <c r="O217" s="205" t="str">
        <f>IF('Zoopl Count'!O217="","",'Zoopl Count'!O217*(2^O$9)/O$8)</f>
        <v/>
      </c>
      <c r="P217" s="205" t="str">
        <f>IF('Zoopl Count'!P217="","",'Zoopl Count'!P217*(2^P$9)/P$8)</f>
        <v/>
      </c>
    </row>
    <row r="218" spans="1:16" s="75" customFormat="1">
      <c r="F218" s="137"/>
      <c r="G218" s="205" t="str">
        <f>IF('Zoopl Count'!G218="","",'Zoopl Count'!G218*(2^G$9)/G$8)</f>
        <v/>
      </c>
      <c r="H218" s="205" t="str">
        <f>IF('Zoopl Count'!H218="","",'Zoopl Count'!H218*(2^H$9)/H$8)</f>
        <v/>
      </c>
      <c r="I218" s="205" t="str">
        <f>IF('Zoopl Count'!I218="","",'Zoopl Count'!I218*(2^I$9)/I$8)</f>
        <v/>
      </c>
      <c r="J218" s="205" t="str">
        <f>IF('Zoopl Count'!J218="","",'Zoopl Count'!J218*(2^J$9)/J$8)</f>
        <v/>
      </c>
      <c r="K218" s="205" t="str">
        <f>IF('Zoopl Count'!K218="","",'Zoopl Count'!K218*(2^K$9)/K$8)</f>
        <v/>
      </c>
      <c r="L218" s="205" t="str">
        <f>IF('Zoopl Count'!L218="","",'Zoopl Count'!L218*(2^L$9)/L$8)</f>
        <v/>
      </c>
      <c r="M218" s="205" t="str">
        <f>IF('Zoopl Count'!M218="","",'Zoopl Count'!M218*(2^M$9)/M$8)</f>
        <v/>
      </c>
      <c r="N218" s="205" t="str">
        <f>IF('Zoopl Count'!N218="","",'Zoopl Count'!N218*(2^N$9)/N$8)</f>
        <v/>
      </c>
      <c r="O218" s="205" t="str">
        <f>IF('Zoopl Count'!O218="","",'Zoopl Count'!O218*(2^O$9)/O$8)</f>
        <v/>
      </c>
      <c r="P218" s="205" t="str">
        <f>IF('Zoopl Count'!P218="","",'Zoopl Count'!P218*(2^P$9)/P$8)</f>
        <v/>
      </c>
    </row>
    <row r="219" spans="1:16" s="75" customFormat="1">
      <c r="A219" s="135"/>
      <c r="B219" s="135"/>
      <c r="C219" s="134" t="s">
        <v>10</v>
      </c>
      <c r="D219" s="135" t="s">
        <v>43</v>
      </c>
      <c r="E219" s="135"/>
      <c r="F219" s="136"/>
      <c r="G219" s="205" t="str">
        <f>IF('Zoopl Count'!G219="","",'Zoopl Count'!G219*(2^G$9)/G$8)</f>
        <v/>
      </c>
      <c r="H219" s="205" t="str">
        <f>IF('Zoopl Count'!H219="","",'Zoopl Count'!H219*(2^H$9)/H$8)</f>
        <v/>
      </c>
      <c r="I219" s="205" t="str">
        <f>IF('Zoopl Count'!I219="","",'Zoopl Count'!I219*(2^I$9)/I$8)</f>
        <v/>
      </c>
      <c r="J219" s="205" t="str">
        <f>IF('Zoopl Count'!J219="","",'Zoopl Count'!J219*(2^J$9)/J$8)</f>
        <v/>
      </c>
      <c r="K219" s="205" t="str">
        <f>IF('Zoopl Count'!K219="","",'Zoopl Count'!K219*(2^K$9)/K$8)</f>
        <v/>
      </c>
      <c r="L219" s="205" t="str">
        <f>IF('Zoopl Count'!L219="","",'Zoopl Count'!L219*(2^L$9)/L$8)</f>
        <v/>
      </c>
      <c r="M219" s="205" t="str">
        <f>IF('Zoopl Count'!M219="","",'Zoopl Count'!M219*(2^M$9)/M$8)</f>
        <v/>
      </c>
      <c r="N219" s="205" t="str">
        <f>IF('Zoopl Count'!N219="","",'Zoopl Count'!N219*(2^N$9)/N$8)</f>
        <v/>
      </c>
      <c r="O219" s="205" t="str">
        <f>IF('Zoopl Count'!O219="","",'Zoopl Count'!O219*(2^O$9)/O$8)</f>
        <v/>
      </c>
      <c r="P219" s="205" t="str">
        <f>IF('Zoopl Count'!P219="","",'Zoopl Count'!P219*(2^P$9)/P$8)</f>
        <v/>
      </c>
    </row>
    <row r="220" spans="1:16" s="75" customFormat="1">
      <c r="C220" s="138"/>
      <c r="D220" s="135"/>
      <c r="F220" s="137" t="s">
        <v>107</v>
      </c>
      <c r="G220" s="205" t="str">
        <f>IF('Zoopl Count'!G220="","",'Zoopl Count'!G220*(2^G$9)/G$8)</f>
        <v/>
      </c>
      <c r="H220" s="205" t="str">
        <f>IF('Zoopl Count'!H220="","",'Zoopl Count'!H220*(2^H$9)/H$8)</f>
        <v/>
      </c>
      <c r="I220" s="205" t="str">
        <f>IF('Zoopl Count'!I220="","",'Zoopl Count'!I220*(2^I$9)/I$8)</f>
        <v/>
      </c>
      <c r="J220" s="205" t="str">
        <f>IF('Zoopl Count'!J220="","",'Zoopl Count'!J220*(2^J$9)/J$8)</f>
        <v/>
      </c>
      <c r="K220" s="205" t="str">
        <f>IF('Zoopl Count'!K220="","",'Zoopl Count'!K220*(2^K$9)/K$8)</f>
        <v/>
      </c>
      <c r="L220" s="205" t="str">
        <f>IF('Zoopl Count'!L220="","",'Zoopl Count'!L220*(2^L$9)/L$8)</f>
        <v/>
      </c>
      <c r="M220" s="205" t="str">
        <f>IF('Zoopl Count'!M220="","",'Zoopl Count'!M220*(2^M$9)/M$8)</f>
        <v/>
      </c>
      <c r="N220" s="205" t="str">
        <f>IF('Zoopl Count'!N220="","",'Zoopl Count'!N220*(2^N$9)/N$8)</f>
        <v/>
      </c>
      <c r="O220" s="205" t="str">
        <f>IF('Zoopl Count'!O220="","",'Zoopl Count'!O220*(2^O$9)/O$8)</f>
        <v/>
      </c>
      <c r="P220" s="205" t="str">
        <f>IF('Zoopl Count'!P220="","",'Zoopl Count'!P220*(2^P$9)/P$8)</f>
        <v/>
      </c>
    </row>
    <row r="221" spans="1:16" s="75" customFormat="1">
      <c r="D221" s="138" t="s">
        <v>12</v>
      </c>
      <c r="E221" s="75" t="s">
        <v>44</v>
      </c>
      <c r="F221" s="137"/>
      <c r="G221" s="205" t="str">
        <f>IF('Zoopl Count'!G221="","",'Zoopl Count'!G221*(2^G$9)/G$8)</f>
        <v/>
      </c>
      <c r="H221" s="205" t="str">
        <f>IF('Zoopl Count'!H221="","",'Zoopl Count'!H221*(2^H$9)/H$8)</f>
        <v/>
      </c>
      <c r="I221" s="205" t="str">
        <f>IF('Zoopl Count'!I221="","",'Zoopl Count'!I221*(2^I$9)/I$8)</f>
        <v/>
      </c>
      <c r="J221" s="205" t="str">
        <f>IF('Zoopl Count'!J221="","",'Zoopl Count'!J221*(2^J$9)/J$8)</f>
        <v/>
      </c>
      <c r="K221" s="205" t="str">
        <f>IF('Zoopl Count'!K221="","",'Zoopl Count'!K221*(2^K$9)/K$8)</f>
        <v/>
      </c>
      <c r="L221" s="205" t="str">
        <f>IF('Zoopl Count'!L221="","",'Zoopl Count'!L221*(2^L$9)/L$8)</f>
        <v/>
      </c>
      <c r="M221" s="205" t="str">
        <f>IF('Zoopl Count'!M221="","",'Zoopl Count'!M221*(2^M$9)/M$8)</f>
        <v/>
      </c>
      <c r="N221" s="205" t="str">
        <f>IF('Zoopl Count'!N221="","",'Zoopl Count'!N221*(2^N$9)/N$8)</f>
        <v/>
      </c>
      <c r="O221" s="205" t="str">
        <f>IF('Zoopl Count'!O221="","",'Zoopl Count'!O221*(2^O$9)/O$8)</f>
        <v/>
      </c>
      <c r="P221" s="205" t="str">
        <f>IF('Zoopl Count'!P221="","",'Zoopl Count'!P221*(2^P$9)/P$8)</f>
        <v/>
      </c>
    </row>
    <row r="222" spans="1:16" s="75" customFormat="1">
      <c r="E222" s="138" t="s">
        <v>14</v>
      </c>
      <c r="F222" s="139" t="s">
        <v>45</v>
      </c>
      <c r="G222" s="205" t="str">
        <f>IF('Zoopl Count'!G222="","",'Zoopl Count'!G222*(2^G$9)/G$8)</f>
        <v/>
      </c>
      <c r="H222" s="205" t="str">
        <f>IF('Zoopl Count'!H222="","",'Zoopl Count'!H222*(2^H$9)/H$8)</f>
        <v/>
      </c>
      <c r="I222" s="205">
        <f>IF('Zoopl Count'!I222="","",'Zoopl Count'!I222*(2^I$9)/I$8)</f>
        <v>3.2594932345220165E-2</v>
      </c>
      <c r="J222" s="205" t="str">
        <f>IF('Zoopl Count'!J222="","",'Zoopl Count'!J222*(2^J$9)/J$8)</f>
        <v/>
      </c>
      <c r="K222" s="205" t="str">
        <f>IF('Zoopl Count'!K222="","",'Zoopl Count'!K222*(2^K$9)/K$8)</f>
        <v/>
      </c>
      <c r="L222" s="205" t="str">
        <f>IF('Zoopl Count'!L222="","",'Zoopl Count'!L222*(2^L$9)/L$8)</f>
        <v/>
      </c>
      <c r="M222" s="205" t="str">
        <f>IF('Zoopl Count'!M222="","",'Zoopl Count'!M222*(2^M$9)/M$8)</f>
        <v/>
      </c>
      <c r="N222" s="205" t="str">
        <f>IF('Zoopl Count'!N222="","",'Zoopl Count'!N222*(2^N$9)/N$8)</f>
        <v/>
      </c>
      <c r="O222" s="205" t="str">
        <f>IF('Zoopl Count'!O222="","",'Zoopl Count'!O222*(2^O$9)/O$8)</f>
        <v/>
      </c>
      <c r="P222" s="205" t="str">
        <f>IF('Zoopl Count'!P222="","",'Zoopl Count'!P222*(2^P$9)/P$8)</f>
        <v/>
      </c>
    </row>
    <row r="223" spans="1:16" s="75" customFormat="1">
      <c r="D223" s="138" t="s">
        <v>12</v>
      </c>
      <c r="E223" s="75" t="s">
        <v>328</v>
      </c>
      <c r="F223" s="137"/>
      <c r="G223" s="205" t="str">
        <f>IF('Zoopl Count'!G223="","",'Zoopl Count'!G223*(2^G$9)/G$8)</f>
        <v/>
      </c>
      <c r="H223" s="205" t="str">
        <f>IF('Zoopl Count'!H223="","",'Zoopl Count'!H223*(2^H$9)/H$8)</f>
        <v/>
      </c>
      <c r="I223" s="205" t="str">
        <f>IF('Zoopl Count'!I223="","",'Zoopl Count'!I223*(2^I$9)/I$8)</f>
        <v/>
      </c>
      <c r="J223" s="205" t="str">
        <f>IF('Zoopl Count'!J223="","",'Zoopl Count'!J223*(2^J$9)/J$8)</f>
        <v/>
      </c>
      <c r="K223" s="205" t="str">
        <f>IF('Zoopl Count'!K223="","",'Zoopl Count'!K223*(2^K$9)/K$8)</f>
        <v/>
      </c>
      <c r="L223" s="205" t="str">
        <f>IF('Zoopl Count'!L223="","",'Zoopl Count'!L223*(2^L$9)/L$8)</f>
        <v/>
      </c>
      <c r="M223" s="205" t="str">
        <f>IF('Zoopl Count'!M223="","",'Zoopl Count'!M223*(2^M$9)/M$8)</f>
        <v/>
      </c>
      <c r="N223" s="205" t="str">
        <f>IF('Zoopl Count'!N223="","",'Zoopl Count'!N223*(2^N$9)/N$8)</f>
        <v/>
      </c>
      <c r="O223" s="205" t="str">
        <f>IF('Zoopl Count'!O223="","",'Zoopl Count'!O223*(2^O$9)/O$8)</f>
        <v/>
      </c>
      <c r="P223" s="205" t="str">
        <f>IF('Zoopl Count'!P223="","",'Zoopl Count'!P223*(2^P$9)/P$8)</f>
        <v/>
      </c>
    </row>
    <row r="224" spans="1:16" s="75" customFormat="1">
      <c r="E224" s="138" t="s">
        <v>14</v>
      </c>
      <c r="F224" s="139" t="s">
        <v>47</v>
      </c>
      <c r="G224" s="205">
        <f>IF('Zoopl Count'!G224="","",'Zoopl Count'!G224*(2^G$9)/G$8)</f>
        <v>0.39113918814264198</v>
      </c>
      <c r="H224" s="205">
        <f>IF('Zoopl Count'!H224="","",'Zoopl Count'!H224*(2^H$9)/H$8)</f>
        <v>0.45632905283308234</v>
      </c>
      <c r="I224" s="205">
        <f>IF('Zoopl Count'!I224="","",'Zoopl Count'!I224*(2^I$9)/I$8)</f>
        <v>6.518986469044033E-2</v>
      </c>
      <c r="J224" s="205">
        <f>IF('Zoopl Count'!J224="","",'Zoopl Count'!J224*(2^J$9)/J$8)</f>
        <v>0.65189864690440336</v>
      </c>
      <c r="K224" s="205">
        <f>IF('Zoopl Count'!K224="","",'Zoopl Count'!K224*(2^K$9)/K$8)</f>
        <v>0.91265810566616468</v>
      </c>
      <c r="L224" s="205">
        <f>IF('Zoopl Count'!L224="","",'Zoopl Count'!L224*(2^L$9)/L$8)</f>
        <v>0.52151891752352264</v>
      </c>
      <c r="M224" s="205">
        <f>IF('Zoopl Count'!M224="","",'Zoopl Count'!M224*(2^M$9)/M$8)</f>
        <v>0.39113918814264198</v>
      </c>
      <c r="N224" s="205">
        <f>IF('Zoopl Count'!N224="","",'Zoopl Count'!N224*(2^N$9)/N$8)</f>
        <v>6.518986469044033E-2</v>
      </c>
      <c r="O224" s="205">
        <f>IF('Zoopl Count'!O224="","",'Zoopl Count'!O224*(2^O$9)/O$8)</f>
        <v>1.0430378350470453</v>
      </c>
      <c r="P224" s="205">
        <f>IF('Zoopl Count'!P224="","",'Zoopl Count'!P224*(2^P$9)/P$8)</f>
        <v>0.13037972938088066</v>
      </c>
    </row>
    <row r="225" spans="1:16" s="75" customFormat="1" hidden="1">
      <c r="B225" s="146" t="s">
        <v>329</v>
      </c>
      <c r="E225" s="138"/>
      <c r="F225" s="139"/>
      <c r="G225" s="205" t="str">
        <f>IF('Zoopl Count'!G225="","",'Zoopl Count'!G225*(2^G$9)/G$8)</f>
        <v/>
      </c>
      <c r="H225" s="205" t="str">
        <f>IF('Zoopl Count'!H225="","",'Zoopl Count'!H225*(2^H$9)/H$8)</f>
        <v/>
      </c>
      <c r="I225" s="205" t="str">
        <f>IF('Zoopl Count'!I225="","",'Zoopl Count'!I225*(2^I$9)/I$8)</f>
        <v/>
      </c>
      <c r="J225" s="205" t="str">
        <f>IF('Zoopl Count'!J225="","",'Zoopl Count'!J225*(2^J$9)/J$8)</f>
        <v/>
      </c>
      <c r="K225" s="205" t="str">
        <f>IF('Zoopl Count'!K225="","",'Zoopl Count'!K225*(2^K$9)/K$8)</f>
        <v/>
      </c>
      <c r="L225" s="205" t="str">
        <f>IF('Zoopl Count'!L225="","",'Zoopl Count'!L225*(2^L$9)/L$8)</f>
        <v/>
      </c>
      <c r="M225" s="205" t="str">
        <f>IF('Zoopl Count'!M225="","",'Zoopl Count'!M225*(2^M$9)/M$8)</f>
        <v/>
      </c>
      <c r="N225" s="205" t="str">
        <f>IF('Zoopl Count'!N225="","",'Zoopl Count'!N225*(2^N$9)/N$8)</f>
        <v/>
      </c>
      <c r="O225" s="205" t="str">
        <f>IF('Zoopl Count'!O225="","",'Zoopl Count'!O225*(2^O$9)/O$8)</f>
        <v/>
      </c>
      <c r="P225" s="205" t="str">
        <f>IF('Zoopl Count'!P225="","",'Zoopl Count'!P225*(2^P$9)/P$8)</f>
        <v/>
      </c>
    </row>
    <row r="226" spans="1:16" s="75" customFormat="1" ht="16.5" hidden="1" customHeight="1">
      <c r="A226" s="165"/>
      <c r="B226" s="165"/>
      <c r="C226" s="165"/>
      <c r="D226" s="165"/>
      <c r="E226" s="166" t="s">
        <v>14</v>
      </c>
      <c r="F226" s="10" t="s">
        <v>267</v>
      </c>
      <c r="G226" s="205" t="str">
        <f>IF('Zoopl Count'!G226="","",'Zoopl Count'!G226*(2^G$9)/G$8)</f>
        <v/>
      </c>
      <c r="H226" s="205" t="str">
        <f>IF('Zoopl Count'!H226="","",'Zoopl Count'!H226*(2^H$9)/H$8)</f>
        <v/>
      </c>
      <c r="I226" s="205" t="str">
        <f>IF('Zoopl Count'!I226="","",'Zoopl Count'!I226*(2^I$9)/I$8)</f>
        <v/>
      </c>
      <c r="J226" s="205" t="str">
        <f>IF('Zoopl Count'!J226="","",'Zoopl Count'!J226*(2^J$9)/J$8)</f>
        <v/>
      </c>
      <c r="K226" s="205" t="str">
        <f>IF('Zoopl Count'!K226="","",'Zoopl Count'!K226*(2^K$9)/K$8)</f>
        <v/>
      </c>
      <c r="L226" s="205" t="str">
        <f>IF('Zoopl Count'!L226="","",'Zoopl Count'!L226*(2^L$9)/L$8)</f>
        <v/>
      </c>
      <c r="M226" s="205" t="str">
        <f>IF('Zoopl Count'!M226="","",'Zoopl Count'!M226*(2^M$9)/M$8)</f>
        <v/>
      </c>
      <c r="N226" s="205" t="str">
        <f>IF('Zoopl Count'!N226="","",'Zoopl Count'!N226*(2^N$9)/N$8)</f>
        <v/>
      </c>
      <c r="O226" s="205" t="str">
        <f>IF('Zoopl Count'!O226="","",'Zoopl Count'!O226*(2^O$9)/O$8)</f>
        <v/>
      </c>
      <c r="P226" s="205" t="str">
        <f>IF('Zoopl Count'!P226="","",'Zoopl Count'!P226*(2^P$9)/P$8)</f>
        <v/>
      </c>
    </row>
    <row r="227" spans="1:16" s="75" customFormat="1" hidden="1">
      <c r="A227" s="206"/>
      <c r="B227" s="206" t="s">
        <v>299</v>
      </c>
      <c r="C227" s="206"/>
      <c r="D227" s="206"/>
      <c r="E227" s="207"/>
      <c r="F227" s="10"/>
      <c r="G227" s="205" t="str">
        <f>IF('Zoopl Count'!G227="","",'Zoopl Count'!G227*(2^G$9)/G$8)</f>
        <v/>
      </c>
      <c r="H227" s="205" t="str">
        <f>IF('Zoopl Count'!H227="","",'Zoopl Count'!H227*(2^H$9)/H$8)</f>
        <v/>
      </c>
      <c r="I227" s="205" t="str">
        <f>IF('Zoopl Count'!I227="","",'Zoopl Count'!I227*(2^I$9)/I$8)</f>
        <v/>
      </c>
      <c r="J227" s="205" t="str">
        <f>IF('Zoopl Count'!J227="","",'Zoopl Count'!J227*(2^J$9)/J$8)</f>
        <v/>
      </c>
      <c r="K227" s="205" t="str">
        <f>IF('Zoopl Count'!K227="","",'Zoopl Count'!K227*(2^K$9)/K$8)</f>
        <v/>
      </c>
      <c r="L227" s="205" t="str">
        <f>IF('Zoopl Count'!L227="","",'Zoopl Count'!L227*(2^L$9)/L$8)</f>
        <v/>
      </c>
      <c r="M227" s="205" t="str">
        <f>IF('Zoopl Count'!M227="","",'Zoopl Count'!M227*(2^M$9)/M$8)</f>
        <v/>
      </c>
      <c r="N227" s="205" t="str">
        <f>IF('Zoopl Count'!N227="","",'Zoopl Count'!N227*(2^N$9)/N$8)</f>
        <v/>
      </c>
      <c r="O227" s="205" t="str">
        <f>IF('Zoopl Count'!O227="","",'Zoopl Count'!O227*(2^O$9)/O$8)</f>
        <v/>
      </c>
      <c r="P227" s="205" t="str">
        <f>IF('Zoopl Count'!P227="","",'Zoopl Count'!P227*(2^P$9)/P$8)</f>
        <v/>
      </c>
    </row>
    <row r="228" spans="1:16" s="75" customFormat="1" hidden="1">
      <c r="A228" s="206"/>
      <c r="B228" s="206"/>
      <c r="C228" s="206" t="s">
        <v>330</v>
      </c>
      <c r="D228" s="206"/>
      <c r="E228" s="207"/>
      <c r="F228" s="10" t="s">
        <v>331</v>
      </c>
      <c r="G228" s="205" t="str">
        <f>IF('Zoopl Count'!G228="","",'Zoopl Count'!G228*(2^G$9)/G$8)</f>
        <v/>
      </c>
      <c r="H228" s="205" t="str">
        <f>IF('Zoopl Count'!H228="","",'Zoopl Count'!H228*(2^H$9)/H$8)</f>
        <v/>
      </c>
      <c r="I228" s="205" t="str">
        <f>IF('Zoopl Count'!I228="","",'Zoopl Count'!I228*(2^I$9)/I$8)</f>
        <v/>
      </c>
      <c r="J228" s="205" t="str">
        <f>IF('Zoopl Count'!J228="","",'Zoopl Count'!J228*(2^J$9)/J$8)</f>
        <v/>
      </c>
      <c r="K228" s="205" t="str">
        <f>IF('Zoopl Count'!K228="","",'Zoopl Count'!K228*(2^K$9)/K$8)</f>
        <v/>
      </c>
      <c r="L228" s="205" t="str">
        <f>IF('Zoopl Count'!L228="","",'Zoopl Count'!L228*(2^L$9)/L$8)</f>
        <v/>
      </c>
      <c r="M228" s="205" t="str">
        <f>IF('Zoopl Count'!M228="","",'Zoopl Count'!M228*(2^M$9)/M$8)</f>
        <v/>
      </c>
      <c r="N228" s="205" t="str">
        <f>IF('Zoopl Count'!N228="","",'Zoopl Count'!N228*(2^N$9)/N$8)</f>
        <v/>
      </c>
      <c r="O228" s="205" t="str">
        <f>IF('Zoopl Count'!O228="","",'Zoopl Count'!O228*(2^O$9)/O$8)</f>
        <v/>
      </c>
      <c r="P228" s="205" t="str">
        <f>IF('Zoopl Count'!P228="","",'Zoopl Count'!P228*(2^P$9)/P$8)</f>
        <v/>
      </c>
    </row>
    <row r="229" spans="1:16" s="75" customFormat="1" hidden="1">
      <c r="A229" s="165"/>
      <c r="B229" s="175" t="s">
        <v>269</v>
      </c>
      <c r="C229" s="165"/>
      <c r="D229" s="165"/>
      <c r="E229" s="166"/>
      <c r="F229" s="10"/>
      <c r="G229" s="205" t="str">
        <f>IF('Zoopl Count'!G229="","",'Zoopl Count'!G229*(2^G$9)/G$8)</f>
        <v/>
      </c>
      <c r="H229" s="205" t="str">
        <f>IF('Zoopl Count'!H229="","",'Zoopl Count'!H229*(2^H$9)/H$8)</f>
        <v/>
      </c>
      <c r="I229" s="205" t="str">
        <f>IF('Zoopl Count'!I229="","",'Zoopl Count'!I229*(2^I$9)/I$8)</f>
        <v/>
      </c>
      <c r="J229" s="205" t="str">
        <f>IF('Zoopl Count'!J229="","",'Zoopl Count'!J229*(2^J$9)/J$8)</f>
        <v/>
      </c>
      <c r="K229" s="205" t="str">
        <f>IF('Zoopl Count'!K229="","",'Zoopl Count'!K229*(2^K$9)/K$8)</f>
        <v/>
      </c>
      <c r="L229" s="205" t="str">
        <f>IF('Zoopl Count'!L229="","",'Zoopl Count'!L229*(2^L$9)/L$8)</f>
        <v/>
      </c>
      <c r="M229" s="205" t="str">
        <f>IF('Zoopl Count'!M229="","",'Zoopl Count'!M229*(2^M$9)/M$8)</f>
        <v/>
      </c>
      <c r="N229" s="205" t="str">
        <f>IF('Zoopl Count'!N229="","",'Zoopl Count'!N229*(2^N$9)/N$8)</f>
        <v/>
      </c>
      <c r="O229" s="205" t="str">
        <f>IF('Zoopl Count'!O229="","",'Zoopl Count'!O229*(2^O$9)/O$8)</f>
        <v/>
      </c>
      <c r="P229" s="205" t="str">
        <f>IF('Zoopl Count'!P229="","",'Zoopl Count'!P229*(2^P$9)/P$8)</f>
        <v/>
      </c>
    </row>
    <row r="230" spans="1:16" s="75" customFormat="1" hidden="1">
      <c r="A230" s="206"/>
      <c r="B230" s="206"/>
      <c r="C230" s="206"/>
      <c r="D230" s="206"/>
      <c r="E230" s="207" t="s">
        <v>14</v>
      </c>
      <c r="F230" s="10" t="s">
        <v>271</v>
      </c>
      <c r="G230" s="205" t="str">
        <f>IF('Zoopl Count'!G230="","",'Zoopl Count'!G230*(2^G$9)/G$8)</f>
        <v/>
      </c>
      <c r="H230" s="205" t="str">
        <f>IF('Zoopl Count'!H230="","",'Zoopl Count'!H230*(2^H$9)/H$8)</f>
        <v/>
      </c>
      <c r="I230" s="205" t="str">
        <f>IF('Zoopl Count'!I230="","",'Zoopl Count'!I230*(2^I$9)/I$8)</f>
        <v/>
      </c>
      <c r="J230" s="205" t="str">
        <f>IF('Zoopl Count'!J230="","",'Zoopl Count'!J230*(2^J$9)/J$8)</f>
        <v/>
      </c>
      <c r="K230" s="205" t="str">
        <f>IF('Zoopl Count'!K230="","",'Zoopl Count'!K230*(2^K$9)/K$8)</f>
        <v/>
      </c>
      <c r="L230" s="205" t="str">
        <f>IF('Zoopl Count'!L230="","",'Zoopl Count'!L230*(2^L$9)/L$8)</f>
        <v/>
      </c>
      <c r="M230" s="205" t="str">
        <f>IF('Zoopl Count'!M230="","",'Zoopl Count'!M230*(2^M$9)/M$8)</f>
        <v/>
      </c>
      <c r="N230" s="205" t="str">
        <f>IF('Zoopl Count'!N230="","",'Zoopl Count'!N230*(2^N$9)/N$8)</f>
        <v/>
      </c>
      <c r="O230" s="205" t="str">
        <f>IF('Zoopl Count'!O230="","",'Zoopl Count'!O230*(2^O$9)/O$8)</f>
        <v/>
      </c>
      <c r="P230" s="205" t="str">
        <f>IF('Zoopl Count'!P230="","",'Zoopl Count'!P230*(2^P$9)/P$8)</f>
        <v/>
      </c>
    </row>
    <row r="231" spans="1:16" s="75" customFormat="1" hidden="1">
      <c r="A231" s="206"/>
      <c r="B231" s="206"/>
      <c r="C231" s="206"/>
      <c r="D231" s="206"/>
      <c r="E231" s="207"/>
      <c r="F231" s="10" t="s">
        <v>301</v>
      </c>
      <c r="G231" s="205" t="str">
        <f>IF('Zoopl Count'!G231="","",'Zoopl Count'!G231*(2^G$9)/G$8)</f>
        <v/>
      </c>
      <c r="H231" s="205" t="str">
        <f>IF('Zoopl Count'!H231="","",'Zoopl Count'!H231*(2^H$9)/H$8)</f>
        <v/>
      </c>
      <c r="I231" s="205" t="str">
        <f>IF('Zoopl Count'!I231="","",'Zoopl Count'!I231*(2^I$9)/I$8)</f>
        <v/>
      </c>
      <c r="J231" s="205" t="str">
        <f>IF('Zoopl Count'!J231="","",'Zoopl Count'!J231*(2^J$9)/J$8)</f>
        <v/>
      </c>
      <c r="K231" s="205" t="str">
        <f>IF('Zoopl Count'!K231="","",'Zoopl Count'!K231*(2^K$9)/K$8)</f>
        <v/>
      </c>
      <c r="L231" s="205" t="str">
        <f>IF('Zoopl Count'!L231="","",'Zoopl Count'!L231*(2^L$9)/L$8)</f>
        <v/>
      </c>
      <c r="M231" s="205" t="str">
        <f>IF('Zoopl Count'!M231="","",'Zoopl Count'!M231*(2^M$9)/M$8)</f>
        <v/>
      </c>
      <c r="N231" s="205" t="str">
        <f>IF('Zoopl Count'!N231="","",'Zoopl Count'!N231*(2^N$9)/N$8)</f>
        <v/>
      </c>
      <c r="O231" s="205" t="str">
        <f>IF('Zoopl Count'!O231="","",'Zoopl Count'!O231*(2^O$9)/O$8)</f>
        <v/>
      </c>
      <c r="P231" s="205" t="str">
        <f>IF('Zoopl Count'!P231="","",'Zoopl Count'!P231*(2^P$9)/P$8)</f>
        <v/>
      </c>
    </row>
    <row r="232" spans="1:16" s="75" customFormat="1" hidden="1">
      <c r="A232" s="165"/>
      <c r="B232" s="268"/>
      <c r="C232" s="165"/>
      <c r="D232" s="267" t="s">
        <v>12</v>
      </c>
      <c r="E232" s="266" t="s">
        <v>423</v>
      </c>
      <c r="F232" s="10"/>
      <c r="G232" s="205" t="str">
        <f>IF('Zoopl Count'!G232="","",'Zoopl Count'!G232*(2^G$9)/G$8)</f>
        <v/>
      </c>
      <c r="H232" s="205" t="str">
        <f>IF('Zoopl Count'!H232="","",'Zoopl Count'!H232*(2^H$9)/H$8)</f>
        <v/>
      </c>
      <c r="I232" s="205" t="str">
        <f>IF('Zoopl Count'!I232="","",'Zoopl Count'!I232*(2^I$9)/I$8)</f>
        <v/>
      </c>
      <c r="J232" s="205" t="str">
        <f>IF('Zoopl Count'!J232="","",'Zoopl Count'!J232*(2^J$9)/J$8)</f>
        <v/>
      </c>
      <c r="K232" s="205" t="str">
        <f>IF('Zoopl Count'!K232="","",'Zoopl Count'!K232*(2^K$9)/K$8)</f>
        <v/>
      </c>
      <c r="L232" s="205" t="str">
        <f>IF('Zoopl Count'!L232="","",'Zoopl Count'!L232*(2^L$9)/L$8)</f>
        <v/>
      </c>
      <c r="M232" s="205" t="str">
        <f>IF('Zoopl Count'!M232="","",'Zoopl Count'!M232*(2^M$9)/M$8)</f>
        <v/>
      </c>
      <c r="N232" s="205" t="str">
        <f>IF('Zoopl Count'!N232="","",'Zoopl Count'!N232*(2^N$9)/N$8)</f>
        <v/>
      </c>
      <c r="O232" s="205" t="str">
        <f>IF('Zoopl Count'!O232="","",'Zoopl Count'!O232*(2^O$9)/O$8)</f>
        <v/>
      </c>
      <c r="P232" s="205" t="str">
        <f>IF('Zoopl Count'!P232="","",'Zoopl Count'!P232*(2^P$9)/P$8)</f>
        <v/>
      </c>
    </row>
    <row r="233" spans="1:16" s="75" customFormat="1" hidden="1">
      <c r="A233" s="206"/>
      <c r="B233" s="206"/>
      <c r="C233" s="206"/>
      <c r="D233" s="206"/>
      <c r="E233" s="207" t="s">
        <v>14</v>
      </c>
      <c r="F233" s="10" t="s">
        <v>424</v>
      </c>
      <c r="G233" s="205" t="str">
        <f>IF('Zoopl Count'!G233="","",'Zoopl Count'!G233*(2^G$9)/G$8)</f>
        <v/>
      </c>
      <c r="H233" s="205" t="str">
        <f>IF('Zoopl Count'!H233="","",'Zoopl Count'!H233*(2^H$9)/H$8)</f>
        <v/>
      </c>
      <c r="I233" s="205" t="str">
        <f>IF('Zoopl Count'!I233="","",'Zoopl Count'!I233*(2^I$9)/I$8)</f>
        <v/>
      </c>
      <c r="J233" s="205" t="str">
        <f>IF('Zoopl Count'!J233="","",'Zoopl Count'!J233*(2^J$9)/J$8)</f>
        <v/>
      </c>
      <c r="K233" s="205" t="str">
        <f>IF('Zoopl Count'!K233="","",'Zoopl Count'!K233*(2^K$9)/K$8)</f>
        <v/>
      </c>
      <c r="L233" s="205" t="str">
        <f>IF('Zoopl Count'!L233="","",'Zoopl Count'!L233*(2^L$9)/L$8)</f>
        <v/>
      </c>
      <c r="M233" s="205" t="str">
        <f>IF('Zoopl Count'!M233="","",'Zoopl Count'!M233*(2^M$9)/M$8)</f>
        <v/>
      </c>
      <c r="N233" s="205" t="str">
        <f>IF('Zoopl Count'!N233="","",'Zoopl Count'!N233*(2^N$9)/N$8)</f>
        <v/>
      </c>
      <c r="O233" s="205" t="str">
        <f>IF('Zoopl Count'!O233="","",'Zoopl Count'!O233*(2^O$9)/O$8)</f>
        <v/>
      </c>
      <c r="P233" s="205" t="str">
        <f>IF('Zoopl Count'!P233="","",'Zoopl Count'!P233*(2^P$9)/P$8)</f>
        <v/>
      </c>
    </row>
    <row r="234" spans="1:16" s="75" customFormat="1" hidden="1">
      <c r="A234" s="165"/>
      <c r="B234" s="239" t="s">
        <v>413</v>
      </c>
      <c r="C234" s="165"/>
      <c r="D234" s="165"/>
      <c r="E234" s="166"/>
      <c r="F234" s="10"/>
      <c r="G234" s="205" t="str">
        <f>IF('Zoopl Count'!G234="","",'Zoopl Count'!G234*(2^G$9)/G$8)</f>
        <v/>
      </c>
      <c r="H234" s="205" t="str">
        <f>IF('Zoopl Count'!H234="","",'Zoopl Count'!H234*(2^H$9)/H$8)</f>
        <v/>
      </c>
      <c r="I234" s="205" t="str">
        <f>IF('Zoopl Count'!I234="","",'Zoopl Count'!I234*(2^I$9)/I$8)</f>
        <v/>
      </c>
      <c r="J234" s="205" t="str">
        <f>IF('Zoopl Count'!J234="","",'Zoopl Count'!J234*(2^J$9)/J$8)</f>
        <v/>
      </c>
      <c r="K234" s="205" t="str">
        <f>IF('Zoopl Count'!K234="","",'Zoopl Count'!K234*(2^K$9)/K$8)</f>
        <v/>
      </c>
      <c r="L234" s="205" t="str">
        <f>IF('Zoopl Count'!L234="","",'Zoopl Count'!L234*(2^L$9)/L$8)</f>
        <v/>
      </c>
      <c r="M234" s="205" t="str">
        <f>IF('Zoopl Count'!M234="","",'Zoopl Count'!M234*(2^M$9)/M$8)</f>
        <v/>
      </c>
      <c r="N234" s="205" t="str">
        <f>IF('Zoopl Count'!N234="","",'Zoopl Count'!N234*(2^N$9)/N$8)</f>
        <v/>
      </c>
      <c r="O234" s="205" t="str">
        <f>IF('Zoopl Count'!O234="","",'Zoopl Count'!O234*(2^O$9)/O$8)</f>
        <v/>
      </c>
      <c r="P234" s="205" t="str">
        <f>IF('Zoopl Count'!P234="","",'Zoopl Count'!P234*(2^P$9)/P$8)</f>
        <v/>
      </c>
    </row>
    <row r="235" spans="1:16" s="75" customFormat="1" hidden="1">
      <c r="A235" s="206"/>
      <c r="B235" s="206"/>
      <c r="C235" s="206"/>
      <c r="D235" s="206"/>
      <c r="E235" s="207" t="s">
        <v>14</v>
      </c>
      <c r="F235" s="10" t="s">
        <v>403</v>
      </c>
      <c r="G235" s="205" t="str">
        <f>IF('Zoopl Count'!G235="","",'Zoopl Count'!G235*(2^G$9)/G$8)</f>
        <v/>
      </c>
      <c r="H235" s="205" t="str">
        <f>IF('Zoopl Count'!H235="","",'Zoopl Count'!H235*(2^H$9)/H$8)</f>
        <v/>
      </c>
      <c r="I235" s="205" t="str">
        <f>IF('Zoopl Count'!I235="","",'Zoopl Count'!I235*(2^I$9)/I$8)</f>
        <v/>
      </c>
      <c r="J235" s="205" t="str">
        <f>IF('Zoopl Count'!J235="","",'Zoopl Count'!J235*(2^J$9)/J$8)</f>
        <v/>
      </c>
      <c r="K235" s="205" t="str">
        <f>IF('Zoopl Count'!K235="","",'Zoopl Count'!K235*(2^K$9)/K$8)</f>
        <v/>
      </c>
      <c r="L235" s="205" t="str">
        <f>IF('Zoopl Count'!L235="","",'Zoopl Count'!L235*(2^L$9)/L$8)</f>
        <v/>
      </c>
      <c r="M235" s="205" t="str">
        <f>IF('Zoopl Count'!M235="","",'Zoopl Count'!M235*(2^M$9)/M$8)</f>
        <v/>
      </c>
      <c r="N235" s="205" t="str">
        <f>IF('Zoopl Count'!N235="","",'Zoopl Count'!N235*(2^N$9)/N$8)</f>
        <v/>
      </c>
      <c r="O235" s="205" t="str">
        <f>IF('Zoopl Count'!O235="","",'Zoopl Count'!O235*(2^O$9)/O$8)</f>
        <v/>
      </c>
      <c r="P235" s="205" t="str">
        <f>IF('Zoopl Count'!P235="","",'Zoopl Count'!P235*(2^P$9)/P$8)</f>
        <v/>
      </c>
    </row>
    <row r="236" spans="1:16" s="75" customFormat="1" hidden="1">
      <c r="A236" s="206"/>
      <c r="B236" s="206"/>
      <c r="C236" s="206"/>
      <c r="D236" s="206"/>
      <c r="E236" s="207"/>
      <c r="F236" s="10" t="s">
        <v>404</v>
      </c>
      <c r="G236" s="205" t="str">
        <f>IF('Zoopl Count'!G236="","",'Zoopl Count'!G236*(2^G$9)/G$8)</f>
        <v/>
      </c>
      <c r="H236" s="205" t="str">
        <f>IF('Zoopl Count'!H236="","",'Zoopl Count'!H236*(2^H$9)/H$8)</f>
        <v/>
      </c>
      <c r="I236" s="205" t="str">
        <f>IF('Zoopl Count'!I236="","",'Zoopl Count'!I236*(2^I$9)/I$8)</f>
        <v/>
      </c>
      <c r="J236" s="205" t="str">
        <f>IF('Zoopl Count'!J236="","",'Zoopl Count'!J236*(2^J$9)/J$8)</f>
        <v/>
      </c>
      <c r="K236" s="205" t="str">
        <f>IF('Zoopl Count'!K236="","",'Zoopl Count'!K236*(2^K$9)/K$8)</f>
        <v/>
      </c>
      <c r="L236" s="205" t="str">
        <f>IF('Zoopl Count'!L236="","",'Zoopl Count'!L236*(2^L$9)/L$8)</f>
        <v/>
      </c>
      <c r="M236" s="205" t="str">
        <f>IF('Zoopl Count'!M236="","",'Zoopl Count'!M236*(2^M$9)/M$8)</f>
        <v/>
      </c>
      <c r="N236" s="205" t="str">
        <f>IF('Zoopl Count'!N236="","",'Zoopl Count'!N236*(2^N$9)/N$8)</f>
        <v/>
      </c>
      <c r="O236" s="205" t="str">
        <f>IF('Zoopl Count'!O236="","",'Zoopl Count'!O236*(2^O$9)/O$8)</f>
        <v/>
      </c>
      <c r="P236" s="205" t="str">
        <f>IF('Zoopl Count'!P236="","",'Zoopl Count'!P236*(2^P$9)/P$8)</f>
        <v/>
      </c>
    </row>
    <row r="237" spans="1:16" s="75" customFormat="1" hidden="1">
      <c r="A237" s="206"/>
      <c r="B237" s="206"/>
      <c r="C237" s="206"/>
      <c r="D237" s="206"/>
      <c r="E237" s="207"/>
      <c r="F237" s="10" t="s">
        <v>405</v>
      </c>
      <c r="G237" s="205" t="str">
        <f>IF('Zoopl Count'!G237="","",'Zoopl Count'!G237*(2^G$9)/G$8)</f>
        <v/>
      </c>
      <c r="H237" s="205" t="str">
        <f>IF('Zoopl Count'!H237="","",'Zoopl Count'!H237*(2^H$9)/H$8)</f>
        <v/>
      </c>
      <c r="I237" s="205" t="str">
        <f>IF('Zoopl Count'!I237="","",'Zoopl Count'!I237*(2^I$9)/I$8)</f>
        <v/>
      </c>
      <c r="J237" s="205" t="str">
        <f>IF('Zoopl Count'!J237="","",'Zoopl Count'!J237*(2^J$9)/J$8)</f>
        <v/>
      </c>
      <c r="K237" s="205" t="str">
        <f>IF('Zoopl Count'!K237="","",'Zoopl Count'!K237*(2^K$9)/K$8)</f>
        <v/>
      </c>
      <c r="L237" s="205" t="str">
        <f>IF('Zoopl Count'!L237="","",'Zoopl Count'!L237*(2^L$9)/L$8)</f>
        <v/>
      </c>
      <c r="M237" s="205" t="str">
        <f>IF('Zoopl Count'!M237="","",'Zoopl Count'!M237*(2^M$9)/M$8)</f>
        <v/>
      </c>
      <c r="N237" s="205" t="str">
        <f>IF('Zoopl Count'!N237="","",'Zoopl Count'!N237*(2^N$9)/N$8)</f>
        <v/>
      </c>
      <c r="O237" s="205" t="str">
        <f>IF('Zoopl Count'!O237="","",'Zoopl Count'!O237*(2^O$9)/O$8)</f>
        <v/>
      </c>
      <c r="P237" s="205" t="str">
        <f>IF('Zoopl Count'!P237="","",'Zoopl Count'!P237*(2^P$9)/P$8)</f>
        <v/>
      </c>
    </row>
    <row r="238" spans="1:16" s="75" customFormat="1" hidden="1">
      <c r="A238" s="206"/>
      <c r="B238" s="206"/>
      <c r="C238" s="206"/>
      <c r="D238" s="206"/>
      <c r="E238" s="207"/>
      <c r="F238" s="10"/>
      <c r="G238" s="205" t="str">
        <f>IF('Zoopl Count'!G238="","",'Zoopl Count'!G238*(2^G$9)/G$8)</f>
        <v/>
      </c>
      <c r="H238" s="205" t="str">
        <f>IF('Zoopl Count'!H238="","",'Zoopl Count'!H238*(2^H$9)/H$8)</f>
        <v/>
      </c>
      <c r="I238" s="205" t="str">
        <f>IF('Zoopl Count'!I238="","",'Zoopl Count'!I238*(2^I$9)/I$8)</f>
        <v/>
      </c>
      <c r="J238" s="205" t="str">
        <f>IF('Zoopl Count'!J238="","",'Zoopl Count'!J238*(2^J$9)/J$8)</f>
        <v/>
      </c>
      <c r="K238" s="205" t="str">
        <f>IF('Zoopl Count'!K238="","",'Zoopl Count'!K238*(2^K$9)/K$8)</f>
        <v/>
      </c>
      <c r="L238" s="205" t="str">
        <f>IF('Zoopl Count'!L238="","",'Zoopl Count'!L238*(2^L$9)/L$8)</f>
        <v/>
      </c>
      <c r="M238" s="205" t="str">
        <f>IF('Zoopl Count'!M238="","",'Zoopl Count'!M238*(2^M$9)/M$8)</f>
        <v/>
      </c>
      <c r="N238" s="205" t="str">
        <f>IF('Zoopl Count'!N238="","",'Zoopl Count'!N238*(2^N$9)/N$8)</f>
        <v/>
      </c>
      <c r="O238" s="205" t="str">
        <f>IF('Zoopl Count'!O238="","",'Zoopl Count'!O238*(2^O$9)/O$8)</f>
        <v/>
      </c>
      <c r="P238" s="205" t="str">
        <f>IF('Zoopl Count'!P238="","",'Zoopl Count'!P238*(2^P$9)/P$8)</f>
        <v/>
      </c>
    </row>
    <row r="239" spans="1:16" s="75" customFormat="1" hidden="1">
      <c r="A239" s="135"/>
      <c r="B239" s="135"/>
      <c r="C239" s="134" t="s">
        <v>10</v>
      </c>
      <c r="D239" s="135" t="s">
        <v>406</v>
      </c>
      <c r="E239" s="135"/>
      <c r="F239" s="136"/>
      <c r="G239" s="205" t="str">
        <f>IF('Zoopl Count'!G239="","",'Zoopl Count'!G239*(2^G$9)/G$8)</f>
        <v/>
      </c>
      <c r="H239" s="205" t="str">
        <f>IF('Zoopl Count'!H239="","",'Zoopl Count'!H239*(2^H$9)/H$8)</f>
        <v/>
      </c>
      <c r="I239" s="205" t="str">
        <f>IF('Zoopl Count'!I239="","",'Zoopl Count'!I239*(2^I$9)/I$8)</f>
        <v/>
      </c>
      <c r="J239" s="205" t="str">
        <f>IF('Zoopl Count'!J239="","",'Zoopl Count'!J239*(2^J$9)/J$8)</f>
        <v/>
      </c>
      <c r="K239" s="205" t="str">
        <f>IF('Zoopl Count'!K239="","",'Zoopl Count'!K239*(2^K$9)/K$8)</f>
        <v/>
      </c>
      <c r="L239" s="205" t="str">
        <f>IF('Zoopl Count'!L239="","",'Zoopl Count'!L239*(2^L$9)/L$8)</f>
        <v/>
      </c>
      <c r="M239" s="205" t="str">
        <f>IF('Zoopl Count'!M239="","",'Zoopl Count'!M239*(2^M$9)/M$8)</f>
        <v/>
      </c>
      <c r="N239" s="205" t="str">
        <f>IF('Zoopl Count'!N239="","",'Zoopl Count'!N239*(2^N$9)/N$8)</f>
        <v/>
      </c>
      <c r="O239" s="205" t="str">
        <f>IF('Zoopl Count'!O239="","",'Zoopl Count'!O239*(2^O$9)/O$8)</f>
        <v/>
      </c>
      <c r="P239" s="205" t="str">
        <f>IF('Zoopl Count'!P239="","",'Zoopl Count'!P239*(2^P$9)/P$8)</f>
        <v/>
      </c>
    </row>
    <row r="240" spans="1:16" s="75" customFormat="1" hidden="1">
      <c r="D240" s="138" t="s">
        <v>12</v>
      </c>
      <c r="E240" s="244" t="s">
        <v>407</v>
      </c>
      <c r="F240" s="137"/>
      <c r="G240" s="205" t="str">
        <f>IF('Zoopl Count'!G240="","",'Zoopl Count'!G240*(2^G$9)/G$8)</f>
        <v/>
      </c>
      <c r="H240" s="205" t="str">
        <f>IF('Zoopl Count'!H240="","",'Zoopl Count'!H240*(2^H$9)/H$8)</f>
        <v/>
      </c>
      <c r="I240" s="205" t="str">
        <f>IF('Zoopl Count'!I240="","",'Zoopl Count'!I240*(2^I$9)/I$8)</f>
        <v/>
      </c>
      <c r="J240" s="205" t="str">
        <f>IF('Zoopl Count'!J240="","",'Zoopl Count'!J240*(2^J$9)/J$8)</f>
        <v/>
      </c>
      <c r="K240" s="205" t="str">
        <f>IF('Zoopl Count'!K240="","",'Zoopl Count'!K240*(2^K$9)/K$8)</f>
        <v/>
      </c>
      <c r="L240" s="205" t="str">
        <f>IF('Zoopl Count'!L240="","",'Zoopl Count'!L240*(2^L$9)/L$8)</f>
        <v/>
      </c>
      <c r="M240" s="205" t="str">
        <f>IF('Zoopl Count'!M240="","",'Zoopl Count'!M240*(2^M$9)/M$8)</f>
        <v/>
      </c>
      <c r="N240" s="205" t="str">
        <f>IF('Zoopl Count'!N240="","",'Zoopl Count'!N240*(2^N$9)/N$8)</f>
        <v/>
      </c>
      <c r="O240" s="205" t="str">
        <f>IF('Zoopl Count'!O240="","",'Zoopl Count'!O240*(2^O$9)/O$8)</f>
        <v/>
      </c>
      <c r="P240" s="205" t="str">
        <f>IF('Zoopl Count'!P240="","",'Zoopl Count'!P240*(2^P$9)/P$8)</f>
        <v/>
      </c>
    </row>
    <row r="241" spans="1:16" s="75" customFormat="1" hidden="1">
      <c r="E241" s="138" t="s">
        <v>14</v>
      </c>
      <c r="F241" s="139" t="s">
        <v>408</v>
      </c>
      <c r="G241" s="205" t="str">
        <f>IF('Zoopl Count'!G241="","",'Zoopl Count'!G241*(2^G$9)/G$8)</f>
        <v/>
      </c>
      <c r="H241" s="205" t="str">
        <f>IF('Zoopl Count'!H241="","",'Zoopl Count'!H241*(2^H$9)/H$8)</f>
        <v/>
      </c>
      <c r="I241" s="205" t="str">
        <f>IF('Zoopl Count'!I241="","",'Zoopl Count'!I241*(2^I$9)/I$8)</f>
        <v/>
      </c>
      <c r="J241" s="205" t="str">
        <f>IF('Zoopl Count'!J241="","",'Zoopl Count'!J241*(2^J$9)/J$8)</f>
        <v/>
      </c>
      <c r="K241" s="205" t="str">
        <f>IF('Zoopl Count'!K241="","",'Zoopl Count'!K241*(2^K$9)/K$8)</f>
        <v/>
      </c>
      <c r="L241" s="205" t="str">
        <f>IF('Zoopl Count'!L241="","",'Zoopl Count'!L241*(2^L$9)/L$8)</f>
        <v/>
      </c>
      <c r="M241" s="205" t="str">
        <f>IF('Zoopl Count'!M241="","",'Zoopl Count'!M241*(2^M$9)/M$8)</f>
        <v/>
      </c>
      <c r="N241" s="205" t="str">
        <f>IF('Zoopl Count'!N241="","",'Zoopl Count'!N241*(2^N$9)/N$8)</f>
        <v/>
      </c>
      <c r="O241" s="205" t="str">
        <f>IF('Zoopl Count'!O241="","",'Zoopl Count'!O241*(2^O$9)/O$8)</f>
        <v/>
      </c>
      <c r="P241" s="205" t="str">
        <f>IF('Zoopl Count'!P241="","",'Zoopl Count'!P241*(2^P$9)/P$8)</f>
        <v/>
      </c>
    </row>
    <row r="242" spans="1:16" s="75" customFormat="1" hidden="1">
      <c r="A242" s="206"/>
      <c r="B242" s="206"/>
      <c r="C242" s="206"/>
      <c r="D242" s="206"/>
      <c r="E242" s="207"/>
      <c r="F242" s="10" t="s">
        <v>409</v>
      </c>
      <c r="G242" s="205" t="str">
        <f>IF('Zoopl Count'!G242="","",'Zoopl Count'!G242*(2^G$9)/G$8)</f>
        <v/>
      </c>
      <c r="H242" s="205" t="str">
        <f>IF('Zoopl Count'!H242="","",'Zoopl Count'!H242*(2^H$9)/H$8)</f>
        <v/>
      </c>
      <c r="I242" s="205" t="str">
        <f>IF('Zoopl Count'!I242="","",'Zoopl Count'!I242*(2^I$9)/I$8)</f>
        <v/>
      </c>
      <c r="J242" s="205" t="str">
        <f>IF('Zoopl Count'!J242="","",'Zoopl Count'!J242*(2^J$9)/J$8)</f>
        <v/>
      </c>
      <c r="K242" s="205" t="str">
        <f>IF('Zoopl Count'!K242="","",'Zoopl Count'!K242*(2^K$9)/K$8)</f>
        <v/>
      </c>
      <c r="L242" s="205" t="str">
        <f>IF('Zoopl Count'!L242="","",'Zoopl Count'!L242*(2^L$9)/L$8)</f>
        <v/>
      </c>
      <c r="M242" s="205" t="str">
        <f>IF('Zoopl Count'!M242="","",'Zoopl Count'!M242*(2^M$9)/M$8)</f>
        <v/>
      </c>
      <c r="N242" s="205" t="str">
        <f>IF('Zoopl Count'!N242="","",'Zoopl Count'!N242*(2^N$9)/N$8)</f>
        <v/>
      </c>
      <c r="O242" s="205" t="str">
        <f>IF('Zoopl Count'!O242="","",'Zoopl Count'!O242*(2^O$9)/O$8)</f>
        <v/>
      </c>
      <c r="P242" s="205" t="str">
        <f>IF('Zoopl Count'!P242="","",'Zoopl Count'!P242*(2^P$9)/P$8)</f>
        <v/>
      </c>
    </row>
    <row r="243" spans="1:16" s="75" customFormat="1" hidden="1">
      <c r="C243" s="147"/>
      <c r="E243" s="138"/>
      <c r="F243" s="139"/>
      <c r="G243" s="205" t="str">
        <f>IF('Zoopl Count'!G243="","",'Zoopl Count'!G243*(2^G$9)/G$8)</f>
        <v/>
      </c>
      <c r="H243" s="205" t="str">
        <f>IF('Zoopl Count'!H243="","",'Zoopl Count'!H243*(2^H$9)/H$8)</f>
        <v/>
      </c>
      <c r="I243" s="205" t="str">
        <f>IF('Zoopl Count'!I243="","",'Zoopl Count'!I243*(2^I$9)/I$8)</f>
        <v/>
      </c>
      <c r="J243" s="205" t="str">
        <f>IF('Zoopl Count'!J243="","",'Zoopl Count'!J243*(2^J$9)/J$8)</f>
        <v/>
      </c>
      <c r="K243" s="205" t="str">
        <f>IF('Zoopl Count'!K243="","",'Zoopl Count'!K243*(2^K$9)/K$8)</f>
        <v/>
      </c>
      <c r="L243" s="205" t="str">
        <f>IF('Zoopl Count'!L243="","",'Zoopl Count'!L243*(2^L$9)/L$8)</f>
        <v/>
      </c>
      <c r="M243" s="205" t="str">
        <f>IF('Zoopl Count'!M243="","",'Zoopl Count'!M243*(2^M$9)/M$8)</f>
        <v/>
      </c>
      <c r="N243" s="205" t="str">
        <f>IF('Zoopl Count'!N243="","",'Zoopl Count'!N243*(2^N$9)/N$8)</f>
        <v/>
      </c>
      <c r="O243" s="205" t="str">
        <f>IF('Zoopl Count'!O243="","",'Zoopl Count'!O243*(2^O$9)/O$8)</f>
        <v/>
      </c>
      <c r="P243" s="205" t="str">
        <f>IF('Zoopl Count'!P243="","",'Zoopl Count'!P243*(2^P$9)/P$8)</f>
        <v/>
      </c>
    </row>
    <row r="244" spans="1:16" s="135" customFormat="1" hidden="1">
      <c r="B244" s="134" t="s">
        <v>79</v>
      </c>
      <c r="C244" s="135" t="s">
        <v>92</v>
      </c>
      <c r="E244" s="134"/>
      <c r="F244" s="143"/>
      <c r="G244" s="205" t="str">
        <f>IF('Zoopl Count'!G244="","",'Zoopl Count'!G244*(2^G$9)/G$8)</f>
        <v/>
      </c>
      <c r="H244" s="205" t="str">
        <f>IF('Zoopl Count'!H244="","",'Zoopl Count'!H244*(2^H$9)/H$8)</f>
        <v/>
      </c>
      <c r="I244" s="205" t="str">
        <f>IF('Zoopl Count'!I244="","",'Zoopl Count'!I244*(2^I$9)/I$8)</f>
        <v/>
      </c>
      <c r="J244" s="205" t="str">
        <f>IF('Zoopl Count'!J244="","",'Zoopl Count'!J244*(2^J$9)/J$8)</f>
        <v/>
      </c>
      <c r="K244" s="205" t="str">
        <f>IF('Zoopl Count'!K244="","",'Zoopl Count'!K244*(2^K$9)/K$8)</f>
        <v/>
      </c>
      <c r="L244" s="205" t="str">
        <f>IF('Zoopl Count'!L244="","",'Zoopl Count'!L244*(2^L$9)/L$8)</f>
        <v/>
      </c>
      <c r="M244" s="205" t="str">
        <f>IF('Zoopl Count'!M244="","",'Zoopl Count'!M244*(2^M$9)/M$8)</f>
        <v/>
      </c>
      <c r="N244" s="205" t="str">
        <f>IF('Zoopl Count'!N244="","",'Zoopl Count'!N244*(2^N$9)/N$8)</f>
        <v/>
      </c>
      <c r="O244" s="205" t="str">
        <f>IF('Zoopl Count'!O244="","",'Zoopl Count'!O244*(2^O$9)/O$8)</f>
        <v/>
      </c>
      <c r="P244" s="205" t="str">
        <f>IF('Zoopl Count'!P244="","",'Zoopl Count'!P244*(2^P$9)/P$8)</f>
        <v/>
      </c>
    </row>
    <row r="245" spans="1:16" s="75" customFormat="1" hidden="1">
      <c r="A245" s="190"/>
      <c r="B245" s="190"/>
      <c r="C245" s="190"/>
      <c r="D245" s="190"/>
      <c r="E245" s="191"/>
      <c r="F245" s="192" t="s">
        <v>93</v>
      </c>
      <c r="G245" s="205" t="str">
        <f>IF('Zoopl Count'!G245="","",'Zoopl Count'!G245*(2^G$9)/G$8)</f>
        <v/>
      </c>
      <c r="H245" s="205" t="str">
        <f>IF('Zoopl Count'!H245="","",'Zoopl Count'!H245*(2^H$9)/H$8)</f>
        <v/>
      </c>
      <c r="I245" s="205" t="str">
        <f>IF('Zoopl Count'!I245="","",'Zoopl Count'!I245*(2^I$9)/I$8)</f>
        <v/>
      </c>
      <c r="J245" s="205" t="str">
        <f>IF('Zoopl Count'!J245="","",'Zoopl Count'!J245*(2^J$9)/J$8)</f>
        <v/>
      </c>
      <c r="K245" s="205" t="str">
        <f>IF('Zoopl Count'!K245="","",'Zoopl Count'!K245*(2^K$9)/K$8)</f>
        <v/>
      </c>
      <c r="L245" s="205" t="str">
        <f>IF('Zoopl Count'!L245="","",'Zoopl Count'!L245*(2^L$9)/L$8)</f>
        <v/>
      </c>
      <c r="M245" s="205" t="str">
        <f>IF('Zoopl Count'!M245="","",'Zoopl Count'!M245*(2^M$9)/M$8)</f>
        <v/>
      </c>
      <c r="N245" s="205" t="str">
        <f>IF('Zoopl Count'!N245="","",'Zoopl Count'!N245*(2^N$9)/N$8)</f>
        <v/>
      </c>
      <c r="O245" s="205" t="str">
        <f>IF('Zoopl Count'!O245="","",'Zoopl Count'!O245*(2^O$9)/O$8)</f>
        <v/>
      </c>
      <c r="P245" s="205" t="str">
        <f>IF('Zoopl Count'!P245="","",'Zoopl Count'!P245*(2^P$9)/P$8)</f>
        <v/>
      </c>
    </row>
    <row r="246" spans="1:16" s="75" customFormat="1">
      <c r="E246" s="138"/>
      <c r="F246" s="137"/>
      <c r="G246" s="205" t="str">
        <f>IF('Zoopl Count'!G246="","",'Zoopl Count'!G246*(2^G$9)/G$8)</f>
        <v/>
      </c>
      <c r="H246" s="205" t="str">
        <f>IF('Zoopl Count'!H246="","",'Zoopl Count'!H246*(2^H$9)/H$8)</f>
        <v/>
      </c>
      <c r="I246" s="205" t="str">
        <f>IF('Zoopl Count'!I246="","",'Zoopl Count'!I246*(2^I$9)/I$8)</f>
        <v/>
      </c>
      <c r="J246" s="205" t="str">
        <f>IF('Zoopl Count'!J246="","",'Zoopl Count'!J246*(2^J$9)/J$8)</f>
        <v/>
      </c>
      <c r="K246" s="205" t="str">
        <f>IF('Zoopl Count'!K246="","",'Zoopl Count'!K246*(2^K$9)/K$8)</f>
        <v/>
      </c>
      <c r="L246" s="205" t="str">
        <f>IF('Zoopl Count'!L246="","",'Zoopl Count'!L246*(2^L$9)/L$8)</f>
        <v/>
      </c>
      <c r="M246" s="205" t="str">
        <f>IF('Zoopl Count'!M246="","",'Zoopl Count'!M246*(2^M$9)/M$8)</f>
        <v/>
      </c>
      <c r="N246" s="205" t="str">
        <f>IF('Zoopl Count'!N246="","",'Zoopl Count'!N246*(2^N$9)/N$8)</f>
        <v/>
      </c>
      <c r="O246" s="205" t="str">
        <f>IF('Zoopl Count'!O246="","",'Zoopl Count'!O246*(2^O$9)/O$8)</f>
        <v/>
      </c>
      <c r="P246" s="205" t="str">
        <f>IF('Zoopl Count'!P246="","",'Zoopl Count'!P246*(2^P$9)/P$8)</f>
        <v/>
      </c>
    </row>
    <row r="247" spans="1:16" s="75" customFormat="1">
      <c r="B247" s="134" t="s">
        <v>79</v>
      </c>
      <c r="C247" s="135" t="s">
        <v>94</v>
      </c>
      <c r="E247" s="138"/>
      <c r="F247" s="139"/>
      <c r="G247" s="205" t="str">
        <f>IF('Zoopl Count'!G247="","",'Zoopl Count'!G247*(2^G$9)/G$8)</f>
        <v/>
      </c>
      <c r="H247" s="205" t="str">
        <f>IF('Zoopl Count'!H247="","",'Zoopl Count'!H247*(2^H$9)/H$8)</f>
        <v/>
      </c>
      <c r="I247" s="205" t="str">
        <f>IF('Zoopl Count'!I247="","",'Zoopl Count'!I247*(2^I$9)/I$8)</f>
        <v/>
      </c>
      <c r="J247" s="205" t="str">
        <f>IF('Zoopl Count'!J247="","",'Zoopl Count'!J247*(2^J$9)/J$8)</f>
        <v/>
      </c>
      <c r="K247" s="205" t="str">
        <f>IF('Zoopl Count'!K247="","",'Zoopl Count'!K247*(2^K$9)/K$8)</f>
        <v/>
      </c>
      <c r="L247" s="205" t="str">
        <f>IF('Zoopl Count'!L247="","",'Zoopl Count'!L247*(2^L$9)/L$8)</f>
        <v/>
      </c>
      <c r="M247" s="205" t="str">
        <f>IF('Zoopl Count'!M247="","",'Zoopl Count'!M247*(2^M$9)/M$8)</f>
        <v/>
      </c>
      <c r="N247" s="205" t="str">
        <f>IF('Zoopl Count'!N247="","",'Zoopl Count'!N247*(2^N$9)/N$8)</f>
        <v/>
      </c>
      <c r="O247" s="205" t="str">
        <f>IF('Zoopl Count'!O247="","",'Zoopl Count'!O247*(2^O$9)/O$8)</f>
        <v/>
      </c>
      <c r="P247" s="205" t="str">
        <f>IF('Zoopl Count'!P247="","",'Zoopl Count'!P247*(2^P$9)/P$8)</f>
        <v/>
      </c>
    </row>
    <row r="248" spans="1:16" s="75" customFormat="1" hidden="1">
      <c r="B248" s="138"/>
      <c r="C248" s="135"/>
      <c r="E248" s="138"/>
      <c r="F248" s="139" t="s">
        <v>182</v>
      </c>
      <c r="G248" s="205" t="str">
        <f>IF('Zoopl Count'!G248="","",'Zoopl Count'!G248*(2^G$9)/G$8)</f>
        <v/>
      </c>
      <c r="H248" s="205" t="str">
        <f>IF('Zoopl Count'!H248="","",'Zoopl Count'!H248*(2^H$9)/H$8)</f>
        <v/>
      </c>
      <c r="I248" s="205" t="str">
        <f>IF('Zoopl Count'!I248="","",'Zoopl Count'!I248*(2^I$9)/I$8)</f>
        <v/>
      </c>
      <c r="J248" s="205" t="str">
        <f>IF('Zoopl Count'!J248="","",'Zoopl Count'!J248*(2^J$9)/J$8)</f>
        <v/>
      </c>
      <c r="K248" s="205" t="str">
        <f>IF('Zoopl Count'!K248="","",'Zoopl Count'!K248*(2^K$9)/K$8)</f>
        <v/>
      </c>
      <c r="L248" s="205" t="str">
        <f>IF('Zoopl Count'!L248="","",'Zoopl Count'!L248*(2^L$9)/L$8)</f>
        <v/>
      </c>
      <c r="M248" s="205" t="str">
        <f>IF('Zoopl Count'!M248="","",'Zoopl Count'!M248*(2^M$9)/M$8)</f>
        <v/>
      </c>
      <c r="N248" s="205" t="str">
        <f>IF('Zoopl Count'!N248="","",'Zoopl Count'!N248*(2^N$9)/N$8)</f>
        <v/>
      </c>
      <c r="O248" s="205" t="str">
        <f>IF('Zoopl Count'!O248="","",'Zoopl Count'!O248*(2^O$9)/O$8)</f>
        <v/>
      </c>
      <c r="P248" s="205" t="str">
        <f>IF('Zoopl Count'!P248="","",'Zoopl Count'!P248*(2^P$9)/P$8)</f>
        <v/>
      </c>
    </row>
    <row r="249" spans="1:16" s="135" customFormat="1">
      <c r="C249" s="134" t="s">
        <v>10</v>
      </c>
      <c r="D249" s="135" t="s">
        <v>95</v>
      </c>
      <c r="E249" s="134"/>
      <c r="F249" s="143"/>
      <c r="G249" s="205" t="str">
        <f>IF('Zoopl Count'!G249="","",'Zoopl Count'!G249*(2^G$9)/G$8)</f>
        <v/>
      </c>
      <c r="H249" s="205" t="str">
        <f>IF('Zoopl Count'!H249="","",'Zoopl Count'!H249*(2^H$9)/H$8)</f>
        <v/>
      </c>
      <c r="I249" s="205" t="str">
        <f>IF('Zoopl Count'!I249="","",'Zoopl Count'!I249*(2^I$9)/I$8)</f>
        <v/>
      </c>
      <c r="J249" s="205" t="str">
        <f>IF('Zoopl Count'!J249="","",'Zoopl Count'!J249*(2^J$9)/J$8)</f>
        <v/>
      </c>
      <c r="K249" s="205" t="str">
        <f>IF('Zoopl Count'!K249="","",'Zoopl Count'!K249*(2^K$9)/K$8)</f>
        <v/>
      </c>
      <c r="L249" s="205" t="str">
        <f>IF('Zoopl Count'!L249="","",'Zoopl Count'!L249*(2^L$9)/L$8)</f>
        <v/>
      </c>
      <c r="M249" s="205" t="str">
        <f>IF('Zoopl Count'!M249="","",'Zoopl Count'!M249*(2^M$9)/M$8)</f>
        <v/>
      </c>
      <c r="N249" s="205" t="str">
        <f>IF('Zoopl Count'!N249="","",'Zoopl Count'!N249*(2^N$9)/N$8)</f>
        <v/>
      </c>
      <c r="O249" s="205" t="str">
        <f>IF('Zoopl Count'!O249="","",'Zoopl Count'!O249*(2^O$9)/O$8)</f>
        <v/>
      </c>
      <c r="P249" s="205" t="str">
        <f>IF('Zoopl Count'!P249="","",'Zoopl Count'!P249*(2^P$9)/P$8)</f>
        <v/>
      </c>
    </row>
    <row r="250" spans="1:16" s="75" customFormat="1">
      <c r="E250" s="138"/>
      <c r="F250" s="137" t="s">
        <v>96</v>
      </c>
      <c r="G250" s="205" t="str">
        <f>IF('Zoopl Count'!G250="","",'Zoopl Count'!G250*(2^G$9)/G$8)</f>
        <v/>
      </c>
      <c r="H250" s="205" t="str">
        <f>IF('Zoopl Count'!H250="","",'Zoopl Count'!H250*(2^H$9)/H$8)</f>
        <v/>
      </c>
      <c r="I250" s="205" t="str">
        <f>IF('Zoopl Count'!I250="","",'Zoopl Count'!I250*(2^I$9)/I$8)</f>
        <v/>
      </c>
      <c r="J250" s="205">
        <f>IF('Zoopl Count'!J250="","",'Zoopl Count'!J250*(2^J$9)/J$8)</f>
        <v>0.13037972938088066</v>
      </c>
      <c r="K250" s="205" t="str">
        <f>IF('Zoopl Count'!K250="","",'Zoopl Count'!K250*(2^K$9)/K$8)</f>
        <v/>
      </c>
      <c r="L250" s="205" t="str">
        <f>IF('Zoopl Count'!L250="","",'Zoopl Count'!L250*(2^L$9)/L$8)</f>
        <v/>
      </c>
      <c r="M250" s="205" t="str">
        <f>IF('Zoopl Count'!M250="","",'Zoopl Count'!M250*(2^M$9)/M$8)</f>
        <v/>
      </c>
      <c r="N250" s="205" t="str">
        <f>IF('Zoopl Count'!N250="","",'Zoopl Count'!N250*(2^N$9)/N$8)</f>
        <v/>
      </c>
      <c r="O250" s="205" t="str">
        <f>IF('Zoopl Count'!O250="","",'Zoopl Count'!O250*(2^O$9)/O$8)</f>
        <v/>
      </c>
      <c r="P250" s="205" t="str">
        <f>IF('Zoopl Count'!P250="","",'Zoopl Count'!P250*(2^P$9)/P$8)</f>
        <v/>
      </c>
    </row>
    <row r="251" spans="1:16" s="75" customFormat="1" hidden="1">
      <c r="C251" s="134" t="s">
        <v>10</v>
      </c>
      <c r="D251" s="135" t="s">
        <v>97</v>
      </c>
      <c r="E251" s="138"/>
      <c r="F251" s="139"/>
      <c r="G251" s="205" t="str">
        <f>IF('Zoopl Count'!G251="","",'Zoopl Count'!G251*(2^G$9)/G$8)</f>
        <v/>
      </c>
      <c r="H251" s="205" t="str">
        <f>IF('Zoopl Count'!H251="","",'Zoopl Count'!H251*(2^H$9)/H$8)</f>
        <v/>
      </c>
      <c r="I251" s="205" t="str">
        <f>IF('Zoopl Count'!I251="","",'Zoopl Count'!I251*(2^I$9)/I$8)</f>
        <v/>
      </c>
      <c r="J251" s="205" t="str">
        <f>IF('Zoopl Count'!J251="","",'Zoopl Count'!J251*(2^J$9)/J$8)</f>
        <v/>
      </c>
      <c r="K251" s="205" t="str">
        <f>IF('Zoopl Count'!K251="","",'Zoopl Count'!K251*(2^K$9)/K$8)</f>
        <v/>
      </c>
      <c r="L251" s="205" t="str">
        <f>IF('Zoopl Count'!L251="","",'Zoopl Count'!L251*(2^L$9)/L$8)</f>
        <v/>
      </c>
      <c r="M251" s="205" t="str">
        <f>IF('Zoopl Count'!M251="","",'Zoopl Count'!M251*(2^M$9)/M$8)</f>
        <v/>
      </c>
      <c r="N251" s="205" t="str">
        <f>IF('Zoopl Count'!N251="","",'Zoopl Count'!N251*(2^N$9)/N$8)</f>
        <v/>
      </c>
      <c r="O251" s="205" t="str">
        <f>IF('Zoopl Count'!O251="","",'Zoopl Count'!O251*(2^O$9)/O$8)</f>
        <v/>
      </c>
      <c r="P251" s="205" t="str">
        <f>IF('Zoopl Count'!P251="","",'Zoopl Count'!P251*(2^P$9)/P$8)</f>
        <v/>
      </c>
    </row>
    <row r="252" spans="1:16" s="75" customFormat="1" hidden="1">
      <c r="A252" s="272" t="s">
        <v>12</v>
      </c>
      <c r="B252" s="272"/>
      <c r="C252" s="272"/>
      <c r="D252" s="272"/>
      <c r="E252" s="273" t="s">
        <v>332</v>
      </c>
      <c r="F252" s="274"/>
      <c r="G252" s="205" t="str">
        <f>IF('Zoopl Count'!G252="","",'Zoopl Count'!G252*(2^G$9)/G$8)</f>
        <v/>
      </c>
      <c r="H252" s="205" t="str">
        <f>IF('Zoopl Count'!H252="","",'Zoopl Count'!H252*(2^H$9)/H$8)</f>
        <v/>
      </c>
      <c r="I252" s="205" t="str">
        <f>IF('Zoopl Count'!I252="","",'Zoopl Count'!I252*(2^I$9)/I$8)</f>
        <v/>
      </c>
      <c r="J252" s="205" t="str">
        <f>IF('Zoopl Count'!J252="","",'Zoopl Count'!J252*(2^J$9)/J$8)</f>
        <v/>
      </c>
      <c r="K252" s="205" t="str">
        <f>IF('Zoopl Count'!K252="","",'Zoopl Count'!K252*(2^K$9)/K$8)</f>
        <v/>
      </c>
      <c r="L252" s="205" t="str">
        <f>IF('Zoopl Count'!L252="","",'Zoopl Count'!L252*(2^L$9)/L$8)</f>
        <v/>
      </c>
      <c r="M252" s="205" t="str">
        <f>IF('Zoopl Count'!M252="","",'Zoopl Count'!M252*(2^M$9)/M$8)</f>
        <v/>
      </c>
      <c r="N252" s="205" t="str">
        <f>IF('Zoopl Count'!N252="","",'Zoopl Count'!N252*(2^N$9)/N$8)</f>
        <v/>
      </c>
      <c r="O252" s="205" t="str">
        <f>IF('Zoopl Count'!O252="","",'Zoopl Count'!O252*(2^O$9)/O$8)</f>
        <v/>
      </c>
      <c r="P252" s="205" t="str">
        <f>IF('Zoopl Count'!P252="","",'Zoopl Count'!P252*(2^P$9)/P$8)</f>
        <v/>
      </c>
    </row>
    <row r="253" spans="1:16" s="75" customFormat="1" hidden="1">
      <c r="E253" s="245" t="s">
        <v>414</v>
      </c>
      <c r="F253" s="137"/>
      <c r="G253" s="205" t="str">
        <f>IF('Zoopl Count'!G253="","",'Zoopl Count'!G253*(2^G$9)/G$8)</f>
        <v/>
      </c>
      <c r="H253" s="205" t="str">
        <f>IF('Zoopl Count'!H253="","",'Zoopl Count'!H253*(2^H$9)/H$8)</f>
        <v/>
      </c>
      <c r="I253" s="205" t="str">
        <f>IF('Zoopl Count'!I253="","",'Zoopl Count'!I253*(2^I$9)/I$8)</f>
        <v/>
      </c>
      <c r="J253" s="205" t="str">
        <f>IF('Zoopl Count'!J253="","",'Zoopl Count'!J253*(2^J$9)/J$8)</f>
        <v/>
      </c>
      <c r="K253" s="205" t="str">
        <f>IF('Zoopl Count'!K253="","",'Zoopl Count'!K253*(2^K$9)/K$8)</f>
        <v/>
      </c>
      <c r="L253" s="205" t="str">
        <f>IF('Zoopl Count'!L253="","",'Zoopl Count'!L253*(2^L$9)/L$8)</f>
        <v/>
      </c>
      <c r="M253" s="205" t="str">
        <f>IF('Zoopl Count'!M253="","",'Zoopl Count'!M253*(2^M$9)/M$8)</f>
        <v/>
      </c>
      <c r="N253" s="205" t="str">
        <f>IF('Zoopl Count'!N253="","",'Zoopl Count'!N253*(2^N$9)/N$8)</f>
        <v/>
      </c>
      <c r="O253" s="205" t="str">
        <f>IF('Zoopl Count'!O253="","",'Zoopl Count'!O253*(2^O$9)/O$8)</f>
        <v/>
      </c>
      <c r="P253" s="205" t="str">
        <f>IF('Zoopl Count'!P253="","",'Zoopl Count'!P253*(2^P$9)/P$8)</f>
        <v/>
      </c>
    </row>
    <row r="254" spans="1:16" s="75" customFormat="1" hidden="1">
      <c r="C254" s="134" t="s">
        <v>10</v>
      </c>
      <c r="D254" s="135" t="s">
        <v>186</v>
      </c>
      <c r="E254" s="138"/>
      <c r="F254" s="137"/>
      <c r="G254" s="205" t="str">
        <f>IF('Zoopl Count'!G254="","",'Zoopl Count'!G254*(2^G$9)/G$8)</f>
        <v/>
      </c>
      <c r="H254" s="205" t="str">
        <f>IF('Zoopl Count'!H254="","",'Zoopl Count'!H254*(2^H$9)/H$8)</f>
        <v/>
      </c>
      <c r="I254" s="205" t="str">
        <f>IF('Zoopl Count'!I254="","",'Zoopl Count'!I254*(2^I$9)/I$8)</f>
        <v/>
      </c>
      <c r="J254" s="205" t="str">
        <f>IF('Zoopl Count'!J254="","",'Zoopl Count'!J254*(2^J$9)/J$8)</f>
        <v/>
      </c>
      <c r="K254" s="205" t="str">
        <f>IF('Zoopl Count'!K254="","",'Zoopl Count'!K254*(2^K$9)/K$8)</f>
        <v/>
      </c>
      <c r="L254" s="205" t="str">
        <f>IF('Zoopl Count'!L254="","",'Zoopl Count'!L254*(2^L$9)/L$8)</f>
        <v/>
      </c>
      <c r="M254" s="205" t="str">
        <f>IF('Zoopl Count'!M254="","",'Zoopl Count'!M254*(2^M$9)/M$8)</f>
        <v/>
      </c>
      <c r="N254" s="205" t="str">
        <f>IF('Zoopl Count'!N254="","",'Zoopl Count'!N254*(2^N$9)/N$8)</f>
        <v/>
      </c>
      <c r="O254" s="205" t="str">
        <f>IF('Zoopl Count'!O254="","",'Zoopl Count'!O254*(2^O$9)/O$8)</f>
        <v/>
      </c>
      <c r="P254" s="205" t="str">
        <f>IF('Zoopl Count'!P254="","",'Zoopl Count'!P254*(2^P$9)/P$8)</f>
        <v/>
      </c>
    </row>
    <row r="255" spans="1:16" s="75" customFormat="1" hidden="1">
      <c r="E255" s="138"/>
      <c r="F255" s="148" t="s">
        <v>187</v>
      </c>
      <c r="G255" s="205" t="str">
        <f>IF('Zoopl Count'!G255="","",'Zoopl Count'!G255*(2^G$9)/G$8)</f>
        <v/>
      </c>
      <c r="H255" s="205" t="str">
        <f>IF('Zoopl Count'!H255="","",'Zoopl Count'!H255*(2^H$9)/H$8)</f>
        <v/>
      </c>
      <c r="I255" s="205" t="str">
        <f>IF('Zoopl Count'!I255="","",'Zoopl Count'!I255*(2^I$9)/I$8)</f>
        <v/>
      </c>
      <c r="J255" s="205" t="str">
        <f>IF('Zoopl Count'!J255="","",'Zoopl Count'!J255*(2^J$9)/J$8)</f>
        <v/>
      </c>
      <c r="K255" s="205" t="str">
        <f>IF('Zoopl Count'!K255="","",'Zoopl Count'!K255*(2^K$9)/K$8)</f>
        <v/>
      </c>
      <c r="L255" s="205" t="str">
        <f>IF('Zoopl Count'!L255="","",'Zoopl Count'!L255*(2^L$9)/L$8)</f>
        <v/>
      </c>
      <c r="M255" s="205" t="str">
        <f>IF('Zoopl Count'!M255="","",'Zoopl Count'!M255*(2^M$9)/M$8)</f>
        <v/>
      </c>
      <c r="N255" s="205" t="str">
        <f>IF('Zoopl Count'!N255="","",'Zoopl Count'!N255*(2^N$9)/N$8)</f>
        <v/>
      </c>
      <c r="O255" s="205" t="str">
        <f>IF('Zoopl Count'!O255="","",'Zoopl Count'!O255*(2^O$9)/O$8)</f>
        <v/>
      </c>
      <c r="P255" s="205" t="str">
        <f>IF('Zoopl Count'!P255="","",'Zoopl Count'!P255*(2^P$9)/P$8)</f>
        <v/>
      </c>
    </row>
    <row r="256" spans="1:16" s="75" customFormat="1">
      <c r="C256" s="134" t="s">
        <v>10</v>
      </c>
      <c r="D256" s="135" t="s">
        <v>99</v>
      </c>
      <c r="E256" s="138"/>
      <c r="F256" s="139"/>
      <c r="G256" s="205" t="str">
        <f>IF('Zoopl Count'!G256="","",'Zoopl Count'!G256*(2^G$9)/G$8)</f>
        <v/>
      </c>
      <c r="H256" s="205" t="str">
        <f>IF('Zoopl Count'!H256="","",'Zoopl Count'!H256*(2^H$9)/H$8)</f>
        <v/>
      </c>
      <c r="I256" s="205" t="str">
        <f>IF('Zoopl Count'!I256="","",'Zoopl Count'!I256*(2^I$9)/I$8)</f>
        <v/>
      </c>
      <c r="J256" s="205" t="str">
        <f>IF('Zoopl Count'!J256="","",'Zoopl Count'!J256*(2^J$9)/J$8)</f>
        <v/>
      </c>
      <c r="K256" s="205" t="str">
        <f>IF('Zoopl Count'!K256="","",'Zoopl Count'!K256*(2^K$9)/K$8)</f>
        <v/>
      </c>
      <c r="L256" s="205" t="str">
        <f>IF('Zoopl Count'!L256="","",'Zoopl Count'!L256*(2^L$9)/L$8)</f>
        <v/>
      </c>
      <c r="M256" s="205" t="str">
        <f>IF('Zoopl Count'!M256="","",'Zoopl Count'!M256*(2^M$9)/M$8)</f>
        <v/>
      </c>
      <c r="N256" s="205" t="str">
        <f>IF('Zoopl Count'!N256="","",'Zoopl Count'!N256*(2^N$9)/N$8)</f>
        <v/>
      </c>
      <c r="O256" s="205" t="str">
        <f>IF('Zoopl Count'!O256="","",'Zoopl Count'!O256*(2^O$9)/O$8)</f>
        <v/>
      </c>
      <c r="P256" s="205" t="str">
        <f>IF('Zoopl Count'!P256="","",'Zoopl Count'!P256*(2^P$9)/P$8)</f>
        <v/>
      </c>
    </row>
    <row r="257" spans="1:16" s="75" customFormat="1">
      <c r="E257" s="138"/>
      <c r="F257" s="137" t="s">
        <v>110</v>
      </c>
      <c r="G257" s="205" t="str">
        <f>IF('Zoopl Count'!G257="","",'Zoopl Count'!G257*(2^G$9)/G$8)</f>
        <v/>
      </c>
      <c r="H257" s="205" t="str">
        <f>IF('Zoopl Count'!H257="","",'Zoopl Count'!H257*(2^H$9)/H$8)</f>
        <v/>
      </c>
      <c r="I257" s="205" t="str">
        <f>IF('Zoopl Count'!I257="","",'Zoopl Count'!I257*(2^I$9)/I$8)</f>
        <v/>
      </c>
      <c r="J257" s="205" t="str">
        <f>IF('Zoopl Count'!J257="","",'Zoopl Count'!J257*(2^J$9)/J$8)</f>
        <v/>
      </c>
      <c r="K257" s="205">
        <f>IF('Zoopl Count'!K257="","",'Zoopl Count'!K257*(2^K$9)/K$8)</f>
        <v>0.13037972938088066</v>
      </c>
      <c r="L257" s="205" t="str">
        <f>IF('Zoopl Count'!L257="","",'Zoopl Count'!L257*(2^L$9)/L$8)</f>
        <v/>
      </c>
      <c r="M257" s="205">
        <f>IF('Zoopl Count'!M257="","",'Zoopl Count'!M257*(2^M$9)/M$8)</f>
        <v>0.39113918814264198</v>
      </c>
      <c r="N257" s="205">
        <f>IF('Zoopl Count'!N257="","",'Zoopl Count'!N257*(2^N$9)/N$8)</f>
        <v>0.26075945876176132</v>
      </c>
      <c r="O257" s="205" t="str">
        <f>IF('Zoopl Count'!O257="","",'Zoopl Count'!O257*(2^O$9)/O$8)</f>
        <v/>
      </c>
      <c r="P257" s="205" t="str">
        <f>IF('Zoopl Count'!P257="","",'Zoopl Count'!P257*(2^P$9)/P$8)</f>
        <v/>
      </c>
    </row>
    <row r="258" spans="1:16" s="75" customFormat="1" hidden="1">
      <c r="E258" s="138"/>
      <c r="F258" s="137" t="s">
        <v>109</v>
      </c>
      <c r="G258" s="205" t="str">
        <f>IF('Zoopl Count'!G258="","",'Zoopl Count'!G258*(2^G$9)/G$8)</f>
        <v/>
      </c>
      <c r="H258" s="205" t="str">
        <f>IF('Zoopl Count'!H258="","",'Zoopl Count'!H258*(2^H$9)/H$8)</f>
        <v/>
      </c>
      <c r="I258" s="205" t="str">
        <f>IF('Zoopl Count'!I258="","",'Zoopl Count'!I258*(2^I$9)/I$8)</f>
        <v/>
      </c>
      <c r="J258" s="205" t="str">
        <f>IF('Zoopl Count'!J258="","",'Zoopl Count'!J258*(2^J$9)/J$8)</f>
        <v/>
      </c>
      <c r="K258" s="205" t="str">
        <f>IF('Zoopl Count'!K258="","",'Zoopl Count'!K258*(2^K$9)/K$8)</f>
        <v/>
      </c>
      <c r="L258" s="205" t="str">
        <f>IF('Zoopl Count'!L258="","",'Zoopl Count'!L258*(2^L$9)/L$8)</f>
        <v/>
      </c>
      <c r="M258" s="205" t="str">
        <f>IF('Zoopl Count'!M258="","",'Zoopl Count'!M258*(2^M$9)/M$8)</f>
        <v/>
      </c>
      <c r="N258" s="205" t="str">
        <f>IF('Zoopl Count'!N258="","",'Zoopl Count'!N258*(2^N$9)/N$8)</f>
        <v/>
      </c>
      <c r="O258" s="205" t="str">
        <f>IF('Zoopl Count'!O258="","",'Zoopl Count'!O258*(2^O$9)/O$8)</f>
        <v/>
      </c>
      <c r="P258" s="205" t="str">
        <f>IF('Zoopl Count'!P258="","",'Zoopl Count'!P258*(2^P$9)/P$8)</f>
        <v/>
      </c>
    </row>
    <row r="259" spans="1:16" s="75" customFormat="1" hidden="1">
      <c r="E259" s="138"/>
      <c r="F259" s="137" t="s">
        <v>108</v>
      </c>
      <c r="G259" s="205" t="str">
        <f>IF('Zoopl Count'!G259="","",'Zoopl Count'!G259*(2^G$9)/G$8)</f>
        <v/>
      </c>
      <c r="H259" s="205" t="str">
        <f>IF('Zoopl Count'!H259="","",'Zoopl Count'!H259*(2^H$9)/H$8)</f>
        <v/>
      </c>
      <c r="I259" s="205" t="str">
        <f>IF('Zoopl Count'!I259="","",'Zoopl Count'!I259*(2^I$9)/I$8)</f>
        <v/>
      </c>
      <c r="J259" s="205" t="str">
        <f>IF('Zoopl Count'!J259="","",'Zoopl Count'!J259*(2^J$9)/J$8)</f>
        <v/>
      </c>
      <c r="K259" s="205" t="str">
        <f>IF('Zoopl Count'!K259="","",'Zoopl Count'!K259*(2^K$9)/K$8)</f>
        <v/>
      </c>
      <c r="L259" s="205" t="str">
        <f>IF('Zoopl Count'!L259="","",'Zoopl Count'!L259*(2^L$9)/L$8)</f>
        <v/>
      </c>
      <c r="M259" s="205" t="str">
        <f>IF('Zoopl Count'!M259="","",'Zoopl Count'!M259*(2^M$9)/M$8)</f>
        <v/>
      </c>
      <c r="N259" s="205" t="str">
        <f>IF('Zoopl Count'!N259="","",'Zoopl Count'!N259*(2^N$9)/N$8)</f>
        <v/>
      </c>
      <c r="O259" s="205" t="str">
        <f>IF('Zoopl Count'!O259="","",'Zoopl Count'!O259*(2^O$9)/O$8)</f>
        <v/>
      </c>
      <c r="P259" s="205" t="str">
        <f>IF('Zoopl Count'!P259="","",'Zoopl Count'!P259*(2^P$9)/P$8)</f>
        <v/>
      </c>
    </row>
    <row r="260" spans="1:16" s="75" customFormat="1" hidden="1">
      <c r="E260" s="138"/>
      <c r="F260" s="137" t="s">
        <v>121</v>
      </c>
      <c r="G260" s="205" t="str">
        <f>IF('Zoopl Count'!G260="","",'Zoopl Count'!G260*(2^G$9)/G$8)</f>
        <v/>
      </c>
      <c r="H260" s="205" t="str">
        <f>IF('Zoopl Count'!H260="","",'Zoopl Count'!H260*(2^H$9)/H$8)</f>
        <v/>
      </c>
      <c r="I260" s="205" t="str">
        <f>IF('Zoopl Count'!I260="","",'Zoopl Count'!I260*(2^I$9)/I$8)</f>
        <v/>
      </c>
      <c r="J260" s="205" t="str">
        <f>IF('Zoopl Count'!J260="","",'Zoopl Count'!J260*(2^J$9)/J$8)</f>
        <v/>
      </c>
      <c r="K260" s="205" t="str">
        <f>IF('Zoopl Count'!K260="","",'Zoopl Count'!K260*(2^K$9)/K$8)</f>
        <v/>
      </c>
      <c r="L260" s="205" t="str">
        <f>IF('Zoopl Count'!L260="","",'Zoopl Count'!L260*(2^L$9)/L$8)</f>
        <v/>
      </c>
      <c r="M260" s="205" t="str">
        <f>IF('Zoopl Count'!M260="","",'Zoopl Count'!M260*(2^M$9)/M$8)</f>
        <v/>
      </c>
      <c r="N260" s="205" t="str">
        <f>IF('Zoopl Count'!N260="","",'Zoopl Count'!N260*(2^N$9)/N$8)</f>
        <v/>
      </c>
      <c r="O260" s="205" t="str">
        <f>IF('Zoopl Count'!O260="","",'Zoopl Count'!O260*(2^O$9)/O$8)</f>
        <v/>
      </c>
      <c r="P260" s="205" t="str">
        <f>IF('Zoopl Count'!P260="","",'Zoopl Count'!P260*(2^P$9)/P$8)</f>
        <v/>
      </c>
    </row>
    <row r="261" spans="1:16" s="75" customFormat="1" hidden="1">
      <c r="E261" s="138"/>
      <c r="F261" s="137" t="s">
        <v>111</v>
      </c>
      <c r="G261" s="205" t="str">
        <f>IF('Zoopl Count'!G261="","",'Zoopl Count'!G261*(2^G$9)/G$8)</f>
        <v/>
      </c>
      <c r="H261" s="205" t="str">
        <f>IF('Zoopl Count'!H261="","",'Zoopl Count'!H261*(2^H$9)/H$8)</f>
        <v/>
      </c>
      <c r="I261" s="205" t="str">
        <f>IF('Zoopl Count'!I261="","",'Zoopl Count'!I261*(2^I$9)/I$8)</f>
        <v/>
      </c>
      <c r="J261" s="205" t="str">
        <f>IF('Zoopl Count'!J261="","",'Zoopl Count'!J261*(2^J$9)/J$8)</f>
        <v/>
      </c>
      <c r="K261" s="205" t="str">
        <f>IF('Zoopl Count'!K261="","",'Zoopl Count'!K261*(2^K$9)/K$8)</f>
        <v/>
      </c>
      <c r="L261" s="205" t="str">
        <f>IF('Zoopl Count'!L261="","",'Zoopl Count'!L261*(2^L$9)/L$8)</f>
        <v/>
      </c>
      <c r="M261" s="205" t="str">
        <f>IF('Zoopl Count'!M261="","",'Zoopl Count'!M261*(2^M$9)/M$8)</f>
        <v/>
      </c>
      <c r="N261" s="205" t="str">
        <f>IF('Zoopl Count'!N261="","",'Zoopl Count'!N261*(2^N$9)/N$8)</f>
        <v/>
      </c>
      <c r="O261" s="205" t="str">
        <f>IF('Zoopl Count'!O261="","",'Zoopl Count'!O261*(2^O$9)/O$8)</f>
        <v/>
      </c>
      <c r="P261" s="205" t="str">
        <f>IF('Zoopl Count'!P261="","",'Zoopl Count'!P261*(2^P$9)/P$8)</f>
        <v/>
      </c>
    </row>
    <row r="262" spans="1:16" s="75" customFormat="1" hidden="1">
      <c r="E262" s="138"/>
      <c r="F262" s="269" t="s">
        <v>174</v>
      </c>
      <c r="G262" s="205" t="str">
        <f>IF('Zoopl Count'!G262="","",'Zoopl Count'!G262*(2^G$9)/G$8)</f>
        <v/>
      </c>
      <c r="H262" s="205" t="str">
        <f>IF('Zoopl Count'!H262="","",'Zoopl Count'!H262*(2^H$9)/H$8)</f>
        <v/>
      </c>
      <c r="I262" s="205" t="str">
        <f>IF('Zoopl Count'!I262="","",'Zoopl Count'!I262*(2^I$9)/I$8)</f>
        <v/>
      </c>
      <c r="J262" s="205" t="str">
        <f>IF('Zoopl Count'!J262="","",'Zoopl Count'!J262*(2^J$9)/J$8)</f>
        <v/>
      </c>
      <c r="K262" s="205" t="str">
        <f>IF('Zoopl Count'!K262="","",'Zoopl Count'!K262*(2^K$9)/K$8)</f>
        <v/>
      </c>
      <c r="L262" s="205" t="str">
        <f>IF('Zoopl Count'!L262="","",'Zoopl Count'!L262*(2^L$9)/L$8)</f>
        <v/>
      </c>
      <c r="M262" s="205" t="str">
        <f>IF('Zoopl Count'!M262="","",'Zoopl Count'!M262*(2^M$9)/M$8)</f>
        <v/>
      </c>
      <c r="N262" s="205" t="str">
        <f>IF('Zoopl Count'!N262="","",'Zoopl Count'!N262*(2^N$9)/N$8)</f>
        <v/>
      </c>
      <c r="O262" s="205" t="str">
        <f>IF('Zoopl Count'!O262="","",'Zoopl Count'!O262*(2^O$9)/O$8)</f>
        <v/>
      </c>
      <c r="P262" s="205" t="str">
        <f>IF('Zoopl Count'!P262="","",'Zoopl Count'!P262*(2^P$9)/P$8)</f>
        <v/>
      </c>
    </row>
    <row r="263" spans="1:16" s="75" customFormat="1" hidden="1">
      <c r="E263" s="138"/>
      <c r="F263" s="269" t="s">
        <v>113</v>
      </c>
      <c r="G263" s="205" t="str">
        <f>IF('Zoopl Count'!G263="","",'Zoopl Count'!G263*(2^G$9)/G$8)</f>
        <v/>
      </c>
      <c r="H263" s="205" t="str">
        <f>IF('Zoopl Count'!H263="","",'Zoopl Count'!H263*(2^H$9)/H$8)</f>
        <v/>
      </c>
      <c r="I263" s="205" t="str">
        <f>IF('Zoopl Count'!I263="","",'Zoopl Count'!I263*(2^I$9)/I$8)</f>
        <v/>
      </c>
      <c r="J263" s="205" t="str">
        <f>IF('Zoopl Count'!J263="","",'Zoopl Count'!J263*(2^J$9)/J$8)</f>
        <v/>
      </c>
      <c r="K263" s="205" t="str">
        <f>IF('Zoopl Count'!K263="","",'Zoopl Count'!K263*(2^K$9)/K$8)</f>
        <v/>
      </c>
      <c r="L263" s="205" t="str">
        <f>IF('Zoopl Count'!L263="","",'Zoopl Count'!L263*(2^L$9)/L$8)</f>
        <v/>
      </c>
      <c r="M263" s="205" t="str">
        <f>IF('Zoopl Count'!M263="","",'Zoopl Count'!M263*(2^M$9)/M$8)</f>
        <v/>
      </c>
      <c r="N263" s="205" t="str">
        <f>IF('Zoopl Count'!N263="","",'Zoopl Count'!N263*(2^N$9)/N$8)</f>
        <v/>
      </c>
      <c r="O263" s="205" t="str">
        <f>IF('Zoopl Count'!O263="","",'Zoopl Count'!O263*(2^O$9)/O$8)</f>
        <v/>
      </c>
      <c r="P263" s="205" t="str">
        <f>IF('Zoopl Count'!P263="","",'Zoopl Count'!P263*(2^P$9)/P$8)</f>
        <v/>
      </c>
    </row>
    <row r="264" spans="1:16" s="75" customFormat="1">
      <c r="E264" s="138"/>
      <c r="F264" s="269" t="s">
        <v>420</v>
      </c>
      <c r="G264" s="205">
        <f>IF('Zoopl Count'!G264="","",'Zoopl Count'!G264*(2^G$9)/G$8)</f>
        <v>0.26075945876176132</v>
      </c>
      <c r="H264" s="205">
        <f>IF('Zoopl Count'!H264="","",'Zoopl Count'!H264*(2^H$9)/H$8)</f>
        <v>0.13037972938088066</v>
      </c>
      <c r="I264" s="205">
        <f>IF('Zoopl Count'!I264="","",'Zoopl Count'!I264*(2^I$9)/I$8)</f>
        <v>6.518986469044033E-2</v>
      </c>
      <c r="J264" s="205">
        <f>IF('Zoopl Count'!J264="","",'Zoopl Count'!J264*(2^J$9)/J$8)</f>
        <v>0.13037972938088066</v>
      </c>
      <c r="K264" s="205" t="str">
        <f>IF('Zoopl Count'!K264="","",'Zoopl Count'!K264*(2^K$9)/K$8)</f>
        <v/>
      </c>
      <c r="L264" s="205">
        <f>IF('Zoopl Count'!L264="","",'Zoopl Count'!L264*(2^L$9)/L$8)</f>
        <v>2.6075945876176134</v>
      </c>
      <c r="M264" s="205" t="str">
        <f>IF('Zoopl Count'!M264="","",'Zoopl Count'!M264*(2^M$9)/M$8)</f>
        <v/>
      </c>
      <c r="N264" s="205" t="str">
        <f>IF('Zoopl Count'!N264="","",'Zoopl Count'!N264*(2^N$9)/N$8)</f>
        <v/>
      </c>
      <c r="O264" s="205" t="str">
        <f>IF('Zoopl Count'!O264="","",'Zoopl Count'!O264*(2^O$9)/O$8)</f>
        <v/>
      </c>
      <c r="P264" s="205">
        <f>IF('Zoopl Count'!P264="","",'Zoopl Count'!P264*(2^P$9)/P$8)</f>
        <v>0.26075945876176132</v>
      </c>
    </row>
    <row r="265" spans="1:16" s="75" customFormat="1" hidden="1">
      <c r="E265" s="138"/>
      <c r="F265" s="269" t="s">
        <v>193</v>
      </c>
      <c r="G265" s="205" t="str">
        <f>IF('Zoopl Count'!G265="","",'Zoopl Count'!G265*(2^G$9)/G$8)</f>
        <v/>
      </c>
      <c r="H265" s="205" t="str">
        <f>IF('Zoopl Count'!H265="","",'Zoopl Count'!H265*(2^H$9)/H$8)</f>
        <v/>
      </c>
      <c r="I265" s="205" t="str">
        <f>IF('Zoopl Count'!I265="","",'Zoopl Count'!I265*(2^I$9)/I$8)</f>
        <v/>
      </c>
      <c r="J265" s="205" t="str">
        <f>IF('Zoopl Count'!J265="","",'Zoopl Count'!J265*(2^J$9)/J$8)</f>
        <v/>
      </c>
      <c r="K265" s="205" t="str">
        <f>IF('Zoopl Count'!K265="","",'Zoopl Count'!K265*(2^K$9)/K$8)</f>
        <v/>
      </c>
      <c r="L265" s="205" t="str">
        <f>IF('Zoopl Count'!L265="","",'Zoopl Count'!L265*(2^L$9)/L$8)</f>
        <v/>
      </c>
      <c r="M265" s="205" t="str">
        <f>IF('Zoopl Count'!M265="","",'Zoopl Count'!M265*(2^M$9)/M$8)</f>
        <v/>
      </c>
      <c r="N265" s="205" t="str">
        <f>IF('Zoopl Count'!N265="","",'Zoopl Count'!N265*(2^N$9)/N$8)</f>
        <v/>
      </c>
      <c r="O265" s="205" t="str">
        <f>IF('Zoopl Count'!O265="","",'Zoopl Count'!O265*(2^O$9)/O$8)</f>
        <v/>
      </c>
      <c r="P265" s="205" t="str">
        <f>IF('Zoopl Count'!P265="","",'Zoopl Count'!P265*(2^P$9)/P$8)</f>
        <v/>
      </c>
    </row>
    <row r="266" spans="1:16" s="75" customFormat="1" hidden="1">
      <c r="E266" s="138"/>
      <c r="F266" s="269" t="s">
        <v>225</v>
      </c>
      <c r="G266" s="205" t="str">
        <f>IF('Zoopl Count'!G266="","",'Zoopl Count'!G266*(2^G$9)/G$8)</f>
        <v/>
      </c>
      <c r="H266" s="205" t="str">
        <f>IF('Zoopl Count'!H266="","",'Zoopl Count'!H266*(2^H$9)/H$8)</f>
        <v/>
      </c>
      <c r="I266" s="205" t="str">
        <f>IF('Zoopl Count'!I266="","",'Zoopl Count'!I266*(2^I$9)/I$8)</f>
        <v/>
      </c>
      <c r="J266" s="205" t="str">
        <f>IF('Zoopl Count'!J266="","",'Zoopl Count'!J266*(2^J$9)/J$8)</f>
        <v/>
      </c>
      <c r="K266" s="205" t="str">
        <f>IF('Zoopl Count'!K266="","",'Zoopl Count'!K266*(2^K$9)/K$8)</f>
        <v/>
      </c>
      <c r="L266" s="205" t="str">
        <f>IF('Zoopl Count'!L266="","",'Zoopl Count'!L266*(2^L$9)/L$8)</f>
        <v/>
      </c>
      <c r="M266" s="205" t="str">
        <f>IF('Zoopl Count'!M266="","",'Zoopl Count'!M266*(2^M$9)/M$8)</f>
        <v/>
      </c>
      <c r="N266" s="205" t="str">
        <f>IF('Zoopl Count'!N266="","",'Zoopl Count'!N266*(2^N$9)/N$8)</f>
        <v/>
      </c>
      <c r="O266" s="205" t="str">
        <f>IF('Zoopl Count'!O266="","",'Zoopl Count'!O266*(2^O$9)/O$8)</f>
        <v/>
      </c>
      <c r="P266" s="205" t="str">
        <f>IF('Zoopl Count'!P266="","",'Zoopl Count'!P266*(2^P$9)/P$8)</f>
        <v/>
      </c>
    </row>
    <row r="267" spans="1:16" s="75" customFormat="1">
      <c r="E267" s="138"/>
      <c r="F267" s="139"/>
      <c r="G267" s="205" t="str">
        <f>IF('Zoopl Count'!G267="","",'Zoopl Count'!G267*(2^G$9)/G$8)</f>
        <v/>
      </c>
      <c r="H267" s="205" t="str">
        <f>IF('Zoopl Count'!H267="","",'Zoopl Count'!H267*(2^H$9)/H$8)</f>
        <v/>
      </c>
      <c r="I267" s="205" t="str">
        <f>IF('Zoopl Count'!I267="","",'Zoopl Count'!I267*(2^I$9)/I$8)</f>
        <v/>
      </c>
      <c r="J267" s="205" t="str">
        <f>IF('Zoopl Count'!J267="","",'Zoopl Count'!J267*(2^J$9)/J$8)</f>
        <v/>
      </c>
      <c r="K267" s="205" t="str">
        <f>IF('Zoopl Count'!K267="","",'Zoopl Count'!K267*(2^K$9)/K$8)</f>
        <v/>
      </c>
      <c r="L267" s="205" t="str">
        <f>IF('Zoopl Count'!L267="","",'Zoopl Count'!L267*(2^L$9)/L$8)</f>
        <v/>
      </c>
      <c r="M267" s="205" t="str">
        <f>IF('Zoopl Count'!M267="","",'Zoopl Count'!M267*(2^M$9)/M$8)</f>
        <v/>
      </c>
      <c r="N267" s="205" t="str">
        <f>IF('Zoopl Count'!N267="","",'Zoopl Count'!N267*(2^N$9)/N$8)</f>
        <v/>
      </c>
      <c r="O267" s="205" t="str">
        <f>IF('Zoopl Count'!O267="","",'Zoopl Count'!O267*(2^O$9)/O$8)</f>
        <v/>
      </c>
      <c r="P267" s="205" t="str">
        <f>IF('Zoopl Count'!P267="","",'Zoopl Count'!P267*(2^P$9)/P$8)</f>
        <v/>
      </c>
    </row>
    <row r="268" spans="1:16" s="75" customFormat="1">
      <c r="A268" s="272" t="s">
        <v>12</v>
      </c>
      <c r="B268" s="272"/>
      <c r="C268" s="272"/>
      <c r="D268" s="272"/>
      <c r="E268" s="273" t="s">
        <v>316</v>
      </c>
      <c r="F268" s="274"/>
      <c r="G268" s="205" t="str">
        <f>IF('Zoopl Count'!G268="","",'Zoopl Count'!G268*(2^G$9)/G$8)</f>
        <v/>
      </c>
      <c r="H268" s="205" t="str">
        <f>IF('Zoopl Count'!H268="","",'Zoopl Count'!H268*(2^H$9)/H$8)</f>
        <v/>
      </c>
      <c r="I268" s="205" t="str">
        <f>IF('Zoopl Count'!I268="","",'Zoopl Count'!I268*(2^I$9)/I$8)</f>
        <v/>
      </c>
      <c r="J268" s="205" t="str">
        <f>IF('Zoopl Count'!J268="","",'Zoopl Count'!J268*(2^J$9)/J$8)</f>
        <v/>
      </c>
      <c r="K268" s="205" t="str">
        <f>IF('Zoopl Count'!K268="","",'Zoopl Count'!K268*(2^K$9)/K$8)</f>
        <v/>
      </c>
      <c r="L268" s="205" t="str">
        <f>IF('Zoopl Count'!L268="","",'Zoopl Count'!L268*(2^L$9)/L$8)</f>
        <v/>
      </c>
      <c r="M268" s="205" t="str">
        <f>IF('Zoopl Count'!M268="","",'Zoopl Count'!M268*(2^M$9)/M$8)</f>
        <v/>
      </c>
      <c r="N268" s="205" t="str">
        <f>IF('Zoopl Count'!N268="","",'Zoopl Count'!N268*(2^N$9)/N$8)</f>
        <v/>
      </c>
      <c r="O268" s="205" t="str">
        <f>IF('Zoopl Count'!O268="","",'Zoopl Count'!O268*(2^O$9)/O$8)</f>
        <v/>
      </c>
      <c r="P268" s="205" t="str">
        <f>IF('Zoopl Count'!P268="","",'Zoopl Count'!P268*(2^P$9)/P$8)</f>
        <v/>
      </c>
    </row>
    <row r="269" spans="1:16" s="75" customFormat="1">
      <c r="A269" s="59"/>
      <c r="B269" s="271" t="s">
        <v>14</v>
      </c>
      <c r="C269" s="271"/>
      <c r="D269" s="271"/>
      <c r="E269" s="271"/>
      <c r="F269" s="65" t="s">
        <v>112</v>
      </c>
      <c r="G269" s="205" t="str">
        <f>IF('Zoopl Count'!G269="","",'Zoopl Count'!G269*(2^G$9)/G$8)</f>
        <v/>
      </c>
      <c r="H269" s="205" t="str">
        <f>IF('Zoopl Count'!H269="","",'Zoopl Count'!H269*(2^H$9)/H$8)</f>
        <v/>
      </c>
      <c r="I269" s="205" t="str">
        <f>IF('Zoopl Count'!I269="","",'Zoopl Count'!I269*(2^I$9)/I$8)</f>
        <v/>
      </c>
      <c r="J269" s="205" t="str">
        <f>IF('Zoopl Count'!J269="","",'Zoopl Count'!J269*(2^J$9)/J$8)</f>
        <v/>
      </c>
      <c r="K269" s="205" t="str">
        <f>IF('Zoopl Count'!K269="","",'Zoopl Count'!K269*(2^K$9)/K$8)</f>
        <v/>
      </c>
      <c r="L269" s="205">
        <f>IF('Zoopl Count'!L269="","",'Zoopl Count'!L269*(2^L$9)/L$8)</f>
        <v>0.52151891752352264</v>
      </c>
      <c r="M269" s="205" t="str">
        <f>IF('Zoopl Count'!M269="","",'Zoopl Count'!M269*(2^M$9)/M$8)</f>
        <v/>
      </c>
      <c r="N269" s="205">
        <f>IF('Zoopl Count'!N269="","",'Zoopl Count'!N269*(2^N$9)/N$8)</f>
        <v>9.7784797035660495E-2</v>
      </c>
      <c r="O269" s="205">
        <f>IF('Zoopl Count'!O269="","",'Zoopl Count'!O269*(2^O$9)/O$8)</f>
        <v>2.0860756700940906</v>
      </c>
      <c r="P269" s="205">
        <f>IF('Zoopl Count'!P269="","",'Zoopl Count'!P269*(2^P$9)/P$8)</f>
        <v>0.52151891752352264</v>
      </c>
    </row>
    <row r="270" spans="1:16" s="75" customFormat="1">
      <c r="A270" s="59"/>
      <c r="B270" s="233"/>
      <c r="C270" s="233"/>
      <c r="D270" s="233"/>
      <c r="E270" s="233"/>
      <c r="F270" s="65"/>
      <c r="G270" s="205" t="str">
        <f>IF('Zoopl Count'!G270="","",'Zoopl Count'!G270*(2^G$9)/G$8)</f>
        <v/>
      </c>
      <c r="H270" s="205" t="str">
        <f>IF('Zoopl Count'!H270="","",'Zoopl Count'!H270*(2^H$9)/H$8)</f>
        <v/>
      </c>
      <c r="I270" s="205" t="str">
        <f>IF('Zoopl Count'!I270="","",'Zoopl Count'!I270*(2^I$9)/I$8)</f>
        <v/>
      </c>
      <c r="J270" s="205" t="str">
        <f>IF('Zoopl Count'!J270="","",'Zoopl Count'!J270*(2^J$9)/J$8)</f>
        <v/>
      </c>
      <c r="K270" s="205" t="str">
        <f>IF('Zoopl Count'!K270="","",'Zoopl Count'!K270*(2^K$9)/K$8)</f>
        <v/>
      </c>
      <c r="L270" s="205" t="str">
        <f>IF('Zoopl Count'!L270="","",'Zoopl Count'!L270*(2^L$9)/L$8)</f>
        <v/>
      </c>
      <c r="M270" s="205" t="str">
        <f>IF('Zoopl Count'!M270="","",'Zoopl Count'!M270*(2^M$9)/M$8)</f>
        <v/>
      </c>
      <c r="N270" s="205" t="str">
        <f>IF('Zoopl Count'!N270="","",'Zoopl Count'!N270*(2^N$9)/N$8)</f>
        <v/>
      </c>
      <c r="O270" s="205" t="str">
        <f>IF('Zoopl Count'!O270="","",'Zoopl Count'!O270*(2^O$9)/O$8)</f>
        <v/>
      </c>
      <c r="P270" s="205" t="str">
        <f>IF('Zoopl Count'!P270="","",'Zoopl Count'!P270*(2^P$9)/P$8)</f>
        <v/>
      </c>
    </row>
    <row r="271" spans="1:16" s="75" customFormat="1" hidden="1">
      <c r="C271" s="134" t="s">
        <v>10</v>
      </c>
      <c r="D271" s="135" t="s">
        <v>333</v>
      </c>
      <c r="E271" s="138"/>
      <c r="F271" s="139"/>
      <c r="G271" s="205" t="str">
        <f>IF('Zoopl Count'!G271="","",'Zoopl Count'!G271*(2^G$9)/G$8)</f>
        <v/>
      </c>
      <c r="H271" s="205" t="str">
        <f>IF('Zoopl Count'!H271="","",'Zoopl Count'!H271*(2^H$9)/H$8)</f>
        <v/>
      </c>
      <c r="I271" s="205" t="str">
        <f>IF('Zoopl Count'!I271="","",'Zoopl Count'!I271*(2^I$9)/I$8)</f>
        <v/>
      </c>
      <c r="J271" s="205" t="str">
        <f>IF('Zoopl Count'!J271="","",'Zoopl Count'!J271*(2^J$9)/J$8)</f>
        <v/>
      </c>
      <c r="K271" s="205" t="str">
        <f>IF('Zoopl Count'!K271="","",'Zoopl Count'!K271*(2^K$9)/K$8)</f>
        <v/>
      </c>
      <c r="L271" s="205" t="str">
        <f>IF('Zoopl Count'!L271="","",'Zoopl Count'!L271*(2^L$9)/L$8)</f>
        <v/>
      </c>
      <c r="M271" s="205" t="str">
        <f>IF('Zoopl Count'!M271="","",'Zoopl Count'!M271*(2^M$9)/M$8)</f>
        <v/>
      </c>
      <c r="N271" s="205" t="str">
        <f>IF('Zoopl Count'!N271="","",'Zoopl Count'!N271*(2^N$9)/N$8)</f>
        <v/>
      </c>
      <c r="O271" s="205" t="str">
        <f>IF('Zoopl Count'!O271="","",'Zoopl Count'!O271*(2^O$9)/O$8)</f>
        <v/>
      </c>
      <c r="P271" s="205" t="str">
        <f>IF('Zoopl Count'!P271="","",'Zoopl Count'!P271*(2^P$9)/P$8)</f>
        <v/>
      </c>
    </row>
    <row r="272" spans="1:16" s="75" customFormat="1" hidden="1">
      <c r="A272" s="272" t="s">
        <v>12</v>
      </c>
      <c r="B272" s="272"/>
      <c r="C272" s="272"/>
      <c r="D272" s="272"/>
      <c r="E272" s="273" t="s">
        <v>334</v>
      </c>
      <c r="F272" s="274"/>
      <c r="G272" s="205" t="str">
        <f>IF('Zoopl Count'!G272="","",'Zoopl Count'!G272*(2^G$9)/G$8)</f>
        <v/>
      </c>
      <c r="H272" s="205" t="str">
        <f>IF('Zoopl Count'!H272="","",'Zoopl Count'!H272*(2^H$9)/H$8)</f>
        <v/>
      </c>
      <c r="I272" s="205" t="str">
        <f>IF('Zoopl Count'!I272="","",'Zoopl Count'!I272*(2^I$9)/I$8)</f>
        <v/>
      </c>
      <c r="J272" s="205" t="str">
        <f>IF('Zoopl Count'!J272="","",'Zoopl Count'!J272*(2^J$9)/J$8)</f>
        <v/>
      </c>
      <c r="K272" s="205" t="str">
        <f>IF('Zoopl Count'!K272="","",'Zoopl Count'!K272*(2^K$9)/K$8)</f>
        <v/>
      </c>
      <c r="L272" s="205" t="str">
        <f>IF('Zoopl Count'!L272="","",'Zoopl Count'!L272*(2^L$9)/L$8)</f>
        <v/>
      </c>
      <c r="M272" s="205" t="str">
        <f>IF('Zoopl Count'!M272="","",'Zoopl Count'!M272*(2^M$9)/M$8)</f>
        <v/>
      </c>
      <c r="N272" s="205" t="str">
        <f>IF('Zoopl Count'!N272="","",'Zoopl Count'!N272*(2^N$9)/N$8)</f>
        <v/>
      </c>
      <c r="O272" s="205" t="str">
        <f>IF('Zoopl Count'!O272="","",'Zoopl Count'!O272*(2^O$9)/O$8)</f>
        <v/>
      </c>
      <c r="P272" s="205" t="str">
        <f>IF('Zoopl Count'!P272="","",'Zoopl Count'!P272*(2^P$9)/P$8)</f>
        <v/>
      </c>
    </row>
    <row r="273" spans="1:16" s="75" customFormat="1" hidden="1">
      <c r="A273" s="59"/>
      <c r="B273" s="271" t="s">
        <v>14</v>
      </c>
      <c r="C273" s="271"/>
      <c r="D273" s="271"/>
      <c r="E273" s="271"/>
      <c r="F273" s="65" t="s">
        <v>335</v>
      </c>
      <c r="G273" s="205" t="str">
        <f>IF('Zoopl Count'!G273="","",'Zoopl Count'!G273*(2^G$9)/G$8)</f>
        <v/>
      </c>
      <c r="H273" s="205" t="str">
        <f>IF('Zoopl Count'!H273="","",'Zoopl Count'!H273*(2^H$9)/H$8)</f>
        <v/>
      </c>
      <c r="I273" s="205" t="str">
        <f>IF('Zoopl Count'!I273="","",'Zoopl Count'!I273*(2^I$9)/I$8)</f>
        <v/>
      </c>
      <c r="J273" s="205" t="str">
        <f>IF('Zoopl Count'!J273="","",'Zoopl Count'!J273*(2^J$9)/J$8)</f>
        <v/>
      </c>
      <c r="K273" s="205" t="str">
        <f>IF('Zoopl Count'!K273="","",'Zoopl Count'!K273*(2^K$9)/K$8)</f>
        <v/>
      </c>
      <c r="L273" s="205" t="str">
        <f>IF('Zoopl Count'!L273="","",'Zoopl Count'!L273*(2^L$9)/L$8)</f>
        <v/>
      </c>
      <c r="M273" s="205" t="str">
        <f>IF('Zoopl Count'!M273="","",'Zoopl Count'!M273*(2^M$9)/M$8)</f>
        <v/>
      </c>
      <c r="N273" s="205" t="str">
        <f>IF('Zoopl Count'!N273="","",'Zoopl Count'!N273*(2^N$9)/N$8)</f>
        <v/>
      </c>
      <c r="O273" s="205" t="str">
        <f>IF('Zoopl Count'!O273="","",'Zoopl Count'!O273*(2^O$9)/O$8)</f>
        <v/>
      </c>
      <c r="P273" s="205" t="str">
        <f>IF('Zoopl Count'!P273="","",'Zoopl Count'!P273*(2^P$9)/P$8)</f>
        <v/>
      </c>
    </row>
    <row r="274" spans="1:16" s="75" customFormat="1" hidden="1">
      <c r="E274" s="138"/>
      <c r="F274" s="139"/>
      <c r="G274" s="205" t="str">
        <f>IF('Zoopl Count'!G274="","",'Zoopl Count'!G274*(2^G$9)/G$8)</f>
        <v/>
      </c>
      <c r="H274" s="205" t="str">
        <f>IF('Zoopl Count'!H274="","",'Zoopl Count'!H274*(2^H$9)/H$8)</f>
        <v/>
      </c>
      <c r="I274" s="205" t="str">
        <f>IF('Zoopl Count'!I274="","",'Zoopl Count'!I274*(2^I$9)/I$8)</f>
        <v/>
      </c>
      <c r="J274" s="205" t="str">
        <f>IF('Zoopl Count'!J274="","",'Zoopl Count'!J274*(2^J$9)/J$8)</f>
        <v/>
      </c>
      <c r="K274" s="205" t="str">
        <f>IF('Zoopl Count'!K274="","",'Zoopl Count'!K274*(2^K$9)/K$8)</f>
        <v/>
      </c>
      <c r="L274" s="205" t="str">
        <f>IF('Zoopl Count'!L274="","",'Zoopl Count'!L274*(2^L$9)/L$8)</f>
        <v/>
      </c>
      <c r="M274" s="205" t="str">
        <f>IF('Zoopl Count'!M274="","",'Zoopl Count'!M274*(2^M$9)/M$8)</f>
        <v/>
      </c>
      <c r="N274" s="205" t="str">
        <f>IF('Zoopl Count'!N274="","",'Zoopl Count'!N274*(2^N$9)/N$8)</f>
        <v/>
      </c>
      <c r="O274" s="205" t="str">
        <f>IF('Zoopl Count'!O274="","",'Zoopl Count'!O274*(2^O$9)/O$8)</f>
        <v/>
      </c>
      <c r="P274" s="205" t="str">
        <f>IF('Zoopl Count'!P274="","",'Zoopl Count'!P274*(2^P$9)/P$8)</f>
        <v/>
      </c>
    </row>
    <row r="275" spans="1:16" s="75" customFormat="1">
      <c r="A275" s="134" t="s">
        <v>7</v>
      </c>
      <c r="B275" s="135" t="s">
        <v>114</v>
      </c>
      <c r="C275" s="135"/>
      <c r="D275" s="135"/>
      <c r="E275" s="134"/>
      <c r="F275" s="143"/>
      <c r="G275" s="205" t="str">
        <f>IF('Zoopl Count'!G275="","",'Zoopl Count'!G275*(2^G$9)/G$8)</f>
        <v/>
      </c>
      <c r="H275" s="205" t="str">
        <f>IF('Zoopl Count'!H275="","",'Zoopl Count'!H275*(2^H$9)/H$8)</f>
        <v/>
      </c>
      <c r="I275" s="205" t="str">
        <f>IF('Zoopl Count'!I275="","",'Zoopl Count'!I275*(2^I$9)/I$8)</f>
        <v/>
      </c>
      <c r="J275" s="205" t="str">
        <f>IF('Zoopl Count'!J275="","",'Zoopl Count'!J275*(2^J$9)/J$8)</f>
        <v/>
      </c>
      <c r="K275" s="205" t="str">
        <f>IF('Zoopl Count'!K275="","",'Zoopl Count'!K275*(2^K$9)/K$8)</f>
        <v/>
      </c>
      <c r="L275" s="205" t="str">
        <f>IF('Zoopl Count'!L275="","",'Zoopl Count'!L275*(2^L$9)/L$8)</f>
        <v/>
      </c>
      <c r="M275" s="205" t="str">
        <f>IF('Zoopl Count'!M275="","",'Zoopl Count'!M275*(2^M$9)/M$8)</f>
        <v/>
      </c>
      <c r="N275" s="205" t="str">
        <f>IF('Zoopl Count'!N275="","",'Zoopl Count'!N275*(2^N$9)/N$8)</f>
        <v/>
      </c>
      <c r="O275" s="205" t="str">
        <f>IF('Zoopl Count'!O275="","",'Zoopl Count'!O275*(2^O$9)/O$8)</f>
        <v/>
      </c>
      <c r="P275" s="205" t="str">
        <f>IF('Zoopl Count'!P275="","",'Zoopl Count'!P275*(2^P$9)/P$8)</f>
        <v/>
      </c>
    </row>
    <row r="276" spans="1:16" s="75" customFormat="1">
      <c r="A276" s="135"/>
      <c r="B276" s="134" t="s">
        <v>79</v>
      </c>
      <c r="C276" s="135" t="s">
        <v>115</v>
      </c>
      <c r="D276" s="135"/>
      <c r="E276" s="134"/>
      <c r="F276" s="143"/>
      <c r="G276" s="205" t="str">
        <f>IF('Zoopl Count'!G276="","",'Zoopl Count'!G276*(2^G$9)/G$8)</f>
        <v/>
      </c>
      <c r="H276" s="205" t="str">
        <f>IF('Zoopl Count'!H276="","",'Zoopl Count'!H276*(2^H$9)/H$8)</f>
        <v/>
      </c>
      <c r="I276" s="205" t="str">
        <f>IF('Zoopl Count'!I276="","",'Zoopl Count'!I276*(2^I$9)/I$8)</f>
        <v/>
      </c>
      <c r="J276" s="205" t="str">
        <f>IF('Zoopl Count'!J276="","",'Zoopl Count'!J276*(2^J$9)/J$8)</f>
        <v/>
      </c>
      <c r="K276" s="205" t="str">
        <f>IF('Zoopl Count'!K276="","",'Zoopl Count'!K276*(2^K$9)/K$8)</f>
        <v/>
      </c>
      <c r="L276" s="205" t="str">
        <f>IF('Zoopl Count'!L276="","",'Zoopl Count'!L276*(2^L$9)/L$8)</f>
        <v/>
      </c>
      <c r="M276" s="205" t="str">
        <f>IF('Zoopl Count'!M276="","",'Zoopl Count'!M276*(2^M$9)/M$8)</f>
        <v/>
      </c>
      <c r="N276" s="205" t="str">
        <f>IF('Zoopl Count'!N276="","",'Zoopl Count'!N276*(2^N$9)/N$8)</f>
        <v/>
      </c>
      <c r="O276" s="205" t="str">
        <f>IF('Zoopl Count'!O276="","",'Zoopl Count'!O276*(2^O$9)/O$8)</f>
        <v/>
      </c>
      <c r="P276" s="205" t="str">
        <f>IF('Zoopl Count'!P276="","",'Zoopl Count'!P276*(2^P$9)/P$8)</f>
        <v/>
      </c>
    </row>
    <row r="277" spans="1:16" s="75" customFormat="1">
      <c r="E277" s="138"/>
      <c r="F277" s="137" t="s">
        <v>307</v>
      </c>
      <c r="G277" s="205" t="str">
        <f>IF('Zoopl Count'!G277="","",'Zoopl Count'!G277*(2^G$9)/G$8)</f>
        <v/>
      </c>
      <c r="H277" s="205">
        <f>IF('Zoopl Count'!H277="","",'Zoopl Count'!H277*(2^H$9)/H$8)</f>
        <v>6.518986469044033E-2</v>
      </c>
      <c r="I277" s="205">
        <f>IF('Zoopl Count'!I277="","",'Zoopl Count'!I277*(2^I$9)/I$8)</f>
        <v>0.13037972938088066</v>
      </c>
      <c r="J277" s="205">
        <f>IF('Zoopl Count'!J277="","",'Zoopl Count'!J277*(2^J$9)/J$8)</f>
        <v>0.39113918814264198</v>
      </c>
      <c r="K277" s="205" t="str">
        <f>IF('Zoopl Count'!K277="","",'Zoopl Count'!K277*(2^K$9)/K$8)</f>
        <v/>
      </c>
      <c r="L277" s="205" t="str">
        <f>IF('Zoopl Count'!L277="","",'Zoopl Count'!L277*(2^L$9)/L$8)</f>
        <v/>
      </c>
      <c r="M277" s="205">
        <f>IF('Zoopl Count'!M277="","",'Zoopl Count'!M277*(2^M$9)/M$8)</f>
        <v>0.26075945876176132</v>
      </c>
      <c r="N277" s="205">
        <f>IF('Zoopl Count'!N277="","",'Zoopl Count'!N277*(2^N$9)/N$8)</f>
        <v>9.7784797035660495E-2</v>
      </c>
      <c r="O277" s="205" t="str">
        <f>IF('Zoopl Count'!O277="","",'Zoopl Count'!O277*(2^O$9)/O$8)</f>
        <v/>
      </c>
      <c r="P277" s="205">
        <f>IF('Zoopl Count'!P277="","",'Zoopl Count'!P277*(2^P$9)/P$8)</f>
        <v>0.13037972938088066</v>
      </c>
    </row>
    <row r="278" spans="1:16" s="75" customFormat="1" hidden="1">
      <c r="A278" s="2"/>
      <c r="B278" s="2"/>
      <c r="C278" s="21" t="s">
        <v>10</v>
      </c>
      <c r="D278" s="2" t="s">
        <v>305</v>
      </c>
      <c r="E278" s="2"/>
      <c r="F278" s="100"/>
      <c r="G278" s="205" t="str">
        <f>IF('Zoopl Count'!G278="","",'Zoopl Count'!G278*(2^G$9)/G$8)</f>
        <v/>
      </c>
      <c r="H278" s="205" t="str">
        <f>IF('Zoopl Count'!H278="","",'Zoopl Count'!H278*(2^H$9)/H$8)</f>
        <v/>
      </c>
      <c r="I278" s="205" t="str">
        <f>IF('Zoopl Count'!I278="","",'Zoopl Count'!I278*(2^I$9)/I$8)</f>
        <v/>
      </c>
      <c r="J278" s="205" t="str">
        <f>IF('Zoopl Count'!J278="","",'Zoopl Count'!J278*(2^J$9)/J$8)</f>
        <v/>
      </c>
      <c r="K278" s="205" t="str">
        <f>IF('Zoopl Count'!K278="","",'Zoopl Count'!K278*(2^K$9)/K$8)</f>
        <v/>
      </c>
      <c r="L278" s="205" t="str">
        <f>IF('Zoopl Count'!L278="","",'Zoopl Count'!L278*(2^L$9)/L$8)</f>
        <v/>
      </c>
      <c r="M278" s="205" t="str">
        <f>IF('Zoopl Count'!M278="","",'Zoopl Count'!M278*(2^M$9)/M$8)</f>
        <v/>
      </c>
      <c r="N278" s="205" t="str">
        <f>IF('Zoopl Count'!N278="","",'Zoopl Count'!N278*(2^N$9)/N$8)</f>
        <v/>
      </c>
      <c r="O278" s="205" t="str">
        <f>IF('Zoopl Count'!O278="","",'Zoopl Count'!O278*(2^O$9)/O$8)</f>
        <v/>
      </c>
      <c r="P278" s="205" t="str">
        <f>IF('Zoopl Count'!P278="","",'Zoopl Count'!P278*(2^P$9)/P$8)</f>
        <v/>
      </c>
    </row>
    <row r="279" spans="1:16" s="75" customFormat="1" hidden="1">
      <c r="A279" s="272" t="s">
        <v>12</v>
      </c>
      <c r="B279" s="272"/>
      <c r="C279" s="272"/>
      <c r="D279" s="272"/>
      <c r="E279" s="273" t="s">
        <v>312</v>
      </c>
      <c r="F279" s="274"/>
      <c r="G279" s="205" t="str">
        <f>IF('Zoopl Count'!G279="","",'Zoopl Count'!G279*(2^G$9)/G$8)</f>
        <v/>
      </c>
      <c r="H279" s="205" t="str">
        <f>IF('Zoopl Count'!H279="","",'Zoopl Count'!H279*(2^H$9)/H$8)</f>
        <v/>
      </c>
      <c r="I279" s="205" t="str">
        <f>IF('Zoopl Count'!I279="","",'Zoopl Count'!I279*(2^I$9)/I$8)</f>
        <v/>
      </c>
      <c r="J279" s="205" t="str">
        <f>IF('Zoopl Count'!J279="","",'Zoopl Count'!J279*(2^J$9)/J$8)</f>
        <v/>
      </c>
      <c r="K279" s="205" t="str">
        <f>IF('Zoopl Count'!K279="","",'Zoopl Count'!K279*(2^K$9)/K$8)</f>
        <v/>
      </c>
      <c r="L279" s="205" t="str">
        <f>IF('Zoopl Count'!L279="","",'Zoopl Count'!L279*(2^L$9)/L$8)</f>
        <v/>
      </c>
      <c r="M279" s="205" t="str">
        <f>IF('Zoopl Count'!M279="","",'Zoopl Count'!M279*(2^M$9)/M$8)</f>
        <v/>
      </c>
      <c r="N279" s="205" t="str">
        <f>IF('Zoopl Count'!N279="","",'Zoopl Count'!N279*(2^N$9)/N$8)</f>
        <v/>
      </c>
      <c r="O279" s="205" t="str">
        <f>IF('Zoopl Count'!O279="","",'Zoopl Count'!O279*(2^O$9)/O$8)</f>
        <v/>
      </c>
      <c r="P279" s="205" t="str">
        <f>IF('Zoopl Count'!P279="","",'Zoopl Count'!P279*(2^P$9)/P$8)</f>
        <v/>
      </c>
    </row>
    <row r="280" spans="1:16" s="75" customFormat="1" hidden="1">
      <c r="A280" s="59"/>
      <c r="B280" s="271" t="s">
        <v>14</v>
      </c>
      <c r="C280" s="271"/>
      <c r="D280" s="271"/>
      <c r="E280" s="271"/>
      <c r="F280" s="65" t="s">
        <v>313</v>
      </c>
      <c r="G280" s="205" t="str">
        <f>IF('Zoopl Count'!G280="","",'Zoopl Count'!G280*(2^G$9)/G$8)</f>
        <v/>
      </c>
      <c r="H280" s="205" t="str">
        <f>IF('Zoopl Count'!H280="","",'Zoopl Count'!H280*(2^H$9)/H$8)</f>
        <v/>
      </c>
      <c r="I280" s="205" t="str">
        <f>IF('Zoopl Count'!I280="","",'Zoopl Count'!I280*(2^I$9)/I$8)</f>
        <v/>
      </c>
      <c r="J280" s="205" t="str">
        <f>IF('Zoopl Count'!J280="","",'Zoopl Count'!J280*(2^J$9)/J$8)</f>
        <v/>
      </c>
      <c r="K280" s="205" t="str">
        <f>IF('Zoopl Count'!K280="","",'Zoopl Count'!K280*(2^K$9)/K$8)</f>
        <v/>
      </c>
      <c r="L280" s="205" t="str">
        <f>IF('Zoopl Count'!L280="","",'Zoopl Count'!L280*(2^L$9)/L$8)</f>
        <v/>
      </c>
      <c r="M280" s="205" t="str">
        <f>IF('Zoopl Count'!M280="","",'Zoopl Count'!M280*(2^M$9)/M$8)</f>
        <v/>
      </c>
      <c r="N280" s="205" t="str">
        <f>IF('Zoopl Count'!N280="","",'Zoopl Count'!N280*(2^N$9)/N$8)</f>
        <v/>
      </c>
      <c r="O280" s="205" t="str">
        <f>IF('Zoopl Count'!O280="","",'Zoopl Count'!O280*(2^O$9)/O$8)</f>
        <v/>
      </c>
      <c r="P280" s="205" t="str">
        <f>IF('Zoopl Count'!P280="","",'Zoopl Count'!P280*(2^P$9)/P$8)</f>
        <v/>
      </c>
    </row>
    <row r="281" spans="1:16" s="75" customFormat="1" hidden="1">
      <c r="A281" s="272" t="s">
        <v>12</v>
      </c>
      <c r="B281" s="272"/>
      <c r="C281" s="272"/>
      <c r="D281" s="272"/>
      <c r="E281" s="273" t="s">
        <v>346</v>
      </c>
      <c r="F281" s="274"/>
      <c r="G281" s="205" t="str">
        <f>IF('Zoopl Count'!G281="","",'Zoopl Count'!G281*(2^G$9)/G$8)</f>
        <v/>
      </c>
      <c r="H281" s="205" t="str">
        <f>IF('Zoopl Count'!H281="","",'Zoopl Count'!H281*(2^H$9)/H$8)</f>
        <v/>
      </c>
      <c r="I281" s="205" t="str">
        <f>IF('Zoopl Count'!I281="","",'Zoopl Count'!I281*(2^I$9)/I$8)</f>
        <v/>
      </c>
      <c r="J281" s="205" t="str">
        <f>IF('Zoopl Count'!J281="","",'Zoopl Count'!J281*(2^J$9)/J$8)</f>
        <v/>
      </c>
      <c r="K281" s="205" t="str">
        <f>IF('Zoopl Count'!K281="","",'Zoopl Count'!K281*(2^K$9)/K$8)</f>
        <v/>
      </c>
      <c r="L281" s="205" t="str">
        <f>IF('Zoopl Count'!L281="","",'Zoopl Count'!L281*(2^L$9)/L$8)</f>
        <v/>
      </c>
      <c r="M281" s="205" t="str">
        <f>IF('Zoopl Count'!M281="","",'Zoopl Count'!M281*(2^M$9)/M$8)</f>
        <v/>
      </c>
      <c r="N281" s="205" t="str">
        <f>IF('Zoopl Count'!N281="","",'Zoopl Count'!N281*(2^N$9)/N$8)</f>
        <v/>
      </c>
      <c r="O281" s="205" t="str">
        <f>IF('Zoopl Count'!O281="","",'Zoopl Count'!O281*(2^O$9)/O$8)</f>
        <v/>
      </c>
      <c r="P281" s="205" t="str">
        <f>IF('Zoopl Count'!P281="","",'Zoopl Count'!P281*(2^P$9)/P$8)</f>
        <v/>
      </c>
    </row>
    <row r="282" spans="1:16" s="75" customFormat="1" hidden="1">
      <c r="A282" s="59"/>
      <c r="B282" s="271" t="s">
        <v>14</v>
      </c>
      <c r="C282" s="271"/>
      <c r="D282" s="271"/>
      <c r="E282" s="271"/>
      <c r="F282" s="65" t="s">
        <v>345</v>
      </c>
      <c r="G282" s="205" t="str">
        <f>IF('Zoopl Count'!G282="","",'Zoopl Count'!G282*(2^G$9)/G$8)</f>
        <v/>
      </c>
      <c r="H282" s="205" t="str">
        <f>IF('Zoopl Count'!H282="","",'Zoopl Count'!H282*(2^H$9)/H$8)</f>
        <v/>
      </c>
      <c r="I282" s="205" t="str">
        <f>IF('Zoopl Count'!I282="","",'Zoopl Count'!I282*(2^I$9)/I$8)</f>
        <v/>
      </c>
      <c r="J282" s="205" t="str">
        <f>IF('Zoopl Count'!J282="","",'Zoopl Count'!J282*(2^J$9)/J$8)</f>
        <v/>
      </c>
      <c r="K282" s="205" t="str">
        <f>IF('Zoopl Count'!K282="","",'Zoopl Count'!K282*(2^K$9)/K$8)</f>
        <v/>
      </c>
      <c r="L282" s="205" t="str">
        <f>IF('Zoopl Count'!L282="","",'Zoopl Count'!L282*(2^L$9)/L$8)</f>
        <v/>
      </c>
      <c r="M282" s="205" t="str">
        <f>IF('Zoopl Count'!M282="","",'Zoopl Count'!M282*(2^M$9)/M$8)</f>
        <v/>
      </c>
      <c r="N282" s="205" t="str">
        <f>IF('Zoopl Count'!N282="","",'Zoopl Count'!N282*(2^N$9)/N$8)</f>
        <v/>
      </c>
      <c r="O282" s="205" t="str">
        <f>IF('Zoopl Count'!O282="","",'Zoopl Count'!O282*(2^O$9)/O$8)</f>
        <v/>
      </c>
      <c r="P282" s="205" t="str">
        <f>IF('Zoopl Count'!P282="","",'Zoopl Count'!P282*(2^P$9)/P$8)</f>
        <v/>
      </c>
    </row>
    <row r="283" spans="1:16" s="75" customFormat="1">
      <c r="E283" s="138"/>
      <c r="F283" s="137"/>
      <c r="G283" s="205" t="str">
        <f>IF('Zoopl Count'!G283="","",'Zoopl Count'!G283*(2^G$9)/G$8)</f>
        <v/>
      </c>
      <c r="H283" s="205" t="str">
        <f>IF('Zoopl Count'!H283="","",'Zoopl Count'!H283*(2^H$9)/H$8)</f>
        <v/>
      </c>
      <c r="I283" s="205" t="str">
        <f>IF('Zoopl Count'!I283="","",'Zoopl Count'!I283*(2^I$9)/I$8)</f>
        <v/>
      </c>
      <c r="J283" s="205" t="str">
        <f>IF('Zoopl Count'!J283="","",'Zoopl Count'!J283*(2^J$9)/J$8)</f>
        <v/>
      </c>
      <c r="K283" s="205" t="str">
        <f>IF('Zoopl Count'!K283="","",'Zoopl Count'!K283*(2^K$9)/K$8)</f>
        <v/>
      </c>
      <c r="L283" s="205" t="str">
        <f>IF('Zoopl Count'!L283="","",'Zoopl Count'!L283*(2^L$9)/L$8)</f>
        <v/>
      </c>
      <c r="M283" s="205" t="str">
        <f>IF('Zoopl Count'!M283="","",'Zoopl Count'!M283*(2^M$9)/M$8)</f>
        <v/>
      </c>
      <c r="N283" s="205" t="str">
        <f>IF('Zoopl Count'!N283="","",'Zoopl Count'!N283*(2^N$9)/N$8)</f>
        <v/>
      </c>
      <c r="O283" s="205" t="str">
        <f>IF('Zoopl Count'!O283="","",'Zoopl Count'!O283*(2^O$9)/O$8)</f>
        <v/>
      </c>
      <c r="P283" s="205" t="str">
        <f>IF('Zoopl Count'!P283="","",'Zoopl Count'!P283*(2^P$9)/P$8)</f>
        <v/>
      </c>
    </row>
    <row r="284" spans="1:16" s="75" customFormat="1">
      <c r="A284" s="135"/>
      <c r="B284" s="134" t="s">
        <v>79</v>
      </c>
      <c r="C284" s="135" t="s">
        <v>116</v>
      </c>
      <c r="D284" s="135"/>
      <c r="E284" s="134"/>
      <c r="F284" s="143"/>
      <c r="G284" s="205" t="str">
        <f>IF('Zoopl Count'!G284="","",'Zoopl Count'!G284*(2^G$9)/G$8)</f>
        <v/>
      </c>
      <c r="H284" s="205" t="str">
        <f>IF('Zoopl Count'!H284="","",'Zoopl Count'!H284*(2^H$9)/H$8)</f>
        <v/>
      </c>
      <c r="I284" s="205" t="str">
        <f>IF('Zoopl Count'!I284="","",'Zoopl Count'!I284*(2^I$9)/I$8)</f>
        <v/>
      </c>
      <c r="J284" s="205" t="str">
        <f>IF('Zoopl Count'!J284="","",'Zoopl Count'!J284*(2^J$9)/J$8)</f>
        <v/>
      </c>
      <c r="K284" s="205" t="str">
        <f>IF('Zoopl Count'!K284="","",'Zoopl Count'!K284*(2^K$9)/K$8)</f>
        <v/>
      </c>
      <c r="L284" s="205" t="str">
        <f>IF('Zoopl Count'!L284="","",'Zoopl Count'!L284*(2^L$9)/L$8)</f>
        <v/>
      </c>
      <c r="M284" s="205" t="str">
        <f>IF('Zoopl Count'!M284="","",'Zoopl Count'!M284*(2^M$9)/M$8)</f>
        <v/>
      </c>
      <c r="N284" s="205" t="str">
        <f>IF('Zoopl Count'!N284="","",'Zoopl Count'!N284*(2^N$9)/N$8)</f>
        <v/>
      </c>
      <c r="O284" s="205" t="str">
        <f>IF('Zoopl Count'!O284="","",'Zoopl Count'!O284*(2^O$9)/O$8)</f>
        <v/>
      </c>
      <c r="P284" s="205" t="str">
        <f>IF('Zoopl Count'!P284="","",'Zoopl Count'!P284*(2^P$9)/P$8)</f>
        <v/>
      </c>
    </row>
    <row r="285" spans="1:16" s="75" customFormat="1">
      <c r="E285" s="138"/>
      <c r="F285" s="137" t="s">
        <v>315</v>
      </c>
      <c r="G285" s="205">
        <f>IF('Zoopl Count'!G285="","",'Zoopl Count'!G285*(2^G$9)/G$8)</f>
        <v>0.52151891752352264</v>
      </c>
      <c r="H285" s="205" t="str">
        <f>IF('Zoopl Count'!H285="","",'Zoopl Count'!H285*(2^H$9)/H$8)</f>
        <v/>
      </c>
      <c r="I285" s="205">
        <f>IF('Zoopl Count'!I285="","",'Zoopl Count'!I285*(2^I$9)/I$8)</f>
        <v>0.13037972938088066</v>
      </c>
      <c r="J285" s="205" t="str">
        <f>IF('Zoopl Count'!J285="","",'Zoopl Count'!J285*(2^J$9)/J$8)</f>
        <v/>
      </c>
      <c r="K285" s="205" t="str">
        <f>IF('Zoopl Count'!K285="","",'Zoopl Count'!K285*(2^K$9)/K$8)</f>
        <v/>
      </c>
      <c r="L285" s="205" t="str">
        <f>IF('Zoopl Count'!L285="","",'Zoopl Count'!L285*(2^L$9)/L$8)</f>
        <v/>
      </c>
      <c r="M285" s="205">
        <f>IF('Zoopl Count'!M285="","",'Zoopl Count'!M285*(2^M$9)/M$8)</f>
        <v>0.91265810566616468</v>
      </c>
      <c r="N285" s="205">
        <f>IF('Zoopl Count'!N285="","",'Zoopl Count'!N285*(2^N$9)/N$8)</f>
        <v>9.7784797035660495E-2</v>
      </c>
      <c r="O285" s="205" t="str">
        <f>IF('Zoopl Count'!O285="","",'Zoopl Count'!O285*(2^O$9)/O$8)</f>
        <v/>
      </c>
      <c r="P285" s="205" t="str">
        <f>IF('Zoopl Count'!P285="","",'Zoopl Count'!P285*(2^P$9)/P$8)</f>
        <v/>
      </c>
    </row>
    <row r="286" spans="1:16" s="75" customFormat="1">
      <c r="E286" s="138"/>
      <c r="F286" s="137"/>
      <c r="G286" s="205" t="str">
        <f>IF('Zoopl Count'!G286="","",'Zoopl Count'!G286*(2^G$9)/G$8)</f>
        <v/>
      </c>
      <c r="H286" s="205" t="str">
        <f>IF('Zoopl Count'!H286="","",'Zoopl Count'!H286*(2^H$9)/H$8)</f>
        <v/>
      </c>
      <c r="I286" s="205" t="str">
        <f>IF('Zoopl Count'!I286="","",'Zoopl Count'!I286*(2^I$9)/I$8)</f>
        <v/>
      </c>
      <c r="J286" s="205" t="str">
        <f>IF('Zoopl Count'!J286="","",'Zoopl Count'!J286*(2^J$9)/J$8)</f>
        <v/>
      </c>
      <c r="K286" s="205" t="str">
        <f>IF('Zoopl Count'!K286="","",'Zoopl Count'!K286*(2^K$9)/K$8)</f>
        <v/>
      </c>
      <c r="L286" s="205" t="str">
        <f>IF('Zoopl Count'!L286="","",'Zoopl Count'!L286*(2^L$9)/L$8)</f>
        <v/>
      </c>
      <c r="M286" s="205" t="str">
        <f>IF('Zoopl Count'!M286="","",'Zoopl Count'!M286*(2^M$9)/M$8)</f>
        <v/>
      </c>
      <c r="N286" s="205" t="str">
        <f>IF('Zoopl Count'!N286="","",'Zoopl Count'!N286*(2^N$9)/N$8)</f>
        <v/>
      </c>
      <c r="O286" s="205" t="str">
        <f>IF('Zoopl Count'!O286="","",'Zoopl Count'!O286*(2^O$9)/O$8)</f>
        <v/>
      </c>
      <c r="P286" s="205" t="str">
        <f>IF('Zoopl Count'!P286="","",'Zoopl Count'!P286*(2^P$9)/P$8)</f>
        <v/>
      </c>
    </row>
    <row r="287" spans="1:16" s="135" customFormat="1" ht="16.25" hidden="1" customHeight="1">
      <c r="B287" s="134" t="s">
        <v>79</v>
      </c>
      <c r="C287" s="135" t="s">
        <v>117</v>
      </c>
      <c r="E287" s="134"/>
      <c r="F287" s="143"/>
      <c r="G287" s="205" t="str">
        <f>IF('Zoopl Count'!G287="","",'Zoopl Count'!G287*(2^G$9)/G$8)</f>
        <v/>
      </c>
      <c r="H287" s="205" t="str">
        <f>IF('Zoopl Count'!H287="","",'Zoopl Count'!H287*(2^H$9)/H$8)</f>
        <v/>
      </c>
      <c r="I287" s="205" t="str">
        <f>IF('Zoopl Count'!I287="","",'Zoopl Count'!I287*(2^I$9)/I$8)</f>
        <v/>
      </c>
      <c r="J287" s="205" t="str">
        <f>IF('Zoopl Count'!J287="","",'Zoopl Count'!J287*(2^J$9)/J$8)</f>
        <v/>
      </c>
      <c r="K287" s="205" t="str">
        <f>IF('Zoopl Count'!K287="","",'Zoopl Count'!K287*(2^K$9)/K$8)</f>
        <v/>
      </c>
      <c r="L287" s="205" t="str">
        <f>IF('Zoopl Count'!L287="","",'Zoopl Count'!L287*(2^L$9)/L$8)</f>
        <v/>
      </c>
      <c r="M287" s="205" t="str">
        <f>IF('Zoopl Count'!M287="","",'Zoopl Count'!M287*(2^M$9)/M$8)</f>
        <v/>
      </c>
      <c r="N287" s="205" t="str">
        <f>IF('Zoopl Count'!N287="","",'Zoopl Count'!N287*(2^N$9)/N$8)</f>
        <v/>
      </c>
      <c r="O287" s="205" t="str">
        <f>IF('Zoopl Count'!O287="","",'Zoopl Count'!O287*(2^O$9)/O$8)</f>
        <v/>
      </c>
      <c r="P287" s="205" t="str">
        <f>IF('Zoopl Count'!P287="","",'Zoopl Count'!P287*(2^P$9)/P$8)</f>
        <v/>
      </c>
    </row>
    <row r="288" spans="1:16" s="75" customFormat="1" ht="16.25" hidden="1" customHeight="1">
      <c r="E288" s="138"/>
      <c r="F288" s="137" t="s">
        <v>118</v>
      </c>
      <c r="G288" s="205" t="str">
        <f>IF('Zoopl Count'!G288="","",'Zoopl Count'!G288*(2^G$9)/G$8)</f>
        <v/>
      </c>
      <c r="H288" s="205" t="str">
        <f>IF('Zoopl Count'!H288="","",'Zoopl Count'!H288*(2^H$9)/H$8)</f>
        <v/>
      </c>
      <c r="I288" s="205" t="str">
        <f>IF('Zoopl Count'!I288="","",'Zoopl Count'!I288*(2^I$9)/I$8)</f>
        <v/>
      </c>
      <c r="J288" s="205" t="str">
        <f>IF('Zoopl Count'!J288="","",'Zoopl Count'!J288*(2^J$9)/J$8)</f>
        <v/>
      </c>
      <c r="K288" s="205" t="str">
        <f>IF('Zoopl Count'!K288="","",'Zoopl Count'!K288*(2^K$9)/K$8)</f>
        <v/>
      </c>
      <c r="L288" s="205" t="str">
        <f>IF('Zoopl Count'!L288="","",'Zoopl Count'!L288*(2^L$9)/L$8)</f>
        <v/>
      </c>
      <c r="M288" s="205" t="str">
        <f>IF('Zoopl Count'!M288="","",'Zoopl Count'!M288*(2^M$9)/M$8)</f>
        <v/>
      </c>
      <c r="N288" s="205" t="str">
        <f>IF('Zoopl Count'!N288="","",'Zoopl Count'!N288*(2^N$9)/N$8)</f>
        <v/>
      </c>
      <c r="O288" s="205" t="str">
        <f>IF('Zoopl Count'!O288="","",'Zoopl Count'!O288*(2^O$9)/O$8)</f>
        <v/>
      </c>
      <c r="P288" s="205" t="str">
        <f>IF('Zoopl Count'!P288="","",'Zoopl Count'!P288*(2^P$9)/P$8)</f>
        <v/>
      </c>
    </row>
    <row r="289" spans="1:16" s="75" customFormat="1" ht="16.25" hidden="1" customHeight="1">
      <c r="E289" s="138"/>
      <c r="F289" s="139"/>
      <c r="G289" s="205" t="str">
        <f>IF('Zoopl Count'!G289="","",'Zoopl Count'!G289*(2^G$9)/G$8)</f>
        <v/>
      </c>
      <c r="H289" s="205" t="str">
        <f>IF('Zoopl Count'!H289="","",'Zoopl Count'!H289*(2^H$9)/H$8)</f>
        <v/>
      </c>
      <c r="I289" s="205" t="str">
        <f>IF('Zoopl Count'!I289="","",'Zoopl Count'!I289*(2^I$9)/I$8)</f>
        <v/>
      </c>
      <c r="J289" s="205" t="str">
        <f>IF('Zoopl Count'!J289="","",'Zoopl Count'!J289*(2^J$9)/J$8)</f>
        <v/>
      </c>
      <c r="K289" s="205" t="str">
        <f>IF('Zoopl Count'!K289="","",'Zoopl Count'!K289*(2^K$9)/K$8)</f>
        <v/>
      </c>
      <c r="L289" s="205" t="str">
        <f>IF('Zoopl Count'!L289="","",'Zoopl Count'!L289*(2^L$9)/L$8)</f>
        <v/>
      </c>
      <c r="M289" s="205" t="str">
        <f>IF('Zoopl Count'!M289="","",'Zoopl Count'!M289*(2^M$9)/M$8)</f>
        <v/>
      </c>
      <c r="N289" s="205" t="str">
        <f>IF('Zoopl Count'!N289="","",'Zoopl Count'!N289*(2^N$9)/N$8)</f>
        <v/>
      </c>
      <c r="O289" s="205" t="str">
        <f>IF('Zoopl Count'!O289="","",'Zoopl Count'!O289*(2^O$9)/O$8)</f>
        <v/>
      </c>
      <c r="P289" s="205" t="str">
        <f>IF('Zoopl Count'!P289="","",'Zoopl Count'!P289*(2^P$9)/P$8)</f>
        <v/>
      </c>
    </row>
    <row r="290" spans="1:16" s="75" customFormat="1" ht="16.25" hidden="1" customHeight="1">
      <c r="A290" s="149" t="s">
        <v>7</v>
      </c>
      <c r="B290" s="135" t="s">
        <v>119</v>
      </c>
      <c r="E290" s="138"/>
      <c r="F290" s="139"/>
      <c r="G290" s="205" t="str">
        <f>IF('Zoopl Count'!G290="","",'Zoopl Count'!G290*(2^G$9)/G$8)</f>
        <v/>
      </c>
      <c r="H290" s="205" t="str">
        <f>IF('Zoopl Count'!H290="","",'Zoopl Count'!H290*(2^H$9)/H$8)</f>
        <v/>
      </c>
      <c r="I290" s="205" t="str">
        <f>IF('Zoopl Count'!I290="","",'Zoopl Count'!I290*(2^I$9)/I$8)</f>
        <v/>
      </c>
      <c r="J290" s="205" t="str">
        <f>IF('Zoopl Count'!J290="","",'Zoopl Count'!J290*(2^J$9)/J$8)</f>
        <v/>
      </c>
      <c r="K290" s="205" t="str">
        <f>IF('Zoopl Count'!K290="","",'Zoopl Count'!K290*(2^K$9)/K$8)</f>
        <v/>
      </c>
      <c r="L290" s="205" t="str">
        <f>IF('Zoopl Count'!L290="","",'Zoopl Count'!L290*(2^L$9)/L$8)</f>
        <v/>
      </c>
      <c r="M290" s="205" t="str">
        <f>IF('Zoopl Count'!M290="","",'Zoopl Count'!M290*(2^M$9)/M$8)</f>
        <v/>
      </c>
      <c r="N290" s="205" t="str">
        <f>IF('Zoopl Count'!N290="","",'Zoopl Count'!N290*(2^N$9)/N$8)</f>
        <v/>
      </c>
      <c r="O290" s="205" t="str">
        <f>IF('Zoopl Count'!O290="","",'Zoopl Count'!O290*(2^O$9)/O$8)</f>
        <v/>
      </c>
      <c r="P290" s="205" t="str">
        <f>IF('Zoopl Count'!P290="","",'Zoopl Count'!P290*(2^P$9)/P$8)</f>
        <v/>
      </c>
    </row>
    <row r="291" spans="1:16" s="75" customFormat="1" ht="16.25" hidden="1" customHeight="1">
      <c r="E291" s="138"/>
      <c r="F291" s="137" t="s">
        <v>120</v>
      </c>
      <c r="G291" s="205" t="str">
        <f>IF('Zoopl Count'!G291="","",'Zoopl Count'!G291*(2^G$9)/G$8)</f>
        <v/>
      </c>
      <c r="H291" s="205" t="str">
        <f>IF('Zoopl Count'!H291="","",'Zoopl Count'!H291*(2^H$9)/H$8)</f>
        <v/>
      </c>
      <c r="I291" s="205" t="str">
        <f>IF('Zoopl Count'!I291="","",'Zoopl Count'!I291*(2^I$9)/I$8)</f>
        <v/>
      </c>
      <c r="J291" s="205" t="str">
        <f>IF('Zoopl Count'!J291="","",'Zoopl Count'!J291*(2^J$9)/J$8)</f>
        <v/>
      </c>
      <c r="K291" s="205" t="str">
        <f>IF('Zoopl Count'!K291="","",'Zoopl Count'!K291*(2^K$9)/K$8)</f>
        <v/>
      </c>
      <c r="L291" s="205" t="str">
        <f>IF('Zoopl Count'!L291="","",'Zoopl Count'!L291*(2^L$9)/L$8)</f>
        <v/>
      </c>
      <c r="M291" s="205" t="str">
        <f>IF('Zoopl Count'!M291="","",'Zoopl Count'!M291*(2^M$9)/M$8)</f>
        <v/>
      </c>
      <c r="N291" s="205" t="str">
        <f>IF('Zoopl Count'!N291="","",'Zoopl Count'!N291*(2^N$9)/N$8)</f>
        <v/>
      </c>
      <c r="O291" s="205" t="str">
        <f>IF('Zoopl Count'!O291="","",'Zoopl Count'!O291*(2^O$9)/O$8)</f>
        <v/>
      </c>
      <c r="P291" s="205" t="str">
        <f>IF('Zoopl Count'!P291="","",'Zoopl Count'!P291*(2^P$9)/P$8)</f>
        <v/>
      </c>
    </row>
    <row r="292" spans="1:16" s="75" customFormat="1" hidden="1">
      <c r="E292" s="138"/>
      <c r="F292" s="139"/>
      <c r="G292" s="205" t="str">
        <f>IF('Zoopl Count'!G292="","",'Zoopl Count'!G292*(2^G$9)/G$8)</f>
        <v/>
      </c>
      <c r="H292" s="205" t="str">
        <f>IF('Zoopl Count'!H292="","",'Zoopl Count'!H292*(2^H$9)/H$8)</f>
        <v/>
      </c>
      <c r="I292" s="205" t="str">
        <f>IF('Zoopl Count'!I292="","",'Zoopl Count'!I292*(2^I$9)/I$8)</f>
        <v/>
      </c>
      <c r="J292" s="205" t="str">
        <f>IF('Zoopl Count'!J292="","",'Zoopl Count'!J292*(2^J$9)/J$8)</f>
        <v/>
      </c>
      <c r="K292" s="205" t="str">
        <f>IF('Zoopl Count'!K292="","",'Zoopl Count'!K292*(2^K$9)/K$8)</f>
        <v/>
      </c>
      <c r="L292" s="205" t="str">
        <f>IF('Zoopl Count'!L292="","",'Zoopl Count'!L292*(2^L$9)/L$8)</f>
        <v/>
      </c>
      <c r="M292" s="205" t="str">
        <f>IF('Zoopl Count'!M292="","",'Zoopl Count'!M292*(2^M$9)/M$8)</f>
        <v/>
      </c>
      <c r="N292" s="205" t="str">
        <f>IF('Zoopl Count'!N292="","",'Zoopl Count'!N292*(2^N$9)/N$8)</f>
        <v/>
      </c>
      <c r="O292" s="205" t="str">
        <f>IF('Zoopl Count'!O292="","",'Zoopl Count'!O292*(2^O$9)/O$8)</f>
        <v/>
      </c>
      <c r="P292" s="205" t="str">
        <f>IF('Zoopl Count'!P292="","",'Zoopl Count'!P292*(2^P$9)/P$8)</f>
        <v/>
      </c>
    </row>
    <row r="293" spans="1:16" s="75" customFormat="1">
      <c r="A293" s="21" t="s">
        <v>7</v>
      </c>
      <c r="B293" s="2" t="s">
        <v>284</v>
      </c>
      <c r="C293" s="184"/>
      <c r="D293" s="184"/>
      <c r="E293" s="183"/>
      <c r="F293" s="10"/>
      <c r="G293" s="205" t="str">
        <f>IF('Zoopl Count'!G293="","",'Zoopl Count'!G293*(2^G$9)/G$8)</f>
        <v/>
      </c>
      <c r="H293" s="205" t="str">
        <f>IF('Zoopl Count'!H293="","",'Zoopl Count'!H293*(2^H$9)/H$8)</f>
        <v/>
      </c>
      <c r="I293" s="205" t="str">
        <f>IF('Zoopl Count'!I293="","",'Zoopl Count'!I293*(2^I$9)/I$8)</f>
        <v/>
      </c>
      <c r="J293" s="205" t="str">
        <f>IF('Zoopl Count'!J293="","",'Zoopl Count'!J293*(2^J$9)/J$8)</f>
        <v/>
      </c>
      <c r="K293" s="205" t="str">
        <f>IF('Zoopl Count'!K293="","",'Zoopl Count'!K293*(2^K$9)/K$8)</f>
        <v/>
      </c>
      <c r="L293" s="205" t="str">
        <f>IF('Zoopl Count'!L293="","",'Zoopl Count'!L293*(2^L$9)/L$8)</f>
        <v/>
      </c>
      <c r="M293" s="205" t="str">
        <f>IF('Zoopl Count'!M293="","",'Zoopl Count'!M293*(2^M$9)/M$8)</f>
        <v/>
      </c>
      <c r="N293" s="205" t="str">
        <f>IF('Zoopl Count'!N293="","",'Zoopl Count'!N293*(2^N$9)/N$8)</f>
        <v/>
      </c>
      <c r="O293" s="205" t="str">
        <f>IF('Zoopl Count'!O293="","",'Zoopl Count'!O293*(2^O$9)/O$8)</f>
        <v/>
      </c>
      <c r="P293" s="205" t="str">
        <f>IF('Zoopl Count'!P293="","",'Zoopl Count'!P293*(2^P$9)/P$8)</f>
        <v/>
      </c>
    </row>
    <row r="294" spans="1:16" s="75" customFormat="1">
      <c r="A294" s="184"/>
      <c r="B294" s="184"/>
      <c r="C294" s="184"/>
      <c r="D294" s="184"/>
      <c r="E294" s="183"/>
      <c r="F294" s="185" t="s">
        <v>285</v>
      </c>
      <c r="G294" s="205">
        <f>IF('Zoopl Count'!G294="","",'Zoopl Count'!G294*(2^G$9)/G$8)</f>
        <v>0.13037972938088066</v>
      </c>
      <c r="H294" s="205" t="str">
        <f>IF('Zoopl Count'!H294="","",'Zoopl Count'!H294*(2^H$9)/H$8)</f>
        <v/>
      </c>
      <c r="I294" s="205">
        <f>IF('Zoopl Count'!I294="","",'Zoopl Count'!I294*(2^I$9)/I$8)</f>
        <v>0.19556959407132099</v>
      </c>
      <c r="J294" s="205">
        <f>IF('Zoopl Count'!J294="","",'Zoopl Count'!J294*(2^J$9)/J$8)</f>
        <v>0.13037972938088066</v>
      </c>
      <c r="K294" s="205">
        <f>IF('Zoopl Count'!K294="","",'Zoopl Count'!K294*(2^K$9)/K$8)</f>
        <v>0.13037972938088066</v>
      </c>
      <c r="L294" s="205" t="str">
        <f>IF('Zoopl Count'!L294="","",'Zoopl Count'!L294*(2^L$9)/L$8)</f>
        <v/>
      </c>
      <c r="M294" s="205" t="str">
        <f>IF('Zoopl Count'!M294="","",'Zoopl Count'!M294*(2^M$9)/M$8)</f>
        <v/>
      </c>
      <c r="N294" s="205" t="str">
        <f>IF('Zoopl Count'!N294="","",'Zoopl Count'!N294*(2^N$9)/N$8)</f>
        <v/>
      </c>
      <c r="O294" s="205" t="str">
        <f>IF('Zoopl Count'!O294="","",'Zoopl Count'!O294*(2^O$9)/O$8)</f>
        <v/>
      </c>
      <c r="P294" s="205" t="str">
        <f>IF('Zoopl Count'!P294="","",'Zoopl Count'!P294*(2^P$9)/P$8)</f>
        <v/>
      </c>
    </row>
    <row r="295" spans="1:16" s="75" customFormat="1" hidden="1">
      <c r="A295" s="135"/>
      <c r="B295" s="134" t="s">
        <v>79</v>
      </c>
      <c r="C295" s="135" t="s">
        <v>415</v>
      </c>
      <c r="D295" s="135"/>
      <c r="E295" s="134"/>
      <c r="F295" s="143"/>
      <c r="G295" s="205" t="str">
        <f>IF('Zoopl Count'!G295="","",'Zoopl Count'!G295*(2^G$9)/G$8)</f>
        <v/>
      </c>
      <c r="H295" s="205" t="str">
        <f>IF('Zoopl Count'!H295="","",'Zoopl Count'!H295*(2^H$9)/H$8)</f>
        <v/>
      </c>
      <c r="I295" s="205" t="str">
        <f>IF('Zoopl Count'!I295="","",'Zoopl Count'!I295*(2^I$9)/I$8)</f>
        <v/>
      </c>
      <c r="J295" s="205" t="str">
        <f>IF('Zoopl Count'!J295="","",'Zoopl Count'!J295*(2^J$9)/J$8)</f>
        <v/>
      </c>
      <c r="K295" s="205" t="str">
        <f>IF('Zoopl Count'!K295="","",'Zoopl Count'!K295*(2^K$9)/K$8)</f>
        <v/>
      </c>
      <c r="L295" s="205" t="str">
        <f>IF('Zoopl Count'!L295="","",'Zoopl Count'!L295*(2^L$9)/L$8)</f>
        <v/>
      </c>
      <c r="M295" s="205" t="str">
        <f>IF('Zoopl Count'!M295="","",'Zoopl Count'!M295*(2^M$9)/M$8)</f>
        <v/>
      </c>
      <c r="N295" s="205" t="str">
        <f>IF('Zoopl Count'!N295="","",'Zoopl Count'!N295*(2^N$9)/N$8)</f>
        <v/>
      </c>
      <c r="O295" s="205" t="str">
        <f>IF('Zoopl Count'!O295="","",'Zoopl Count'!O295*(2^O$9)/O$8)</f>
        <v/>
      </c>
      <c r="P295" s="205" t="str">
        <f>IF('Zoopl Count'!P295="","",'Zoopl Count'!P295*(2^P$9)/P$8)</f>
        <v/>
      </c>
    </row>
    <row r="296" spans="1:16" s="75" customFormat="1" hidden="1">
      <c r="A296" s="59"/>
      <c r="B296" s="271" t="s">
        <v>14</v>
      </c>
      <c r="C296" s="271"/>
      <c r="D296" s="271"/>
      <c r="E296" s="271"/>
      <c r="F296" s="65" t="s">
        <v>394</v>
      </c>
      <c r="G296" s="205" t="str">
        <f>IF('Zoopl Count'!G296="","",'Zoopl Count'!G296*(2^G$9)/G$8)</f>
        <v/>
      </c>
      <c r="H296" s="205" t="str">
        <f>IF('Zoopl Count'!H296="","",'Zoopl Count'!H296*(2^H$9)/H$8)</f>
        <v/>
      </c>
      <c r="I296" s="205" t="str">
        <f>IF('Zoopl Count'!I296="","",'Zoopl Count'!I296*(2^I$9)/I$8)</f>
        <v/>
      </c>
      <c r="J296" s="205" t="str">
        <f>IF('Zoopl Count'!J296="","",'Zoopl Count'!J296*(2^J$9)/J$8)</f>
        <v/>
      </c>
      <c r="K296" s="205" t="str">
        <f>IF('Zoopl Count'!K296="","",'Zoopl Count'!K296*(2^K$9)/K$8)</f>
        <v/>
      </c>
      <c r="L296" s="205" t="str">
        <f>IF('Zoopl Count'!L296="","",'Zoopl Count'!L296*(2^L$9)/L$8)</f>
        <v/>
      </c>
      <c r="M296" s="205" t="str">
        <f>IF('Zoopl Count'!M296="","",'Zoopl Count'!M296*(2^M$9)/M$8)</f>
        <v/>
      </c>
      <c r="N296" s="205" t="str">
        <f>IF('Zoopl Count'!N296="","",'Zoopl Count'!N296*(2^N$9)/N$8)</f>
        <v/>
      </c>
      <c r="O296" s="205" t="str">
        <f>IF('Zoopl Count'!O296="","",'Zoopl Count'!O296*(2^O$9)/O$8)</f>
        <v/>
      </c>
      <c r="P296" s="205" t="str">
        <f>IF('Zoopl Count'!P296="","",'Zoopl Count'!P296*(2^P$9)/P$8)</f>
        <v/>
      </c>
    </row>
    <row r="297" spans="1:16" s="75" customFormat="1">
      <c r="E297" s="138"/>
      <c r="F297" s="139"/>
      <c r="G297" s="205" t="str">
        <f>IF('Zoopl Count'!G297="","",'Zoopl Count'!G297*(2^G$9)/G$8)</f>
        <v/>
      </c>
      <c r="H297" s="205" t="str">
        <f>IF('Zoopl Count'!H297="","",'Zoopl Count'!H297*(2^H$9)/H$8)</f>
        <v/>
      </c>
      <c r="I297" s="205" t="str">
        <f>IF('Zoopl Count'!I297="","",'Zoopl Count'!I297*(2^I$9)/I$8)</f>
        <v/>
      </c>
      <c r="J297" s="205" t="str">
        <f>IF('Zoopl Count'!J297="","",'Zoopl Count'!J297*(2^J$9)/J$8)</f>
        <v/>
      </c>
      <c r="K297" s="205" t="str">
        <f>IF('Zoopl Count'!K297="","",'Zoopl Count'!K297*(2^K$9)/K$8)</f>
        <v/>
      </c>
      <c r="L297" s="205" t="str">
        <f>IF('Zoopl Count'!L297="","",'Zoopl Count'!L297*(2^L$9)/L$8)</f>
        <v/>
      </c>
      <c r="M297" s="205" t="str">
        <f>IF('Zoopl Count'!M297="","",'Zoopl Count'!M297*(2^M$9)/M$8)</f>
        <v/>
      </c>
      <c r="N297" s="205" t="str">
        <f>IF('Zoopl Count'!N297="","",'Zoopl Count'!N297*(2^N$9)/N$8)</f>
        <v/>
      </c>
      <c r="O297" s="205" t="str">
        <f>IF('Zoopl Count'!O297="","",'Zoopl Count'!O297*(2^O$9)/O$8)</f>
        <v/>
      </c>
      <c r="P297" s="205" t="str">
        <f>IF('Zoopl Count'!P297="","",'Zoopl Count'!P297*(2^P$9)/P$8)</f>
        <v/>
      </c>
    </row>
    <row r="298" spans="1:16" s="75" customFormat="1">
      <c r="A298" s="134" t="s">
        <v>7</v>
      </c>
      <c r="B298" s="135" t="s">
        <v>122</v>
      </c>
      <c r="E298" s="138"/>
      <c r="F298" s="139"/>
      <c r="G298" s="205" t="str">
        <f>IF('Zoopl Count'!G298="","",'Zoopl Count'!G298*(2^G$9)/G$8)</f>
        <v/>
      </c>
      <c r="H298" s="205" t="str">
        <f>IF('Zoopl Count'!H298="","",'Zoopl Count'!H298*(2^H$9)/H$8)</f>
        <v/>
      </c>
      <c r="I298" s="205" t="str">
        <f>IF('Zoopl Count'!I298="","",'Zoopl Count'!I298*(2^I$9)/I$8)</f>
        <v/>
      </c>
      <c r="J298" s="205" t="str">
        <f>IF('Zoopl Count'!J298="","",'Zoopl Count'!J298*(2^J$9)/J$8)</f>
        <v/>
      </c>
      <c r="K298" s="205" t="str">
        <f>IF('Zoopl Count'!K298="","",'Zoopl Count'!K298*(2^K$9)/K$8)</f>
        <v/>
      </c>
      <c r="L298" s="205" t="str">
        <f>IF('Zoopl Count'!L298="","",'Zoopl Count'!L298*(2^L$9)/L$8)</f>
        <v/>
      </c>
      <c r="M298" s="205" t="str">
        <f>IF('Zoopl Count'!M298="","",'Zoopl Count'!M298*(2^M$9)/M$8)</f>
        <v/>
      </c>
      <c r="N298" s="205" t="str">
        <f>IF('Zoopl Count'!N298="","",'Zoopl Count'!N298*(2^N$9)/N$8)</f>
        <v/>
      </c>
      <c r="O298" s="205" t="str">
        <f>IF('Zoopl Count'!O298="","",'Zoopl Count'!O298*(2^O$9)/O$8)</f>
        <v/>
      </c>
      <c r="P298" s="205" t="str">
        <f>IF('Zoopl Count'!P298="","",'Zoopl Count'!P298*(2^P$9)/P$8)</f>
        <v/>
      </c>
    </row>
    <row r="299" spans="1:16" s="75" customFormat="1">
      <c r="E299" s="138"/>
      <c r="F299" s="150" t="s">
        <v>123</v>
      </c>
      <c r="G299" s="205" t="str">
        <f>IF('Zoopl Count'!G299="","",'Zoopl Count'!G299*(2^G$9)/G$8)</f>
        <v/>
      </c>
      <c r="H299" s="205" t="str">
        <f>IF('Zoopl Count'!H299="","",'Zoopl Count'!H299*(2^H$9)/H$8)</f>
        <v/>
      </c>
      <c r="I299" s="205" t="str">
        <f>IF('Zoopl Count'!I299="","",'Zoopl Count'!I299*(2^I$9)/I$8)</f>
        <v/>
      </c>
      <c r="J299" s="205">
        <f>IF('Zoopl Count'!J299="","",'Zoopl Count'!J299*(2^J$9)/J$8)</f>
        <v>0.26075945876176132</v>
      </c>
      <c r="K299" s="205" t="str">
        <f>IF('Zoopl Count'!K299="","",'Zoopl Count'!K299*(2^K$9)/K$8)</f>
        <v/>
      </c>
      <c r="L299" s="205" t="str">
        <f>IF('Zoopl Count'!L299="","",'Zoopl Count'!L299*(2^L$9)/L$8)</f>
        <v/>
      </c>
      <c r="M299" s="205" t="str">
        <f>IF('Zoopl Count'!M299="","",'Zoopl Count'!M299*(2^M$9)/M$8)</f>
        <v/>
      </c>
      <c r="N299" s="205" t="str">
        <f>IF('Zoopl Count'!N299="","",'Zoopl Count'!N299*(2^N$9)/N$8)</f>
        <v/>
      </c>
      <c r="O299" s="205" t="str">
        <f>IF('Zoopl Count'!O299="","",'Zoopl Count'!O299*(2^O$9)/O$8)</f>
        <v/>
      </c>
      <c r="P299" s="205" t="str">
        <f>IF('Zoopl Count'!P299="","",'Zoopl Count'!P299*(2^P$9)/P$8)</f>
        <v/>
      </c>
    </row>
    <row r="300" spans="1:16" s="75" customFormat="1" hidden="1">
      <c r="E300" s="138"/>
      <c r="F300" s="150"/>
      <c r="G300" s="205" t="str">
        <f>IF('Zoopl Count'!G300="","",'Zoopl Count'!G300*(2^G$9)/G$8)</f>
        <v/>
      </c>
      <c r="H300" s="205" t="str">
        <f>IF('Zoopl Count'!H300="","",'Zoopl Count'!H300*(2^H$9)/H$8)</f>
        <v/>
      </c>
      <c r="I300" s="205" t="str">
        <f>IF('Zoopl Count'!I300="","",'Zoopl Count'!I300*(2^I$9)/I$8)</f>
        <v/>
      </c>
      <c r="J300" s="205" t="str">
        <f>IF('Zoopl Count'!J300="","",'Zoopl Count'!J300*(2^J$9)/J$8)</f>
        <v/>
      </c>
      <c r="K300" s="205" t="str">
        <f>IF('Zoopl Count'!K300="","",'Zoopl Count'!K300*(2^K$9)/K$8)</f>
        <v/>
      </c>
      <c r="L300" s="205" t="str">
        <f>IF('Zoopl Count'!L300="","",'Zoopl Count'!L300*(2^L$9)/L$8)</f>
        <v/>
      </c>
      <c r="M300" s="205" t="str">
        <f>IF('Zoopl Count'!M300="","",'Zoopl Count'!M300*(2^M$9)/M$8)</f>
        <v/>
      </c>
      <c r="N300" s="205" t="str">
        <f>IF('Zoopl Count'!N300="","",'Zoopl Count'!N300*(2^N$9)/N$8)</f>
        <v/>
      </c>
      <c r="O300" s="205" t="str">
        <f>IF('Zoopl Count'!O300="","",'Zoopl Count'!O300*(2^O$9)/O$8)</f>
        <v/>
      </c>
      <c r="P300" s="205" t="str">
        <f>IF('Zoopl Count'!P300="","",'Zoopl Count'!P300*(2^P$9)/P$8)</f>
        <v/>
      </c>
    </row>
    <row r="301" spans="1:16" s="75" customFormat="1" hidden="1">
      <c r="A301" s="134" t="s">
        <v>7</v>
      </c>
      <c r="B301" s="135" t="s">
        <v>124</v>
      </c>
      <c r="E301" s="138"/>
      <c r="F301" s="139"/>
      <c r="G301" s="205" t="str">
        <f>IF('Zoopl Count'!G301="","",'Zoopl Count'!G301*(2^G$9)/G$8)</f>
        <v/>
      </c>
      <c r="H301" s="205" t="str">
        <f>IF('Zoopl Count'!H301="","",'Zoopl Count'!H301*(2^H$9)/H$8)</f>
        <v/>
      </c>
      <c r="I301" s="205" t="str">
        <f>IF('Zoopl Count'!I301="","",'Zoopl Count'!I301*(2^I$9)/I$8)</f>
        <v/>
      </c>
      <c r="J301" s="205" t="str">
        <f>IF('Zoopl Count'!J301="","",'Zoopl Count'!J301*(2^J$9)/J$8)</f>
        <v/>
      </c>
      <c r="K301" s="205" t="str">
        <f>IF('Zoopl Count'!K301="","",'Zoopl Count'!K301*(2^K$9)/K$8)</f>
        <v/>
      </c>
      <c r="L301" s="205" t="str">
        <f>IF('Zoopl Count'!L301="","",'Zoopl Count'!L301*(2^L$9)/L$8)</f>
        <v/>
      </c>
      <c r="M301" s="205" t="str">
        <f>IF('Zoopl Count'!M301="","",'Zoopl Count'!M301*(2^M$9)/M$8)</f>
        <v/>
      </c>
      <c r="N301" s="205" t="str">
        <f>IF('Zoopl Count'!N301="","",'Zoopl Count'!N301*(2^N$9)/N$8)</f>
        <v/>
      </c>
      <c r="O301" s="205" t="str">
        <f>IF('Zoopl Count'!O301="","",'Zoopl Count'!O301*(2^O$9)/O$8)</f>
        <v/>
      </c>
      <c r="P301" s="205" t="str">
        <f>IF('Zoopl Count'!P301="","",'Zoopl Count'!P301*(2^P$9)/P$8)</f>
        <v/>
      </c>
    </row>
    <row r="302" spans="1:16" s="75" customFormat="1" hidden="1">
      <c r="E302" s="138"/>
      <c r="F302" s="137" t="s">
        <v>125</v>
      </c>
      <c r="G302" s="205" t="str">
        <f>IF('Zoopl Count'!G302="","",'Zoopl Count'!G302*(2^G$9)/G$8)</f>
        <v/>
      </c>
      <c r="H302" s="205" t="str">
        <f>IF('Zoopl Count'!H302="","",'Zoopl Count'!H302*(2^H$9)/H$8)</f>
        <v/>
      </c>
      <c r="I302" s="205" t="str">
        <f>IF('Zoopl Count'!I302="","",'Zoopl Count'!I302*(2^I$9)/I$8)</f>
        <v/>
      </c>
      <c r="J302" s="205" t="str">
        <f>IF('Zoopl Count'!J302="","",'Zoopl Count'!J302*(2^J$9)/J$8)</f>
        <v/>
      </c>
      <c r="K302" s="205" t="str">
        <f>IF('Zoopl Count'!K302="","",'Zoopl Count'!K302*(2^K$9)/K$8)</f>
        <v/>
      </c>
      <c r="L302" s="205" t="str">
        <f>IF('Zoopl Count'!L302="","",'Zoopl Count'!L302*(2^L$9)/L$8)</f>
        <v/>
      </c>
      <c r="M302" s="205" t="str">
        <f>IF('Zoopl Count'!M302="","",'Zoopl Count'!M302*(2^M$9)/M$8)</f>
        <v/>
      </c>
      <c r="N302" s="205" t="str">
        <f>IF('Zoopl Count'!N302="","",'Zoopl Count'!N302*(2^N$9)/N$8)</f>
        <v/>
      </c>
      <c r="O302" s="205" t="str">
        <f>IF('Zoopl Count'!O302="","",'Zoopl Count'!O302*(2^O$9)/O$8)</f>
        <v/>
      </c>
      <c r="P302" s="205" t="str">
        <f>IF('Zoopl Count'!P302="","",'Zoopl Count'!P302*(2^P$9)/P$8)</f>
        <v/>
      </c>
    </row>
    <row r="303" spans="1:16" s="75" customFormat="1">
      <c r="E303" s="138"/>
      <c r="F303" s="137"/>
      <c r="G303" s="205" t="str">
        <f>IF('Zoopl Count'!G303="","",'Zoopl Count'!G303*(2^G$9)/G$8)</f>
        <v/>
      </c>
      <c r="H303" s="205" t="str">
        <f>IF('Zoopl Count'!H303="","",'Zoopl Count'!H303*(2^H$9)/H$8)</f>
        <v/>
      </c>
      <c r="I303" s="205" t="str">
        <f>IF('Zoopl Count'!I303="","",'Zoopl Count'!I303*(2^I$9)/I$8)</f>
        <v/>
      </c>
      <c r="J303" s="205" t="str">
        <f>IF('Zoopl Count'!J303="","",'Zoopl Count'!J303*(2^J$9)/J$8)</f>
        <v/>
      </c>
      <c r="K303" s="205" t="str">
        <f>IF('Zoopl Count'!K303="","",'Zoopl Count'!K303*(2^K$9)/K$8)</f>
        <v/>
      </c>
      <c r="L303" s="205" t="str">
        <f>IF('Zoopl Count'!L303="","",'Zoopl Count'!L303*(2^L$9)/L$8)</f>
        <v/>
      </c>
      <c r="M303" s="205" t="str">
        <f>IF('Zoopl Count'!M303="","",'Zoopl Count'!M303*(2^M$9)/M$8)</f>
        <v/>
      </c>
      <c r="N303" s="205" t="str">
        <f>IF('Zoopl Count'!N303="","",'Zoopl Count'!N303*(2^N$9)/N$8)</f>
        <v/>
      </c>
      <c r="O303" s="205" t="str">
        <f>IF('Zoopl Count'!O303="","",'Zoopl Count'!O303*(2^O$9)/O$8)</f>
        <v/>
      </c>
      <c r="P303" s="205" t="str">
        <f>IF('Zoopl Count'!P303="","",'Zoopl Count'!P303*(2^P$9)/P$8)</f>
        <v/>
      </c>
    </row>
    <row r="304" spans="1:16" s="75" customFormat="1">
      <c r="A304" s="134" t="s">
        <v>7</v>
      </c>
      <c r="B304" s="135" t="s">
        <v>48</v>
      </c>
      <c r="F304" s="137"/>
      <c r="G304" s="205" t="str">
        <f>IF('Zoopl Count'!G304="","",'Zoopl Count'!G304*(2^G$9)/G$8)</f>
        <v/>
      </c>
      <c r="H304" s="205" t="str">
        <f>IF('Zoopl Count'!H304="","",'Zoopl Count'!H304*(2^H$9)/H$8)</f>
        <v/>
      </c>
      <c r="I304" s="205" t="str">
        <f>IF('Zoopl Count'!I304="","",'Zoopl Count'!I304*(2^I$9)/I$8)</f>
        <v/>
      </c>
      <c r="J304" s="205" t="str">
        <f>IF('Zoopl Count'!J304="","",'Zoopl Count'!J304*(2^J$9)/J$8)</f>
        <v/>
      </c>
      <c r="K304" s="205" t="str">
        <f>IF('Zoopl Count'!K304="","",'Zoopl Count'!K304*(2^K$9)/K$8)</f>
        <v/>
      </c>
      <c r="L304" s="205" t="str">
        <f>IF('Zoopl Count'!L304="","",'Zoopl Count'!L304*(2^L$9)/L$8)</f>
        <v/>
      </c>
      <c r="M304" s="205" t="str">
        <f>IF('Zoopl Count'!M304="","",'Zoopl Count'!M304*(2^M$9)/M$8)</f>
        <v/>
      </c>
      <c r="N304" s="205" t="str">
        <f>IF('Zoopl Count'!N304="","",'Zoopl Count'!N304*(2^N$9)/N$8)</f>
        <v/>
      </c>
      <c r="O304" s="205" t="str">
        <f>IF('Zoopl Count'!O304="","",'Zoopl Count'!O304*(2^O$9)/O$8)</f>
        <v/>
      </c>
      <c r="P304" s="205" t="str">
        <f>IF('Zoopl Count'!P304="","",'Zoopl Count'!P304*(2^P$9)/P$8)</f>
        <v/>
      </c>
    </row>
    <row r="305" spans="1:16" s="75" customFormat="1">
      <c r="A305" s="138"/>
      <c r="B305" s="134" t="s">
        <v>79</v>
      </c>
      <c r="C305" s="135" t="s">
        <v>178</v>
      </c>
      <c r="F305" s="137"/>
      <c r="G305" s="205" t="str">
        <f>IF('Zoopl Count'!G305="","",'Zoopl Count'!G305*(2^G$9)/G$8)</f>
        <v/>
      </c>
      <c r="H305" s="205" t="str">
        <f>IF('Zoopl Count'!H305="","",'Zoopl Count'!H305*(2^H$9)/H$8)</f>
        <v/>
      </c>
      <c r="I305" s="205" t="str">
        <f>IF('Zoopl Count'!I305="","",'Zoopl Count'!I305*(2^I$9)/I$8)</f>
        <v/>
      </c>
      <c r="J305" s="205" t="str">
        <f>IF('Zoopl Count'!J305="","",'Zoopl Count'!J305*(2^J$9)/J$8)</f>
        <v/>
      </c>
      <c r="K305" s="205" t="str">
        <f>IF('Zoopl Count'!K305="","",'Zoopl Count'!K305*(2^K$9)/K$8)</f>
        <v/>
      </c>
      <c r="L305" s="205" t="str">
        <f>IF('Zoopl Count'!L305="","",'Zoopl Count'!L305*(2^L$9)/L$8)</f>
        <v/>
      </c>
      <c r="M305" s="205" t="str">
        <f>IF('Zoopl Count'!M305="","",'Zoopl Count'!M305*(2^M$9)/M$8)</f>
        <v/>
      </c>
      <c r="N305" s="205" t="str">
        <f>IF('Zoopl Count'!N305="","",'Zoopl Count'!N305*(2^N$9)/N$8)</f>
        <v/>
      </c>
      <c r="O305" s="205" t="str">
        <f>IF('Zoopl Count'!O305="","",'Zoopl Count'!O305*(2^O$9)/O$8)</f>
        <v/>
      </c>
      <c r="P305" s="205" t="str">
        <f>IF('Zoopl Count'!P305="","",'Zoopl Count'!P305*(2^P$9)/P$8)</f>
        <v/>
      </c>
    </row>
    <row r="306" spans="1:16" s="75" customFormat="1">
      <c r="C306" s="134" t="s">
        <v>10</v>
      </c>
      <c r="D306" s="135" t="s">
        <v>49</v>
      </c>
      <c r="F306" s="137"/>
      <c r="G306" s="205" t="str">
        <f>IF('Zoopl Count'!G306="","",'Zoopl Count'!G306*(2^G$9)/G$8)</f>
        <v/>
      </c>
      <c r="H306" s="205" t="str">
        <f>IF('Zoopl Count'!H306="","",'Zoopl Count'!H306*(2^H$9)/H$8)</f>
        <v/>
      </c>
      <c r="I306" s="205" t="str">
        <f>IF('Zoopl Count'!I306="","",'Zoopl Count'!I306*(2^I$9)/I$8)</f>
        <v/>
      </c>
      <c r="J306" s="205" t="str">
        <f>IF('Zoopl Count'!J306="","",'Zoopl Count'!J306*(2^J$9)/J$8)</f>
        <v/>
      </c>
      <c r="K306" s="205" t="str">
        <f>IF('Zoopl Count'!K306="","",'Zoopl Count'!K306*(2^K$9)/K$8)</f>
        <v/>
      </c>
      <c r="L306" s="205" t="str">
        <f>IF('Zoopl Count'!L306="","",'Zoopl Count'!L306*(2^L$9)/L$8)</f>
        <v/>
      </c>
      <c r="M306" s="205" t="str">
        <f>IF('Zoopl Count'!M306="","",'Zoopl Count'!M306*(2^M$9)/M$8)</f>
        <v/>
      </c>
      <c r="N306" s="205" t="str">
        <f>IF('Zoopl Count'!N306="","",'Zoopl Count'!N306*(2^N$9)/N$8)</f>
        <v/>
      </c>
      <c r="O306" s="205" t="str">
        <f>IF('Zoopl Count'!O306="","",'Zoopl Count'!O306*(2^O$9)/O$8)</f>
        <v/>
      </c>
      <c r="P306" s="205" t="str">
        <f>IF('Zoopl Count'!P306="","",'Zoopl Count'!P306*(2^P$9)/P$8)</f>
        <v/>
      </c>
    </row>
    <row r="307" spans="1:16" s="75" customFormat="1">
      <c r="D307" s="138" t="s">
        <v>12</v>
      </c>
      <c r="E307" s="75" t="s">
        <v>50</v>
      </c>
      <c r="F307" s="137"/>
      <c r="G307" s="205" t="str">
        <f>IF('Zoopl Count'!G307="","",'Zoopl Count'!G307*(2^G$9)/G$8)</f>
        <v/>
      </c>
      <c r="H307" s="205" t="str">
        <f>IF('Zoopl Count'!H307="","",'Zoopl Count'!H307*(2^H$9)/H$8)</f>
        <v/>
      </c>
      <c r="I307" s="205" t="str">
        <f>IF('Zoopl Count'!I307="","",'Zoopl Count'!I307*(2^I$9)/I$8)</f>
        <v/>
      </c>
      <c r="J307" s="205" t="str">
        <f>IF('Zoopl Count'!J307="","",'Zoopl Count'!J307*(2^J$9)/J$8)</f>
        <v/>
      </c>
      <c r="K307" s="205" t="str">
        <f>IF('Zoopl Count'!K307="","",'Zoopl Count'!K307*(2^K$9)/K$8)</f>
        <v/>
      </c>
      <c r="L307" s="205" t="str">
        <f>IF('Zoopl Count'!L307="","",'Zoopl Count'!L307*(2^L$9)/L$8)</f>
        <v/>
      </c>
      <c r="M307" s="205" t="str">
        <f>IF('Zoopl Count'!M307="","",'Zoopl Count'!M307*(2^M$9)/M$8)</f>
        <v/>
      </c>
      <c r="N307" s="205" t="str">
        <f>IF('Zoopl Count'!N307="","",'Zoopl Count'!N307*(2^N$9)/N$8)</f>
        <v/>
      </c>
      <c r="O307" s="205" t="str">
        <f>IF('Zoopl Count'!O307="","",'Zoopl Count'!O307*(2^O$9)/O$8)</f>
        <v/>
      </c>
      <c r="P307" s="205" t="str">
        <f>IF('Zoopl Count'!P307="","",'Zoopl Count'!P307*(2^P$9)/P$8)</f>
        <v/>
      </c>
    </row>
    <row r="308" spans="1:16" s="75" customFormat="1" ht="15" hidden="1" customHeight="1">
      <c r="E308" s="138" t="s">
        <v>14</v>
      </c>
      <c r="F308" s="139" t="s">
        <v>51</v>
      </c>
      <c r="G308" s="205" t="str">
        <f>IF('Zoopl Count'!G308="","",'Zoopl Count'!G308*(2^G$9)/G$8)</f>
        <v/>
      </c>
      <c r="H308" s="205" t="str">
        <f>IF('Zoopl Count'!H308="","",'Zoopl Count'!H308*(2^H$9)/H$8)</f>
        <v/>
      </c>
      <c r="I308" s="205" t="str">
        <f>IF('Zoopl Count'!I308="","",'Zoopl Count'!I308*(2^I$9)/I$8)</f>
        <v/>
      </c>
      <c r="J308" s="205" t="str">
        <f>IF('Zoopl Count'!J308="","",'Zoopl Count'!J308*(2^J$9)/J$8)</f>
        <v/>
      </c>
      <c r="K308" s="205" t="str">
        <f>IF('Zoopl Count'!K308="","",'Zoopl Count'!K308*(2^K$9)/K$8)</f>
        <v/>
      </c>
      <c r="L308" s="205" t="str">
        <f>IF('Zoopl Count'!L308="","",'Zoopl Count'!L308*(2^L$9)/L$8)</f>
        <v/>
      </c>
      <c r="M308" s="205" t="str">
        <f>IF('Zoopl Count'!M308="","",'Zoopl Count'!M308*(2^M$9)/M$8)</f>
        <v/>
      </c>
      <c r="N308" s="205" t="str">
        <f>IF('Zoopl Count'!N308="","",'Zoopl Count'!N308*(2^N$9)/N$8)</f>
        <v/>
      </c>
      <c r="O308" s="205" t="str">
        <f>IF('Zoopl Count'!O308="","",'Zoopl Count'!O308*(2^O$9)/O$8)</f>
        <v/>
      </c>
      <c r="P308" s="205" t="str">
        <f>IF('Zoopl Count'!P308="","",'Zoopl Count'!P308*(2^P$9)/P$8)</f>
        <v/>
      </c>
    </row>
    <row r="309" spans="1:16" s="75" customFormat="1">
      <c r="E309" s="138" t="s">
        <v>14</v>
      </c>
      <c r="F309" s="139" t="s">
        <v>52</v>
      </c>
      <c r="G309" s="205">
        <f>IF('Zoopl Count'!G309="","",'Zoopl Count'!G309*(2^G$9)/G$8)</f>
        <v>0.52151891752352264</v>
      </c>
      <c r="H309" s="205">
        <f>IF('Zoopl Count'!H309="","",'Zoopl Count'!H309*(2^H$9)/H$8)</f>
        <v>0.13037972938088066</v>
      </c>
      <c r="I309" s="205">
        <f>IF('Zoopl Count'!I309="","",'Zoopl Count'!I309*(2^I$9)/I$8)</f>
        <v>0.19556959407132099</v>
      </c>
      <c r="J309" s="205">
        <f>IF('Zoopl Count'!J309="","",'Zoopl Count'!J309*(2^J$9)/J$8)</f>
        <v>0.52151891752352264</v>
      </c>
      <c r="K309" s="205">
        <f>IF('Zoopl Count'!K309="","",'Zoopl Count'!K309*(2^K$9)/K$8)</f>
        <v>1.5645567525705679</v>
      </c>
      <c r="L309" s="205" t="str">
        <f>IF('Zoopl Count'!L309="","",'Zoopl Count'!L309*(2^L$9)/L$8)</f>
        <v/>
      </c>
      <c r="M309" s="205">
        <f>IF('Zoopl Count'!M309="","",'Zoopl Count'!M309*(2^M$9)/M$8)</f>
        <v>0.26075945876176132</v>
      </c>
      <c r="N309" s="205" t="str">
        <f>IF('Zoopl Count'!N309="","",'Zoopl Count'!N309*(2^N$9)/N$8)</f>
        <v/>
      </c>
      <c r="O309" s="205" t="str">
        <f>IF('Zoopl Count'!O309="","",'Zoopl Count'!O309*(2^O$9)/O$8)</f>
        <v/>
      </c>
      <c r="P309" s="205" t="str">
        <f>IF('Zoopl Count'!P309="","",'Zoopl Count'!P309*(2^P$9)/P$8)</f>
        <v/>
      </c>
    </row>
    <row r="310" spans="1:16" s="75" customFormat="1">
      <c r="F310" s="139" t="s">
        <v>53</v>
      </c>
      <c r="G310" s="205">
        <f>IF('Zoopl Count'!G310="","",'Zoopl Count'!G310*(2^G$9)/G$8)</f>
        <v>0.78227837628528396</v>
      </c>
      <c r="H310" s="205">
        <f>IF('Zoopl Count'!H310="","",'Zoopl Count'!H310*(2^H$9)/H$8)</f>
        <v>0.32594932345220168</v>
      </c>
      <c r="I310" s="205">
        <f>IF('Zoopl Count'!I310="","",'Zoopl Count'!I310*(2^I$9)/I$8)</f>
        <v>0.39113918814264198</v>
      </c>
      <c r="J310" s="205">
        <f>IF('Zoopl Count'!J310="","",'Zoopl Count'!J310*(2^J$9)/J$8)</f>
        <v>1.3037972938088067</v>
      </c>
      <c r="K310" s="205">
        <f>IF('Zoopl Count'!K310="","",'Zoopl Count'!K310*(2^K$9)/K$8)</f>
        <v>1.5645567525705679</v>
      </c>
      <c r="L310" s="205">
        <f>IF('Zoopl Count'!L310="","",'Zoopl Count'!L310*(2^L$9)/L$8)</f>
        <v>1.0430378350470453</v>
      </c>
      <c r="M310" s="205">
        <f>IF('Zoopl Count'!M310="","",'Zoopl Count'!M310*(2^M$9)/M$8)</f>
        <v>0.39113918814264198</v>
      </c>
      <c r="N310" s="205">
        <f>IF('Zoopl Count'!N310="","",'Zoopl Count'!N310*(2^N$9)/N$8)</f>
        <v>1.4993668878801276</v>
      </c>
      <c r="O310" s="205">
        <f>IF('Zoopl Count'!O310="","",'Zoopl Count'!O310*(2^O$9)/O$8)</f>
        <v>3.1291135051411358</v>
      </c>
      <c r="P310" s="205">
        <f>IF('Zoopl Count'!P310="","",'Zoopl Count'!P310*(2^P$9)/P$8)</f>
        <v>0.26075945876176132</v>
      </c>
    </row>
    <row r="311" spans="1:16" s="75" customFormat="1">
      <c r="F311" s="139"/>
      <c r="G311" s="205" t="str">
        <f>IF('Zoopl Count'!G311="","",'Zoopl Count'!G311*(2^G$9)/G$8)</f>
        <v/>
      </c>
      <c r="H311" s="205" t="str">
        <f>IF('Zoopl Count'!H311="","",'Zoopl Count'!H311*(2^H$9)/H$8)</f>
        <v/>
      </c>
      <c r="I311" s="205" t="str">
        <f>IF('Zoopl Count'!I311="","",'Zoopl Count'!I311*(2^I$9)/I$8)</f>
        <v/>
      </c>
      <c r="J311" s="205" t="str">
        <f>IF('Zoopl Count'!J311="","",'Zoopl Count'!J311*(2^J$9)/J$8)</f>
        <v/>
      </c>
      <c r="K311" s="205" t="str">
        <f>IF('Zoopl Count'!K311="","",'Zoopl Count'!K311*(2^K$9)/K$8)</f>
        <v/>
      </c>
      <c r="L311" s="205" t="str">
        <f>IF('Zoopl Count'!L311="","",'Zoopl Count'!L311*(2^L$9)/L$8)</f>
        <v/>
      </c>
      <c r="M311" s="205" t="str">
        <f>IF('Zoopl Count'!M311="","",'Zoopl Count'!M311*(2^M$9)/M$8)</f>
        <v/>
      </c>
      <c r="N311" s="205" t="str">
        <f>IF('Zoopl Count'!N311="","",'Zoopl Count'!N311*(2^N$9)/N$8)</f>
        <v/>
      </c>
      <c r="O311" s="205" t="str">
        <f>IF('Zoopl Count'!O311="","",'Zoopl Count'!O311*(2^O$9)/O$8)</f>
        <v/>
      </c>
      <c r="P311" s="205" t="str">
        <f>IF('Zoopl Count'!P311="","",'Zoopl Count'!P311*(2^P$9)/P$8)</f>
        <v/>
      </c>
    </row>
    <row r="312" spans="1:16" s="75" customFormat="1">
      <c r="A312" s="134" t="s">
        <v>7</v>
      </c>
      <c r="B312" s="135" t="s">
        <v>126</v>
      </c>
      <c r="E312" s="138"/>
      <c r="F312" s="137"/>
      <c r="G312" s="205" t="str">
        <f>IF('Zoopl Count'!G312="","",'Zoopl Count'!G312*(2^G$9)/G$8)</f>
        <v/>
      </c>
      <c r="H312" s="205" t="str">
        <f>IF('Zoopl Count'!H312="","",'Zoopl Count'!H312*(2^H$9)/H$8)</f>
        <v/>
      </c>
      <c r="I312" s="205" t="str">
        <f>IF('Zoopl Count'!I312="","",'Zoopl Count'!I312*(2^I$9)/I$8)</f>
        <v/>
      </c>
      <c r="J312" s="205" t="str">
        <f>IF('Zoopl Count'!J312="","",'Zoopl Count'!J312*(2^J$9)/J$8)</f>
        <v/>
      </c>
      <c r="K312" s="205" t="str">
        <f>IF('Zoopl Count'!K312="","",'Zoopl Count'!K312*(2^K$9)/K$8)</f>
        <v/>
      </c>
      <c r="L312" s="205" t="str">
        <f>IF('Zoopl Count'!L312="","",'Zoopl Count'!L312*(2^L$9)/L$8)</f>
        <v/>
      </c>
      <c r="M312" s="205" t="str">
        <f>IF('Zoopl Count'!M312="","",'Zoopl Count'!M312*(2^M$9)/M$8)</f>
        <v/>
      </c>
      <c r="N312" s="205" t="str">
        <f>IF('Zoopl Count'!N312="","",'Zoopl Count'!N312*(2^N$9)/N$8)</f>
        <v/>
      </c>
      <c r="O312" s="205" t="str">
        <f>IF('Zoopl Count'!O312="","",'Zoopl Count'!O312*(2^O$9)/O$8)</f>
        <v/>
      </c>
      <c r="P312" s="205" t="str">
        <f>IF('Zoopl Count'!P312="","",'Zoopl Count'!P312*(2^P$9)/P$8)</f>
        <v/>
      </c>
    </row>
    <row r="313" spans="1:16" s="75" customFormat="1" hidden="1">
      <c r="E313" s="138"/>
      <c r="F313" s="194" t="s">
        <v>128</v>
      </c>
      <c r="G313" s="205" t="str">
        <f>IF('Zoopl Count'!G313="","",'Zoopl Count'!G313*(2^G$9)/G$8)</f>
        <v/>
      </c>
      <c r="H313" s="205" t="str">
        <f>IF('Zoopl Count'!H313="","",'Zoopl Count'!H313*(2^H$9)/H$8)</f>
        <v/>
      </c>
      <c r="I313" s="205" t="str">
        <f>IF('Zoopl Count'!I313="","",'Zoopl Count'!I313*(2^I$9)/I$8)</f>
        <v/>
      </c>
      <c r="J313" s="205" t="str">
        <f>IF('Zoopl Count'!J313="","",'Zoopl Count'!J313*(2^J$9)/J$8)</f>
        <v/>
      </c>
      <c r="K313" s="205" t="str">
        <f>IF('Zoopl Count'!K313="","",'Zoopl Count'!K313*(2^K$9)/K$8)</f>
        <v/>
      </c>
      <c r="L313" s="205" t="str">
        <f>IF('Zoopl Count'!L313="","",'Zoopl Count'!L313*(2^L$9)/L$8)</f>
        <v/>
      </c>
      <c r="M313" s="205" t="str">
        <f>IF('Zoopl Count'!M313="","",'Zoopl Count'!M313*(2^M$9)/M$8)</f>
        <v/>
      </c>
      <c r="N313" s="205" t="str">
        <f>IF('Zoopl Count'!N313="","",'Zoopl Count'!N313*(2^N$9)/N$8)</f>
        <v/>
      </c>
      <c r="O313" s="205" t="str">
        <f>IF('Zoopl Count'!O313="","",'Zoopl Count'!O313*(2^O$9)/O$8)</f>
        <v/>
      </c>
      <c r="P313" s="205" t="str">
        <f>IF('Zoopl Count'!P313="","",'Zoopl Count'!P313*(2^P$9)/P$8)</f>
        <v/>
      </c>
    </row>
    <row r="314" spans="1:16" s="75" customFormat="1" hidden="1">
      <c r="E314" s="138"/>
      <c r="F314" s="204" t="s">
        <v>298</v>
      </c>
      <c r="G314" s="205" t="str">
        <f>IF('Zoopl Count'!G314="","",'Zoopl Count'!G314*(2^G$9)/G$8)</f>
        <v/>
      </c>
      <c r="H314" s="205" t="str">
        <f>IF('Zoopl Count'!H314="","",'Zoopl Count'!H314*(2^H$9)/H$8)</f>
        <v/>
      </c>
      <c r="I314" s="205" t="str">
        <f>IF('Zoopl Count'!I314="","",'Zoopl Count'!I314*(2^I$9)/I$8)</f>
        <v/>
      </c>
      <c r="J314" s="205" t="str">
        <f>IF('Zoopl Count'!J314="","",'Zoopl Count'!J314*(2^J$9)/J$8)</f>
        <v/>
      </c>
      <c r="K314" s="205" t="str">
        <f>IF('Zoopl Count'!K314="","",'Zoopl Count'!K314*(2^K$9)/K$8)</f>
        <v/>
      </c>
      <c r="L314" s="205" t="str">
        <f>IF('Zoopl Count'!L314="","",'Zoopl Count'!L314*(2^L$9)/L$8)</f>
        <v/>
      </c>
      <c r="M314" s="205" t="str">
        <f>IF('Zoopl Count'!M314="","",'Zoopl Count'!M314*(2^M$9)/M$8)</f>
        <v/>
      </c>
      <c r="N314" s="205" t="str">
        <f>IF('Zoopl Count'!N314="","",'Zoopl Count'!N314*(2^N$9)/N$8)</f>
        <v/>
      </c>
      <c r="O314" s="205" t="str">
        <f>IF('Zoopl Count'!O314="","",'Zoopl Count'!O314*(2^O$9)/O$8)</f>
        <v/>
      </c>
      <c r="P314" s="205" t="str">
        <f>IF('Zoopl Count'!P314="","",'Zoopl Count'!P314*(2^P$9)/P$8)</f>
        <v/>
      </c>
    </row>
    <row r="315" spans="1:16" s="75" customFormat="1">
      <c r="E315" s="138"/>
      <c r="F315" s="194" t="s">
        <v>127</v>
      </c>
      <c r="G315" s="205" t="str">
        <f>IF('Zoopl Count'!G315="","",'Zoopl Count'!G315*(2^G$9)/G$8)</f>
        <v/>
      </c>
      <c r="H315" s="205" t="str">
        <f>IF('Zoopl Count'!H315="","",'Zoopl Count'!H315*(2^H$9)/H$8)</f>
        <v/>
      </c>
      <c r="I315" s="205" t="str">
        <f>IF('Zoopl Count'!I315="","",'Zoopl Count'!I315*(2^I$9)/I$8)</f>
        <v/>
      </c>
      <c r="J315" s="205" t="str">
        <f>IF('Zoopl Count'!J315="","",'Zoopl Count'!J315*(2^J$9)/J$8)</f>
        <v/>
      </c>
      <c r="K315" s="205" t="str">
        <f>IF('Zoopl Count'!K315="","",'Zoopl Count'!K315*(2^K$9)/K$8)</f>
        <v/>
      </c>
      <c r="L315" s="205" t="str">
        <f>IF('Zoopl Count'!L315="","",'Zoopl Count'!L315*(2^L$9)/L$8)</f>
        <v/>
      </c>
      <c r="M315" s="205" t="str">
        <f>IF('Zoopl Count'!M315="","",'Zoopl Count'!M315*(2^M$9)/M$8)</f>
        <v/>
      </c>
      <c r="N315" s="205" t="str">
        <f>IF('Zoopl Count'!N315="","",'Zoopl Count'!N315*(2^N$9)/N$8)</f>
        <v/>
      </c>
      <c r="O315" s="205" t="str">
        <f>IF('Zoopl Count'!O315="","",'Zoopl Count'!O315*(2^O$9)/O$8)</f>
        <v/>
      </c>
      <c r="P315" s="205" t="str">
        <f>IF('Zoopl Count'!P315="","",'Zoopl Count'!P315*(2^P$9)/P$8)</f>
        <v/>
      </c>
    </row>
    <row r="316" spans="1:16" s="75" customFormat="1" hidden="1">
      <c r="E316" s="138"/>
      <c r="F316" s="148" t="s">
        <v>185</v>
      </c>
      <c r="G316" s="205" t="str">
        <f>IF('Zoopl Count'!G316="","",'Zoopl Count'!G316*(2^G$9)/G$8)</f>
        <v/>
      </c>
      <c r="H316" s="205" t="str">
        <f>IF('Zoopl Count'!H316="","",'Zoopl Count'!H316*(2^H$9)/H$8)</f>
        <v/>
      </c>
      <c r="I316" s="205">
        <f>IF('Zoopl Count'!I316="","",'Zoopl Count'!I316*(2^I$9)/I$8)</f>
        <v>3.2594932345220165E-2</v>
      </c>
      <c r="J316" s="205" t="str">
        <f>IF('Zoopl Count'!J316="","",'Zoopl Count'!J316*(2^J$9)/J$8)</f>
        <v/>
      </c>
      <c r="K316" s="205" t="str">
        <f>IF('Zoopl Count'!K316="","",'Zoopl Count'!K316*(2^K$9)/K$8)</f>
        <v/>
      </c>
      <c r="L316" s="205" t="str">
        <f>IF('Zoopl Count'!L316="","",'Zoopl Count'!L316*(2^L$9)/L$8)</f>
        <v/>
      </c>
      <c r="M316" s="205" t="str">
        <f>IF('Zoopl Count'!M316="","",'Zoopl Count'!M316*(2^M$9)/M$8)</f>
        <v/>
      </c>
      <c r="N316" s="205" t="str">
        <f>IF('Zoopl Count'!N316="","",'Zoopl Count'!N316*(2^N$9)/N$8)</f>
        <v/>
      </c>
      <c r="O316" s="205" t="str">
        <f>IF('Zoopl Count'!O316="","",'Zoopl Count'!O316*(2^O$9)/O$8)</f>
        <v/>
      </c>
      <c r="P316" s="205" t="str">
        <f>IF('Zoopl Count'!P316="","",'Zoopl Count'!P316*(2^P$9)/P$8)</f>
        <v/>
      </c>
    </row>
    <row r="317" spans="1:16" s="75" customFormat="1">
      <c r="F317" s="137"/>
      <c r="G317" s="205" t="str">
        <f>IF('Zoopl Count'!G317="","",'Zoopl Count'!G317*(2^G$9)/G$8)</f>
        <v/>
      </c>
      <c r="H317" s="205" t="str">
        <f>IF('Zoopl Count'!H317="","",'Zoopl Count'!H317*(2^H$9)/H$8)</f>
        <v/>
      </c>
      <c r="I317" s="205" t="str">
        <f>IF('Zoopl Count'!I317="","",'Zoopl Count'!I317*(2^I$9)/I$8)</f>
        <v/>
      </c>
      <c r="J317" s="205" t="str">
        <f>IF('Zoopl Count'!J317="","",'Zoopl Count'!J317*(2^J$9)/J$8)</f>
        <v/>
      </c>
      <c r="K317" s="205" t="str">
        <f>IF('Zoopl Count'!K317="","",'Zoopl Count'!K317*(2^K$9)/K$8)</f>
        <v/>
      </c>
      <c r="L317" s="205" t="str">
        <f>IF('Zoopl Count'!L317="","",'Zoopl Count'!L317*(2^L$9)/L$8)</f>
        <v/>
      </c>
      <c r="M317" s="205" t="str">
        <f>IF('Zoopl Count'!M317="","",'Zoopl Count'!M317*(2^M$9)/M$8)</f>
        <v/>
      </c>
      <c r="N317" s="205" t="str">
        <f>IF('Zoopl Count'!N317="","",'Zoopl Count'!N317*(2^N$9)/N$8)</f>
        <v/>
      </c>
      <c r="O317" s="205" t="str">
        <f>IF('Zoopl Count'!O317="","",'Zoopl Count'!O317*(2^O$9)/O$8)</f>
        <v/>
      </c>
      <c r="P317" s="205" t="str">
        <f>IF('Zoopl Count'!P317="","",'Zoopl Count'!P317*(2^P$9)/P$8)</f>
        <v/>
      </c>
    </row>
    <row r="318" spans="1:16" s="75" customFormat="1">
      <c r="A318" s="134" t="s">
        <v>7</v>
      </c>
      <c r="B318" s="135" t="s">
        <v>54</v>
      </c>
      <c r="C318" s="151"/>
      <c r="D318" s="151"/>
      <c r="E318" s="151"/>
      <c r="F318" s="152"/>
      <c r="G318" s="205" t="str">
        <f>IF('Zoopl Count'!G318="","",'Zoopl Count'!G318*(2^G$9)/G$8)</f>
        <v/>
      </c>
      <c r="H318" s="205" t="str">
        <f>IF('Zoopl Count'!H318="","",'Zoopl Count'!H318*(2^H$9)/H$8)</f>
        <v/>
      </c>
      <c r="I318" s="205" t="str">
        <f>IF('Zoopl Count'!I318="","",'Zoopl Count'!I318*(2^I$9)/I$8)</f>
        <v/>
      </c>
      <c r="J318" s="205" t="str">
        <f>IF('Zoopl Count'!J318="","",'Zoopl Count'!J318*(2^J$9)/J$8)</f>
        <v/>
      </c>
      <c r="K318" s="205" t="str">
        <f>IF('Zoopl Count'!K318="","",'Zoopl Count'!K318*(2^K$9)/K$8)</f>
        <v/>
      </c>
      <c r="L318" s="205" t="str">
        <f>IF('Zoopl Count'!L318="","",'Zoopl Count'!L318*(2^L$9)/L$8)</f>
        <v/>
      </c>
      <c r="M318" s="205" t="str">
        <f>IF('Zoopl Count'!M318="","",'Zoopl Count'!M318*(2^M$9)/M$8)</f>
        <v/>
      </c>
      <c r="N318" s="205" t="str">
        <f>IF('Zoopl Count'!N318="","",'Zoopl Count'!N318*(2^N$9)/N$8)</f>
        <v/>
      </c>
      <c r="O318" s="205" t="str">
        <f>IF('Zoopl Count'!O318="","",'Zoopl Count'!O318*(2^O$9)/O$8)</f>
        <v/>
      </c>
      <c r="P318" s="205" t="str">
        <f>IF('Zoopl Count'!P318="","",'Zoopl Count'!P318*(2^P$9)/P$8)</f>
        <v/>
      </c>
    </row>
    <row r="319" spans="1:16" s="75" customFormat="1">
      <c r="A319" s="153"/>
      <c r="B319" s="134" t="s">
        <v>79</v>
      </c>
      <c r="C319" s="135" t="s">
        <v>250</v>
      </c>
      <c r="D319" s="151"/>
      <c r="E319" s="151"/>
      <c r="F319" s="152"/>
      <c r="G319" s="205" t="str">
        <f>IF('Zoopl Count'!G319="","",'Zoopl Count'!G319*(2^G$9)/G$8)</f>
        <v/>
      </c>
      <c r="H319" s="205" t="str">
        <f>IF('Zoopl Count'!H319="","",'Zoopl Count'!H319*(2^H$9)/H$8)</f>
        <v/>
      </c>
      <c r="I319" s="205" t="str">
        <f>IF('Zoopl Count'!I319="","",'Zoopl Count'!I319*(2^I$9)/I$8)</f>
        <v/>
      </c>
      <c r="J319" s="205" t="str">
        <f>IF('Zoopl Count'!J319="","",'Zoopl Count'!J319*(2^J$9)/J$8)</f>
        <v/>
      </c>
      <c r="K319" s="205" t="str">
        <f>IF('Zoopl Count'!K319="","",'Zoopl Count'!K319*(2^K$9)/K$8)</f>
        <v/>
      </c>
      <c r="L319" s="205" t="str">
        <f>IF('Zoopl Count'!L319="","",'Zoopl Count'!L319*(2^L$9)/L$8)</f>
        <v/>
      </c>
      <c r="M319" s="205" t="str">
        <f>IF('Zoopl Count'!M319="","",'Zoopl Count'!M319*(2^M$9)/M$8)</f>
        <v/>
      </c>
      <c r="N319" s="205" t="str">
        <f>IF('Zoopl Count'!N319="","",'Zoopl Count'!N319*(2^N$9)/N$8)</f>
        <v/>
      </c>
      <c r="O319" s="205" t="str">
        <f>IF('Zoopl Count'!O319="","",'Zoopl Count'!O319*(2^O$9)/O$8)</f>
        <v/>
      </c>
      <c r="P319" s="205" t="str">
        <f>IF('Zoopl Count'!P319="","",'Zoopl Count'!P319*(2^P$9)/P$8)</f>
        <v/>
      </c>
    </row>
    <row r="320" spans="1:16" s="75" customFormat="1">
      <c r="A320" s="151"/>
      <c r="B320" s="151"/>
      <c r="C320" s="134" t="s">
        <v>10</v>
      </c>
      <c r="D320" s="135" t="s">
        <v>251</v>
      </c>
      <c r="E320" s="151"/>
      <c r="F320" s="152"/>
      <c r="G320" s="205" t="str">
        <f>IF('Zoopl Count'!G320="","",'Zoopl Count'!G320*(2^G$9)/G$8)</f>
        <v/>
      </c>
      <c r="H320" s="205" t="str">
        <f>IF('Zoopl Count'!H320="","",'Zoopl Count'!H320*(2^H$9)/H$8)</f>
        <v/>
      </c>
      <c r="I320" s="205" t="str">
        <f>IF('Zoopl Count'!I320="","",'Zoopl Count'!I320*(2^I$9)/I$8)</f>
        <v/>
      </c>
      <c r="J320" s="205" t="str">
        <f>IF('Zoopl Count'!J320="","",'Zoopl Count'!J320*(2^J$9)/J$8)</f>
        <v/>
      </c>
      <c r="K320" s="205" t="str">
        <f>IF('Zoopl Count'!K320="","",'Zoopl Count'!K320*(2^K$9)/K$8)</f>
        <v/>
      </c>
      <c r="L320" s="205" t="str">
        <f>IF('Zoopl Count'!L320="","",'Zoopl Count'!L320*(2^L$9)/L$8)</f>
        <v/>
      </c>
      <c r="M320" s="205" t="str">
        <f>IF('Zoopl Count'!M320="","",'Zoopl Count'!M320*(2^M$9)/M$8)</f>
        <v/>
      </c>
      <c r="N320" s="205" t="str">
        <f>IF('Zoopl Count'!N320="","",'Zoopl Count'!N320*(2^N$9)/N$8)</f>
        <v/>
      </c>
      <c r="O320" s="205" t="str">
        <f>IF('Zoopl Count'!O320="","",'Zoopl Count'!O320*(2^O$9)/O$8)</f>
        <v/>
      </c>
      <c r="P320" s="205" t="str">
        <f>IF('Zoopl Count'!P320="","",'Zoopl Count'!P320*(2^P$9)/P$8)</f>
        <v/>
      </c>
    </row>
    <row r="321" spans="1:16" s="75" customFormat="1">
      <c r="A321" s="151"/>
      <c r="B321" s="151"/>
      <c r="C321" s="151"/>
      <c r="D321" s="153" t="s">
        <v>12</v>
      </c>
      <c r="E321" s="151" t="s">
        <v>55</v>
      </c>
      <c r="F321" s="152"/>
      <c r="G321" s="205" t="str">
        <f>IF('Zoopl Count'!G321="","",'Zoopl Count'!G321*(2^G$9)/G$8)</f>
        <v/>
      </c>
      <c r="H321" s="205" t="str">
        <f>IF('Zoopl Count'!H321="","",'Zoopl Count'!H321*(2^H$9)/H$8)</f>
        <v/>
      </c>
      <c r="I321" s="205" t="str">
        <f>IF('Zoopl Count'!I321="","",'Zoopl Count'!I321*(2^I$9)/I$8)</f>
        <v/>
      </c>
      <c r="J321" s="205" t="str">
        <f>IF('Zoopl Count'!J321="","",'Zoopl Count'!J321*(2^J$9)/J$8)</f>
        <v/>
      </c>
      <c r="K321" s="205" t="str">
        <f>IF('Zoopl Count'!K321="","",'Zoopl Count'!K321*(2^K$9)/K$8)</f>
        <v/>
      </c>
      <c r="L321" s="205" t="str">
        <f>IF('Zoopl Count'!L321="","",'Zoopl Count'!L321*(2^L$9)/L$8)</f>
        <v/>
      </c>
      <c r="M321" s="205" t="str">
        <f>IF('Zoopl Count'!M321="","",'Zoopl Count'!M321*(2^M$9)/M$8)</f>
        <v/>
      </c>
      <c r="N321" s="205" t="str">
        <f>IF('Zoopl Count'!N321="","",'Zoopl Count'!N321*(2^N$9)/N$8)</f>
        <v/>
      </c>
      <c r="O321" s="205" t="str">
        <f>IF('Zoopl Count'!O321="","",'Zoopl Count'!O321*(2^O$9)/O$8)</f>
        <v/>
      </c>
      <c r="P321" s="205" t="str">
        <f>IF('Zoopl Count'!P321="","",'Zoopl Count'!P321*(2^P$9)/P$8)</f>
        <v/>
      </c>
    </row>
    <row r="322" spans="1:16" s="75" customFormat="1">
      <c r="A322" s="151"/>
      <c r="B322" s="151"/>
      <c r="C322" s="151"/>
      <c r="D322" s="153"/>
      <c r="E322" s="153" t="s">
        <v>14</v>
      </c>
      <c r="F322" s="139" t="s">
        <v>57</v>
      </c>
      <c r="G322" s="205" t="str">
        <f>IF('Zoopl Count'!G322="","",'Zoopl Count'!G322*(2^G$9)/G$8)</f>
        <v/>
      </c>
      <c r="H322" s="205" t="str">
        <f>IF('Zoopl Count'!H322="","",'Zoopl Count'!H322*(2^H$9)/H$8)</f>
        <v/>
      </c>
      <c r="I322" s="205">
        <f>IF('Zoopl Count'!I322="","",'Zoopl Count'!I322*(2^I$9)/I$8)</f>
        <v>3.2594932345220165E-2</v>
      </c>
      <c r="J322" s="205" t="str">
        <f>IF('Zoopl Count'!J322="","",'Zoopl Count'!J322*(2^J$9)/J$8)</f>
        <v/>
      </c>
      <c r="K322" s="205" t="str">
        <f>IF('Zoopl Count'!K322="","",'Zoopl Count'!K322*(2^K$9)/K$8)</f>
        <v/>
      </c>
      <c r="L322" s="205" t="str">
        <f>IF('Zoopl Count'!L322="","",'Zoopl Count'!L322*(2^L$9)/L$8)</f>
        <v/>
      </c>
      <c r="M322" s="205" t="str">
        <f>IF('Zoopl Count'!M322="","",'Zoopl Count'!M322*(2^M$9)/M$8)</f>
        <v/>
      </c>
      <c r="N322" s="205" t="str">
        <f>IF('Zoopl Count'!N322="","",'Zoopl Count'!N322*(2^N$9)/N$8)</f>
        <v/>
      </c>
      <c r="O322" s="205" t="str">
        <f>IF('Zoopl Count'!O322="","",'Zoopl Count'!O322*(2^O$9)/O$8)</f>
        <v/>
      </c>
      <c r="P322" s="205" t="str">
        <f>IF('Zoopl Count'!P322="","",'Zoopl Count'!P322*(2^P$9)/P$8)</f>
        <v/>
      </c>
    </row>
    <row r="323" spans="1:16" s="75" customFormat="1">
      <c r="A323" s="151"/>
      <c r="B323" s="151"/>
      <c r="C323" s="151"/>
      <c r="D323" s="153" t="s">
        <v>12</v>
      </c>
      <c r="E323" s="151" t="s">
        <v>58</v>
      </c>
      <c r="F323" s="152"/>
      <c r="G323" s="205" t="str">
        <f>IF('Zoopl Count'!G323="","",'Zoopl Count'!G323*(2^G$9)/G$8)</f>
        <v/>
      </c>
      <c r="H323" s="205" t="str">
        <f>IF('Zoopl Count'!H323="","",'Zoopl Count'!H323*(2^H$9)/H$8)</f>
        <v/>
      </c>
      <c r="I323" s="205" t="str">
        <f>IF('Zoopl Count'!I323="","",'Zoopl Count'!I323*(2^I$9)/I$8)</f>
        <v/>
      </c>
      <c r="J323" s="205" t="str">
        <f>IF('Zoopl Count'!J323="","",'Zoopl Count'!J323*(2^J$9)/J$8)</f>
        <v/>
      </c>
      <c r="K323" s="205" t="str">
        <f>IF('Zoopl Count'!K323="","",'Zoopl Count'!K323*(2^K$9)/K$8)</f>
        <v/>
      </c>
      <c r="L323" s="205" t="str">
        <f>IF('Zoopl Count'!L323="","",'Zoopl Count'!L323*(2^L$9)/L$8)</f>
        <v/>
      </c>
      <c r="M323" s="205" t="str">
        <f>IF('Zoopl Count'!M323="","",'Zoopl Count'!M323*(2^M$9)/M$8)</f>
        <v/>
      </c>
      <c r="N323" s="205" t="str">
        <f>IF('Zoopl Count'!N323="","",'Zoopl Count'!N323*(2^N$9)/N$8)</f>
        <v/>
      </c>
      <c r="O323" s="205" t="str">
        <f>IF('Zoopl Count'!O323="","",'Zoopl Count'!O323*(2^O$9)/O$8)</f>
        <v/>
      </c>
      <c r="P323" s="205" t="str">
        <f>IF('Zoopl Count'!P323="","",'Zoopl Count'!P323*(2^P$9)/P$8)</f>
        <v/>
      </c>
    </row>
    <row r="324" spans="1:16" s="75" customFormat="1">
      <c r="A324" s="151"/>
      <c r="B324" s="151"/>
      <c r="C324" s="151"/>
      <c r="D324" s="151"/>
      <c r="E324" s="153" t="s">
        <v>14</v>
      </c>
      <c r="F324" s="139" t="s">
        <v>60</v>
      </c>
      <c r="G324" s="205">
        <f>IF('Zoopl Count'!G324="","",'Zoopl Count'!G324*(2^G$9)/G$8)</f>
        <v>2.737974316998494</v>
      </c>
      <c r="H324" s="205">
        <f>IF('Zoopl Count'!H324="","",'Zoopl Count'!H324*(2^H$9)/H$8)</f>
        <v>1.5645567525705679</v>
      </c>
      <c r="I324" s="205">
        <f>IF('Zoopl Count'!I324="","",'Zoopl Count'!I324*(2^I$9)/I$8)</f>
        <v>1.4993668878801276</v>
      </c>
      <c r="J324" s="205">
        <f>IF('Zoopl Count'!J324="","",'Zoopl Count'!J324*(2^J$9)/J$8)</f>
        <v>4.8240499870925841</v>
      </c>
      <c r="K324" s="205">
        <f>IF('Zoopl Count'!K324="","",'Zoopl Count'!K324*(2^K$9)/K$8)</f>
        <v>2.0860756700940906</v>
      </c>
      <c r="L324" s="205">
        <f>IF('Zoopl Count'!L324="","",'Zoopl Count'!L324*(2^L$9)/L$8)</f>
        <v>7.3012648453293174</v>
      </c>
      <c r="M324" s="205">
        <f>IF('Zoopl Count'!M324="","",'Zoopl Count'!M324*(2^M$9)/M$8)</f>
        <v>5.8670878221396299</v>
      </c>
      <c r="N324" s="205">
        <f>IF('Zoopl Count'!N324="","",'Zoopl Count'!N324*(2^N$9)/N$8)</f>
        <v>1.8579111436775495</v>
      </c>
      <c r="O324" s="205">
        <f>IF('Zoopl Count'!O324="","",'Zoopl Count'!O324*(2^O$9)/O$8)</f>
        <v>6.2582270102822717</v>
      </c>
      <c r="P324" s="205">
        <f>IF('Zoopl Count'!P324="","",'Zoopl Count'!P324*(2^P$9)/P$8)</f>
        <v>0.52151891752352264</v>
      </c>
    </row>
    <row r="325" spans="1:16" s="75" customFormat="1" ht="15" customHeight="1">
      <c r="E325" s="138"/>
      <c r="F325" s="139"/>
      <c r="G325" s="205" t="str">
        <f>IF('Zoopl Count'!G325="","",'Zoopl Count'!G325*(2^G$9)/G$8)</f>
        <v/>
      </c>
      <c r="H325" s="205" t="str">
        <f>IF('Zoopl Count'!H325="","",'Zoopl Count'!H325*(2^H$9)/H$8)</f>
        <v/>
      </c>
      <c r="I325" s="205" t="str">
        <f>IF('Zoopl Count'!I325="","",'Zoopl Count'!I325*(2^I$9)/I$8)</f>
        <v/>
      </c>
      <c r="J325" s="205" t="str">
        <f>IF('Zoopl Count'!J325="","",'Zoopl Count'!J325*(2^J$9)/J$8)</f>
        <v/>
      </c>
      <c r="K325" s="205" t="str">
        <f>IF('Zoopl Count'!K325="","",'Zoopl Count'!K325*(2^K$9)/K$8)</f>
        <v/>
      </c>
      <c r="L325" s="205" t="str">
        <f>IF('Zoopl Count'!L325="","",'Zoopl Count'!L325*(2^L$9)/L$8)</f>
        <v/>
      </c>
      <c r="M325" s="205" t="str">
        <f>IF('Zoopl Count'!M325="","",'Zoopl Count'!M325*(2^M$9)/M$8)</f>
        <v/>
      </c>
      <c r="N325" s="205" t="str">
        <f>IF('Zoopl Count'!N325="","",'Zoopl Count'!N325*(2^N$9)/N$8)</f>
        <v/>
      </c>
      <c r="O325" s="205" t="str">
        <f>IF('Zoopl Count'!O325="","",'Zoopl Count'!O325*(2^O$9)/O$8)</f>
        <v/>
      </c>
      <c r="P325" s="205" t="str">
        <f>IF('Zoopl Count'!P325="","",'Zoopl Count'!P325*(2^P$9)/P$8)</f>
        <v/>
      </c>
    </row>
    <row r="326" spans="1:16" s="75" customFormat="1" ht="15" hidden="1" customHeight="1">
      <c r="B326" s="134" t="s">
        <v>79</v>
      </c>
      <c r="C326" s="135" t="s">
        <v>130</v>
      </c>
      <c r="E326" s="138"/>
      <c r="F326" s="139"/>
      <c r="G326" s="205" t="str">
        <f>IF('Zoopl Count'!G326="","",'Zoopl Count'!G326*(2^G$9)/G$8)</f>
        <v/>
      </c>
      <c r="H326" s="205" t="str">
        <f>IF('Zoopl Count'!H326="","",'Zoopl Count'!H326*(2^H$9)/H$8)</f>
        <v/>
      </c>
      <c r="I326" s="205" t="str">
        <f>IF('Zoopl Count'!I326="","",'Zoopl Count'!I326*(2^I$9)/I$8)</f>
        <v/>
      </c>
      <c r="J326" s="205" t="str">
        <f>IF('Zoopl Count'!J326="","",'Zoopl Count'!J326*(2^J$9)/J$8)</f>
        <v/>
      </c>
      <c r="K326" s="205" t="str">
        <f>IF('Zoopl Count'!K326="","",'Zoopl Count'!K326*(2^K$9)/K$8)</f>
        <v/>
      </c>
      <c r="L326" s="205" t="str">
        <f>IF('Zoopl Count'!L326="","",'Zoopl Count'!L326*(2^L$9)/L$8)</f>
        <v/>
      </c>
      <c r="M326" s="205" t="str">
        <f>IF('Zoopl Count'!M326="","",'Zoopl Count'!M326*(2^M$9)/M$8)</f>
        <v/>
      </c>
      <c r="N326" s="205" t="str">
        <f>IF('Zoopl Count'!N326="","",'Zoopl Count'!N326*(2^N$9)/N$8)</f>
        <v/>
      </c>
      <c r="O326" s="205" t="str">
        <f>IF('Zoopl Count'!O326="","",'Zoopl Count'!O326*(2^O$9)/O$8)</f>
        <v/>
      </c>
      <c r="P326" s="205" t="str">
        <f>IF('Zoopl Count'!P326="","",'Zoopl Count'!P326*(2^P$9)/P$8)</f>
        <v/>
      </c>
    </row>
    <row r="327" spans="1:16" s="135" customFormat="1" ht="15" hidden="1" customHeight="1">
      <c r="C327" s="134" t="s">
        <v>10</v>
      </c>
      <c r="D327" s="154" t="s">
        <v>61</v>
      </c>
      <c r="F327" s="136"/>
      <c r="G327" s="205" t="str">
        <f>IF('Zoopl Count'!G327="","",'Zoopl Count'!G327*(2^G$9)/G$8)</f>
        <v/>
      </c>
      <c r="H327" s="205" t="str">
        <f>IF('Zoopl Count'!H327="","",'Zoopl Count'!H327*(2^H$9)/H$8)</f>
        <v/>
      </c>
      <c r="I327" s="205" t="str">
        <f>IF('Zoopl Count'!I327="","",'Zoopl Count'!I327*(2^I$9)/I$8)</f>
        <v/>
      </c>
      <c r="J327" s="205" t="str">
        <f>IF('Zoopl Count'!J327="","",'Zoopl Count'!J327*(2^J$9)/J$8)</f>
        <v/>
      </c>
      <c r="K327" s="205" t="str">
        <f>IF('Zoopl Count'!K327="","",'Zoopl Count'!K327*(2^K$9)/K$8)</f>
        <v/>
      </c>
      <c r="L327" s="205" t="str">
        <f>IF('Zoopl Count'!L327="","",'Zoopl Count'!L327*(2^L$9)/L$8)</f>
        <v/>
      </c>
      <c r="M327" s="205" t="str">
        <f>IF('Zoopl Count'!M327="","",'Zoopl Count'!M327*(2^M$9)/M$8)</f>
        <v/>
      </c>
      <c r="N327" s="205" t="str">
        <f>IF('Zoopl Count'!N327="","",'Zoopl Count'!N327*(2^N$9)/N$8)</f>
        <v/>
      </c>
      <c r="O327" s="205" t="str">
        <f>IF('Zoopl Count'!O327="","",'Zoopl Count'!O327*(2^O$9)/O$8)</f>
        <v/>
      </c>
      <c r="P327" s="205" t="str">
        <f>IF('Zoopl Count'!P327="","",'Zoopl Count'!P327*(2^P$9)/P$8)</f>
        <v/>
      </c>
    </row>
    <row r="328" spans="1:16" s="75" customFormat="1" ht="15" hidden="1" customHeight="1">
      <c r="D328" s="138" t="s">
        <v>12</v>
      </c>
      <c r="E328" s="75" t="s">
        <v>62</v>
      </c>
      <c r="F328" s="137"/>
      <c r="G328" s="205" t="str">
        <f>IF('Zoopl Count'!G328="","",'Zoopl Count'!G328*(2^G$9)/G$8)</f>
        <v/>
      </c>
      <c r="H328" s="205" t="str">
        <f>IF('Zoopl Count'!H328="","",'Zoopl Count'!H328*(2^H$9)/H$8)</f>
        <v/>
      </c>
      <c r="I328" s="205" t="str">
        <f>IF('Zoopl Count'!I328="","",'Zoopl Count'!I328*(2^I$9)/I$8)</f>
        <v/>
      </c>
      <c r="J328" s="205" t="str">
        <f>IF('Zoopl Count'!J328="","",'Zoopl Count'!J328*(2^J$9)/J$8)</f>
        <v/>
      </c>
      <c r="K328" s="205" t="str">
        <f>IF('Zoopl Count'!K328="","",'Zoopl Count'!K328*(2^K$9)/K$8)</f>
        <v/>
      </c>
      <c r="L328" s="205" t="str">
        <f>IF('Zoopl Count'!L328="","",'Zoopl Count'!L328*(2^L$9)/L$8)</f>
        <v/>
      </c>
      <c r="M328" s="205" t="str">
        <f>IF('Zoopl Count'!M328="","",'Zoopl Count'!M328*(2^M$9)/M$8)</f>
        <v/>
      </c>
      <c r="N328" s="205" t="str">
        <f>IF('Zoopl Count'!N328="","",'Zoopl Count'!N328*(2^N$9)/N$8)</f>
        <v/>
      </c>
      <c r="O328" s="205" t="str">
        <f>IF('Zoopl Count'!O328="","",'Zoopl Count'!O328*(2^O$9)/O$8)</f>
        <v/>
      </c>
      <c r="P328" s="205" t="str">
        <f>IF('Zoopl Count'!P328="","",'Zoopl Count'!P328*(2^P$9)/P$8)</f>
        <v/>
      </c>
    </row>
    <row r="329" spans="1:16" s="75" customFormat="1" ht="15" hidden="1" customHeight="1">
      <c r="E329" s="138" t="s">
        <v>14</v>
      </c>
      <c r="F329" s="139" t="s">
        <v>63</v>
      </c>
      <c r="G329" s="205" t="str">
        <f>IF('Zoopl Count'!G329="","",'Zoopl Count'!G329*(2^G$9)/G$8)</f>
        <v/>
      </c>
      <c r="H329" s="205" t="str">
        <f>IF('Zoopl Count'!H329="","",'Zoopl Count'!H329*(2^H$9)/H$8)</f>
        <v/>
      </c>
      <c r="I329" s="205" t="str">
        <f>IF('Zoopl Count'!I329="","",'Zoopl Count'!I329*(2^I$9)/I$8)</f>
        <v/>
      </c>
      <c r="J329" s="205" t="str">
        <f>IF('Zoopl Count'!J329="","",'Zoopl Count'!J329*(2^J$9)/J$8)</f>
        <v/>
      </c>
      <c r="K329" s="205" t="str">
        <f>IF('Zoopl Count'!K329="","",'Zoopl Count'!K329*(2^K$9)/K$8)</f>
        <v/>
      </c>
      <c r="L329" s="205" t="str">
        <f>IF('Zoopl Count'!L329="","",'Zoopl Count'!L329*(2^L$9)/L$8)</f>
        <v/>
      </c>
      <c r="M329" s="205" t="str">
        <f>IF('Zoopl Count'!M329="","",'Zoopl Count'!M329*(2^M$9)/M$8)</f>
        <v/>
      </c>
      <c r="N329" s="205" t="str">
        <f>IF('Zoopl Count'!N329="","",'Zoopl Count'!N329*(2^N$9)/N$8)</f>
        <v/>
      </c>
      <c r="O329" s="205" t="str">
        <f>IF('Zoopl Count'!O329="","",'Zoopl Count'!O329*(2^O$9)/O$8)</f>
        <v/>
      </c>
      <c r="P329" s="205" t="str">
        <f>IF('Zoopl Count'!P329="","",'Zoopl Count'!P329*(2^P$9)/P$8)</f>
        <v/>
      </c>
    </row>
    <row r="330" spans="1:16" s="135" customFormat="1" ht="15" customHeight="1">
      <c r="C330" s="134" t="s">
        <v>10</v>
      </c>
      <c r="D330" s="135" t="s">
        <v>64</v>
      </c>
      <c r="F330" s="136"/>
      <c r="G330" s="205" t="str">
        <f>IF('Zoopl Count'!G330="","",'Zoopl Count'!G330*(2^G$9)/G$8)</f>
        <v/>
      </c>
      <c r="H330" s="205" t="str">
        <f>IF('Zoopl Count'!H330="","",'Zoopl Count'!H330*(2^H$9)/H$8)</f>
        <v/>
      </c>
      <c r="I330" s="205" t="str">
        <f>IF('Zoopl Count'!I330="","",'Zoopl Count'!I330*(2^I$9)/I$8)</f>
        <v/>
      </c>
      <c r="J330" s="205" t="str">
        <f>IF('Zoopl Count'!J330="","",'Zoopl Count'!J330*(2^J$9)/J$8)</f>
        <v/>
      </c>
      <c r="K330" s="205" t="str">
        <f>IF('Zoopl Count'!K330="","",'Zoopl Count'!K330*(2^K$9)/K$8)</f>
        <v/>
      </c>
      <c r="L330" s="205" t="str">
        <f>IF('Zoopl Count'!L330="","",'Zoopl Count'!L330*(2^L$9)/L$8)</f>
        <v/>
      </c>
      <c r="M330" s="205" t="str">
        <f>IF('Zoopl Count'!M330="","",'Zoopl Count'!M330*(2^M$9)/M$8)</f>
        <v/>
      </c>
      <c r="N330" s="205" t="str">
        <f>IF('Zoopl Count'!N330="","",'Zoopl Count'!N330*(2^N$9)/N$8)</f>
        <v/>
      </c>
      <c r="O330" s="205" t="str">
        <f>IF('Zoopl Count'!O330="","",'Zoopl Count'!O330*(2^O$9)/O$8)</f>
        <v/>
      </c>
      <c r="P330" s="205" t="str">
        <f>IF('Zoopl Count'!P330="","",'Zoopl Count'!P330*(2^P$9)/P$8)</f>
        <v/>
      </c>
    </row>
    <row r="331" spans="1:16" s="75" customFormat="1">
      <c r="D331" s="138" t="s">
        <v>12</v>
      </c>
      <c r="E331" s="75" t="s">
        <v>65</v>
      </c>
      <c r="F331" s="137"/>
      <c r="G331" s="205" t="str">
        <f>IF('Zoopl Count'!G331="","",'Zoopl Count'!G331*(2^G$9)/G$8)</f>
        <v/>
      </c>
      <c r="H331" s="205" t="str">
        <f>IF('Zoopl Count'!H331="","",'Zoopl Count'!H331*(2^H$9)/H$8)</f>
        <v/>
      </c>
      <c r="I331" s="205" t="str">
        <f>IF('Zoopl Count'!I331="","",'Zoopl Count'!I331*(2^I$9)/I$8)</f>
        <v/>
      </c>
      <c r="J331" s="205" t="str">
        <f>IF('Zoopl Count'!J331="","",'Zoopl Count'!J331*(2^J$9)/J$8)</f>
        <v/>
      </c>
      <c r="K331" s="205" t="str">
        <f>IF('Zoopl Count'!K331="","",'Zoopl Count'!K331*(2^K$9)/K$8)</f>
        <v/>
      </c>
      <c r="L331" s="205" t="str">
        <f>IF('Zoopl Count'!L331="","",'Zoopl Count'!L331*(2^L$9)/L$8)</f>
        <v/>
      </c>
      <c r="M331" s="205" t="str">
        <f>IF('Zoopl Count'!M331="","",'Zoopl Count'!M331*(2^M$9)/M$8)</f>
        <v/>
      </c>
      <c r="N331" s="205" t="str">
        <f>IF('Zoopl Count'!N331="","",'Zoopl Count'!N331*(2^N$9)/N$8)</f>
        <v/>
      </c>
      <c r="O331" s="205" t="str">
        <f>IF('Zoopl Count'!O331="","",'Zoopl Count'!O331*(2^O$9)/O$8)</f>
        <v/>
      </c>
      <c r="P331" s="205" t="str">
        <f>IF('Zoopl Count'!P331="","",'Zoopl Count'!P331*(2^P$9)/P$8)</f>
        <v/>
      </c>
    </row>
    <row r="332" spans="1:16" s="75" customFormat="1" ht="15.5" customHeight="1">
      <c r="E332" s="138" t="s">
        <v>14</v>
      </c>
      <c r="F332" s="10" t="s">
        <v>288</v>
      </c>
      <c r="G332" s="205" t="str">
        <f>IF('Zoopl Count'!G332="","",'Zoopl Count'!G332*(2^G$9)/G$8)</f>
        <v/>
      </c>
      <c r="H332" s="205" t="str">
        <f>IF('Zoopl Count'!H332="","",'Zoopl Count'!H332*(2^H$9)/H$8)</f>
        <v/>
      </c>
      <c r="I332" s="205" t="str">
        <f>IF('Zoopl Count'!I332="","",'Zoopl Count'!I332*(2^I$9)/I$8)</f>
        <v/>
      </c>
      <c r="J332" s="205" t="str">
        <f>IF('Zoopl Count'!J332="","",'Zoopl Count'!J332*(2^J$9)/J$8)</f>
        <v/>
      </c>
      <c r="K332" s="205">
        <f>IF('Zoopl Count'!K332="","",'Zoopl Count'!K332*(2^K$9)/K$8)</f>
        <v>0.13037972938088066</v>
      </c>
      <c r="L332" s="205" t="str">
        <f>IF('Zoopl Count'!L332="","",'Zoopl Count'!L332*(2^L$9)/L$8)</f>
        <v/>
      </c>
      <c r="M332" s="205" t="str">
        <f>IF('Zoopl Count'!M332="","",'Zoopl Count'!M332*(2^M$9)/M$8)</f>
        <v/>
      </c>
      <c r="N332" s="205" t="str">
        <f>IF('Zoopl Count'!N332="","",'Zoopl Count'!N332*(2^N$9)/N$8)</f>
        <v/>
      </c>
      <c r="O332" s="205" t="str">
        <f>IF('Zoopl Count'!O332="","",'Zoopl Count'!O332*(2^O$9)/O$8)</f>
        <v/>
      </c>
      <c r="P332" s="205" t="str">
        <f>IF('Zoopl Count'!P332="","",'Zoopl Count'!P332*(2^P$9)/P$8)</f>
        <v/>
      </c>
    </row>
    <row r="333" spans="1:16" s="75" customFormat="1" ht="15" customHeight="1">
      <c r="E333" s="138"/>
      <c r="F333" s="139"/>
      <c r="G333" s="205" t="str">
        <f>IF('Zoopl Count'!G333="","",'Zoopl Count'!G333*(2^G$9)/G$8)</f>
        <v/>
      </c>
      <c r="H333" s="205" t="str">
        <f>IF('Zoopl Count'!H333="","",'Zoopl Count'!H333*(2^H$9)/H$8)</f>
        <v/>
      </c>
      <c r="I333" s="205" t="str">
        <f>IF('Zoopl Count'!I333="","",'Zoopl Count'!I333*(2^I$9)/I$8)</f>
        <v/>
      </c>
      <c r="J333" s="205" t="str">
        <f>IF('Zoopl Count'!J333="","",'Zoopl Count'!J333*(2^J$9)/J$8)</f>
        <v/>
      </c>
      <c r="K333" s="205" t="str">
        <f>IF('Zoopl Count'!K333="","",'Zoopl Count'!K333*(2^K$9)/K$8)</f>
        <v/>
      </c>
      <c r="L333" s="205" t="str">
        <f>IF('Zoopl Count'!L333="","",'Zoopl Count'!L333*(2^L$9)/L$8)</f>
        <v/>
      </c>
      <c r="M333" s="205" t="str">
        <f>IF('Zoopl Count'!M333="","",'Zoopl Count'!M333*(2^M$9)/M$8)</f>
        <v/>
      </c>
      <c r="N333" s="205" t="str">
        <f>IF('Zoopl Count'!N333="","",'Zoopl Count'!N333*(2^N$9)/N$8)</f>
        <v/>
      </c>
      <c r="O333" s="205" t="str">
        <f>IF('Zoopl Count'!O333="","",'Zoopl Count'!O333*(2^O$9)/O$8)</f>
        <v/>
      </c>
      <c r="P333" s="205" t="str">
        <f>IF('Zoopl Count'!P333="","",'Zoopl Count'!P333*(2^P$9)/P$8)</f>
        <v/>
      </c>
    </row>
    <row r="334" spans="1:16" s="75" customFormat="1" ht="15" customHeight="1">
      <c r="B334" s="134" t="s">
        <v>79</v>
      </c>
      <c r="C334" s="135" t="s">
        <v>131</v>
      </c>
      <c r="E334" s="138"/>
      <c r="F334" s="139"/>
      <c r="G334" s="205" t="str">
        <f>IF('Zoopl Count'!G334="","",'Zoopl Count'!G334*(2^G$9)/G$8)</f>
        <v/>
      </c>
      <c r="H334" s="205" t="str">
        <f>IF('Zoopl Count'!H334="","",'Zoopl Count'!H334*(2^H$9)/H$8)</f>
        <v/>
      </c>
      <c r="I334" s="205" t="str">
        <f>IF('Zoopl Count'!I334="","",'Zoopl Count'!I334*(2^I$9)/I$8)</f>
        <v/>
      </c>
      <c r="J334" s="205" t="str">
        <f>IF('Zoopl Count'!J334="","",'Zoopl Count'!J334*(2^J$9)/J$8)</f>
        <v/>
      </c>
      <c r="K334" s="205" t="str">
        <f>IF('Zoopl Count'!K334="","",'Zoopl Count'!K334*(2^K$9)/K$8)</f>
        <v/>
      </c>
      <c r="L334" s="205" t="str">
        <f>IF('Zoopl Count'!L334="","",'Zoopl Count'!L334*(2^L$9)/L$8)</f>
        <v/>
      </c>
      <c r="M334" s="205" t="str">
        <f>IF('Zoopl Count'!M334="","",'Zoopl Count'!M334*(2^M$9)/M$8)</f>
        <v/>
      </c>
      <c r="N334" s="205" t="str">
        <f>IF('Zoopl Count'!N334="","",'Zoopl Count'!N334*(2^N$9)/N$8)</f>
        <v/>
      </c>
      <c r="O334" s="205" t="str">
        <f>IF('Zoopl Count'!O334="","",'Zoopl Count'!O334*(2^O$9)/O$8)</f>
        <v/>
      </c>
      <c r="P334" s="205" t="str">
        <f>IF('Zoopl Count'!P334="","",'Zoopl Count'!P334*(2^P$9)/P$8)</f>
        <v/>
      </c>
    </row>
    <row r="335" spans="1:16" s="75" customFormat="1" ht="15" hidden="1" customHeight="1">
      <c r="B335" s="138"/>
      <c r="C335" s="135"/>
      <c r="E335" s="138"/>
      <c r="F335" s="137" t="s">
        <v>132</v>
      </c>
      <c r="G335" s="205" t="str">
        <f>IF('Zoopl Count'!G335="","",'Zoopl Count'!G335*(2^G$9)/G$8)</f>
        <v/>
      </c>
      <c r="H335" s="205" t="str">
        <f>IF('Zoopl Count'!H335="","",'Zoopl Count'!H335*(2^H$9)/H$8)</f>
        <v/>
      </c>
      <c r="I335" s="205" t="str">
        <f>IF('Zoopl Count'!I335="","",'Zoopl Count'!I335*(2^I$9)/I$8)</f>
        <v/>
      </c>
      <c r="J335" s="205" t="str">
        <f>IF('Zoopl Count'!J335="","",'Zoopl Count'!J335*(2^J$9)/J$8)</f>
        <v/>
      </c>
      <c r="K335" s="205" t="str">
        <f>IF('Zoopl Count'!K335="","",'Zoopl Count'!K335*(2^K$9)/K$8)</f>
        <v/>
      </c>
      <c r="L335" s="205" t="str">
        <f>IF('Zoopl Count'!L335="","",'Zoopl Count'!L335*(2^L$9)/L$8)</f>
        <v/>
      </c>
      <c r="M335" s="205" t="str">
        <f>IF('Zoopl Count'!M335="","",'Zoopl Count'!M335*(2^M$9)/M$8)</f>
        <v/>
      </c>
      <c r="N335" s="205" t="str">
        <f>IF('Zoopl Count'!N335="","",'Zoopl Count'!N335*(2^N$9)/N$8)</f>
        <v/>
      </c>
      <c r="O335" s="205" t="str">
        <f>IF('Zoopl Count'!O335="","",'Zoopl Count'!O335*(2^O$9)/O$8)</f>
        <v/>
      </c>
      <c r="P335" s="205" t="str">
        <f>IF('Zoopl Count'!P335="","",'Zoopl Count'!P335*(2^P$9)/P$8)</f>
        <v/>
      </c>
    </row>
    <row r="336" spans="1:16" s="75" customFormat="1" ht="14.15" customHeight="1" thickBot="1">
      <c r="B336" s="138"/>
      <c r="C336" s="135"/>
      <c r="E336" s="138"/>
      <c r="F336" s="137" t="s">
        <v>133</v>
      </c>
      <c r="G336" s="205" t="str">
        <f>IF('Zoopl Count'!G336="","",'Zoopl Count'!G336*(2^G$9)/G$8)</f>
        <v/>
      </c>
      <c r="H336" s="205" t="str">
        <f>IF('Zoopl Count'!H336="","",'Zoopl Count'!H336*(2^H$9)/H$8)</f>
        <v/>
      </c>
      <c r="I336" s="205" t="str">
        <f>IF('Zoopl Count'!I336="","",'Zoopl Count'!I336*(2^I$9)/I$8)</f>
        <v/>
      </c>
      <c r="J336" s="205" t="str">
        <f>IF('Zoopl Count'!J336="","",'Zoopl Count'!J336*(2^J$9)/J$8)</f>
        <v/>
      </c>
      <c r="K336" s="205">
        <f>IF('Zoopl Count'!K336="","",'Zoopl Count'!K336*(2^K$9)/K$8)</f>
        <v>0.13037972938088066</v>
      </c>
      <c r="L336" s="205">
        <f>IF('Zoopl Count'!L336="","",'Zoopl Count'!L336*(2^L$9)/L$8)</f>
        <v>0.52151891752352264</v>
      </c>
      <c r="M336" s="205">
        <f>IF('Zoopl Count'!M336="","",'Zoopl Count'!M336*(2^M$9)/M$8)</f>
        <v>1.5645567525705679</v>
      </c>
      <c r="N336" s="205">
        <f>IF('Zoopl Count'!N336="","",'Zoopl Count'!N336*(2^N$9)/N$8)</f>
        <v>9.7784797035660495E-2</v>
      </c>
      <c r="O336" s="205" t="str">
        <f>IF('Zoopl Count'!O336="","",'Zoopl Count'!O336*(2^O$9)/O$8)</f>
        <v/>
      </c>
      <c r="P336" s="205" t="str">
        <f>IF('Zoopl Count'!P336="","",'Zoopl Count'!P336*(2^P$9)/P$8)</f>
        <v/>
      </c>
    </row>
    <row r="337" spans="2:109" s="75" customFormat="1" ht="15.75" hidden="1" customHeight="1" thickBot="1">
      <c r="B337" s="138" t="s">
        <v>162</v>
      </c>
      <c r="C337" s="135"/>
      <c r="E337" s="138"/>
      <c r="F337" s="155"/>
      <c r="G337" s="205" t="str">
        <f>IF('Zoopl Count'!G337="","",'Zoopl Count'!G337*(2^G$9)/G$8)</f>
        <v/>
      </c>
      <c r="H337" s="205" t="str">
        <f>IF('Zoopl Count'!H337="","",'Zoopl Count'!H337*(2^H$9)/H$8)</f>
        <v/>
      </c>
      <c r="I337" s="205" t="str">
        <f>IF('Zoopl Count'!I337="","",'Zoopl Count'!I337*(2^I$9)/I$8)</f>
        <v/>
      </c>
      <c r="J337" s="205" t="str">
        <f>IF('Zoopl Count'!J337="","",'Zoopl Count'!J337*(2^J$9)/J$8)</f>
        <v/>
      </c>
      <c r="K337" s="205" t="str">
        <f>IF('Zoopl Count'!K337="","",'Zoopl Count'!K337*(2^K$9)/K$8)</f>
        <v/>
      </c>
      <c r="L337" s="205" t="str">
        <f>IF('Zoopl Count'!L337="","",'Zoopl Count'!L337*(2^L$9)/L$8)</f>
        <v/>
      </c>
      <c r="M337" s="205" t="str">
        <f>IF('Zoopl Count'!M337="","",'Zoopl Count'!M337*(2^M$9)/M$8)</f>
        <v/>
      </c>
      <c r="N337" s="205" t="str">
        <f>IF('Zoopl Count'!N337="","",'Zoopl Count'!N337*(2^N$9)/N$8)</f>
        <v/>
      </c>
      <c r="O337" s="205" t="str">
        <f>IF('Zoopl Count'!O337="","",'Zoopl Count'!O337*(2^O$9)/O$8)</f>
        <v/>
      </c>
      <c r="P337" s="205" t="str">
        <f>IF('Zoopl Count'!P337="","",'Zoopl Count'!P337*(2^P$9)/P$8)</f>
        <v/>
      </c>
    </row>
    <row r="338" spans="2:109" s="14" customFormat="1" ht="15" thickBot="1">
      <c r="F338" s="15" t="s">
        <v>82</v>
      </c>
      <c r="G338" s="25">
        <f t="shared" ref="G338:P338" si="0">COUNT(G10:G337)</f>
        <v>22</v>
      </c>
      <c r="H338" s="25">
        <f t="shared" si="0"/>
        <v>17</v>
      </c>
      <c r="I338" s="25">
        <f t="shared" si="0"/>
        <v>21</v>
      </c>
      <c r="J338" s="25">
        <f t="shared" si="0"/>
        <v>19</v>
      </c>
      <c r="K338" s="25">
        <f t="shared" si="0"/>
        <v>19</v>
      </c>
      <c r="L338" s="25">
        <f t="shared" si="0"/>
        <v>10</v>
      </c>
      <c r="M338" s="25">
        <f t="shared" si="0"/>
        <v>18</v>
      </c>
      <c r="N338" s="25">
        <f t="shared" si="0"/>
        <v>17</v>
      </c>
      <c r="O338" s="25">
        <f t="shared" si="0"/>
        <v>12</v>
      </c>
      <c r="P338" s="25">
        <f t="shared" si="0"/>
        <v>14</v>
      </c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6"/>
      <c r="BW338" s="6"/>
      <c r="BX338" s="6"/>
      <c r="BY338" s="6"/>
      <c r="BZ338" s="6"/>
      <c r="CA338" s="6"/>
      <c r="CB338" s="6"/>
      <c r="CC338" s="6"/>
      <c r="CD338" s="6"/>
      <c r="CE338" s="6"/>
      <c r="CF338" s="6"/>
      <c r="CG338" s="6"/>
      <c r="CH338" s="6"/>
      <c r="CI338" s="6"/>
      <c r="CJ338" s="6"/>
      <c r="CK338" s="6"/>
      <c r="CL338" s="6"/>
      <c r="CM338" s="6"/>
      <c r="CN338" s="6"/>
      <c r="CO338" s="6"/>
      <c r="CP338" s="6"/>
      <c r="CQ338" s="6"/>
      <c r="CR338" s="6"/>
      <c r="CS338" s="6"/>
      <c r="CT338" s="6"/>
      <c r="CU338" s="6"/>
      <c r="CV338" s="6"/>
      <c r="CW338" s="6"/>
      <c r="CX338" s="6"/>
      <c r="CY338" s="6"/>
      <c r="CZ338" s="6"/>
      <c r="DA338" s="6"/>
      <c r="DB338" s="6"/>
      <c r="DC338" s="6"/>
      <c r="DD338" s="6"/>
      <c r="DE338" s="6"/>
    </row>
    <row r="339" spans="2:109">
      <c r="F339" s="3" t="s">
        <v>165</v>
      </c>
      <c r="G339" s="24">
        <f t="shared" ref="G339:P339" si="1">SUM(G10:G337)</f>
        <v>38.462020167359803</v>
      </c>
      <c r="H339" s="24">
        <f t="shared" si="1"/>
        <v>16.427845901990963</v>
      </c>
      <c r="I339" s="24">
        <f t="shared" si="1"/>
        <v>7.9531634922337195</v>
      </c>
      <c r="J339" s="24">
        <f t="shared" si="1"/>
        <v>27.510122899365818</v>
      </c>
      <c r="K339" s="24">
        <f t="shared" si="1"/>
        <v>28.944299922555501</v>
      </c>
      <c r="L339" s="24">
        <f t="shared" si="1"/>
        <v>111.60504835003384</v>
      </c>
      <c r="M339" s="24">
        <f t="shared" si="1"/>
        <v>42.373412048786221</v>
      </c>
      <c r="N339" s="24">
        <f t="shared" si="1"/>
        <v>12.744618546981087</v>
      </c>
      <c r="O339" s="24">
        <f t="shared" si="1"/>
        <v>225.2961723701618</v>
      </c>
      <c r="P339" s="24">
        <f t="shared" si="1"/>
        <v>25.945566146795247</v>
      </c>
    </row>
    <row r="340" spans="2:109">
      <c r="F340" s="3" t="s">
        <v>134</v>
      </c>
      <c r="G340" s="24">
        <f>(G339*LN(G339)-'LN Data'!G338)/G339</f>
        <v>1.8905989220792514</v>
      </c>
      <c r="H340" s="24">
        <f>(H339*LN(H339)-'LN Data'!H338)/H339</f>
        <v>1.8994331300934977</v>
      </c>
      <c r="I340" s="24">
        <f>(I339*LN(I339)-'LN Data'!I338)/I339</f>
        <v>2.3649100313385967</v>
      </c>
      <c r="J340" s="24">
        <f>(J339*LN(J339)-'LN Data'!J338)/J339</f>
        <v>2.3310623396560062</v>
      </c>
      <c r="K340" s="24">
        <f>(K339*LN(K339)-'LN Data'!K338)/K339</f>
        <v>2.1223338771950329</v>
      </c>
      <c r="L340" s="24">
        <f>(L339*LN(L339)-'LN Data'!L338)/L339</f>
        <v>1.2253508099742503</v>
      </c>
      <c r="M340" s="24">
        <f>(M339*LN(M339)-'LN Data'!M338)/M339</f>
        <v>2.0620160717343095</v>
      </c>
      <c r="N340" s="24">
        <f>(N339*LN(N339)-'LN Data'!N338)/N339</f>
        <v>1.7291260525650047</v>
      </c>
      <c r="O340" s="24">
        <f>(O339*LN(O339)-'LN Data'!O338)/O339</f>
        <v>1.6134587057745631</v>
      </c>
      <c r="P340" s="24">
        <f>(P339*LN(P339)-'LN Data'!P338)/P339</f>
        <v>1.7270133346519596</v>
      </c>
    </row>
    <row r="341" spans="2:109">
      <c r="F341" s="3" t="s">
        <v>135</v>
      </c>
      <c r="G341" s="24">
        <f t="shared" ref="G341:I341" si="2">G340/LN(G338)</f>
        <v>0.61163796699886075</v>
      </c>
      <c r="H341" s="24">
        <f t="shared" si="2"/>
        <v>0.6704165551381116</v>
      </c>
      <c r="I341" s="24">
        <f t="shared" si="2"/>
        <v>0.77677536615791398</v>
      </c>
      <c r="J341" s="24">
        <f t="shared" ref="J341:O341" si="3">J340/LN(J338)</f>
        <v>0.79168301878543978</v>
      </c>
      <c r="K341" s="24">
        <f t="shared" si="3"/>
        <v>0.72079397542680868</v>
      </c>
      <c r="L341" s="24">
        <f t="shared" si="3"/>
        <v>0.53216309516749694</v>
      </c>
      <c r="M341" s="24">
        <f t="shared" si="3"/>
        <v>0.71340860084904922</v>
      </c>
      <c r="N341" s="24">
        <f t="shared" si="3"/>
        <v>0.61030562918691933</v>
      </c>
      <c r="O341" s="24">
        <f t="shared" si="3"/>
        <v>0.64930354865130047</v>
      </c>
      <c r="P341" s="24">
        <f t="shared" ref="P341" si="4">P340/LN(P338)</f>
        <v>0.65440538758729294</v>
      </c>
    </row>
  </sheetData>
  <mergeCells count="15">
    <mergeCell ref="B296:E296"/>
    <mergeCell ref="A281:D281"/>
    <mergeCell ref="E281:F281"/>
    <mergeCell ref="B282:E282"/>
    <mergeCell ref="A252:D252"/>
    <mergeCell ref="E252:F252"/>
    <mergeCell ref="B280:E280"/>
    <mergeCell ref="A279:D279"/>
    <mergeCell ref="E279:F279"/>
    <mergeCell ref="A268:D268"/>
    <mergeCell ref="E268:F268"/>
    <mergeCell ref="B269:E269"/>
    <mergeCell ref="A272:D272"/>
    <mergeCell ref="E272:F272"/>
    <mergeCell ref="B273:E273"/>
  </mergeCells>
  <phoneticPr fontId="45" type="noConversion"/>
  <pageMargins left="0.6" right="0.51181102362204722" top="0.92" bottom="0.95" header="0.51181102362204722" footer="0.51181102362204722"/>
  <pageSetup paperSize="9" scale="90" fitToHeight="3" orientation="portrait" r:id="rId1"/>
  <headerFooter>
    <oddHeader>&amp;RPage &amp;P of &amp;N</oddHeader>
  </headerFooter>
  <extLst>
    <ext xmlns:mx="http://schemas.microsoft.com/office/mac/excel/2008/main" uri="{64002731-A6B0-56B0-2670-7721B7C09600}">
      <mx:PLV Mode="0" OnePage="0" WScale="10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354"/>
  <sheetViews>
    <sheetView zoomScale="68" zoomScaleNormal="70" zoomScalePageLayoutView="125" workbookViewId="0">
      <selection activeCell="F7" sqref="F7"/>
    </sheetView>
  </sheetViews>
  <sheetFormatPr defaultColWidth="10.9140625" defaultRowHeight="14.5"/>
  <cols>
    <col min="1" max="1" width="7.5" style="6" customWidth="1"/>
    <col min="2" max="5" width="1.9140625" style="6" customWidth="1"/>
    <col min="6" max="6" width="20.5" style="6" customWidth="1"/>
    <col min="7" max="16" width="5.9140625" style="6" bestFit="1" customWidth="1"/>
    <col min="17" max="16384" width="10.9140625" style="6"/>
  </cols>
  <sheetData>
    <row r="1" spans="1:16" s="2" customFormat="1">
      <c r="A1" s="2" t="s">
        <v>145</v>
      </c>
    </row>
    <row r="2" spans="1:16" s="2" customFormat="1"/>
    <row r="3" spans="1:16" s="2" customFormat="1"/>
    <row r="4" spans="1:16" s="2" customFormat="1"/>
    <row r="5" spans="1:16" s="2" customFormat="1"/>
    <row r="7" spans="1:16" s="157" customFormat="1">
      <c r="F7" s="162" t="str">
        <f>'Zoopl Count'!F4</f>
        <v>Sample Marking:</v>
      </c>
      <c r="G7" s="158" t="str">
        <f>'Zoopl Count'!G4</f>
        <v>PLW-25-274014-1</v>
      </c>
      <c r="H7" s="158" t="str">
        <f>'Zoopl Count'!H4</f>
        <v>PLW-25-274014-2</v>
      </c>
      <c r="I7" s="158" t="str">
        <f>'Zoopl Count'!I4</f>
        <v>PLW-25-274014-3</v>
      </c>
      <c r="J7" s="158" t="str">
        <f>'Zoopl Count'!J4</f>
        <v>PLW-25-274014-4</v>
      </c>
      <c r="K7" s="158" t="str">
        <f>'Zoopl Count'!K4</f>
        <v>PLW-25-274014-5</v>
      </c>
      <c r="L7" s="158" t="str">
        <f>'Zoopl Count'!L4</f>
        <v>PLW-25-274016-1</v>
      </c>
      <c r="M7" s="158" t="str">
        <f>'Zoopl Count'!M4</f>
        <v>PLW-25-274016-2</v>
      </c>
      <c r="N7" s="158" t="str">
        <f>'Zoopl Count'!N4</f>
        <v>PLW-25-274016-3</v>
      </c>
      <c r="O7" s="158" t="str">
        <f>'Zoopl Count'!O4</f>
        <v>PLW-25-274016-4</v>
      </c>
      <c r="P7" s="158" t="str">
        <f>'Zoopl Count'!P4</f>
        <v>PLW-25-274016-5</v>
      </c>
    </row>
    <row r="8" spans="1:16" s="159" customFormat="1">
      <c r="F8" s="163" t="str">
        <f>'Zoopl Count'!F8</f>
        <v>Volume filtered (l):</v>
      </c>
      <c r="G8" s="227">
        <f>'Zoopl Count'!G8</f>
        <v>245.43692606170259</v>
      </c>
      <c r="H8" s="227">
        <f>'Zoopl Count'!H8</f>
        <v>245.43692606170259</v>
      </c>
      <c r="I8" s="227">
        <f>'Zoopl Count'!I8</f>
        <v>245.43692606170259</v>
      </c>
      <c r="J8" s="227">
        <f>'Zoopl Count'!J8</f>
        <v>245.43692606170259</v>
      </c>
      <c r="K8" s="227">
        <f>'Zoopl Count'!K8</f>
        <v>245.43692606170259</v>
      </c>
      <c r="L8" s="227">
        <f>'Zoopl Count'!L8</f>
        <v>245.43692606170259</v>
      </c>
      <c r="M8" s="227">
        <f>'Zoopl Count'!M8</f>
        <v>245.43692606170259</v>
      </c>
      <c r="N8" s="227">
        <f>'Zoopl Count'!N8</f>
        <v>245.43692606170259</v>
      </c>
      <c r="O8" s="227">
        <f>'Zoopl Count'!O8</f>
        <v>245.43692606170259</v>
      </c>
      <c r="P8" s="227">
        <f>'Zoopl Count'!P8</f>
        <v>245.43692606170259</v>
      </c>
    </row>
    <row r="9" spans="1:16" s="160" customFormat="1" ht="15" thickBot="1">
      <c r="F9" s="164" t="str">
        <f>'Zoopl Count'!F9</f>
        <v>Split factor:</v>
      </c>
      <c r="G9" s="161">
        <f>'Zoopl Count'!G9</f>
        <v>5</v>
      </c>
      <c r="H9" s="161">
        <f>'Zoopl Count'!H9</f>
        <v>4</v>
      </c>
      <c r="I9" s="161">
        <f>'Zoopl Count'!I9</f>
        <v>3</v>
      </c>
      <c r="J9" s="161">
        <f>'Zoopl Count'!J9</f>
        <v>5</v>
      </c>
      <c r="K9" s="161">
        <f>'Zoopl Count'!K9</f>
        <v>5</v>
      </c>
      <c r="L9" s="161">
        <f>'Zoopl Count'!L9</f>
        <v>7</v>
      </c>
      <c r="M9" s="161">
        <f>'Zoopl Count'!M9</f>
        <v>5</v>
      </c>
      <c r="N9" s="161">
        <f>'Zoopl Count'!N9</f>
        <v>3</v>
      </c>
      <c r="O9" s="161">
        <f>'Zoopl Count'!O9</f>
        <v>8</v>
      </c>
      <c r="P9" s="161">
        <f>'Zoopl Count'!P9</f>
        <v>5</v>
      </c>
    </row>
    <row r="10" spans="1:16" s="2" customFormat="1" ht="15" thickTop="1">
      <c r="A10" s="47" t="s">
        <v>7</v>
      </c>
      <c r="B10" s="2" t="s">
        <v>203</v>
      </c>
      <c r="C10" s="46"/>
      <c r="D10" s="46"/>
      <c r="E10" s="46"/>
      <c r="F10" s="47"/>
      <c r="G10" s="36" t="str">
        <f>IF('Zoopl Count'!G10=0,"",('Zoopl Analysis'!G10*LN('Zoopl Analysis'!G10)))</f>
        <v/>
      </c>
      <c r="H10" s="36" t="str">
        <f>IF('Zoopl Count'!H10=0,"",('Zoopl Analysis'!H10*LN('Zoopl Analysis'!H10)))</f>
        <v/>
      </c>
      <c r="I10" s="36" t="str">
        <f>IF('Zoopl Count'!I10=0,"",('Zoopl Analysis'!I10*LN('Zoopl Analysis'!I10)))</f>
        <v/>
      </c>
      <c r="J10" s="36" t="str">
        <f>IF('Zoopl Count'!J10=0,"",('Zoopl Analysis'!J10*LN('Zoopl Analysis'!J10)))</f>
        <v/>
      </c>
      <c r="K10" s="36" t="str">
        <f>IF('Zoopl Count'!K10=0,"",('Zoopl Analysis'!K10*LN('Zoopl Analysis'!K10)))</f>
        <v/>
      </c>
      <c r="L10" s="36" t="str">
        <f>IF('Zoopl Count'!L10=0,"",('Zoopl Analysis'!L10*LN('Zoopl Analysis'!L10)))</f>
        <v/>
      </c>
      <c r="M10" s="36" t="str">
        <f>IF('Zoopl Count'!M10=0,"",('Zoopl Analysis'!M10*LN('Zoopl Analysis'!M10)))</f>
        <v/>
      </c>
      <c r="N10" s="36" t="str">
        <f>IF('Zoopl Count'!N10=0,"",('Zoopl Analysis'!N10*LN('Zoopl Analysis'!N10)))</f>
        <v/>
      </c>
      <c r="O10" s="36" t="str">
        <f>IF('Zoopl Count'!O10=0,"",('Zoopl Analysis'!O10*LN('Zoopl Analysis'!O10)))</f>
        <v/>
      </c>
      <c r="P10" s="36" t="str">
        <f>IF('Zoopl Count'!P10=0,"",('Zoopl Analysis'!P10*LN('Zoopl Analysis'!P10)))</f>
        <v/>
      </c>
    </row>
    <row r="11" spans="1:16" s="2" customFormat="1">
      <c r="A11" s="46"/>
      <c r="B11" s="47" t="s">
        <v>79</v>
      </c>
      <c r="C11" s="2" t="s">
        <v>204</v>
      </c>
      <c r="D11" s="46"/>
      <c r="E11" s="46"/>
      <c r="F11" s="47"/>
      <c r="G11" s="36" t="str">
        <f>IF('Zoopl Count'!G11=0,"",('Zoopl Analysis'!G11*LN('Zoopl Analysis'!G11)))</f>
        <v/>
      </c>
      <c r="H11" s="36" t="str">
        <f>IF('Zoopl Count'!H11=0,"",('Zoopl Analysis'!H11*LN('Zoopl Analysis'!H11)))</f>
        <v/>
      </c>
      <c r="I11" s="36" t="str">
        <f>IF('Zoopl Count'!I11=0,"",('Zoopl Analysis'!I11*LN('Zoopl Analysis'!I11)))</f>
        <v/>
      </c>
      <c r="J11" s="36" t="str">
        <f>IF('Zoopl Count'!J11=0,"",('Zoopl Analysis'!J11*LN('Zoopl Analysis'!J11)))</f>
        <v/>
      </c>
      <c r="K11" s="36" t="str">
        <f>IF('Zoopl Count'!K11=0,"",('Zoopl Analysis'!K11*LN('Zoopl Analysis'!K11)))</f>
        <v/>
      </c>
      <c r="L11" s="36" t="str">
        <f>IF('Zoopl Count'!L11=0,"",('Zoopl Analysis'!L11*LN('Zoopl Analysis'!L11)))</f>
        <v/>
      </c>
      <c r="M11" s="36" t="str">
        <f>IF('Zoopl Count'!M11=0,"",('Zoopl Analysis'!M11*LN('Zoopl Analysis'!M11)))</f>
        <v/>
      </c>
      <c r="N11" s="36" t="str">
        <f>IF('Zoopl Count'!N11=0,"",('Zoopl Analysis'!N11*LN('Zoopl Analysis'!N11)))</f>
        <v/>
      </c>
      <c r="O11" s="36" t="str">
        <f>IF('Zoopl Count'!O11=0,"",('Zoopl Analysis'!O11*LN('Zoopl Analysis'!O11)))</f>
        <v/>
      </c>
      <c r="P11" s="36" t="str">
        <f>IF('Zoopl Count'!P11=0,"",('Zoopl Analysis'!P11*LN('Zoopl Analysis'!P11)))</f>
        <v/>
      </c>
    </row>
    <row r="12" spans="1:16" s="2" customFormat="1">
      <c r="A12" s="46"/>
      <c r="B12" s="46"/>
      <c r="C12" s="47" t="s">
        <v>10</v>
      </c>
      <c r="D12" s="2" t="s">
        <v>205</v>
      </c>
      <c r="E12" s="46"/>
      <c r="F12" s="47"/>
      <c r="G12" s="36" t="str">
        <f>IF('Zoopl Count'!G12=0,"",('Zoopl Analysis'!G12*LN('Zoopl Analysis'!G12)))</f>
        <v/>
      </c>
      <c r="H12" s="36" t="str">
        <f>IF('Zoopl Count'!H12=0,"",('Zoopl Analysis'!H12*LN('Zoopl Analysis'!H12)))</f>
        <v/>
      </c>
      <c r="I12" s="36" t="str">
        <f>IF('Zoopl Count'!I12=0,"",('Zoopl Analysis'!I12*LN('Zoopl Analysis'!I12)))</f>
        <v/>
      </c>
      <c r="J12" s="36" t="str">
        <f>IF('Zoopl Count'!J12=0,"",('Zoopl Analysis'!J12*LN('Zoopl Analysis'!J12)))</f>
        <v/>
      </c>
      <c r="K12" s="36" t="str">
        <f>IF('Zoopl Count'!K12=0,"",('Zoopl Analysis'!K12*LN('Zoopl Analysis'!K12)))</f>
        <v/>
      </c>
      <c r="L12" s="36" t="str">
        <f>IF('Zoopl Count'!L12=0,"",('Zoopl Analysis'!L12*LN('Zoopl Analysis'!L12)))</f>
        <v/>
      </c>
      <c r="M12" s="36" t="str">
        <f>IF('Zoopl Count'!M12=0,"",('Zoopl Analysis'!M12*LN('Zoopl Analysis'!M12)))</f>
        <v/>
      </c>
      <c r="N12" s="36" t="str">
        <f>IF('Zoopl Count'!N12=0,"",('Zoopl Analysis'!N12*LN('Zoopl Analysis'!N12)))</f>
        <v/>
      </c>
      <c r="O12" s="36" t="str">
        <f>IF('Zoopl Count'!O12=0,"",('Zoopl Analysis'!O12*LN('Zoopl Analysis'!O12)))</f>
        <v/>
      </c>
      <c r="P12" s="36" t="str">
        <f>IF('Zoopl Count'!P12=0,"",('Zoopl Analysis'!P12*LN('Zoopl Analysis'!P12)))</f>
        <v/>
      </c>
    </row>
    <row r="13" spans="1:16" s="2" customFormat="1">
      <c r="A13" s="193"/>
      <c r="B13" s="193"/>
      <c r="C13" s="193"/>
      <c r="D13" s="195" t="s">
        <v>12</v>
      </c>
      <c r="E13" s="239" t="s">
        <v>416</v>
      </c>
      <c r="F13" s="195"/>
      <c r="G13" s="36" t="str">
        <f>IF('Zoopl Count'!G13=0,"",('Zoopl Analysis'!G13*LN('Zoopl Analysis'!G13)))</f>
        <v/>
      </c>
      <c r="H13" s="36" t="str">
        <f>IF('Zoopl Count'!H13=0,"",('Zoopl Analysis'!H13*LN('Zoopl Analysis'!H13)))</f>
        <v/>
      </c>
      <c r="I13" s="36" t="str">
        <f>IF('Zoopl Count'!I13=0,"",('Zoopl Analysis'!I13*LN('Zoopl Analysis'!I13)))</f>
        <v/>
      </c>
      <c r="J13" s="36" t="str">
        <f>IF('Zoopl Count'!J13=0,"",('Zoopl Analysis'!J13*LN('Zoopl Analysis'!J13)))</f>
        <v/>
      </c>
      <c r="K13" s="36" t="str">
        <f>IF('Zoopl Count'!K13=0,"",('Zoopl Analysis'!K13*LN('Zoopl Analysis'!K13)))</f>
        <v/>
      </c>
      <c r="L13" s="36" t="str">
        <f>IF('Zoopl Count'!L13=0,"",('Zoopl Analysis'!L13*LN('Zoopl Analysis'!L13)))</f>
        <v/>
      </c>
      <c r="M13" s="36" t="str">
        <f>IF('Zoopl Count'!M13=0,"",('Zoopl Analysis'!M13*LN('Zoopl Analysis'!M13)))</f>
        <v/>
      </c>
      <c r="N13" s="36" t="str">
        <f>IF('Zoopl Count'!N13=0,"",('Zoopl Analysis'!N13*LN('Zoopl Analysis'!N13)))</f>
        <v/>
      </c>
      <c r="O13" s="36" t="str">
        <f>IF('Zoopl Count'!O13=0,"",('Zoopl Analysis'!O13*LN('Zoopl Analysis'!O13)))</f>
        <v/>
      </c>
      <c r="P13" s="36" t="str">
        <f>IF('Zoopl Count'!P13=0,"",('Zoopl Analysis'!P13*LN('Zoopl Analysis'!P13)))</f>
        <v/>
      </c>
    </row>
    <row r="14" spans="1:16" s="2" customFormat="1">
      <c r="A14" s="193"/>
      <c r="B14" s="193"/>
      <c r="C14" s="193"/>
      <c r="D14" s="193"/>
      <c r="E14" s="195" t="s">
        <v>14</v>
      </c>
      <c r="F14" s="196" t="s">
        <v>352</v>
      </c>
      <c r="G14" s="36" t="str">
        <f>IF('Zoopl Count'!G14=0,"",('Zoopl Analysis'!G14*LN('Zoopl Analysis'!G14)))</f>
        <v/>
      </c>
      <c r="H14" s="36" t="str">
        <f>IF('Zoopl Count'!H14=0,"",('Zoopl Analysis'!H14*LN('Zoopl Analysis'!H14)))</f>
        <v/>
      </c>
      <c r="I14" s="36" t="str">
        <f>IF('Zoopl Count'!I14=0,"",('Zoopl Analysis'!I14*LN('Zoopl Analysis'!I14)))</f>
        <v/>
      </c>
      <c r="J14" s="36" t="str">
        <f>IF('Zoopl Count'!J14=0,"",('Zoopl Analysis'!J14*LN('Zoopl Analysis'!J14)))</f>
        <v/>
      </c>
      <c r="K14" s="36" t="str">
        <f>IF('Zoopl Count'!K14=0,"",('Zoopl Analysis'!K14*LN('Zoopl Analysis'!K14)))</f>
        <v/>
      </c>
      <c r="L14" s="36" t="str">
        <f>IF('Zoopl Count'!L14=0,"",('Zoopl Analysis'!L14*LN('Zoopl Analysis'!L14)))</f>
        <v/>
      </c>
      <c r="M14" s="36" t="str">
        <f>IF('Zoopl Count'!M14=0,"",('Zoopl Analysis'!M14*LN('Zoopl Analysis'!M14)))</f>
        <v/>
      </c>
      <c r="N14" s="36" t="str">
        <f>IF('Zoopl Count'!N14=0,"",('Zoopl Analysis'!N14*LN('Zoopl Analysis'!N14)))</f>
        <v/>
      </c>
      <c r="O14" s="36" t="str">
        <f>IF('Zoopl Count'!O14=0,"",('Zoopl Analysis'!O14*LN('Zoopl Analysis'!O14)))</f>
        <v/>
      </c>
      <c r="P14" s="36" t="str">
        <f>IF('Zoopl Count'!P14=0,"",('Zoopl Analysis'!P14*LN('Zoopl Analysis'!P14)))</f>
        <v/>
      </c>
    </row>
    <row r="15" spans="1:16" s="2" customFormat="1">
      <c r="A15" s="193"/>
      <c r="B15" s="193"/>
      <c r="C15" s="193"/>
      <c r="D15" s="195" t="s">
        <v>12</v>
      </c>
      <c r="E15" s="193" t="s">
        <v>293</v>
      </c>
      <c r="F15" s="195"/>
      <c r="G15" s="36" t="str">
        <f>IF('Zoopl Count'!G15=0,"",('Zoopl Analysis'!G15*LN('Zoopl Analysis'!G15)))</f>
        <v/>
      </c>
      <c r="H15" s="36" t="str">
        <f>IF('Zoopl Count'!H15=0,"",('Zoopl Analysis'!H15*LN('Zoopl Analysis'!H15)))</f>
        <v/>
      </c>
      <c r="I15" s="36" t="str">
        <f>IF('Zoopl Count'!I15=0,"",('Zoopl Analysis'!I15*LN('Zoopl Analysis'!I15)))</f>
        <v/>
      </c>
      <c r="J15" s="36" t="str">
        <f>IF('Zoopl Count'!J15=0,"",('Zoopl Analysis'!J15*LN('Zoopl Analysis'!J15)))</f>
        <v/>
      </c>
      <c r="K15" s="36" t="str">
        <f>IF('Zoopl Count'!K15=0,"",('Zoopl Analysis'!K15*LN('Zoopl Analysis'!K15)))</f>
        <v/>
      </c>
      <c r="L15" s="36" t="str">
        <f>IF('Zoopl Count'!L15=0,"",('Zoopl Analysis'!L15*LN('Zoopl Analysis'!L15)))</f>
        <v/>
      </c>
      <c r="M15" s="36" t="str">
        <f>IF('Zoopl Count'!M15=0,"",('Zoopl Analysis'!M15*LN('Zoopl Analysis'!M15)))</f>
        <v/>
      </c>
      <c r="N15" s="36" t="str">
        <f>IF('Zoopl Count'!N15=0,"",('Zoopl Analysis'!N15*LN('Zoopl Analysis'!N15)))</f>
        <v/>
      </c>
      <c r="O15" s="36" t="str">
        <f>IF('Zoopl Count'!O15=0,"",('Zoopl Analysis'!O15*LN('Zoopl Analysis'!O15)))</f>
        <v/>
      </c>
      <c r="P15" s="36" t="str">
        <f>IF('Zoopl Count'!P15=0,"",('Zoopl Analysis'!P15*LN('Zoopl Analysis'!P15)))</f>
        <v/>
      </c>
    </row>
    <row r="16" spans="1:16" s="2" customFormat="1">
      <c r="A16" s="193"/>
      <c r="B16" s="193"/>
      <c r="C16" s="193"/>
      <c r="D16" s="193"/>
      <c r="E16" s="195" t="s">
        <v>14</v>
      </c>
      <c r="F16" s="196" t="s">
        <v>294</v>
      </c>
      <c r="G16" s="36" t="str">
        <f>IF('Zoopl Count'!G16=0,"",('Zoopl Analysis'!G16*LN('Zoopl Analysis'!G16)))</f>
        <v/>
      </c>
      <c r="H16" s="36" t="str">
        <f>IF('Zoopl Count'!H16=0,"",('Zoopl Analysis'!H16*LN('Zoopl Analysis'!H16)))</f>
        <v/>
      </c>
      <c r="I16" s="36" t="str">
        <f>IF('Zoopl Count'!I16=0,"",('Zoopl Analysis'!I16*LN('Zoopl Analysis'!I16)))</f>
        <v/>
      </c>
      <c r="J16" s="36" t="str">
        <f>IF('Zoopl Count'!J16=0,"",('Zoopl Analysis'!J16*LN('Zoopl Analysis'!J16)))</f>
        <v/>
      </c>
      <c r="K16" s="36" t="str">
        <f>IF('Zoopl Count'!K16=0,"",('Zoopl Analysis'!K16*LN('Zoopl Analysis'!K16)))</f>
        <v/>
      </c>
      <c r="L16" s="36" t="str">
        <f>IF('Zoopl Count'!L16=0,"",('Zoopl Analysis'!L16*LN('Zoopl Analysis'!L16)))</f>
        <v/>
      </c>
      <c r="M16" s="36" t="str">
        <f>IF('Zoopl Count'!M16=0,"",('Zoopl Analysis'!M16*LN('Zoopl Analysis'!M16)))</f>
        <v/>
      </c>
      <c r="N16" s="36" t="str">
        <f>IF('Zoopl Count'!N16=0,"",('Zoopl Analysis'!N16*LN('Zoopl Analysis'!N16)))</f>
        <v/>
      </c>
      <c r="O16" s="36" t="str">
        <f>IF('Zoopl Count'!O16=0,"",('Zoopl Analysis'!O16*LN('Zoopl Analysis'!O16)))</f>
        <v/>
      </c>
      <c r="P16" s="36" t="str">
        <f>IF('Zoopl Count'!P16=0,"",('Zoopl Analysis'!P16*LN('Zoopl Analysis'!P16)))</f>
        <v/>
      </c>
    </row>
    <row r="17" spans="1:16" s="2" customFormat="1">
      <c r="A17" s="193"/>
      <c r="B17" s="193"/>
      <c r="C17" s="193"/>
      <c r="D17" s="195" t="s">
        <v>12</v>
      </c>
      <c r="E17" s="239" t="s">
        <v>349</v>
      </c>
      <c r="F17" s="195"/>
      <c r="G17" s="36" t="str">
        <f>IF('Zoopl Count'!G17=0,"",('Zoopl Analysis'!G17*LN('Zoopl Analysis'!G17)))</f>
        <v/>
      </c>
      <c r="H17" s="36" t="str">
        <f>IF('Zoopl Count'!H17=0,"",('Zoopl Analysis'!H17*LN('Zoopl Analysis'!H17)))</f>
        <v/>
      </c>
      <c r="I17" s="36" t="str">
        <f>IF('Zoopl Count'!I17=0,"",('Zoopl Analysis'!I17*LN('Zoopl Analysis'!I17)))</f>
        <v/>
      </c>
      <c r="J17" s="36" t="str">
        <f>IF('Zoopl Count'!J17=0,"",('Zoopl Analysis'!J17*LN('Zoopl Analysis'!J17)))</f>
        <v/>
      </c>
      <c r="K17" s="36" t="str">
        <f>IF('Zoopl Count'!K17=0,"",('Zoopl Analysis'!K17*LN('Zoopl Analysis'!K17)))</f>
        <v/>
      </c>
      <c r="L17" s="36" t="str">
        <f>IF('Zoopl Count'!L17=0,"",('Zoopl Analysis'!L17*LN('Zoopl Analysis'!L17)))</f>
        <v/>
      </c>
      <c r="M17" s="36" t="str">
        <f>IF('Zoopl Count'!M17=0,"",('Zoopl Analysis'!M17*LN('Zoopl Analysis'!M17)))</f>
        <v/>
      </c>
      <c r="N17" s="36" t="str">
        <f>IF('Zoopl Count'!N17=0,"",('Zoopl Analysis'!N17*LN('Zoopl Analysis'!N17)))</f>
        <v/>
      </c>
      <c r="O17" s="36" t="str">
        <f>IF('Zoopl Count'!O17=0,"",('Zoopl Analysis'!O17*LN('Zoopl Analysis'!O17)))</f>
        <v/>
      </c>
      <c r="P17" s="36" t="str">
        <f>IF('Zoopl Count'!P17=0,"",('Zoopl Analysis'!P17*LN('Zoopl Analysis'!P17)))</f>
        <v/>
      </c>
    </row>
    <row r="18" spans="1:16" s="2" customFormat="1">
      <c r="A18" s="193"/>
      <c r="B18" s="193"/>
      <c r="C18" s="193"/>
      <c r="D18" s="193"/>
      <c r="E18" s="195" t="s">
        <v>14</v>
      </c>
      <c r="F18" s="196" t="s">
        <v>350</v>
      </c>
      <c r="G18" s="36" t="str">
        <f>IF('Zoopl Count'!G18=0,"",('Zoopl Analysis'!G18*LN('Zoopl Analysis'!G18)))</f>
        <v/>
      </c>
      <c r="H18" s="36" t="str">
        <f>IF('Zoopl Count'!H18=0,"",('Zoopl Analysis'!H18*LN('Zoopl Analysis'!H18)))</f>
        <v/>
      </c>
      <c r="I18" s="36" t="str">
        <f>IF('Zoopl Count'!I18=0,"",('Zoopl Analysis'!I18*LN('Zoopl Analysis'!I18)))</f>
        <v/>
      </c>
      <c r="J18" s="36" t="str">
        <f>IF('Zoopl Count'!J18=0,"",('Zoopl Analysis'!J18*LN('Zoopl Analysis'!J18)))</f>
        <v/>
      </c>
      <c r="K18" s="36" t="str">
        <f>IF('Zoopl Count'!K18=0,"",('Zoopl Analysis'!K18*LN('Zoopl Analysis'!K18)))</f>
        <v/>
      </c>
      <c r="L18" s="36" t="str">
        <f>IF('Zoopl Count'!L18=0,"",('Zoopl Analysis'!L18*LN('Zoopl Analysis'!L18)))</f>
        <v/>
      </c>
      <c r="M18" s="36" t="str">
        <f>IF('Zoopl Count'!M18=0,"",('Zoopl Analysis'!M18*LN('Zoopl Analysis'!M18)))</f>
        <v/>
      </c>
      <c r="N18" s="36" t="str">
        <f>IF('Zoopl Count'!N18=0,"",('Zoopl Analysis'!N18*LN('Zoopl Analysis'!N18)))</f>
        <v/>
      </c>
      <c r="O18" s="36" t="str">
        <f>IF('Zoopl Count'!O18=0,"",('Zoopl Analysis'!O18*LN('Zoopl Analysis'!O18)))</f>
        <v/>
      </c>
      <c r="P18" s="36" t="str">
        <f>IF('Zoopl Count'!P18=0,"",('Zoopl Analysis'!P18*LN('Zoopl Analysis'!P18)))</f>
        <v/>
      </c>
    </row>
    <row r="19" spans="1:16" s="2" customFormat="1">
      <c r="A19" s="193"/>
      <c r="B19" s="193"/>
      <c r="C19" s="193"/>
      <c r="D19" s="195" t="s">
        <v>12</v>
      </c>
      <c r="E19" s="239" t="s">
        <v>353</v>
      </c>
      <c r="F19" s="195"/>
      <c r="G19" s="36" t="str">
        <f>IF('Zoopl Count'!G19=0,"",('Zoopl Analysis'!G19*LN('Zoopl Analysis'!G19)))</f>
        <v/>
      </c>
      <c r="H19" s="36" t="str">
        <f>IF('Zoopl Count'!H19=0,"",('Zoopl Analysis'!H19*LN('Zoopl Analysis'!H19)))</f>
        <v/>
      </c>
      <c r="I19" s="36" t="str">
        <f>IF('Zoopl Count'!I19=0,"",('Zoopl Analysis'!I19*LN('Zoopl Analysis'!I19)))</f>
        <v/>
      </c>
      <c r="J19" s="36" t="str">
        <f>IF('Zoopl Count'!J19=0,"",('Zoopl Analysis'!J19*LN('Zoopl Analysis'!J19)))</f>
        <v/>
      </c>
      <c r="K19" s="36" t="str">
        <f>IF('Zoopl Count'!K19=0,"",('Zoopl Analysis'!K19*LN('Zoopl Analysis'!K19)))</f>
        <v/>
      </c>
      <c r="L19" s="36" t="str">
        <f>IF('Zoopl Count'!L19=0,"",('Zoopl Analysis'!L19*LN('Zoopl Analysis'!L19)))</f>
        <v/>
      </c>
      <c r="M19" s="36" t="str">
        <f>IF('Zoopl Count'!M19=0,"",('Zoopl Analysis'!M19*LN('Zoopl Analysis'!M19)))</f>
        <v/>
      </c>
      <c r="N19" s="36" t="str">
        <f>IF('Zoopl Count'!N19=0,"",('Zoopl Analysis'!N19*LN('Zoopl Analysis'!N19)))</f>
        <v/>
      </c>
      <c r="O19" s="36" t="str">
        <f>IF('Zoopl Count'!O19=0,"",('Zoopl Analysis'!O19*LN('Zoopl Analysis'!O19)))</f>
        <v/>
      </c>
      <c r="P19" s="36" t="str">
        <f>IF('Zoopl Count'!P19=0,"",('Zoopl Analysis'!P19*LN('Zoopl Analysis'!P19)))</f>
        <v/>
      </c>
    </row>
    <row r="20" spans="1:16" s="2" customFormat="1">
      <c r="A20" s="193"/>
      <c r="B20" s="193"/>
      <c r="C20" s="193"/>
      <c r="D20" s="193"/>
      <c r="E20" s="195" t="s">
        <v>14</v>
      </c>
      <c r="F20" s="196" t="s">
        <v>354</v>
      </c>
      <c r="G20" s="36" t="str">
        <f>IF('Zoopl Count'!G20=0,"",('Zoopl Analysis'!G20*LN('Zoopl Analysis'!G20)))</f>
        <v/>
      </c>
      <c r="H20" s="36" t="str">
        <f>IF('Zoopl Count'!H20=0,"",('Zoopl Analysis'!H20*LN('Zoopl Analysis'!H20)))</f>
        <v/>
      </c>
      <c r="I20" s="36" t="str">
        <f>IF('Zoopl Count'!I20=0,"",('Zoopl Analysis'!I20*LN('Zoopl Analysis'!I20)))</f>
        <v/>
      </c>
      <c r="J20" s="36" t="str">
        <f>IF('Zoopl Count'!J20=0,"",('Zoopl Analysis'!J20*LN('Zoopl Analysis'!J20)))</f>
        <v/>
      </c>
      <c r="K20" s="36" t="str">
        <f>IF('Zoopl Count'!K20=0,"",('Zoopl Analysis'!K20*LN('Zoopl Analysis'!K20)))</f>
        <v/>
      </c>
      <c r="L20" s="36" t="str">
        <f>IF('Zoopl Count'!L20=0,"",('Zoopl Analysis'!L20*LN('Zoopl Analysis'!L20)))</f>
        <v/>
      </c>
      <c r="M20" s="36" t="str">
        <f>IF('Zoopl Count'!M20=0,"",('Zoopl Analysis'!M20*LN('Zoopl Analysis'!M20)))</f>
        <v/>
      </c>
      <c r="N20" s="36" t="str">
        <f>IF('Zoopl Count'!N20=0,"",('Zoopl Analysis'!N20*LN('Zoopl Analysis'!N20)))</f>
        <v/>
      </c>
      <c r="O20" s="36" t="str">
        <f>IF('Zoopl Count'!O20=0,"",('Zoopl Analysis'!O20*LN('Zoopl Analysis'!O20)))</f>
        <v/>
      </c>
      <c r="P20" s="36" t="str">
        <f>IF('Zoopl Count'!P20=0,"",('Zoopl Analysis'!P20*LN('Zoopl Analysis'!P20)))</f>
        <v/>
      </c>
    </row>
    <row r="21" spans="1:16" s="2" customFormat="1">
      <c r="A21" s="193"/>
      <c r="B21" s="193"/>
      <c r="C21" s="193"/>
      <c r="D21" s="195" t="s">
        <v>12</v>
      </c>
      <c r="E21" s="239" t="s">
        <v>356</v>
      </c>
      <c r="F21" s="195"/>
      <c r="G21" s="36" t="str">
        <f>IF('Zoopl Count'!G21=0,"",('Zoopl Analysis'!G21*LN('Zoopl Analysis'!G21)))</f>
        <v/>
      </c>
      <c r="H21" s="36" t="str">
        <f>IF('Zoopl Count'!H21=0,"",('Zoopl Analysis'!H21*LN('Zoopl Analysis'!H21)))</f>
        <v/>
      </c>
      <c r="I21" s="36" t="str">
        <f>IF('Zoopl Count'!I21=0,"",('Zoopl Analysis'!I21*LN('Zoopl Analysis'!I21)))</f>
        <v/>
      </c>
      <c r="J21" s="36" t="str">
        <f>IF('Zoopl Count'!J21=0,"",('Zoopl Analysis'!J21*LN('Zoopl Analysis'!J21)))</f>
        <v/>
      </c>
      <c r="K21" s="36" t="str">
        <f>IF('Zoopl Count'!K21=0,"",('Zoopl Analysis'!K21*LN('Zoopl Analysis'!K21)))</f>
        <v/>
      </c>
      <c r="L21" s="36" t="str">
        <f>IF('Zoopl Count'!L21=0,"",('Zoopl Analysis'!L21*LN('Zoopl Analysis'!L21)))</f>
        <v/>
      </c>
      <c r="M21" s="36" t="str">
        <f>IF('Zoopl Count'!M21=0,"",('Zoopl Analysis'!M21*LN('Zoopl Analysis'!M21)))</f>
        <v/>
      </c>
      <c r="N21" s="36" t="str">
        <f>IF('Zoopl Count'!N21=0,"",('Zoopl Analysis'!N21*LN('Zoopl Analysis'!N21)))</f>
        <v/>
      </c>
      <c r="O21" s="36" t="str">
        <f>IF('Zoopl Count'!O21=0,"",('Zoopl Analysis'!O21*LN('Zoopl Analysis'!O21)))</f>
        <v/>
      </c>
      <c r="P21" s="36" t="str">
        <f>IF('Zoopl Count'!P21=0,"",('Zoopl Analysis'!P21*LN('Zoopl Analysis'!P21)))</f>
        <v/>
      </c>
    </row>
    <row r="22" spans="1:16" s="2" customFormat="1">
      <c r="A22" s="193"/>
      <c r="B22" s="193"/>
      <c r="C22" s="193"/>
      <c r="D22" s="193"/>
      <c r="E22" s="195" t="s">
        <v>14</v>
      </c>
      <c r="F22" s="196" t="s">
        <v>355</v>
      </c>
      <c r="G22" s="36" t="str">
        <f>IF('Zoopl Count'!G22=0,"",('Zoopl Analysis'!G22*LN('Zoopl Analysis'!G22)))</f>
        <v/>
      </c>
      <c r="H22" s="36" t="str">
        <f>IF('Zoopl Count'!H22=0,"",('Zoopl Analysis'!H22*LN('Zoopl Analysis'!H22)))</f>
        <v/>
      </c>
      <c r="I22" s="36" t="str">
        <f>IF('Zoopl Count'!I22=0,"",('Zoopl Analysis'!I22*LN('Zoopl Analysis'!I22)))</f>
        <v/>
      </c>
      <c r="J22" s="36" t="str">
        <f>IF('Zoopl Count'!J22=0,"",('Zoopl Analysis'!J22*LN('Zoopl Analysis'!J22)))</f>
        <v/>
      </c>
      <c r="K22" s="36" t="str">
        <f>IF('Zoopl Count'!K22=0,"",('Zoopl Analysis'!K22*LN('Zoopl Analysis'!K22)))</f>
        <v/>
      </c>
      <c r="L22" s="36" t="str">
        <f>IF('Zoopl Count'!L22=0,"",('Zoopl Analysis'!L22*LN('Zoopl Analysis'!L22)))</f>
        <v/>
      </c>
      <c r="M22" s="36" t="str">
        <f>IF('Zoopl Count'!M22=0,"",('Zoopl Analysis'!M22*LN('Zoopl Analysis'!M22)))</f>
        <v/>
      </c>
      <c r="N22" s="36" t="str">
        <f>IF('Zoopl Count'!N22=0,"",('Zoopl Analysis'!N22*LN('Zoopl Analysis'!N22)))</f>
        <v/>
      </c>
      <c r="O22" s="36" t="str">
        <f>IF('Zoopl Count'!O22=0,"",('Zoopl Analysis'!O22*LN('Zoopl Analysis'!O22)))</f>
        <v/>
      </c>
      <c r="P22" s="36" t="str">
        <f>IF('Zoopl Count'!P22=0,"",('Zoopl Analysis'!P22*LN('Zoopl Analysis'!P22)))</f>
        <v/>
      </c>
    </row>
    <row r="23" spans="1:16" s="2" customFormat="1">
      <c r="A23" s="193"/>
      <c r="B23" s="193"/>
      <c r="C23" s="193"/>
      <c r="D23" s="193"/>
      <c r="E23" s="195"/>
      <c r="F23" s="196"/>
      <c r="G23" s="36" t="str">
        <f>IF('Zoopl Count'!G23=0,"",('Zoopl Analysis'!G23*LN('Zoopl Analysis'!G23)))</f>
        <v/>
      </c>
      <c r="H23" s="36" t="str">
        <f>IF('Zoopl Count'!H23=0,"",('Zoopl Analysis'!H23*LN('Zoopl Analysis'!H23)))</f>
        <v/>
      </c>
      <c r="I23" s="36" t="str">
        <f>IF('Zoopl Count'!I23=0,"",('Zoopl Analysis'!I23*LN('Zoopl Analysis'!I23)))</f>
        <v/>
      </c>
      <c r="J23" s="36" t="str">
        <f>IF('Zoopl Count'!J23=0,"",('Zoopl Analysis'!J23*LN('Zoopl Analysis'!J23)))</f>
        <v/>
      </c>
      <c r="K23" s="36" t="str">
        <f>IF('Zoopl Count'!K23=0,"",('Zoopl Analysis'!K23*LN('Zoopl Analysis'!K23)))</f>
        <v/>
      </c>
      <c r="L23" s="36" t="str">
        <f>IF('Zoopl Count'!L23=0,"",('Zoopl Analysis'!L23*LN('Zoopl Analysis'!L23)))</f>
        <v/>
      </c>
      <c r="M23" s="36" t="str">
        <f>IF('Zoopl Count'!M23=0,"",('Zoopl Analysis'!M23*LN('Zoopl Analysis'!M23)))</f>
        <v/>
      </c>
      <c r="N23" s="36" t="str">
        <f>IF('Zoopl Count'!N23=0,"",('Zoopl Analysis'!N23*LN('Zoopl Analysis'!N23)))</f>
        <v/>
      </c>
      <c r="O23" s="36" t="str">
        <f>IF('Zoopl Count'!O23=0,"",('Zoopl Analysis'!O23*LN('Zoopl Analysis'!O23)))</f>
        <v/>
      </c>
      <c r="P23" s="36" t="str">
        <f>IF('Zoopl Count'!P23=0,"",('Zoopl Analysis'!P23*LN('Zoopl Analysis'!P23)))</f>
        <v/>
      </c>
    </row>
    <row r="24" spans="1:16" s="2" customFormat="1">
      <c r="A24" s="46"/>
      <c r="B24" s="47" t="s">
        <v>79</v>
      </c>
      <c r="C24" s="2" t="s">
        <v>357</v>
      </c>
      <c r="D24" s="46"/>
      <c r="E24" s="46"/>
      <c r="F24" s="47"/>
      <c r="G24" s="36" t="str">
        <f>IF('Zoopl Count'!G24=0,"",('Zoopl Analysis'!G24*LN('Zoopl Analysis'!G24)))</f>
        <v/>
      </c>
      <c r="H24" s="36" t="str">
        <f>IF('Zoopl Count'!H24=0,"",('Zoopl Analysis'!H24*LN('Zoopl Analysis'!H24)))</f>
        <v/>
      </c>
      <c r="I24" s="36" t="str">
        <f>IF('Zoopl Count'!I24=0,"",('Zoopl Analysis'!I24*LN('Zoopl Analysis'!I24)))</f>
        <v/>
      </c>
      <c r="J24" s="36" t="str">
        <f>IF('Zoopl Count'!J24=0,"",('Zoopl Analysis'!J24*LN('Zoopl Analysis'!J24)))</f>
        <v/>
      </c>
      <c r="K24" s="36" t="str">
        <f>IF('Zoopl Count'!K24=0,"",('Zoopl Analysis'!K24*LN('Zoopl Analysis'!K24)))</f>
        <v/>
      </c>
      <c r="L24" s="36" t="str">
        <f>IF('Zoopl Count'!L24=0,"",('Zoopl Analysis'!L24*LN('Zoopl Analysis'!L24)))</f>
        <v/>
      </c>
      <c r="M24" s="36" t="str">
        <f>IF('Zoopl Count'!M24=0,"",('Zoopl Analysis'!M24*LN('Zoopl Analysis'!M24)))</f>
        <v/>
      </c>
      <c r="N24" s="36" t="str">
        <f>IF('Zoopl Count'!N24=0,"",('Zoopl Analysis'!N24*LN('Zoopl Analysis'!N24)))</f>
        <v/>
      </c>
      <c r="O24" s="36" t="str">
        <f>IF('Zoopl Count'!O24=0,"",('Zoopl Analysis'!O24*LN('Zoopl Analysis'!O24)))</f>
        <v/>
      </c>
      <c r="P24" s="36" t="str">
        <f>IF('Zoopl Count'!P24=0,"",('Zoopl Analysis'!P24*LN('Zoopl Analysis'!P24)))</f>
        <v/>
      </c>
    </row>
    <row r="25" spans="1:16" s="2" customFormat="1">
      <c r="A25" s="46"/>
      <c r="B25" s="46"/>
      <c r="C25" s="47" t="s">
        <v>10</v>
      </c>
      <c r="D25" s="2" t="s">
        <v>358</v>
      </c>
      <c r="E25" s="46"/>
      <c r="F25" s="47"/>
      <c r="G25" s="36" t="str">
        <f>IF('Zoopl Count'!G25=0,"",('Zoopl Analysis'!G25*LN('Zoopl Analysis'!G25)))</f>
        <v/>
      </c>
      <c r="H25" s="36" t="str">
        <f>IF('Zoopl Count'!H25=0,"",('Zoopl Analysis'!H25*LN('Zoopl Analysis'!H25)))</f>
        <v/>
      </c>
      <c r="I25" s="36" t="str">
        <f>IF('Zoopl Count'!I25=0,"",('Zoopl Analysis'!I25*LN('Zoopl Analysis'!I25)))</f>
        <v/>
      </c>
      <c r="J25" s="36" t="str">
        <f>IF('Zoopl Count'!J25=0,"",('Zoopl Analysis'!J25*LN('Zoopl Analysis'!J25)))</f>
        <v/>
      </c>
      <c r="K25" s="36" t="str">
        <f>IF('Zoopl Count'!K25=0,"",('Zoopl Analysis'!K25*LN('Zoopl Analysis'!K25)))</f>
        <v/>
      </c>
      <c r="L25" s="36" t="str">
        <f>IF('Zoopl Count'!L25=0,"",('Zoopl Analysis'!L25*LN('Zoopl Analysis'!L25)))</f>
        <v/>
      </c>
      <c r="M25" s="36" t="str">
        <f>IF('Zoopl Count'!M25=0,"",('Zoopl Analysis'!M25*LN('Zoopl Analysis'!M25)))</f>
        <v/>
      </c>
      <c r="N25" s="36" t="str">
        <f>IF('Zoopl Count'!N25=0,"",('Zoopl Analysis'!N25*LN('Zoopl Analysis'!N25)))</f>
        <v/>
      </c>
      <c r="O25" s="36" t="str">
        <f>IF('Zoopl Count'!O25=0,"",('Zoopl Analysis'!O25*LN('Zoopl Analysis'!O25)))</f>
        <v/>
      </c>
      <c r="P25" s="36" t="str">
        <f>IF('Zoopl Count'!P25=0,"",('Zoopl Analysis'!P25*LN('Zoopl Analysis'!P25)))</f>
        <v/>
      </c>
    </row>
    <row r="26" spans="1:16" s="2" customFormat="1">
      <c r="A26" s="193"/>
      <c r="B26" s="193"/>
      <c r="C26" s="193"/>
      <c r="D26" s="195" t="s">
        <v>12</v>
      </c>
      <c r="E26" s="239" t="s">
        <v>359</v>
      </c>
      <c r="F26" s="195"/>
      <c r="G26" s="36" t="str">
        <f>IF('Zoopl Count'!G26=0,"",('Zoopl Analysis'!G26*LN('Zoopl Analysis'!G26)))</f>
        <v/>
      </c>
      <c r="H26" s="36" t="str">
        <f>IF('Zoopl Count'!H26=0,"",('Zoopl Analysis'!H26*LN('Zoopl Analysis'!H26)))</f>
        <v/>
      </c>
      <c r="I26" s="36" t="str">
        <f>IF('Zoopl Count'!I26=0,"",('Zoopl Analysis'!I26*LN('Zoopl Analysis'!I26)))</f>
        <v/>
      </c>
      <c r="J26" s="36" t="str">
        <f>IF('Zoopl Count'!J26=0,"",('Zoopl Analysis'!J26*LN('Zoopl Analysis'!J26)))</f>
        <v/>
      </c>
      <c r="K26" s="36" t="str">
        <f>IF('Zoopl Count'!K26=0,"",('Zoopl Analysis'!K26*LN('Zoopl Analysis'!K26)))</f>
        <v/>
      </c>
      <c r="L26" s="36" t="str">
        <f>IF('Zoopl Count'!L26=0,"",('Zoopl Analysis'!L26*LN('Zoopl Analysis'!L26)))</f>
        <v/>
      </c>
      <c r="M26" s="36" t="str">
        <f>IF('Zoopl Count'!M26=0,"",('Zoopl Analysis'!M26*LN('Zoopl Analysis'!M26)))</f>
        <v/>
      </c>
      <c r="N26" s="36" t="str">
        <f>IF('Zoopl Count'!N26=0,"",('Zoopl Analysis'!N26*LN('Zoopl Analysis'!N26)))</f>
        <v/>
      </c>
      <c r="O26" s="36" t="str">
        <f>IF('Zoopl Count'!O26=0,"",('Zoopl Analysis'!O26*LN('Zoopl Analysis'!O26)))</f>
        <v/>
      </c>
      <c r="P26" s="36" t="str">
        <f>IF('Zoopl Count'!P26=0,"",('Zoopl Analysis'!P26*LN('Zoopl Analysis'!P26)))</f>
        <v/>
      </c>
    </row>
    <row r="27" spans="1:16" s="2" customFormat="1">
      <c r="A27" s="193"/>
      <c r="B27" s="193"/>
      <c r="C27" s="193"/>
      <c r="D27" s="193"/>
      <c r="E27" s="195" t="s">
        <v>14</v>
      </c>
      <c r="F27" s="196" t="s">
        <v>360</v>
      </c>
      <c r="G27" s="36" t="str">
        <f>IF('Zoopl Count'!G27=0,"",('Zoopl Analysis'!G27*LN('Zoopl Analysis'!G27)))</f>
        <v/>
      </c>
      <c r="H27" s="36" t="str">
        <f>IF('Zoopl Count'!H27=0,"",('Zoopl Analysis'!H27*LN('Zoopl Analysis'!H27)))</f>
        <v/>
      </c>
      <c r="I27" s="36" t="str">
        <f>IF('Zoopl Count'!I27=0,"",('Zoopl Analysis'!I27*LN('Zoopl Analysis'!I27)))</f>
        <v/>
      </c>
      <c r="J27" s="36" t="str">
        <f>IF('Zoopl Count'!J27=0,"",('Zoopl Analysis'!J27*LN('Zoopl Analysis'!J27)))</f>
        <v/>
      </c>
      <c r="K27" s="36" t="str">
        <f>IF('Zoopl Count'!K27=0,"",('Zoopl Analysis'!K27*LN('Zoopl Analysis'!K27)))</f>
        <v/>
      </c>
      <c r="L27" s="36" t="str">
        <f>IF('Zoopl Count'!L27=0,"",('Zoopl Analysis'!L27*LN('Zoopl Analysis'!L27)))</f>
        <v/>
      </c>
      <c r="M27" s="36" t="str">
        <f>IF('Zoopl Count'!M27=0,"",('Zoopl Analysis'!M27*LN('Zoopl Analysis'!M27)))</f>
        <v/>
      </c>
      <c r="N27" s="36" t="str">
        <f>IF('Zoopl Count'!N27=0,"",('Zoopl Analysis'!N27*LN('Zoopl Analysis'!N27)))</f>
        <v/>
      </c>
      <c r="O27" s="36" t="str">
        <f>IF('Zoopl Count'!O27=0,"",('Zoopl Analysis'!O27*LN('Zoopl Analysis'!O27)))</f>
        <v/>
      </c>
      <c r="P27" s="36" t="str">
        <f>IF('Zoopl Count'!P27=0,"",('Zoopl Analysis'!P27*LN('Zoopl Analysis'!P27)))</f>
        <v/>
      </c>
    </row>
    <row r="28" spans="1:16" s="2" customFormat="1">
      <c r="A28" s="193"/>
      <c r="B28" s="193"/>
      <c r="C28" s="193"/>
      <c r="D28" s="193"/>
      <c r="E28" s="195"/>
      <c r="F28" s="196"/>
      <c r="G28" s="36" t="str">
        <f>IF('Zoopl Count'!G28=0,"",('Zoopl Analysis'!G28*LN('Zoopl Analysis'!G28)))</f>
        <v/>
      </c>
      <c r="H28" s="36" t="str">
        <f>IF('Zoopl Count'!H28=0,"",('Zoopl Analysis'!H28*LN('Zoopl Analysis'!H28)))</f>
        <v/>
      </c>
      <c r="I28" s="36" t="str">
        <f>IF('Zoopl Count'!I28=0,"",('Zoopl Analysis'!I28*LN('Zoopl Analysis'!I28)))</f>
        <v/>
      </c>
      <c r="J28" s="36" t="str">
        <f>IF('Zoopl Count'!J28=0,"",('Zoopl Analysis'!J28*LN('Zoopl Analysis'!J28)))</f>
        <v/>
      </c>
      <c r="K28" s="36" t="str">
        <f>IF('Zoopl Count'!K28=0,"",('Zoopl Analysis'!K28*LN('Zoopl Analysis'!K28)))</f>
        <v/>
      </c>
      <c r="L28" s="36" t="str">
        <f>IF('Zoopl Count'!L28=0,"",('Zoopl Analysis'!L28*LN('Zoopl Analysis'!L28)))</f>
        <v/>
      </c>
      <c r="M28" s="36" t="str">
        <f>IF('Zoopl Count'!M28=0,"",('Zoopl Analysis'!M28*LN('Zoopl Analysis'!M28)))</f>
        <v/>
      </c>
      <c r="N28" s="36" t="str">
        <f>IF('Zoopl Count'!N28=0,"",('Zoopl Analysis'!N28*LN('Zoopl Analysis'!N28)))</f>
        <v/>
      </c>
      <c r="O28" s="36" t="str">
        <f>IF('Zoopl Count'!O28=0,"",('Zoopl Analysis'!O28*LN('Zoopl Analysis'!O28)))</f>
        <v/>
      </c>
      <c r="P28" s="36" t="str">
        <f>IF('Zoopl Count'!P28=0,"",('Zoopl Analysis'!P28*LN('Zoopl Analysis'!P28)))</f>
        <v/>
      </c>
    </row>
    <row r="29" spans="1:16" s="2" customFormat="1">
      <c r="A29" s="46"/>
      <c r="B29" s="47" t="s">
        <v>79</v>
      </c>
      <c r="C29" s="2" t="s">
        <v>361</v>
      </c>
      <c r="D29" s="46"/>
      <c r="E29" s="46"/>
      <c r="F29" s="47"/>
      <c r="G29" s="36" t="str">
        <f>IF('Zoopl Count'!G29=0,"",('Zoopl Analysis'!G29*LN('Zoopl Analysis'!G29)))</f>
        <v/>
      </c>
      <c r="H29" s="36" t="str">
        <f>IF('Zoopl Count'!H29=0,"",('Zoopl Analysis'!H29*LN('Zoopl Analysis'!H29)))</f>
        <v/>
      </c>
      <c r="I29" s="36" t="str">
        <f>IF('Zoopl Count'!I29=0,"",('Zoopl Analysis'!I29*LN('Zoopl Analysis'!I29)))</f>
        <v/>
      </c>
      <c r="J29" s="36" t="str">
        <f>IF('Zoopl Count'!J29=0,"",('Zoopl Analysis'!J29*LN('Zoopl Analysis'!J29)))</f>
        <v/>
      </c>
      <c r="K29" s="36" t="str">
        <f>IF('Zoopl Count'!K29=0,"",('Zoopl Analysis'!K29*LN('Zoopl Analysis'!K29)))</f>
        <v/>
      </c>
      <c r="L29" s="36" t="str">
        <f>IF('Zoopl Count'!L29=0,"",('Zoopl Analysis'!L29*LN('Zoopl Analysis'!L29)))</f>
        <v/>
      </c>
      <c r="M29" s="36" t="str">
        <f>IF('Zoopl Count'!M29=0,"",('Zoopl Analysis'!M29*LN('Zoopl Analysis'!M29)))</f>
        <v/>
      </c>
      <c r="N29" s="36" t="str">
        <f>IF('Zoopl Count'!N29=0,"",('Zoopl Analysis'!N29*LN('Zoopl Analysis'!N29)))</f>
        <v/>
      </c>
      <c r="O29" s="36" t="str">
        <f>IF('Zoopl Count'!O29=0,"",('Zoopl Analysis'!O29*LN('Zoopl Analysis'!O29)))</f>
        <v/>
      </c>
      <c r="P29" s="36" t="str">
        <f>IF('Zoopl Count'!P29=0,"",('Zoopl Analysis'!P29*LN('Zoopl Analysis'!P29)))</f>
        <v/>
      </c>
    </row>
    <row r="30" spans="1:16" s="2" customFormat="1">
      <c r="A30" s="46"/>
      <c r="B30" s="46"/>
      <c r="C30" s="47" t="s">
        <v>10</v>
      </c>
      <c r="D30" s="2" t="s">
        <v>362</v>
      </c>
      <c r="E30" s="46"/>
      <c r="F30" s="47"/>
      <c r="G30" s="36" t="str">
        <f>IF('Zoopl Count'!G30=0,"",('Zoopl Analysis'!G30*LN('Zoopl Analysis'!G30)))</f>
        <v/>
      </c>
      <c r="H30" s="36" t="str">
        <f>IF('Zoopl Count'!H30=0,"",('Zoopl Analysis'!H30*LN('Zoopl Analysis'!H30)))</f>
        <v/>
      </c>
      <c r="I30" s="36" t="str">
        <f>IF('Zoopl Count'!I30=0,"",('Zoopl Analysis'!I30*LN('Zoopl Analysis'!I30)))</f>
        <v/>
      </c>
      <c r="J30" s="36" t="str">
        <f>IF('Zoopl Count'!J30=0,"",('Zoopl Analysis'!J30*LN('Zoopl Analysis'!J30)))</f>
        <v/>
      </c>
      <c r="K30" s="36" t="str">
        <f>IF('Zoopl Count'!K30=0,"",('Zoopl Analysis'!K30*LN('Zoopl Analysis'!K30)))</f>
        <v/>
      </c>
      <c r="L30" s="36" t="str">
        <f>IF('Zoopl Count'!L30=0,"",('Zoopl Analysis'!L30*LN('Zoopl Analysis'!L30)))</f>
        <v/>
      </c>
      <c r="M30" s="36" t="str">
        <f>IF('Zoopl Count'!M30=0,"",('Zoopl Analysis'!M30*LN('Zoopl Analysis'!M30)))</f>
        <v/>
      </c>
      <c r="N30" s="36" t="str">
        <f>IF('Zoopl Count'!N30=0,"",('Zoopl Analysis'!N30*LN('Zoopl Analysis'!N30)))</f>
        <v/>
      </c>
      <c r="O30" s="36" t="str">
        <f>IF('Zoopl Count'!O30=0,"",('Zoopl Analysis'!O30*LN('Zoopl Analysis'!O30)))</f>
        <v/>
      </c>
      <c r="P30" s="36" t="str">
        <f>IF('Zoopl Count'!P30=0,"",('Zoopl Analysis'!P30*LN('Zoopl Analysis'!P30)))</f>
        <v/>
      </c>
    </row>
    <row r="31" spans="1:16" s="2" customFormat="1">
      <c r="A31" s="193"/>
      <c r="B31" s="193"/>
      <c r="C31" s="193"/>
      <c r="D31" s="195" t="s">
        <v>12</v>
      </c>
      <c r="E31" s="239" t="s">
        <v>363</v>
      </c>
      <c r="F31" s="195"/>
      <c r="G31" s="36" t="str">
        <f>IF('Zoopl Count'!G31=0,"",('Zoopl Analysis'!G31*LN('Zoopl Analysis'!G31)))</f>
        <v/>
      </c>
      <c r="H31" s="36" t="str">
        <f>IF('Zoopl Count'!H31=0,"",('Zoopl Analysis'!H31*LN('Zoopl Analysis'!H31)))</f>
        <v/>
      </c>
      <c r="I31" s="36" t="str">
        <f>IF('Zoopl Count'!I31=0,"",('Zoopl Analysis'!I31*LN('Zoopl Analysis'!I31)))</f>
        <v/>
      </c>
      <c r="J31" s="36" t="str">
        <f>IF('Zoopl Count'!J31=0,"",('Zoopl Analysis'!J31*LN('Zoopl Analysis'!J31)))</f>
        <v/>
      </c>
      <c r="K31" s="36" t="str">
        <f>IF('Zoopl Count'!K31=0,"",('Zoopl Analysis'!K31*LN('Zoopl Analysis'!K31)))</f>
        <v/>
      </c>
      <c r="L31" s="36" t="str">
        <f>IF('Zoopl Count'!L31=0,"",('Zoopl Analysis'!L31*LN('Zoopl Analysis'!L31)))</f>
        <v/>
      </c>
      <c r="M31" s="36" t="str">
        <f>IF('Zoopl Count'!M31=0,"",('Zoopl Analysis'!M31*LN('Zoopl Analysis'!M31)))</f>
        <v/>
      </c>
      <c r="N31" s="36" t="str">
        <f>IF('Zoopl Count'!N31=0,"",('Zoopl Analysis'!N31*LN('Zoopl Analysis'!N31)))</f>
        <v/>
      </c>
      <c r="O31" s="36" t="str">
        <f>IF('Zoopl Count'!O31=0,"",('Zoopl Analysis'!O31*LN('Zoopl Analysis'!O31)))</f>
        <v/>
      </c>
      <c r="P31" s="36" t="str">
        <f>IF('Zoopl Count'!P31=0,"",('Zoopl Analysis'!P31*LN('Zoopl Analysis'!P31)))</f>
        <v/>
      </c>
    </row>
    <row r="32" spans="1:16" s="2" customFormat="1">
      <c r="A32" s="193"/>
      <c r="B32" s="193"/>
      <c r="C32" s="193"/>
      <c r="D32" s="193"/>
      <c r="E32" s="195" t="s">
        <v>14</v>
      </c>
      <c r="F32" s="196" t="s">
        <v>364</v>
      </c>
      <c r="G32" s="36" t="str">
        <f>IF('Zoopl Count'!G32=0,"",('Zoopl Analysis'!G32*LN('Zoopl Analysis'!G32)))</f>
        <v/>
      </c>
      <c r="H32" s="36" t="str">
        <f>IF('Zoopl Count'!H32=0,"",('Zoopl Analysis'!H32*LN('Zoopl Analysis'!H32)))</f>
        <v/>
      </c>
      <c r="I32" s="36" t="str">
        <f>IF('Zoopl Count'!I32=0,"",('Zoopl Analysis'!I32*LN('Zoopl Analysis'!I32)))</f>
        <v/>
      </c>
      <c r="J32" s="36" t="str">
        <f>IF('Zoopl Count'!J32=0,"",('Zoopl Analysis'!J32*LN('Zoopl Analysis'!J32)))</f>
        <v/>
      </c>
      <c r="K32" s="36" t="str">
        <f>IF('Zoopl Count'!K32=0,"",('Zoopl Analysis'!K32*LN('Zoopl Analysis'!K32)))</f>
        <v/>
      </c>
      <c r="L32" s="36" t="str">
        <f>IF('Zoopl Count'!L32=0,"",('Zoopl Analysis'!L32*LN('Zoopl Analysis'!L32)))</f>
        <v/>
      </c>
      <c r="M32" s="36" t="str">
        <f>IF('Zoopl Count'!M32=0,"",('Zoopl Analysis'!M32*LN('Zoopl Analysis'!M32)))</f>
        <v/>
      </c>
      <c r="N32" s="36" t="str">
        <f>IF('Zoopl Count'!N32=0,"",('Zoopl Analysis'!N32*LN('Zoopl Analysis'!N32)))</f>
        <v/>
      </c>
      <c r="O32" s="36" t="str">
        <f>IF('Zoopl Count'!O32=0,"",('Zoopl Analysis'!O32*LN('Zoopl Analysis'!O32)))</f>
        <v/>
      </c>
      <c r="P32" s="36" t="str">
        <f>IF('Zoopl Count'!P32=0,"",('Zoopl Analysis'!P32*LN('Zoopl Analysis'!P32)))</f>
        <v/>
      </c>
    </row>
    <row r="33" spans="1:16" s="2" customFormat="1">
      <c r="A33" s="193"/>
      <c r="B33" s="193"/>
      <c r="C33" s="193"/>
      <c r="D33" s="193"/>
      <c r="E33" s="195"/>
      <c r="F33" s="196" t="s">
        <v>365</v>
      </c>
      <c r="G33" s="36" t="str">
        <f>IF('Zoopl Count'!G33=0,"",('Zoopl Analysis'!G33*LN('Zoopl Analysis'!G33)))</f>
        <v/>
      </c>
      <c r="H33" s="36" t="str">
        <f>IF('Zoopl Count'!H33=0,"",('Zoopl Analysis'!H33*LN('Zoopl Analysis'!H33)))</f>
        <v/>
      </c>
      <c r="I33" s="36" t="str">
        <f>IF('Zoopl Count'!I33=0,"",('Zoopl Analysis'!I33*LN('Zoopl Analysis'!I33)))</f>
        <v/>
      </c>
      <c r="J33" s="36" t="str">
        <f>IF('Zoopl Count'!J33=0,"",('Zoopl Analysis'!J33*LN('Zoopl Analysis'!J33)))</f>
        <v/>
      </c>
      <c r="K33" s="36" t="str">
        <f>IF('Zoopl Count'!K33=0,"",('Zoopl Analysis'!K33*LN('Zoopl Analysis'!K33)))</f>
        <v/>
      </c>
      <c r="L33" s="36" t="str">
        <f>IF('Zoopl Count'!L33=0,"",('Zoopl Analysis'!L33*LN('Zoopl Analysis'!L33)))</f>
        <v/>
      </c>
      <c r="M33" s="36" t="str">
        <f>IF('Zoopl Count'!M33=0,"",('Zoopl Analysis'!M33*LN('Zoopl Analysis'!M33)))</f>
        <v/>
      </c>
      <c r="N33" s="36" t="str">
        <f>IF('Zoopl Count'!N33=0,"",('Zoopl Analysis'!N33*LN('Zoopl Analysis'!N33)))</f>
        <v/>
      </c>
      <c r="O33" s="36" t="str">
        <f>IF('Zoopl Count'!O33=0,"",('Zoopl Analysis'!O33*LN('Zoopl Analysis'!O33)))</f>
        <v/>
      </c>
      <c r="P33" s="36" t="str">
        <f>IF('Zoopl Count'!P33=0,"",('Zoopl Analysis'!P33*LN('Zoopl Analysis'!P33)))</f>
        <v/>
      </c>
    </row>
    <row r="34" spans="1:16" s="2" customFormat="1">
      <c r="A34" s="193"/>
      <c r="B34" s="193"/>
      <c r="C34" s="193"/>
      <c r="D34" s="193"/>
      <c r="E34" s="195"/>
      <c r="F34" s="196" t="s">
        <v>366</v>
      </c>
      <c r="G34" s="36" t="str">
        <f>IF('Zoopl Count'!G34=0,"",('Zoopl Analysis'!G34*LN('Zoopl Analysis'!G34)))</f>
        <v/>
      </c>
      <c r="H34" s="36" t="str">
        <f>IF('Zoopl Count'!H34=0,"",('Zoopl Analysis'!H34*LN('Zoopl Analysis'!H34)))</f>
        <v/>
      </c>
      <c r="I34" s="36" t="str">
        <f>IF('Zoopl Count'!I34=0,"",('Zoopl Analysis'!I34*LN('Zoopl Analysis'!I34)))</f>
        <v/>
      </c>
      <c r="J34" s="36" t="str">
        <f>IF('Zoopl Count'!J34=0,"",('Zoopl Analysis'!J34*LN('Zoopl Analysis'!J34)))</f>
        <v/>
      </c>
      <c r="K34" s="36" t="str">
        <f>IF('Zoopl Count'!K34=0,"",('Zoopl Analysis'!K34*LN('Zoopl Analysis'!K34)))</f>
        <v/>
      </c>
      <c r="L34" s="36" t="str">
        <f>IF('Zoopl Count'!L34=0,"",('Zoopl Analysis'!L34*LN('Zoopl Analysis'!L34)))</f>
        <v/>
      </c>
      <c r="M34" s="36" t="str">
        <f>IF('Zoopl Count'!M34=0,"",('Zoopl Analysis'!M34*LN('Zoopl Analysis'!M34)))</f>
        <v/>
      </c>
      <c r="N34" s="36" t="str">
        <f>IF('Zoopl Count'!N34=0,"",('Zoopl Analysis'!N34*LN('Zoopl Analysis'!N34)))</f>
        <v/>
      </c>
      <c r="O34" s="36" t="str">
        <f>IF('Zoopl Count'!O34=0,"",('Zoopl Analysis'!O34*LN('Zoopl Analysis'!O34)))</f>
        <v/>
      </c>
      <c r="P34" s="36" t="str">
        <f>IF('Zoopl Count'!P34=0,"",('Zoopl Analysis'!P34*LN('Zoopl Analysis'!P34)))</f>
        <v/>
      </c>
    </row>
    <row r="35" spans="1:16" s="2" customFormat="1">
      <c r="F35" s="21"/>
      <c r="G35" s="36" t="str">
        <f>IF('Zoopl Count'!G35=0,"",('Zoopl Analysis'!G35*LN('Zoopl Analysis'!G35)))</f>
        <v/>
      </c>
      <c r="H35" s="36" t="str">
        <f>IF('Zoopl Count'!H35=0,"",('Zoopl Analysis'!H35*LN('Zoopl Analysis'!H35)))</f>
        <v/>
      </c>
      <c r="I35" s="36" t="str">
        <f>IF('Zoopl Count'!I35=0,"",('Zoopl Analysis'!I35*LN('Zoopl Analysis'!I35)))</f>
        <v/>
      </c>
      <c r="J35" s="36" t="str">
        <f>IF('Zoopl Count'!J35=0,"",('Zoopl Analysis'!J35*LN('Zoopl Analysis'!J35)))</f>
        <v/>
      </c>
      <c r="K35" s="36" t="str">
        <f>IF('Zoopl Count'!K35=0,"",('Zoopl Analysis'!K35*LN('Zoopl Analysis'!K35)))</f>
        <v/>
      </c>
      <c r="L35" s="36" t="str">
        <f>IF('Zoopl Count'!L35=0,"",('Zoopl Analysis'!L35*LN('Zoopl Analysis'!L35)))</f>
        <v/>
      </c>
      <c r="M35" s="36" t="str">
        <f>IF('Zoopl Count'!M35=0,"",('Zoopl Analysis'!M35*LN('Zoopl Analysis'!M35)))</f>
        <v/>
      </c>
      <c r="N35" s="36" t="str">
        <f>IF('Zoopl Count'!N35=0,"",('Zoopl Analysis'!N35*LN('Zoopl Analysis'!N35)))</f>
        <v/>
      </c>
      <c r="O35" s="36" t="str">
        <f>IF('Zoopl Count'!O35=0,"",('Zoopl Analysis'!O35*LN('Zoopl Analysis'!O35)))</f>
        <v/>
      </c>
      <c r="P35" s="36" t="str">
        <f>IF('Zoopl Count'!P35=0,"",('Zoopl Analysis'!P35*LN('Zoopl Analysis'!P35)))</f>
        <v/>
      </c>
    </row>
    <row r="36" spans="1:16" s="2" customFormat="1">
      <c r="A36" s="39" t="s">
        <v>7</v>
      </c>
      <c r="B36" s="2" t="s">
        <v>188</v>
      </c>
      <c r="F36" s="21"/>
      <c r="G36" s="36" t="str">
        <f>IF('Zoopl Count'!G36=0,"",('Zoopl Analysis'!G36*LN('Zoopl Analysis'!G36)))</f>
        <v/>
      </c>
      <c r="H36" s="36" t="str">
        <f>IF('Zoopl Count'!H36=0,"",('Zoopl Analysis'!H36*LN('Zoopl Analysis'!H36)))</f>
        <v/>
      </c>
      <c r="I36" s="36" t="str">
        <f>IF('Zoopl Count'!I36=0,"",('Zoopl Analysis'!I36*LN('Zoopl Analysis'!I36)))</f>
        <v/>
      </c>
      <c r="J36" s="36" t="str">
        <f>IF('Zoopl Count'!J36=0,"",('Zoopl Analysis'!J36*LN('Zoopl Analysis'!J36)))</f>
        <v/>
      </c>
      <c r="K36" s="36" t="str">
        <f>IF('Zoopl Count'!K36=0,"",('Zoopl Analysis'!K36*LN('Zoopl Analysis'!K36)))</f>
        <v/>
      </c>
      <c r="L36" s="36" t="str">
        <f>IF('Zoopl Count'!L36=0,"",('Zoopl Analysis'!L36*LN('Zoopl Analysis'!L36)))</f>
        <v/>
      </c>
      <c r="M36" s="36" t="str">
        <f>IF('Zoopl Count'!M36=0,"",('Zoopl Analysis'!M36*LN('Zoopl Analysis'!M36)))</f>
        <v/>
      </c>
      <c r="N36" s="36" t="str">
        <f>IF('Zoopl Count'!N36=0,"",('Zoopl Analysis'!N36*LN('Zoopl Analysis'!N36)))</f>
        <v/>
      </c>
      <c r="O36" s="36" t="str">
        <f>IF('Zoopl Count'!O36=0,"",('Zoopl Analysis'!O36*LN('Zoopl Analysis'!O36)))</f>
        <v/>
      </c>
      <c r="P36" s="36" t="str">
        <f>IF('Zoopl Count'!P36=0,"",('Zoopl Analysis'!P36*LN('Zoopl Analysis'!P36)))</f>
        <v/>
      </c>
    </row>
    <row r="37" spans="1:16" s="2" customFormat="1">
      <c r="B37" s="40" t="s">
        <v>79</v>
      </c>
      <c r="C37" s="2" t="s">
        <v>189</v>
      </c>
      <c r="F37" s="21"/>
      <c r="G37" s="36" t="str">
        <f>IF('Zoopl Count'!G37=0,"",('Zoopl Analysis'!G37*LN('Zoopl Analysis'!G37)))</f>
        <v/>
      </c>
      <c r="H37" s="36" t="str">
        <f>IF('Zoopl Count'!H37=0,"",('Zoopl Analysis'!H37*LN('Zoopl Analysis'!H37)))</f>
        <v/>
      </c>
      <c r="I37" s="36" t="str">
        <f>IF('Zoopl Count'!I37=0,"",('Zoopl Analysis'!I37*LN('Zoopl Analysis'!I37)))</f>
        <v/>
      </c>
      <c r="J37" s="36" t="str">
        <f>IF('Zoopl Count'!J37=0,"",('Zoopl Analysis'!J37*LN('Zoopl Analysis'!J37)))</f>
        <v/>
      </c>
      <c r="K37" s="36" t="str">
        <f>IF('Zoopl Count'!K37=0,"",('Zoopl Analysis'!K37*LN('Zoopl Analysis'!K37)))</f>
        <v/>
      </c>
      <c r="L37" s="36" t="str">
        <f>IF('Zoopl Count'!L37=0,"",('Zoopl Analysis'!L37*LN('Zoopl Analysis'!L37)))</f>
        <v/>
      </c>
      <c r="M37" s="36" t="str">
        <f>IF('Zoopl Count'!M37=0,"",('Zoopl Analysis'!M37*LN('Zoopl Analysis'!M37)))</f>
        <v/>
      </c>
      <c r="N37" s="36" t="str">
        <f>IF('Zoopl Count'!N37=0,"",('Zoopl Analysis'!N37*LN('Zoopl Analysis'!N37)))</f>
        <v/>
      </c>
      <c r="O37" s="36" t="str">
        <f>IF('Zoopl Count'!O37=0,"",('Zoopl Analysis'!O37*LN('Zoopl Analysis'!O37)))</f>
        <v/>
      </c>
      <c r="P37" s="36" t="str">
        <f>IF('Zoopl Count'!P37=0,"",('Zoopl Analysis'!P37*LN('Zoopl Analysis'!P37)))</f>
        <v/>
      </c>
    </row>
    <row r="38" spans="1:16" s="2" customFormat="1">
      <c r="C38" s="40" t="s">
        <v>10</v>
      </c>
      <c r="D38" s="2" t="s">
        <v>190</v>
      </c>
      <c r="F38" s="21"/>
      <c r="G38" s="36" t="str">
        <f>IF('Zoopl Count'!G38=0,"",('Zoopl Analysis'!G38*LN('Zoopl Analysis'!G38)))</f>
        <v/>
      </c>
      <c r="H38" s="36" t="str">
        <f>IF('Zoopl Count'!H38=0,"",('Zoopl Analysis'!H38*LN('Zoopl Analysis'!H38)))</f>
        <v/>
      </c>
      <c r="I38" s="36" t="str">
        <f>IF('Zoopl Count'!I38=0,"",('Zoopl Analysis'!I38*LN('Zoopl Analysis'!I38)))</f>
        <v/>
      </c>
      <c r="J38" s="36" t="str">
        <f>IF('Zoopl Count'!J38=0,"",('Zoopl Analysis'!J38*LN('Zoopl Analysis'!J38)))</f>
        <v/>
      </c>
      <c r="K38" s="36" t="str">
        <f>IF('Zoopl Count'!K38=0,"",('Zoopl Analysis'!K38*LN('Zoopl Analysis'!K38)))</f>
        <v/>
      </c>
      <c r="L38" s="36" t="str">
        <f>IF('Zoopl Count'!L38=0,"",('Zoopl Analysis'!L38*LN('Zoopl Analysis'!L38)))</f>
        <v/>
      </c>
      <c r="M38" s="36" t="str">
        <f>IF('Zoopl Count'!M38=0,"",('Zoopl Analysis'!M38*LN('Zoopl Analysis'!M38)))</f>
        <v/>
      </c>
      <c r="N38" s="36" t="str">
        <f>IF('Zoopl Count'!N38=0,"",('Zoopl Analysis'!N38*LN('Zoopl Analysis'!N38)))</f>
        <v/>
      </c>
      <c r="O38" s="36" t="str">
        <f>IF('Zoopl Count'!O38=0,"",('Zoopl Analysis'!O38*LN('Zoopl Analysis'!O38)))</f>
        <v/>
      </c>
      <c r="P38" s="36" t="str">
        <f>IF('Zoopl Count'!P38=0,"",('Zoopl Analysis'!P38*LN('Zoopl Analysis'!P38)))</f>
        <v/>
      </c>
    </row>
    <row r="39" spans="1:16" s="2" customFormat="1">
      <c r="D39" s="40" t="s">
        <v>12</v>
      </c>
      <c r="E39" s="42" t="s">
        <v>191</v>
      </c>
      <c r="F39" s="43"/>
      <c r="G39" s="36" t="str">
        <f>IF('Zoopl Count'!G39=0,"",('Zoopl Analysis'!G39*LN('Zoopl Analysis'!G39)))</f>
        <v/>
      </c>
      <c r="H39" s="36" t="str">
        <f>IF('Zoopl Count'!H39=0,"",('Zoopl Analysis'!H39*LN('Zoopl Analysis'!H39)))</f>
        <v/>
      </c>
      <c r="I39" s="36" t="str">
        <f>IF('Zoopl Count'!I39=0,"",('Zoopl Analysis'!I39*LN('Zoopl Analysis'!I39)))</f>
        <v/>
      </c>
      <c r="J39" s="36" t="str">
        <f>IF('Zoopl Count'!J39=0,"",('Zoopl Analysis'!J39*LN('Zoopl Analysis'!J39)))</f>
        <v/>
      </c>
      <c r="K39" s="36" t="str">
        <f>IF('Zoopl Count'!K39=0,"",('Zoopl Analysis'!K39*LN('Zoopl Analysis'!K39)))</f>
        <v/>
      </c>
      <c r="L39" s="36" t="str">
        <f>IF('Zoopl Count'!L39=0,"",('Zoopl Analysis'!L39*LN('Zoopl Analysis'!L39)))</f>
        <v/>
      </c>
      <c r="M39" s="36" t="str">
        <f>IF('Zoopl Count'!M39=0,"",('Zoopl Analysis'!M39*LN('Zoopl Analysis'!M39)))</f>
        <v/>
      </c>
      <c r="N39" s="36" t="str">
        <f>IF('Zoopl Count'!N39=0,"",('Zoopl Analysis'!N39*LN('Zoopl Analysis'!N39)))</f>
        <v/>
      </c>
      <c r="O39" s="36" t="str">
        <f>IF('Zoopl Count'!O39=0,"",('Zoopl Analysis'!O39*LN('Zoopl Analysis'!O39)))</f>
        <v/>
      </c>
      <c r="P39" s="36" t="str">
        <f>IF('Zoopl Count'!P39=0,"",('Zoopl Analysis'!P39*LN('Zoopl Analysis'!P39)))</f>
        <v/>
      </c>
    </row>
    <row r="40" spans="1:16" s="2" customFormat="1">
      <c r="E40" s="40" t="s">
        <v>14</v>
      </c>
      <c r="F40" s="44" t="s">
        <v>192</v>
      </c>
      <c r="G40" s="36" t="str">
        <f>IF('Zoopl Count'!G40=0,"",('Zoopl Analysis'!G40*LN('Zoopl Analysis'!G40)))</f>
        <v/>
      </c>
      <c r="H40" s="36" t="str">
        <f>IF('Zoopl Count'!H40=0,"",('Zoopl Analysis'!H40*LN('Zoopl Analysis'!H40)))</f>
        <v/>
      </c>
      <c r="I40" s="36" t="str">
        <f>IF('Zoopl Count'!I40=0,"",('Zoopl Analysis'!I40*LN('Zoopl Analysis'!I40)))</f>
        <v/>
      </c>
      <c r="J40" s="36" t="str">
        <f>IF('Zoopl Count'!J40=0,"",('Zoopl Analysis'!J40*LN('Zoopl Analysis'!J40)))</f>
        <v/>
      </c>
      <c r="K40" s="36" t="str">
        <f>IF('Zoopl Count'!K40=0,"",('Zoopl Analysis'!K40*LN('Zoopl Analysis'!K40)))</f>
        <v/>
      </c>
      <c r="L40" s="36" t="str">
        <f>IF('Zoopl Count'!L40=0,"",('Zoopl Analysis'!L40*LN('Zoopl Analysis'!L40)))</f>
        <v/>
      </c>
      <c r="M40" s="36" t="str">
        <f>IF('Zoopl Count'!M40=0,"",('Zoopl Analysis'!M40*LN('Zoopl Analysis'!M40)))</f>
        <v/>
      </c>
      <c r="N40" s="36" t="str">
        <f>IF('Zoopl Count'!N40=0,"",('Zoopl Analysis'!N40*LN('Zoopl Analysis'!N40)))</f>
        <v/>
      </c>
      <c r="O40" s="36" t="str">
        <f>IF('Zoopl Count'!O40=0,"",('Zoopl Analysis'!O40*LN('Zoopl Analysis'!O40)))</f>
        <v/>
      </c>
      <c r="P40" s="36" t="str">
        <f>IF('Zoopl Count'!P40=0,"",('Zoopl Analysis'!P40*LN('Zoopl Analysis'!P40)))</f>
        <v/>
      </c>
    </row>
    <row r="41" spans="1:16" s="2" customFormat="1">
      <c r="F41" s="21"/>
      <c r="G41" s="36" t="str">
        <f>IF('Zoopl Count'!G41=0,"",('Zoopl Analysis'!G41*LN('Zoopl Analysis'!G41)))</f>
        <v/>
      </c>
      <c r="H41" s="36" t="str">
        <f>IF('Zoopl Count'!H41=0,"",('Zoopl Analysis'!H41*LN('Zoopl Analysis'!H41)))</f>
        <v/>
      </c>
      <c r="I41" s="36" t="str">
        <f>IF('Zoopl Count'!I41=0,"",('Zoopl Analysis'!I41*LN('Zoopl Analysis'!I41)))</f>
        <v/>
      </c>
      <c r="J41" s="36" t="str">
        <f>IF('Zoopl Count'!J41=0,"",('Zoopl Analysis'!J41*LN('Zoopl Analysis'!J41)))</f>
        <v/>
      </c>
      <c r="K41" s="36" t="str">
        <f>IF('Zoopl Count'!K41=0,"",('Zoopl Analysis'!K41*LN('Zoopl Analysis'!K41)))</f>
        <v/>
      </c>
      <c r="L41" s="36" t="str">
        <f>IF('Zoopl Count'!L41=0,"",('Zoopl Analysis'!L41*LN('Zoopl Analysis'!L41)))</f>
        <v/>
      </c>
      <c r="M41" s="36" t="str">
        <f>IF('Zoopl Count'!M41=0,"",('Zoopl Analysis'!M41*LN('Zoopl Analysis'!M41)))</f>
        <v/>
      </c>
      <c r="N41" s="36" t="str">
        <f>IF('Zoopl Count'!N41=0,"",('Zoopl Analysis'!N41*LN('Zoopl Analysis'!N41)))</f>
        <v/>
      </c>
      <c r="O41" s="36" t="str">
        <f>IF('Zoopl Count'!O41=0,"",('Zoopl Analysis'!O41*LN('Zoopl Analysis'!O41)))</f>
        <v/>
      </c>
      <c r="P41" s="36" t="str">
        <f>IF('Zoopl Count'!P41=0,"",('Zoopl Analysis'!P41*LN('Zoopl Analysis'!P41)))</f>
        <v/>
      </c>
    </row>
    <row r="42" spans="1:16">
      <c r="G42" s="36" t="str">
        <f>IF('Zoopl Count'!G42=0,"",('Zoopl Analysis'!G42*LN('Zoopl Analysis'!G42)))</f>
        <v/>
      </c>
      <c r="H42" s="36" t="str">
        <f>IF('Zoopl Count'!H42=0,"",('Zoopl Analysis'!H42*LN('Zoopl Analysis'!H42)))</f>
        <v/>
      </c>
      <c r="I42" s="36" t="str">
        <f>IF('Zoopl Count'!I42=0,"",('Zoopl Analysis'!I42*LN('Zoopl Analysis'!I42)))</f>
        <v/>
      </c>
      <c r="J42" s="36" t="str">
        <f>IF('Zoopl Count'!J42=0,"",('Zoopl Analysis'!J42*LN('Zoopl Analysis'!J42)))</f>
        <v/>
      </c>
      <c r="K42" s="36" t="str">
        <f>IF('Zoopl Count'!K42=0,"",('Zoopl Analysis'!K42*LN('Zoopl Analysis'!K42)))</f>
        <v/>
      </c>
      <c r="L42" s="36" t="str">
        <f>IF('Zoopl Count'!L42=0,"",('Zoopl Analysis'!L42*LN('Zoopl Analysis'!L42)))</f>
        <v/>
      </c>
      <c r="M42" s="36" t="str">
        <f>IF('Zoopl Count'!M42=0,"",('Zoopl Analysis'!M42*LN('Zoopl Analysis'!M42)))</f>
        <v/>
      </c>
      <c r="N42" s="36" t="str">
        <f>IF('Zoopl Count'!N42=0,"",('Zoopl Analysis'!N42*LN('Zoopl Analysis'!N42)))</f>
        <v/>
      </c>
      <c r="O42" s="36" t="str">
        <f>IF('Zoopl Count'!O42=0,"",('Zoopl Analysis'!O42*LN('Zoopl Analysis'!O42)))</f>
        <v/>
      </c>
      <c r="P42" s="36" t="str">
        <f>IF('Zoopl Count'!P42=0,"",('Zoopl Analysis'!P42*LN('Zoopl Analysis'!P42)))</f>
        <v/>
      </c>
    </row>
    <row r="43" spans="1:16">
      <c r="A43" s="8" t="s">
        <v>7</v>
      </c>
      <c r="B43" s="2" t="s">
        <v>151</v>
      </c>
      <c r="C43" s="2"/>
      <c r="D43" s="2"/>
      <c r="E43" s="2"/>
      <c r="F43" s="21"/>
      <c r="G43" s="36" t="str">
        <f>IF('Zoopl Count'!G43=0,"",('Zoopl Analysis'!G43*LN('Zoopl Analysis'!G43)))</f>
        <v/>
      </c>
      <c r="H43" s="36" t="str">
        <f>IF('Zoopl Count'!H43=0,"",('Zoopl Analysis'!H43*LN('Zoopl Analysis'!H43)))</f>
        <v/>
      </c>
      <c r="I43" s="36" t="str">
        <f>IF('Zoopl Count'!I43=0,"",('Zoopl Analysis'!I43*LN('Zoopl Analysis'!I43)))</f>
        <v/>
      </c>
      <c r="J43" s="36" t="str">
        <f>IF('Zoopl Count'!J43=0,"",('Zoopl Analysis'!J43*LN('Zoopl Analysis'!J43)))</f>
        <v/>
      </c>
      <c r="K43" s="36" t="str">
        <f>IF('Zoopl Count'!K43=0,"",('Zoopl Analysis'!K43*LN('Zoopl Analysis'!K43)))</f>
        <v/>
      </c>
      <c r="L43" s="36" t="str">
        <f>IF('Zoopl Count'!L43=0,"",('Zoopl Analysis'!L43*LN('Zoopl Analysis'!L43)))</f>
        <v/>
      </c>
      <c r="M43" s="36" t="str">
        <f>IF('Zoopl Count'!M43=0,"",('Zoopl Analysis'!M43*LN('Zoopl Analysis'!M43)))</f>
        <v/>
      </c>
      <c r="N43" s="36" t="str">
        <f>IF('Zoopl Count'!N43=0,"",('Zoopl Analysis'!N43*LN('Zoopl Analysis'!N43)))</f>
        <v/>
      </c>
      <c r="O43" s="36" t="str">
        <f>IF('Zoopl Count'!O43=0,"",('Zoopl Analysis'!O43*LN('Zoopl Analysis'!O43)))</f>
        <v/>
      </c>
      <c r="P43" s="36" t="str">
        <f>IF('Zoopl Count'!P43=0,"",('Zoopl Analysis'!P43*LN('Zoopl Analysis'!P43)))</f>
        <v/>
      </c>
    </row>
    <row r="44" spans="1:16">
      <c r="A44" s="2"/>
      <c r="B44" s="8" t="s">
        <v>79</v>
      </c>
      <c r="C44" s="2" t="s">
        <v>318</v>
      </c>
      <c r="D44" s="2"/>
      <c r="E44" s="2"/>
      <c r="F44" s="21"/>
      <c r="G44" s="36" t="str">
        <f>IF('Zoopl Count'!G44=0,"",('Zoopl Analysis'!G44*LN('Zoopl Analysis'!G44)))</f>
        <v/>
      </c>
      <c r="H44" s="36" t="str">
        <f>IF('Zoopl Count'!H44=0,"",('Zoopl Analysis'!H44*LN('Zoopl Analysis'!H44)))</f>
        <v/>
      </c>
      <c r="I44" s="36" t="str">
        <f>IF('Zoopl Count'!I44=0,"",('Zoopl Analysis'!I44*LN('Zoopl Analysis'!I44)))</f>
        <v/>
      </c>
      <c r="J44" s="36" t="str">
        <f>IF('Zoopl Count'!J44=0,"",('Zoopl Analysis'!J44*LN('Zoopl Analysis'!J44)))</f>
        <v/>
      </c>
      <c r="K44" s="36" t="str">
        <f>IF('Zoopl Count'!K44=0,"",('Zoopl Analysis'!K44*LN('Zoopl Analysis'!K44)))</f>
        <v/>
      </c>
      <c r="L44" s="36" t="str">
        <f>IF('Zoopl Count'!L44=0,"",('Zoopl Analysis'!L44*LN('Zoopl Analysis'!L44)))</f>
        <v/>
      </c>
      <c r="M44" s="36" t="str">
        <f>IF('Zoopl Count'!M44=0,"",('Zoopl Analysis'!M44*LN('Zoopl Analysis'!M44)))</f>
        <v/>
      </c>
      <c r="N44" s="36" t="str">
        <f>IF('Zoopl Count'!N44=0,"",('Zoopl Analysis'!N44*LN('Zoopl Analysis'!N44)))</f>
        <v/>
      </c>
      <c r="O44" s="36" t="str">
        <f>IF('Zoopl Count'!O44=0,"",('Zoopl Analysis'!O44*LN('Zoopl Analysis'!O44)))</f>
        <v/>
      </c>
      <c r="P44" s="36" t="str">
        <f>IF('Zoopl Count'!P44=0,"",('Zoopl Analysis'!P44*LN('Zoopl Analysis'!P44)))</f>
        <v/>
      </c>
    </row>
    <row r="45" spans="1:16">
      <c r="A45" s="2"/>
      <c r="B45" s="8"/>
      <c r="C45" s="8" t="s">
        <v>10</v>
      </c>
      <c r="D45" s="2" t="s">
        <v>319</v>
      </c>
      <c r="E45" s="2"/>
      <c r="F45" s="21"/>
      <c r="G45" s="36" t="str">
        <f>IF('Zoopl Count'!G45=0,"",('Zoopl Analysis'!G45*LN('Zoopl Analysis'!G45)))</f>
        <v/>
      </c>
      <c r="H45" s="36" t="str">
        <f>IF('Zoopl Count'!H45=0,"",('Zoopl Analysis'!H45*LN('Zoopl Analysis'!H45)))</f>
        <v/>
      </c>
      <c r="I45" s="36" t="str">
        <f>IF('Zoopl Count'!I45=0,"",('Zoopl Analysis'!I45*LN('Zoopl Analysis'!I45)))</f>
        <v/>
      </c>
      <c r="J45" s="36" t="str">
        <f>IF('Zoopl Count'!J45=0,"",('Zoopl Analysis'!J45*LN('Zoopl Analysis'!J45)))</f>
        <v/>
      </c>
      <c r="K45" s="36" t="str">
        <f>IF('Zoopl Count'!K45=0,"",('Zoopl Analysis'!K45*LN('Zoopl Analysis'!K45)))</f>
        <v/>
      </c>
      <c r="L45" s="36" t="str">
        <f>IF('Zoopl Count'!L45=0,"",('Zoopl Analysis'!L45*LN('Zoopl Analysis'!L45)))</f>
        <v/>
      </c>
      <c r="M45" s="36" t="str">
        <f>IF('Zoopl Count'!M45=0,"",('Zoopl Analysis'!M45*LN('Zoopl Analysis'!M45)))</f>
        <v/>
      </c>
      <c r="N45" s="36" t="str">
        <f>IF('Zoopl Count'!N45=0,"",('Zoopl Analysis'!N45*LN('Zoopl Analysis'!N45)))</f>
        <v/>
      </c>
      <c r="O45" s="36" t="str">
        <f>IF('Zoopl Count'!O45=0,"",('Zoopl Analysis'!O45*LN('Zoopl Analysis'!O45)))</f>
        <v/>
      </c>
      <c r="P45" s="36" t="str">
        <f>IF('Zoopl Count'!P45=0,"",('Zoopl Analysis'!P45*LN('Zoopl Analysis'!P45)))</f>
        <v/>
      </c>
    </row>
    <row r="46" spans="1:16">
      <c r="D46" s="8" t="s">
        <v>12</v>
      </c>
      <c r="E46" s="6" t="s">
        <v>154</v>
      </c>
      <c r="G46" s="36" t="str">
        <f>IF('Zoopl Count'!G46=0,"",('Zoopl Analysis'!G46*LN('Zoopl Analysis'!G46)))</f>
        <v/>
      </c>
      <c r="H46" s="36" t="str">
        <f>IF('Zoopl Count'!H46=0,"",('Zoopl Analysis'!H46*LN('Zoopl Analysis'!H46)))</f>
        <v/>
      </c>
      <c r="I46" s="36" t="str">
        <f>IF('Zoopl Count'!I46=0,"",('Zoopl Analysis'!I46*LN('Zoopl Analysis'!I46)))</f>
        <v/>
      </c>
      <c r="J46" s="36" t="str">
        <f>IF('Zoopl Count'!J46=0,"",('Zoopl Analysis'!J46*LN('Zoopl Analysis'!J46)))</f>
        <v/>
      </c>
      <c r="K46" s="36" t="str">
        <f>IF('Zoopl Count'!K46=0,"",('Zoopl Analysis'!K46*LN('Zoopl Analysis'!K46)))</f>
        <v/>
      </c>
      <c r="L46" s="36" t="str">
        <f>IF('Zoopl Count'!L46=0,"",('Zoopl Analysis'!L46*LN('Zoopl Analysis'!L46)))</f>
        <v/>
      </c>
      <c r="M46" s="36" t="str">
        <f>IF('Zoopl Count'!M46=0,"",('Zoopl Analysis'!M46*LN('Zoopl Analysis'!M46)))</f>
        <v/>
      </c>
      <c r="N46" s="36" t="str">
        <f>IF('Zoopl Count'!N46=0,"",('Zoopl Analysis'!N46*LN('Zoopl Analysis'!N46)))</f>
        <v/>
      </c>
      <c r="O46" s="36" t="str">
        <f>IF('Zoopl Count'!O46=0,"",('Zoopl Analysis'!O46*LN('Zoopl Analysis'!O46)))</f>
        <v/>
      </c>
      <c r="P46" s="36" t="str">
        <f>IF('Zoopl Count'!P46=0,"",('Zoopl Analysis'!P46*LN('Zoopl Analysis'!P46)))</f>
        <v/>
      </c>
    </row>
    <row r="47" spans="1:16">
      <c r="D47" s="8"/>
      <c r="E47" s="8" t="s">
        <v>14</v>
      </c>
      <c r="F47" s="19" t="s">
        <v>155</v>
      </c>
      <c r="G47" s="36" t="str">
        <f>IF('Zoopl Count'!G47=0,"",('Zoopl Analysis'!G47*LN('Zoopl Analysis'!G47)))</f>
        <v/>
      </c>
      <c r="H47" s="36" t="str">
        <f>IF('Zoopl Count'!H47=0,"",('Zoopl Analysis'!H47*LN('Zoopl Analysis'!H47)))</f>
        <v/>
      </c>
      <c r="I47" s="36" t="str">
        <f>IF('Zoopl Count'!I47=0,"",('Zoopl Analysis'!I47*LN('Zoopl Analysis'!I47)))</f>
        <v/>
      </c>
      <c r="J47" s="36" t="str">
        <f>IF('Zoopl Count'!J47=0,"",('Zoopl Analysis'!J47*LN('Zoopl Analysis'!J47)))</f>
        <v/>
      </c>
      <c r="K47" s="36" t="str">
        <f>IF('Zoopl Count'!K47=0,"",('Zoopl Analysis'!K47*LN('Zoopl Analysis'!K47)))</f>
        <v/>
      </c>
      <c r="L47" s="36" t="str">
        <f>IF('Zoopl Count'!L47=0,"",('Zoopl Analysis'!L47*LN('Zoopl Analysis'!L47)))</f>
        <v/>
      </c>
      <c r="M47" s="36" t="str">
        <f>IF('Zoopl Count'!M47=0,"",('Zoopl Analysis'!M47*LN('Zoopl Analysis'!M47)))</f>
        <v/>
      </c>
      <c r="N47" s="36" t="str">
        <f>IF('Zoopl Count'!N47=0,"",('Zoopl Analysis'!N47*LN('Zoopl Analysis'!N47)))</f>
        <v/>
      </c>
      <c r="O47" s="36" t="str">
        <f>IF('Zoopl Count'!O47=0,"",('Zoopl Analysis'!O47*LN('Zoopl Analysis'!O47)))</f>
        <v/>
      </c>
      <c r="P47" s="36" t="str">
        <f>IF('Zoopl Count'!P47=0,"",('Zoopl Analysis'!P47*LN('Zoopl Analysis'!P47)))</f>
        <v/>
      </c>
    </row>
    <row r="48" spans="1:16">
      <c r="D48" s="8"/>
      <c r="E48" s="8"/>
      <c r="F48" s="19" t="s">
        <v>367</v>
      </c>
      <c r="G48" s="36" t="str">
        <f>IF('Zoopl Count'!G48=0,"",('Zoopl Analysis'!G48*LN('Zoopl Analysis'!G48)))</f>
        <v/>
      </c>
      <c r="H48" s="36" t="str">
        <f>IF('Zoopl Count'!H48=0,"",('Zoopl Analysis'!H48*LN('Zoopl Analysis'!H48)))</f>
        <v/>
      </c>
      <c r="I48" s="36" t="str">
        <f>IF('Zoopl Count'!I48=0,"",('Zoopl Analysis'!I48*LN('Zoopl Analysis'!I48)))</f>
        <v/>
      </c>
      <c r="J48" s="36" t="str">
        <f>IF('Zoopl Count'!J48=0,"",('Zoopl Analysis'!J48*LN('Zoopl Analysis'!J48)))</f>
        <v/>
      </c>
      <c r="K48" s="36" t="str">
        <f>IF('Zoopl Count'!K48=0,"",('Zoopl Analysis'!K48*LN('Zoopl Analysis'!K48)))</f>
        <v/>
      </c>
      <c r="L48" s="36" t="str">
        <f>IF('Zoopl Count'!L48=0,"",('Zoopl Analysis'!L48*LN('Zoopl Analysis'!L48)))</f>
        <v/>
      </c>
      <c r="M48" s="36" t="str">
        <f>IF('Zoopl Count'!M48=0,"",('Zoopl Analysis'!M48*LN('Zoopl Analysis'!M48)))</f>
        <v/>
      </c>
      <c r="N48" s="36" t="str">
        <f>IF('Zoopl Count'!N48=0,"",('Zoopl Analysis'!N48*LN('Zoopl Analysis'!N48)))</f>
        <v/>
      </c>
      <c r="O48" s="36" t="str">
        <f>IF('Zoopl Count'!O48=0,"",('Zoopl Analysis'!O48*LN('Zoopl Analysis'!O48)))</f>
        <v/>
      </c>
      <c r="P48" s="36" t="str">
        <f>IF('Zoopl Count'!P48=0,"",('Zoopl Analysis'!P48*LN('Zoopl Analysis'!P48)))</f>
        <v/>
      </c>
    </row>
    <row r="49" spans="4:16">
      <c r="D49" s="8" t="s">
        <v>12</v>
      </c>
      <c r="E49" s="239" t="s">
        <v>369</v>
      </c>
      <c r="G49" s="36" t="str">
        <f>IF('Zoopl Count'!G49=0,"",('Zoopl Analysis'!G49*LN('Zoopl Analysis'!G49)))</f>
        <v/>
      </c>
      <c r="H49" s="36" t="str">
        <f>IF('Zoopl Count'!H49=0,"",('Zoopl Analysis'!H49*LN('Zoopl Analysis'!H49)))</f>
        <v/>
      </c>
      <c r="I49" s="36" t="str">
        <f>IF('Zoopl Count'!I49=0,"",('Zoopl Analysis'!I49*LN('Zoopl Analysis'!I49)))</f>
        <v/>
      </c>
      <c r="J49" s="36" t="str">
        <f>IF('Zoopl Count'!J49=0,"",('Zoopl Analysis'!J49*LN('Zoopl Analysis'!J49)))</f>
        <v/>
      </c>
      <c r="K49" s="36" t="str">
        <f>IF('Zoopl Count'!K49=0,"",('Zoopl Analysis'!K49*LN('Zoopl Analysis'!K49)))</f>
        <v/>
      </c>
      <c r="L49" s="36" t="str">
        <f>IF('Zoopl Count'!L49=0,"",('Zoopl Analysis'!L49*LN('Zoopl Analysis'!L49)))</f>
        <v/>
      </c>
      <c r="M49" s="36" t="str">
        <f>IF('Zoopl Count'!M49=0,"",('Zoopl Analysis'!M49*LN('Zoopl Analysis'!M49)))</f>
        <v/>
      </c>
      <c r="N49" s="36" t="str">
        <f>IF('Zoopl Count'!N49=0,"",('Zoopl Analysis'!N49*LN('Zoopl Analysis'!N49)))</f>
        <v/>
      </c>
      <c r="O49" s="36" t="str">
        <f>IF('Zoopl Count'!O49=0,"",('Zoopl Analysis'!O49*LN('Zoopl Analysis'!O49)))</f>
        <v/>
      </c>
      <c r="P49" s="36" t="str">
        <f>IF('Zoopl Count'!P49=0,"",('Zoopl Analysis'!P49*LN('Zoopl Analysis'!P49)))</f>
        <v/>
      </c>
    </row>
    <row r="50" spans="4:16">
      <c r="D50" s="8"/>
      <c r="E50" s="8" t="s">
        <v>14</v>
      </c>
      <c r="F50" s="19" t="s">
        <v>368</v>
      </c>
      <c r="G50" s="36" t="str">
        <f>IF('Zoopl Count'!G50=0,"",('Zoopl Analysis'!G50*LN('Zoopl Analysis'!G50)))</f>
        <v/>
      </c>
      <c r="H50" s="36" t="str">
        <f>IF('Zoopl Count'!H50=0,"",('Zoopl Analysis'!H50*LN('Zoopl Analysis'!H50)))</f>
        <v/>
      </c>
      <c r="I50" s="36" t="str">
        <f>IF('Zoopl Count'!I50=0,"",('Zoopl Analysis'!I50*LN('Zoopl Analysis'!I50)))</f>
        <v/>
      </c>
      <c r="J50" s="36" t="str">
        <f>IF('Zoopl Count'!J50=0,"",('Zoopl Analysis'!J50*LN('Zoopl Analysis'!J50)))</f>
        <v/>
      </c>
      <c r="K50" s="36" t="str">
        <f>IF('Zoopl Count'!K50=0,"",('Zoopl Analysis'!K50*LN('Zoopl Analysis'!K50)))</f>
        <v/>
      </c>
      <c r="L50" s="36" t="str">
        <f>IF('Zoopl Count'!L50=0,"",('Zoopl Analysis'!L50*LN('Zoopl Analysis'!L50)))</f>
        <v/>
      </c>
      <c r="M50" s="36" t="str">
        <f>IF('Zoopl Count'!M50=0,"",('Zoopl Analysis'!M50*LN('Zoopl Analysis'!M50)))</f>
        <v/>
      </c>
      <c r="N50" s="36" t="str">
        <f>IF('Zoopl Count'!N50=0,"",('Zoopl Analysis'!N50*LN('Zoopl Analysis'!N50)))</f>
        <v/>
      </c>
      <c r="O50" s="36" t="str">
        <f>IF('Zoopl Count'!O50=0,"",('Zoopl Analysis'!O50*LN('Zoopl Analysis'!O50)))</f>
        <v/>
      </c>
      <c r="P50" s="36" t="str">
        <f>IF('Zoopl Count'!P50=0,"",('Zoopl Analysis'!P50*LN('Zoopl Analysis'!P50)))</f>
        <v/>
      </c>
    </row>
    <row r="51" spans="4:16">
      <c r="D51" s="8"/>
      <c r="E51" s="8"/>
      <c r="F51" s="19" t="s">
        <v>370</v>
      </c>
      <c r="G51" s="36" t="str">
        <f>IF('Zoopl Count'!G51=0,"",('Zoopl Analysis'!G51*LN('Zoopl Analysis'!G51)))</f>
        <v/>
      </c>
      <c r="H51" s="36" t="str">
        <f>IF('Zoopl Count'!H51=0,"",('Zoopl Analysis'!H51*LN('Zoopl Analysis'!H51)))</f>
        <v/>
      </c>
      <c r="I51" s="36" t="str">
        <f>IF('Zoopl Count'!I51=0,"",('Zoopl Analysis'!I51*LN('Zoopl Analysis'!I51)))</f>
        <v/>
      </c>
      <c r="J51" s="36" t="str">
        <f>IF('Zoopl Count'!J51=0,"",('Zoopl Analysis'!J51*LN('Zoopl Analysis'!J51)))</f>
        <v/>
      </c>
      <c r="K51" s="36" t="str">
        <f>IF('Zoopl Count'!K51=0,"",('Zoopl Analysis'!K51*LN('Zoopl Analysis'!K51)))</f>
        <v/>
      </c>
      <c r="L51" s="36" t="str">
        <f>IF('Zoopl Count'!L51=0,"",('Zoopl Analysis'!L51*LN('Zoopl Analysis'!L51)))</f>
        <v/>
      </c>
      <c r="M51" s="36" t="str">
        <f>IF('Zoopl Count'!M51=0,"",('Zoopl Analysis'!M51*LN('Zoopl Analysis'!M51)))</f>
        <v/>
      </c>
      <c r="N51" s="36" t="str">
        <f>IF('Zoopl Count'!N51=0,"",('Zoopl Analysis'!N51*LN('Zoopl Analysis'!N51)))</f>
        <v/>
      </c>
      <c r="O51" s="36" t="str">
        <f>IF('Zoopl Count'!O51=0,"",('Zoopl Analysis'!O51*LN('Zoopl Analysis'!O51)))</f>
        <v/>
      </c>
      <c r="P51" s="36" t="str">
        <f>IF('Zoopl Count'!P51=0,"",('Zoopl Analysis'!P51*LN('Zoopl Analysis'!P51)))</f>
        <v/>
      </c>
    </row>
    <row r="52" spans="4:16">
      <c r="D52" s="8" t="s">
        <v>12</v>
      </c>
      <c r="E52" s="239" t="s">
        <v>371</v>
      </c>
      <c r="G52" s="36" t="str">
        <f>IF('Zoopl Count'!G52=0,"",('Zoopl Analysis'!G52*LN('Zoopl Analysis'!G52)))</f>
        <v/>
      </c>
      <c r="H52" s="36" t="str">
        <f>IF('Zoopl Count'!H52=0,"",('Zoopl Analysis'!H52*LN('Zoopl Analysis'!H52)))</f>
        <v/>
      </c>
      <c r="I52" s="36" t="str">
        <f>IF('Zoopl Count'!I52=0,"",('Zoopl Analysis'!I52*LN('Zoopl Analysis'!I52)))</f>
        <v/>
      </c>
      <c r="J52" s="36" t="str">
        <f>IF('Zoopl Count'!J52=0,"",('Zoopl Analysis'!J52*LN('Zoopl Analysis'!J52)))</f>
        <v/>
      </c>
      <c r="K52" s="36" t="str">
        <f>IF('Zoopl Count'!K52=0,"",('Zoopl Analysis'!K52*LN('Zoopl Analysis'!K52)))</f>
        <v/>
      </c>
      <c r="L52" s="36" t="str">
        <f>IF('Zoopl Count'!L52=0,"",('Zoopl Analysis'!L52*LN('Zoopl Analysis'!L52)))</f>
        <v/>
      </c>
      <c r="M52" s="36" t="str">
        <f>IF('Zoopl Count'!M52=0,"",('Zoopl Analysis'!M52*LN('Zoopl Analysis'!M52)))</f>
        <v/>
      </c>
      <c r="N52" s="36" t="str">
        <f>IF('Zoopl Count'!N52=0,"",('Zoopl Analysis'!N52*LN('Zoopl Analysis'!N52)))</f>
        <v/>
      </c>
      <c r="O52" s="36" t="str">
        <f>IF('Zoopl Count'!O52=0,"",('Zoopl Analysis'!O52*LN('Zoopl Analysis'!O52)))</f>
        <v/>
      </c>
      <c r="P52" s="36" t="str">
        <f>IF('Zoopl Count'!P52=0,"",('Zoopl Analysis'!P52*LN('Zoopl Analysis'!P52)))</f>
        <v/>
      </c>
    </row>
    <row r="53" spans="4:16">
      <c r="D53" s="8"/>
      <c r="E53" s="8" t="s">
        <v>14</v>
      </c>
      <c r="F53" s="19" t="s">
        <v>372</v>
      </c>
      <c r="G53" s="36" t="str">
        <f>IF('Zoopl Count'!G53=0,"",('Zoopl Analysis'!G53*LN('Zoopl Analysis'!G53)))</f>
        <v/>
      </c>
      <c r="H53" s="36" t="str">
        <f>IF('Zoopl Count'!H53=0,"",('Zoopl Analysis'!H53*LN('Zoopl Analysis'!H53)))</f>
        <v/>
      </c>
      <c r="I53" s="36" t="str">
        <f>IF('Zoopl Count'!I53=0,"",('Zoopl Analysis'!I53*LN('Zoopl Analysis'!I53)))</f>
        <v/>
      </c>
      <c r="J53" s="36" t="str">
        <f>IF('Zoopl Count'!J53=0,"",('Zoopl Analysis'!J53*LN('Zoopl Analysis'!J53)))</f>
        <v/>
      </c>
      <c r="K53" s="36" t="str">
        <f>IF('Zoopl Count'!K53=0,"",('Zoopl Analysis'!K53*LN('Zoopl Analysis'!K53)))</f>
        <v/>
      </c>
      <c r="L53" s="36" t="str">
        <f>IF('Zoopl Count'!L53=0,"",('Zoopl Analysis'!L53*LN('Zoopl Analysis'!L53)))</f>
        <v/>
      </c>
      <c r="M53" s="36" t="str">
        <f>IF('Zoopl Count'!M53=0,"",('Zoopl Analysis'!M53*LN('Zoopl Analysis'!M53)))</f>
        <v/>
      </c>
      <c r="N53" s="36" t="str">
        <f>IF('Zoopl Count'!N53=0,"",('Zoopl Analysis'!N53*LN('Zoopl Analysis'!N53)))</f>
        <v/>
      </c>
      <c r="O53" s="36" t="str">
        <f>IF('Zoopl Count'!O53=0,"",('Zoopl Analysis'!O53*LN('Zoopl Analysis'!O53)))</f>
        <v/>
      </c>
      <c r="P53" s="36" t="str">
        <f>IF('Zoopl Count'!P53=0,"",('Zoopl Analysis'!P53*LN('Zoopl Analysis'!P53)))</f>
        <v/>
      </c>
    </row>
    <row r="54" spans="4:16">
      <c r="D54" s="8" t="s">
        <v>12</v>
      </c>
      <c r="E54" s="239" t="s">
        <v>373</v>
      </c>
      <c r="G54" s="36" t="str">
        <f>IF('Zoopl Count'!G54=0,"",('Zoopl Analysis'!G54*LN('Zoopl Analysis'!G54)))</f>
        <v/>
      </c>
      <c r="H54" s="36" t="str">
        <f>IF('Zoopl Count'!H54=0,"",('Zoopl Analysis'!H54*LN('Zoopl Analysis'!H54)))</f>
        <v/>
      </c>
      <c r="I54" s="36" t="str">
        <f>IF('Zoopl Count'!I54=0,"",('Zoopl Analysis'!I54*LN('Zoopl Analysis'!I54)))</f>
        <v/>
      </c>
      <c r="J54" s="36" t="str">
        <f>IF('Zoopl Count'!J54=0,"",('Zoopl Analysis'!J54*LN('Zoopl Analysis'!J54)))</f>
        <v/>
      </c>
      <c r="K54" s="36" t="str">
        <f>IF('Zoopl Count'!K54=0,"",('Zoopl Analysis'!K54*LN('Zoopl Analysis'!K54)))</f>
        <v/>
      </c>
      <c r="L54" s="36" t="str">
        <f>IF('Zoopl Count'!L54=0,"",('Zoopl Analysis'!L54*LN('Zoopl Analysis'!L54)))</f>
        <v/>
      </c>
      <c r="M54" s="36" t="str">
        <f>IF('Zoopl Count'!M54=0,"",('Zoopl Analysis'!M54*LN('Zoopl Analysis'!M54)))</f>
        <v/>
      </c>
      <c r="N54" s="36" t="str">
        <f>IF('Zoopl Count'!N54=0,"",('Zoopl Analysis'!N54*LN('Zoopl Analysis'!N54)))</f>
        <v/>
      </c>
      <c r="O54" s="36" t="str">
        <f>IF('Zoopl Count'!O54=0,"",('Zoopl Analysis'!O54*LN('Zoopl Analysis'!O54)))</f>
        <v/>
      </c>
      <c r="P54" s="36" t="str">
        <f>IF('Zoopl Count'!P54=0,"",('Zoopl Analysis'!P54*LN('Zoopl Analysis'!P54)))</f>
        <v/>
      </c>
    </row>
    <row r="55" spans="4:16">
      <c r="D55" s="8"/>
      <c r="E55" s="8" t="s">
        <v>14</v>
      </c>
      <c r="F55" s="19" t="s">
        <v>374</v>
      </c>
      <c r="G55" s="36" t="str">
        <f>IF('Zoopl Count'!G55=0,"",('Zoopl Analysis'!G55*LN('Zoopl Analysis'!G55)))</f>
        <v/>
      </c>
      <c r="H55" s="36" t="str">
        <f>IF('Zoopl Count'!H55=0,"",('Zoopl Analysis'!H55*LN('Zoopl Analysis'!H55)))</f>
        <v/>
      </c>
      <c r="I55" s="36" t="str">
        <f>IF('Zoopl Count'!I55=0,"",('Zoopl Analysis'!I55*LN('Zoopl Analysis'!I55)))</f>
        <v/>
      </c>
      <c r="J55" s="36" t="str">
        <f>IF('Zoopl Count'!J55=0,"",('Zoopl Analysis'!J55*LN('Zoopl Analysis'!J55)))</f>
        <v/>
      </c>
      <c r="K55" s="36" t="str">
        <f>IF('Zoopl Count'!K55=0,"",('Zoopl Analysis'!K55*LN('Zoopl Analysis'!K55)))</f>
        <v/>
      </c>
      <c r="L55" s="36" t="str">
        <f>IF('Zoopl Count'!L55=0,"",('Zoopl Analysis'!L55*LN('Zoopl Analysis'!L55)))</f>
        <v/>
      </c>
      <c r="M55" s="36" t="str">
        <f>IF('Zoopl Count'!M55=0,"",('Zoopl Analysis'!M55*LN('Zoopl Analysis'!M55)))</f>
        <v/>
      </c>
      <c r="N55" s="36" t="str">
        <f>IF('Zoopl Count'!N55=0,"",('Zoopl Analysis'!N55*LN('Zoopl Analysis'!N55)))</f>
        <v/>
      </c>
      <c r="O55" s="36" t="str">
        <f>IF('Zoopl Count'!O55=0,"",('Zoopl Analysis'!O55*LN('Zoopl Analysis'!O55)))</f>
        <v/>
      </c>
      <c r="P55" s="36" t="str">
        <f>IF('Zoopl Count'!P55=0,"",('Zoopl Analysis'!P55*LN('Zoopl Analysis'!P55)))</f>
        <v/>
      </c>
    </row>
    <row r="56" spans="4:16">
      <c r="D56" s="8" t="s">
        <v>12</v>
      </c>
      <c r="E56" s="239" t="s">
        <v>375</v>
      </c>
      <c r="G56" s="36" t="str">
        <f>IF('Zoopl Count'!G56=0,"",('Zoopl Analysis'!G56*LN('Zoopl Analysis'!G56)))</f>
        <v/>
      </c>
      <c r="H56" s="36" t="str">
        <f>IF('Zoopl Count'!H56=0,"",('Zoopl Analysis'!H56*LN('Zoopl Analysis'!H56)))</f>
        <v/>
      </c>
      <c r="I56" s="36" t="str">
        <f>IF('Zoopl Count'!I56=0,"",('Zoopl Analysis'!I56*LN('Zoopl Analysis'!I56)))</f>
        <v/>
      </c>
      <c r="J56" s="36" t="str">
        <f>IF('Zoopl Count'!J56=0,"",('Zoopl Analysis'!J56*LN('Zoopl Analysis'!J56)))</f>
        <v/>
      </c>
      <c r="K56" s="36" t="str">
        <f>IF('Zoopl Count'!K56=0,"",('Zoopl Analysis'!K56*LN('Zoopl Analysis'!K56)))</f>
        <v/>
      </c>
      <c r="L56" s="36" t="str">
        <f>IF('Zoopl Count'!L56=0,"",('Zoopl Analysis'!L56*LN('Zoopl Analysis'!L56)))</f>
        <v/>
      </c>
      <c r="M56" s="36" t="str">
        <f>IF('Zoopl Count'!M56=0,"",('Zoopl Analysis'!M56*LN('Zoopl Analysis'!M56)))</f>
        <v/>
      </c>
      <c r="N56" s="36" t="str">
        <f>IF('Zoopl Count'!N56=0,"",('Zoopl Analysis'!N56*LN('Zoopl Analysis'!N56)))</f>
        <v/>
      </c>
      <c r="O56" s="36" t="str">
        <f>IF('Zoopl Count'!O56=0,"",('Zoopl Analysis'!O56*LN('Zoopl Analysis'!O56)))</f>
        <v/>
      </c>
      <c r="P56" s="36" t="str">
        <f>IF('Zoopl Count'!P56=0,"",('Zoopl Analysis'!P56*LN('Zoopl Analysis'!P56)))</f>
        <v/>
      </c>
    </row>
    <row r="57" spans="4:16">
      <c r="D57" s="8"/>
      <c r="E57" s="8" t="s">
        <v>14</v>
      </c>
      <c r="F57" s="19" t="s">
        <v>376</v>
      </c>
      <c r="G57" s="36" t="str">
        <f>IF('Zoopl Count'!G57=0,"",('Zoopl Analysis'!G57*LN('Zoopl Analysis'!G57)))</f>
        <v/>
      </c>
      <c r="H57" s="36" t="str">
        <f>IF('Zoopl Count'!H57=0,"",('Zoopl Analysis'!H57*LN('Zoopl Analysis'!H57)))</f>
        <v/>
      </c>
      <c r="I57" s="36" t="str">
        <f>IF('Zoopl Count'!I57=0,"",('Zoopl Analysis'!I57*LN('Zoopl Analysis'!I57)))</f>
        <v/>
      </c>
      <c r="J57" s="36" t="str">
        <f>IF('Zoopl Count'!J57=0,"",('Zoopl Analysis'!J57*LN('Zoopl Analysis'!J57)))</f>
        <v/>
      </c>
      <c r="K57" s="36" t="str">
        <f>IF('Zoopl Count'!K57=0,"",('Zoopl Analysis'!K57*LN('Zoopl Analysis'!K57)))</f>
        <v/>
      </c>
      <c r="L57" s="36" t="str">
        <f>IF('Zoopl Count'!L57=0,"",('Zoopl Analysis'!L57*LN('Zoopl Analysis'!L57)))</f>
        <v/>
      </c>
      <c r="M57" s="36" t="str">
        <f>IF('Zoopl Count'!M57=0,"",('Zoopl Analysis'!M57*LN('Zoopl Analysis'!M57)))</f>
        <v/>
      </c>
      <c r="N57" s="36" t="str">
        <f>IF('Zoopl Count'!N57=0,"",('Zoopl Analysis'!N57*LN('Zoopl Analysis'!N57)))</f>
        <v/>
      </c>
      <c r="O57" s="36" t="str">
        <f>IF('Zoopl Count'!O57=0,"",('Zoopl Analysis'!O57*LN('Zoopl Analysis'!O57)))</f>
        <v/>
      </c>
      <c r="P57" s="36" t="str">
        <f>IF('Zoopl Count'!P57=0,"",('Zoopl Analysis'!P57*LN('Zoopl Analysis'!P57)))</f>
        <v/>
      </c>
    </row>
    <row r="58" spans="4:16">
      <c r="D58" s="8" t="s">
        <v>12</v>
      </c>
      <c r="E58" s="239" t="s">
        <v>377</v>
      </c>
      <c r="G58" s="36" t="str">
        <f>IF('Zoopl Count'!G58=0,"",('Zoopl Analysis'!G58*LN('Zoopl Analysis'!G58)))</f>
        <v/>
      </c>
      <c r="H58" s="36" t="str">
        <f>IF('Zoopl Count'!H58=0,"",('Zoopl Analysis'!H58*LN('Zoopl Analysis'!H58)))</f>
        <v/>
      </c>
      <c r="I58" s="36" t="str">
        <f>IF('Zoopl Count'!I58=0,"",('Zoopl Analysis'!I58*LN('Zoopl Analysis'!I58)))</f>
        <v/>
      </c>
      <c r="J58" s="36" t="str">
        <f>IF('Zoopl Count'!J58=0,"",('Zoopl Analysis'!J58*LN('Zoopl Analysis'!J58)))</f>
        <v/>
      </c>
      <c r="K58" s="36" t="str">
        <f>IF('Zoopl Count'!K58=0,"",('Zoopl Analysis'!K58*LN('Zoopl Analysis'!K58)))</f>
        <v/>
      </c>
      <c r="L58" s="36" t="str">
        <f>IF('Zoopl Count'!L58=0,"",('Zoopl Analysis'!L58*LN('Zoopl Analysis'!L58)))</f>
        <v/>
      </c>
      <c r="M58" s="36" t="str">
        <f>IF('Zoopl Count'!M58=0,"",('Zoopl Analysis'!M58*LN('Zoopl Analysis'!M58)))</f>
        <v/>
      </c>
      <c r="N58" s="36" t="str">
        <f>IF('Zoopl Count'!N58=0,"",('Zoopl Analysis'!N58*LN('Zoopl Analysis'!N58)))</f>
        <v/>
      </c>
      <c r="O58" s="36" t="str">
        <f>IF('Zoopl Count'!O58=0,"",('Zoopl Analysis'!O58*LN('Zoopl Analysis'!O58)))</f>
        <v/>
      </c>
      <c r="P58" s="36" t="str">
        <f>IF('Zoopl Count'!P58=0,"",('Zoopl Analysis'!P58*LN('Zoopl Analysis'!P58)))</f>
        <v/>
      </c>
    </row>
    <row r="59" spans="4:16">
      <c r="D59" s="8"/>
      <c r="E59" s="8" t="s">
        <v>14</v>
      </c>
      <c r="F59" s="19" t="s">
        <v>378</v>
      </c>
      <c r="G59" s="36" t="str">
        <f>IF('Zoopl Count'!G59=0,"",('Zoopl Analysis'!G59*LN('Zoopl Analysis'!G59)))</f>
        <v/>
      </c>
      <c r="H59" s="36" t="str">
        <f>IF('Zoopl Count'!H59=0,"",('Zoopl Analysis'!H59*LN('Zoopl Analysis'!H59)))</f>
        <v/>
      </c>
      <c r="I59" s="36" t="str">
        <f>IF('Zoopl Count'!I59=0,"",('Zoopl Analysis'!I59*LN('Zoopl Analysis'!I59)))</f>
        <v/>
      </c>
      <c r="J59" s="36" t="str">
        <f>IF('Zoopl Count'!J59=0,"",('Zoopl Analysis'!J59*LN('Zoopl Analysis'!J59)))</f>
        <v/>
      </c>
      <c r="K59" s="36" t="str">
        <f>IF('Zoopl Count'!K59=0,"",('Zoopl Analysis'!K59*LN('Zoopl Analysis'!K59)))</f>
        <v/>
      </c>
      <c r="L59" s="36" t="str">
        <f>IF('Zoopl Count'!L59=0,"",('Zoopl Analysis'!L59*LN('Zoopl Analysis'!L59)))</f>
        <v/>
      </c>
      <c r="M59" s="36" t="str">
        <f>IF('Zoopl Count'!M59=0,"",('Zoopl Analysis'!M59*LN('Zoopl Analysis'!M59)))</f>
        <v/>
      </c>
      <c r="N59" s="36" t="str">
        <f>IF('Zoopl Count'!N59=0,"",('Zoopl Analysis'!N59*LN('Zoopl Analysis'!N59)))</f>
        <v/>
      </c>
      <c r="O59" s="36" t="str">
        <f>IF('Zoopl Count'!O59=0,"",('Zoopl Analysis'!O59*LN('Zoopl Analysis'!O59)))</f>
        <v/>
      </c>
      <c r="P59" s="36" t="str">
        <f>IF('Zoopl Count'!P59=0,"",('Zoopl Analysis'!P59*LN('Zoopl Analysis'!P59)))</f>
        <v/>
      </c>
    </row>
    <row r="60" spans="4:16">
      <c r="D60" s="8"/>
      <c r="E60" s="8"/>
      <c r="F60" s="19" t="s">
        <v>379</v>
      </c>
      <c r="G60" s="36" t="str">
        <f>IF('Zoopl Count'!G60=0,"",('Zoopl Analysis'!G60*LN('Zoopl Analysis'!G60)))</f>
        <v/>
      </c>
      <c r="H60" s="36" t="str">
        <f>IF('Zoopl Count'!H60=0,"",('Zoopl Analysis'!H60*LN('Zoopl Analysis'!H60)))</f>
        <v/>
      </c>
      <c r="I60" s="36" t="str">
        <f>IF('Zoopl Count'!I60=0,"",('Zoopl Analysis'!I60*LN('Zoopl Analysis'!I60)))</f>
        <v/>
      </c>
      <c r="J60" s="36" t="str">
        <f>IF('Zoopl Count'!J60=0,"",('Zoopl Analysis'!J60*LN('Zoopl Analysis'!J60)))</f>
        <v/>
      </c>
      <c r="K60" s="36" t="str">
        <f>IF('Zoopl Count'!K60=0,"",('Zoopl Analysis'!K60*LN('Zoopl Analysis'!K60)))</f>
        <v/>
      </c>
      <c r="L60" s="36" t="str">
        <f>IF('Zoopl Count'!L60=0,"",('Zoopl Analysis'!L60*LN('Zoopl Analysis'!L60)))</f>
        <v/>
      </c>
      <c r="M60" s="36" t="str">
        <f>IF('Zoopl Count'!M60=0,"",('Zoopl Analysis'!M60*LN('Zoopl Analysis'!M60)))</f>
        <v/>
      </c>
      <c r="N60" s="36" t="str">
        <f>IF('Zoopl Count'!N60=0,"",('Zoopl Analysis'!N60*LN('Zoopl Analysis'!N60)))</f>
        <v/>
      </c>
      <c r="O60" s="36" t="str">
        <f>IF('Zoopl Count'!O60=0,"",('Zoopl Analysis'!O60*LN('Zoopl Analysis'!O60)))</f>
        <v/>
      </c>
      <c r="P60" s="36" t="str">
        <f>IF('Zoopl Count'!P60=0,"",('Zoopl Analysis'!P60*LN('Zoopl Analysis'!P60)))</f>
        <v/>
      </c>
    </row>
    <row r="61" spans="4:16">
      <c r="D61" s="8" t="s">
        <v>12</v>
      </c>
      <c r="E61" s="239" t="s">
        <v>380</v>
      </c>
      <c r="G61" s="36" t="str">
        <f>IF('Zoopl Count'!G61=0,"",('Zoopl Analysis'!G61*LN('Zoopl Analysis'!G61)))</f>
        <v/>
      </c>
      <c r="H61" s="36" t="str">
        <f>IF('Zoopl Count'!H61=0,"",('Zoopl Analysis'!H61*LN('Zoopl Analysis'!H61)))</f>
        <v/>
      </c>
      <c r="I61" s="36" t="str">
        <f>IF('Zoopl Count'!I61=0,"",('Zoopl Analysis'!I61*LN('Zoopl Analysis'!I61)))</f>
        <v/>
      </c>
      <c r="J61" s="36" t="str">
        <f>IF('Zoopl Count'!J61=0,"",('Zoopl Analysis'!J61*LN('Zoopl Analysis'!J61)))</f>
        <v/>
      </c>
      <c r="K61" s="36" t="str">
        <f>IF('Zoopl Count'!K61=0,"",('Zoopl Analysis'!K61*LN('Zoopl Analysis'!K61)))</f>
        <v/>
      </c>
      <c r="L61" s="36" t="str">
        <f>IF('Zoopl Count'!L61=0,"",('Zoopl Analysis'!L61*LN('Zoopl Analysis'!L61)))</f>
        <v/>
      </c>
      <c r="M61" s="36" t="str">
        <f>IF('Zoopl Count'!M61=0,"",('Zoopl Analysis'!M61*LN('Zoopl Analysis'!M61)))</f>
        <v/>
      </c>
      <c r="N61" s="36" t="str">
        <f>IF('Zoopl Count'!N61=0,"",('Zoopl Analysis'!N61*LN('Zoopl Analysis'!N61)))</f>
        <v/>
      </c>
      <c r="O61" s="36" t="str">
        <f>IF('Zoopl Count'!O61=0,"",('Zoopl Analysis'!O61*LN('Zoopl Analysis'!O61)))</f>
        <v/>
      </c>
      <c r="P61" s="36" t="str">
        <f>IF('Zoopl Count'!P61=0,"",('Zoopl Analysis'!P61*LN('Zoopl Analysis'!P61)))</f>
        <v/>
      </c>
    </row>
    <row r="62" spans="4:16">
      <c r="D62" s="8"/>
      <c r="E62" s="8" t="s">
        <v>14</v>
      </c>
      <c r="F62" s="19" t="s">
        <v>381</v>
      </c>
      <c r="G62" s="36" t="str">
        <f>IF('Zoopl Count'!G62=0,"",('Zoopl Analysis'!G62*LN('Zoopl Analysis'!G62)))</f>
        <v/>
      </c>
      <c r="H62" s="36" t="str">
        <f>IF('Zoopl Count'!H62=0,"",('Zoopl Analysis'!H62*LN('Zoopl Analysis'!H62)))</f>
        <v/>
      </c>
      <c r="I62" s="36" t="str">
        <f>IF('Zoopl Count'!I62=0,"",('Zoopl Analysis'!I62*LN('Zoopl Analysis'!I62)))</f>
        <v/>
      </c>
      <c r="J62" s="36" t="str">
        <f>IF('Zoopl Count'!J62=0,"",('Zoopl Analysis'!J62*LN('Zoopl Analysis'!J62)))</f>
        <v/>
      </c>
      <c r="K62" s="36" t="str">
        <f>IF('Zoopl Count'!K62=0,"",('Zoopl Analysis'!K62*LN('Zoopl Analysis'!K62)))</f>
        <v/>
      </c>
      <c r="L62" s="36" t="str">
        <f>IF('Zoopl Count'!L62=0,"",('Zoopl Analysis'!L62*LN('Zoopl Analysis'!L62)))</f>
        <v/>
      </c>
      <c r="M62" s="36" t="str">
        <f>IF('Zoopl Count'!M62=0,"",('Zoopl Analysis'!M62*LN('Zoopl Analysis'!M62)))</f>
        <v/>
      </c>
      <c r="N62" s="36" t="str">
        <f>IF('Zoopl Count'!N62=0,"",('Zoopl Analysis'!N62*LN('Zoopl Analysis'!N62)))</f>
        <v/>
      </c>
      <c r="O62" s="36" t="str">
        <f>IF('Zoopl Count'!O62=0,"",('Zoopl Analysis'!O62*LN('Zoopl Analysis'!O62)))</f>
        <v/>
      </c>
      <c r="P62" s="36" t="str">
        <f>IF('Zoopl Count'!P62=0,"",('Zoopl Analysis'!P62*LN('Zoopl Analysis'!P62)))</f>
        <v/>
      </c>
    </row>
    <row r="63" spans="4:16">
      <c r="D63" s="8" t="s">
        <v>12</v>
      </c>
      <c r="E63" s="239" t="s">
        <v>382</v>
      </c>
      <c r="G63" s="36" t="str">
        <f>IF('Zoopl Count'!G63=0,"",('Zoopl Analysis'!G63*LN('Zoopl Analysis'!G63)))</f>
        <v/>
      </c>
      <c r="H63" s="36" t="str">
        <f>IF('Zoopl Count'!H63=0,"",('Zoopl Analysis'!H63*LN('Zoopl Analysis'!H63)))</f>
        <v/>
      </c>
      <c r="I63" s="36" t="str">
        <f>IF('Zoopl Count'!I63=0,"",('Zoopl Analysis'!I63*LN('Zoopl Analysis'!I63)))</f>
        <v/>
      </c>
      <c r="J63" s="36" t="str">
        <f>IF('Zoopl Count'!J63=0,"",('Zoopl Analysis'!J63*LN('Zoopl Analysis'!J63)))</f>
        <v/>
      </c>
      <c r="K63" s="36" t="str">
        <f>IF('Zoopl Count'!K63=0,"",('Zoopl Analysis'!K63*LN('Zoopl Analysis'!K63)))</f>
        <v/>
      </c>
      <c r="L63" s="36" t="str">
        <f>IF('Zoopl Count'!L63=0,"",('Zoopl Analysis'!L63*LN('Zoopl Analysis'!L63)))</f>
        <v/>
      </c>
      <c r="M63" s="36" t="str">
        <f>IF('Zoopl Count'!M63=0,"",('Zoopl Analysis'!M63*LN('Zoopl Analysis'!M63)))</f>
        <v/>
      </c>
      <c r="N63" s="36" t="str">
        <f>IF('Zoopl Count'!N63=0,"",('Zoopl Analysis'!N63*LN('Zoopl Analysis'!N63)))</f>
        <v/>
      </c>
      <c r="O63" s="36" t="str">
        <f>IF('Zoopl Count'!O63=0,"",('Zoopl Analysis'!O63*LN('Zoopl Analysis'!O63)))</f>
        <v/>
      </c>
      <c r="P63" s="36" t="str">
        <f>IF('Zoopl Count'!P63=0,"",('Zoopl Analysis'!P63*LN('Zoopl Analysis'!P63)))</f>
        <v/>
      </c>
    </row>
    <row r="64" spans="4:16">
      <c r="D64" s="8"/>
      <c r="E64" s="8" t="s">
        <v>14</v>
      </c>
      <c r="F64" s="19" t="s">
        <v>383</v>
      </c>
      <c r="G64" s="36" t="str">
        <f>IF('Zoopl Count'!G64=0,"",('Zoopl Analysis'!G64*LN('Zoopl Analysis'!G64)))</f>
        <v/>
      </c>
      <c r="H64" s="36" t="str">
        <f>IF('Zoopl Count'!H64=0,"",('Zoopl Analysis'!H64*LN('Zoopl Analysis'!H64)))</f>
        <v/>
      </c>
      <c r="I64" s="36" t="str">
        <f>IF('Zoopl Count'!I64=0,"",('Zoopl Analysis'!I64*LN('Zoopl Analysis'!I64)))</f>
        <v/>
      </c>
      <c r="J64" s="36" t="str">
        <f>IF('Zoopl Count'!J64=0,"",('Zoopl Analysis'!J64*LN('Zoopl Analysis'!J64)))</f>
        <v/>
      </c>
      <c r="K64" s="36" t="str">
        <f>IF('Zoopl Count'!K64=0,"",('Zoopl Analysis'!K64*LN('Zoopl Analysis'!K64)))</f>
        <v/>
      </c>
      <c r="L64" s="36" t="str">
        <f>IF('Zoopl Count'!L64=0,"",('Zoopl Analysis'!L64*LN('Zoopl Analysis'!L64)))</f>
        <v/>
      </c>
      <c r="M64" s="36" t="str">
        <f>IF('Zoopl Count'!M64=0,"",('Zoopl Analysis'!M64*LN('Zoopl Analysis'!M64)))</f>
        <v/>
      </c>
      <c r="N64" s="36" t="str">
        <f>IF('Zoopl Count'!N64=0,"",('Zoopl Analysis'!N64*LN('Zoopl Analysis'!N64)))</f>
        <v/>
      </c>
      <c r="O64" s="36" t="str">
        <f>IF('Zoopl Count'!O64=0,"",('Zoopl Analysis'!O64*LN('Zoopl Analysis'!O64)))</f>
        <v/>
      </c>
      <c r="P64" s="36" t="str">
        <f>IF('Zoopl Count'!P64=0,"",('Zoopl Analysis'!P64*LN('Zoopl Analysis'!P64)))</f>
        <v/>
      </c>
    </row>
    <row r="65" spans="1:16">
      <c r="D65" s="8" t="s">
        <v>12</v>
      </c>
      <c r="E65" s="239" t="s">
        <v>384</v>
      </c>
      <c r="G65" s="36" t="str">
        <f>IF('Zoopl Count'!G65=0,"",('Zoopl Analysis'!G65*LN('Zoopl Analysis'!G65)))</f>
        <v/>
      </c>
      <c r="H65" s="36" t="str">
        <f>IF('Zoopl Count'!H65=0,"",('Zoopl Analysis'!H65*LN('Zoopl Analysis'!H65)))</f>
        <v/>
      </c>
      <c r="I65" s="36" t="str">
        <f>IF('Zoopl Count'!I65=0,"",('Zoopl Analysis'!I65*LN('Zoopl Analysis'!I65)))</f>
        <v/>
      </c>
      <c r="J65" s="36" t="str">
        <f>IF('Zoopl Count'!J65=0,"",('Zoopl Analysis'!J65*LN('Zoopl Analysis'!J65)))</f>
        <v/>
      </c>
      <c r="K65" s="36" t="str">
        <f>IF('Zoopl Count'!K65=0,"",('Zoopl Analysis'!K65*LN('Zoopl Analysis'!K65)))</f>
        <v/>
      </c>
      <c r="L65" s="36" t="str">
        <f>IF('Zoopl Count'!L65=0,"",('Zoopl Analysis'!L65*LN('Zoopl Analysis'!L65)))</f>
        <v/>
      </c>
      <c r="M65" s="36" t="str">
        <f>IF('Zoopl Count'!M65=0,"",('Zoopl Analysis'!M65*LN('Zoopl Analysis'!M65)))</f>
        <v/>
      </c>
      <c r="N65" s="36" t="str">
        <f>IF('Zoopl Count'!N65=0,"",('Zoopl Analysis'!N65*LN('Zoopl Analysis'!N65)))</f>
        <v/>
      </c>
      <c r="O65" s="36" t="str">
        <f>IF('Zoopl Count'!O65=0,"",('Zoopl Analysis'!O65*LN('Zoopl Analysis'!O65)))</f>
        <v/>
      </c>
      <c r="P65" s="36" t="str">
        <f>IF('Zoopl Count'!P65=0,"",('Zoopl Analysis'!P65*LN('Zoopl Analysis'!P65)))</f>
        <v/>
      </c>
    </row>
    <row r="66" spans="1:16">
      <c r="D66" s="8"/>
      <c r="E66" s="8" t="s">
        <v>14</v>
      </c>
      <c r="F66" s="19" t="s">
        <v>385</v>
      </c>
      <c r="G66" s="36" t="str">
        <f>IF('Zoopl Count'!G66=0,"",('Zoopl Analysis'!G66*LN('Zoopl Analysis'!G66)))</f>
        <v/>
      </c>
      <c r="H66" s="36" t="str">
        <f>IF('Zoopl Count'!H66=0,"",('Zoopl Analysis'!H66*LN('Zoopl Analysis'!H66)))</f>
        <v/>
      </c>
      <c r="I66" s="36" t="str">
        <f>IF('Zoopl Count'!I66=0,"",('Zoopl Analysis'!I66*LN('Zoopl Analysis'!I66)))</f>
        <v/>
      </c>
      <c r="J66" s="36" t="str">
        <f>IF('Zoopl Count'!J66=0,"",('Zoopl Analysis'!J66*LN('Zoopl Analysis'!J66)))</f>
        <v/>
      </c>
      <c r="K66" s="36" t="str">
        <f>IF('Zoopl Count'!K66=0,"",('Zoopl Analysis'!K66*LN('Zoopl Analysis'!K66)))</f>
        <v/>
      </c>
      <c r="L66" s="36" t="str">
        <f>IF('Zoopl Count'!L66=0,"",('Zoopl Analysis'!L66*LN('Zoopl Analysis'!L66)))</f>
        <v/>
      </c>
      <c r="M66" s="36" t="str">
        <f>IF('Zoopl Count'!M66=0,"",('Zoopl Analysis'!M66*LN('Zoopl Analysis'!M66)))</f>
        <v/>
      </c>
      <c r="N66" s="36" t="str">
        <f>IF('Zoopl Count'!N66=0,"",('Zoopl Analysis'!N66*LN('Zoopl Analysis'!N66)))</f>
        <v/>
      </c>
      <c r="O66" s="36" t="str">
        <f>IF('Zoopl Count'!O66=0,"",('Zoopl Analysis'!O66*LN('Zoopl Analysis'!O66)))</f>
        <v/>
      </c>
      <c r="P66" s="36" t="str">
        <f>IF('Zoopl Count'!P66=0,"",('Zoopl Analysis'!P66*LN('Zoopl Analysis'!P66)))</f>
        <v/>
      </c>
    </row>
    <row r="67" spans="1:16">
      <c r="D67" s="8" t="s">
        <v>12</v>
      </c>
      <c r="E67" s="239" t="s">
        <v>386</v>
      </c>
      <c r="G67" s="36" t="str">
        <f>IF('Zoopl Count'!G67=0,"",('Zoopl Analysis'!G67*LN('Zoopl Analysis'!G67)))</f>
        <v/>
      </c>
      <c r="H67" s="36" t="str">
        <f>IF('Zoopl Count'!H67=0,"",('Zoopl Analysis'!H67*LN('Zoopl Analysis'!H67)))</f>
        <v/>
      </c>
      <c r="I67" s="36" t="str">
        <f>IF('Zoopl Count'!I67=0,"",('Zoopl Analysis'!I67*LN('Zoopl Analysis'!I67)))</f>
        <v/>
      </c>
      <c r="J67" s="36" t="str">
        <f>IF('Zoopl Count'!J67=0,"",('Zoopl Analysis'!J67*LN('Zoopl Analysis'!J67)))</f>
        <v/>
      </c>
      <c r="K67" s="36" t="str">
        <f>IF('Zoopl Count'!K67=0,"",('Zoopl Analysis'!K67*LN('Zoopl Analysis'!K67)))</f>
        <v/>
      </c>
      <c r="L67" s="36" t="str">
        <f>IF('Zoopl Count'!L67=0,"",('Zoopl Analysis'!L67*LN('Zoopl Analysis'!L67)))</f>
        <v/>
      </c>
      <c r="M67" s="36" t="str">
        <f>IF('Zoopl Count'!M67=0,"",('Zoopl Analysis'!M67*LN('Zoopl Analysis'!M67)))</f>
        <v/>
      </c>
      <c r="N67" s="36" t="str">
        <f>IF('Zoopl Count'!N67=0,"",('Zoopl Analysis'!N67*LN('Zoopl Analysis'!N67)))</f>
        <v/>
      </c>
      <c r="O67" s="36" t="str">
        <f>IF('Zoopl Count'!O67=0,"",('Zoopl Analysis'!O67*LN('Zoopl Analysis'!O67)))</f>
        <v/>
      </c>
      <c r="P67" s="36" t="str">
        <f>IF('Zoopl Count'!P67=0,"",('Zoopl Analysis'!P67*LN('Zoopl Analysis'!P67)))</f>
        <v/>
      </c>
    </row>
    <row r="68" spans="1:16">
      <c r="D68" s="8"/>
      <c r="E68" s="8" t="s">
        <v>14</v>
      </c>
      <c r="F68" s="19" t="s">
        <v>387</v>
      </c>
      <c r="G68" s="36" t="str">
        <f>IF('Zoopl Count'!G68=0,"",('Zoopl Analysis'!G68*LN('Zoopl Analysis'!G68)))</f>
        <v/>
      </c>
      <c r="H68" s="36" t="str">
        <f>IF('Zoopl Count'!H68=0,"",('Zoopl Analysis'!H68*LN('Zoopl Analysis'!H68)))</f>
        <v/>
      </c>
      <c r="I68" s="36" t="str">
        <f>IF('Zoopl Count'!I68=0,"",('Zoopl Analysis'!I68*LN('Zoopl Analysis'!I68)))</f>
        <v/>
      </c>
      <c r="J68" s="36" t="str">
        <f>IF('Zoopl Count'!J68=0,"",('Zoopl Analysis'!J68*LN('Zoopl Analysis'!J68)))</f>
        <v/>
      </c>
      <c r="K68" s="36" t="str">
        <f>IF('Zoopl Count'!K68=0,"",('Zoopl Analysis'!K68*LN('Zoopl Analysis'!K68)))</f>
        <v/>
      </c>
      <c r="L68" s="36" t="str">
        <f>IF('Zoopl Count'!L68=0,"",('Zoopl Analysis'!L68*LN('Zoopl Analysis'!L68)))</f>
        <v/>
      </c>
      <c r="M68" s="36" t="str">
        <f>IF('Zoopl Count'!M68=0,"",('Zoopl Analysis'!M68*LN('Zoopl Analysis'!M68)))</f>
        <v/>
      </c>
      <c r="N68" s="36" t="str">
        <f>IF('Zoopl Count'!N68=0,"",('Zoopl Analysis'!N68*LN('Zoopl Analysis'!N68)))</f>
        <v/>
      </c>
      <c r="O68" s="36" t="str">
        <f>IF('Zoopl Count'!O68=0,"",('Zoopl Analysis'!O68*LN('Zoopl Analysis'!O68)))</f>
        <v/>
      </c>
      <c r="P68" s="36" t="str">
        <f>IF('Zoopl Count'!P68=0,"",('Zoopl Analysis'!P68*LN('Zoopl Analysis'!P68)))</f>
        <v/>
      </c>
    </row>
    <row r="69" spans="1:16">
      <c r="D69" s="8"/>
      <c r="E69" s="8"/>
      <c r="F69" s="19" t="s">
        <v>388</v>
      </c>
      <c r="G69" s="36" t="str">
        <f>IF('Zoopl Count'!G69=0,"",('Zoopl Analysis'!G69*LN('Zoopl Analysis'!G69)))</f>
        <v/>
      </c>
      <c r="H69" s="36" t="str">
        <f>IF('Zoopl Count'!H69=0,"",('Zoopl Analysis'!H69*LN('Zoopl Analysis'!H69)))</f>
        <v/>
      </c>
      <c r="I69" s="36" t="str">
        <f>IF('Zoopl Count'!I69=0,"",('Zoopl Analysis'!I69*LN('Zoopl Analysis'!I69)))</f>
        <v/>
      </c>
      <c r="J69" s="36" t="str">
        <f>IF('Zoopl Count'!J69=0,"",('Zoopl Analysis'!J69*LN('Zoopl Analysis'!J69)))</f>
        <v/>
      </c>
      <c r="K69" s="36" t="str">
        <f>IF('Zoopl Count'!K69=0,"",('Zoopl Analysis'!K69*LN('Zoopl Analysis'!K69)))</f>
        <v/>
      </c>
      <c r="L69" s="36" t="str">
        <f>IF('Zoopl Count'!L69=0,"",('Zoopl Analysis'!L69*LN('Zoopl Analysis'!L69)))</f>
        <v/>
      </c>
      <c r="M69" s="36" t="str">
        <f>IF('Zoopl Count'!M69=0,"",('Zoopl Analysis'!M69*LN('Zoopl Analysis'!M69)))</f>
        <v/>
      </c>
      <c r="N69" s="36" t="str">
        <f>IF('Zoopl Count'!N69=0,"",('Zoopl Analysis'!N69*LN('Zoopl Analysis'!N69)))</f>
        <v/>
      </c>
      <c r="O69" s="36" t="str">
        <f>IF('Zoopl Count'!O69=0,"",('Zoopl Analysis'!O69*LN('Zoopl Analysis'!O69)))</f>
        <v/>
      </c>
      <c r="P69" s="36" t="str">
        <f>IF('Zoopl Count'!P69=0,"",('Zoopl Analysis'!P69*LN('Zoopl Analysis'!P69)))</f>
        <v/>
      </c>
    </row>
    <row r="70" spans="1:16">
      <c r="D70" s="8"/>
      <c r="E70" s="8"/>
      <c r="F70" s="81"/>
      <c r="G70" s="36" t="str">
        <f>IF('Zoopl Count'!G70=0,"",('Zoopl Analysis'!G70*LN('Zoopl Analysis'!G70)))</f>
        <v/>
      </c>
      <c r="H70" s="36" t="str">
        <f>IF('Zoopl Count'!H70=0,"",('Zoopl Analysis'!H70*LN('Zoopl Analysis'!H70)))</f>
        <v/>
      </c>
      <c r="I70" s="36" t="str">
        <f>IF('Zoopl Count'!I70=0,"",('Zoopl Analysis'!I70*LN('Zoopl Analysis'!I70)))</f>
        <v/>
      </c>
      <c r="J70" s="36" t="str">
        <f>IF('Zoopl Count'!J70=0,"",('Zoopl Analysis'!J70*LN('Zoopl Analysis'!J70)))</f>
        <v/>
      </c>
      <c r="K70" s="36" t="str">
        <f>IF('Zoopl Count'!K70=0,"",('Zoopl Analysis'!K70*LN('Zoopl Analysis'!K70)))</f>
        <v/>
      </c>
      <c r="L70" s="36" t="str">
        <f>IF('Zoopl Count'!L70=0,"",('Zoopl Analysis'!L70*LN('Zoopl Analysis'!L70)))</f>
        <v/>
      </c>
      <c r="M70" s="36" t="str">
        <f>IF('Zoopl Count'!M70=0,"",('Zoopl Analysis'!M70*LN('Zoopl Analysis'!M70)))</f>
        <v/>
      </c>
      <c r="N70" s="36" t="str">
        <f>IF('Zoopl Count'!N70=0,"",('Zoopl Analysis'!N70*LN('Zoopl Analysis'!N70)))</f>
        <v/>
      </c>
      <c r="O70" s="36" t="str">
        <f>IF('Zoopl Count'!O70=0,"",('Zoopl Analysis'!O70*LN('Zoopl Analysis'!O70)))</f>
        <v/>
      </c>
      <c r="P70" s="36" t="str">
        <f>IF('Zoopl Count'!P70=0,"",('Zoopl Analysis'!P70*LN('Zoopl Analysis'!P70)))</f>
        <v/>
      </c>
    </row>
    <row r="71" spans="1:16">
      <c r="A71" s="21" t="s">
        <v>7</v>
      </c>
      <c r="B71" s="2" t="s">
        <v>8</v>
      </c>
      <c r="C71" s="2"/>
      <c r="D71" s="2"/>
      <c r="E71" s="2"/>
      <c r="F71" s="2"/>
      <c r="G71" s="36" t="str">
        <f>IF('Zoopl Count'!G71=0,"",('Zoopl Analysis'!G71*LN('Zoopl Analysis'!G71)))</f>
        <v/>
      </c>
      <c r="H71" s="36" t="str">
        <f>IF('Zoopl Count'!H71=0,"",('Zoopl Analysis'!H71*LN('Zoopl Analysis'!H71)))</f>
        <v/>
      </c>
      <c r="I71" s="36" t="str">
        <f>IF('Zoopl Count'!I71=0,"",('Zoopl Analysis'!I71*LN('Zoopl Analysis'!I71)))</f>
        <v/>
      </c>
      <c r="J71" s="36" t="str">
        <f>IF('Zoopl Count'!J71=0,"",('Zoopl Analysis'!J71*LN('Zoopl Analysis'!J71)))</f>
        <v/>
      </c>
      <c r="K71" s="36" t="str">
        <f>IF('Zoopl Count'!K71=0,"",('Zoopl Analysis'!K71*LN('Zoopl Analysis'!K71)))</f>
        <v/>
      </c>
      <c r="L71" s="36" t="str">
        <f>IF('Zoopl Count'!L71=0,"",('Zoopl Analysis'!L71*LN('Zoopl Analysis'!L71)))</f>
        <v/>
      </c>
      <c r="M71" s="36" t="str">
        <f>IF('Zoopl Count'!M71=0,"",('Zoopl Analysis'!M71*LN('Zoopl Analysis'!M71)))</f>
        <v/>
      </c>
      <c r="N71" s="36" t="str">
        <f>IF('Zoopl Count'!N71=0,"",('Zoopl Analysis'!N71*LN('Zoopl Analysis'!N71)))</f>
        <v/>
      </c>
      <c r="O71" s="36" t="str">
        <f>IF('Zoopl Count'!O71=0,"",('Zoopl Analysis'!O71*LN('Zoopl Analysis'!O71)))</f>
        <v/>
      </c>
      <c r="P71" s="36" t="str">
        <f>IF('Zoopl Count'!P71=0,"",('Zoopl Analysis'!P71*LN('Zoopl Analysis'!P71)))</f>
        <v/>
      </c>
    </row>
    <row r="72" spans="1:16">
      <c r="A72" s="21"/>
      <c r="B72" s="2"/>
      <c r="C72" s="2"/>
      <c r="D72" s="2"/>
      <c r="E72" s="2"/>
      <c r="F72" s="239" t="s">
        <v>337</v>
      </c>
      <c r="G72" s="36" t="str">
        <f>IF('Zoopl Count'!G72=0,"",('Zoopl Analysis'!G72*LN('Zoopl Analysis'!G72)))</f>
        <v/>
      </c>
      <c r="H72" s="36" t="str">
        <f>IF('Zoopl Count'!H72=0,"",('Zoopl Analysis'!H72*LN('Zoopl Analysis'!H72)))</f>
        <v/>
      </c>
      <c r="I72" s="36" t="str">
        <f>IF('Zoopl Count'!I72=0,"",('Zoopl Analysis'!I72*LN('Zoopl Analysis'!I72)))</f>
        <v/>
      </c>
      <c r="J72" s="36" t="str">
        <f>IF('Zoopl Count'!J72=0,"",('Zoopl Analysis'!J72*LN('Zoopl Analysis'!J72)))</f>
        <v/>
      </c>
      <c r="K72" s="36" t="str">
        <f>IF('Zoopl Count'!K72=0,"",('Zoopl Analysis'!K72*LN('Zoopl Analysis'!K72)))</f>
        <v/>
      </c>
      <c r="L72" s="36" t="str">
        <f>IF('Zoopl Count'!L72=0,"",('Zoopl Analysis'!L72*LN('Zoopl Analysis'!L72)))</f>
        <v/>
      </c>
      <c r="M72" s="36" t="str">
        <f>IF('Zoopl Count'!M72=0,"",('Zoopl Analysis'!M72*LN('Zoopl Analysis'!M72)))</f>
        <v/>
      </c>
      <c r="N72" s="36" t="str">
        <f>IF('Zoopl Count'!N72=0,"",('Zoopl Analysis'!N72*LN('Zoopl Analysis'!N72)))</f>
        <v/>
      </c>
      <c r="O72" s="36" t="str">
        <f>IF('Zoopl Count'!O72=0,"",('Zoopl Analysis'!O72*LN('Zoopl Analysis'!O72)))</f>
        <v/>
      </c>
      <c r="P72" s="36" t="str">
        <f>IF('Zoopl Count'!P72=0,"",('Zoopl Analysis'!P72*LN('Zoopl Analysis'!P72)))</f>
        <v/>
      </c>
    </row>
    <row r="73" spans="1:16">
      <c r="A73" s="21"/>
      <c r="B73" s="2"/>
      <c r="C73" s="2"/>
      <c r="D73" s="2"/>
      <c r="E73" s="2"/>
      <c r="F73" s="264" t="s">
        <v>419</v>
      </c>
      <c r="G73" s="36" t="str">
        <f>IF('Zoopl Count'!G73=0,"",('Zoopl Analysis'!G73*LN('Zoopl Analysis'!G73)))</f>
        <v/>
      </c>
      <c r="H73" s="36" t="str">
        <f>IF('Zoopl Count'!H73=0,"",('Zoopl Analysis'!H73*LN('Zoopl Analysis'!H73)))</f>
        <v/>
      </c>
      <c r="I73" s="36" t="str">
        <f>IF('Zoopl Count'!I73=0,"",('Zoopl Analysis'!I73*LN('Zoopl Analysis'!I73)))</f>
        <v/>
      </c>
      <c r="J73" s="36" t="str">
        <f>IF('Zoopl Count'!J73=0,"",('Zoopl Analysis'!J73*LN('Zoopl Analysis'!J73)))</f>
        <v/>
      </c>
      <c r="K73" s="36" t="str">
        <f>IF('Zoopl Count'!K73=0,"",('Zoopl Analysis'!K73*LN('Zoopl Analysis'!K73)))</f>
        <v/>
      </c>
      <c r="L73" s="36" t="str">
        <f>IF('Zoopl Count'!L73=0,"",('Zoopl Analysis'!L73*LN('Zoopl Analysis'!L73)))</f>
        <v/>
      </c>
      <c r="M73" s="36" t="str">
        <f>IF('Zoopl Count'!M73=0,"",('Zoopl Analysis'!M73*LN('Zoopl Analysis'!M73)))</f>
        <v/>
      </c>
      <c r="N73" s="36" t="str">
        <f>IF('Zoopl Count'!N73=0,"",('Zoopl Analysis'!N73*LN('Zoopl Analysis'!N73)))</f>
        <v/>
      </c>
      <c r="O73" s="36" t="str">
        <f>IF('Zoopl Count'!O73=0,"",('Zoopl Analysis'!O73*LN('Zoopl Analysis'!O73)))</f>
        <v/>
      </c>
      <c r="P73" s="36" t="str">
        <f>IF('Zoopl Count'!P73=0,"",('Zoopl Analysis'!P73*LN('Zoopl Analysis'!P73)))</f>
        <v/>
      </c>
    </row>
    <row r="74" spans="1:16">
      <c r="A74" s="21"/>
      <c r="B74" s="21" t="s">
        <v>79</v>
      </c>
      <c r="C74" s="2" t="s">
        <v>85</v>
      </c>
      <c r="D74" s="2"/>
      <c r="E74" s="2"/>
      <c r="F74" s="100"/>
      <c r="G74" s="36" t="str">
        <f>IF('Zoopl Count'!G74=0,"",('Zoopl Analysis'!G74*LN('Zoopl Analysis'!G74)))</f>
        <v/>
      </c>
      <c r="H74" s="36" t="str">
        <f>IF('Zoopl Count'!H74=0,"",('Zoopl Analysis'!H74*LN('Zoopl Analysis'!H74)))</f>
        <v/>
      </c>
      <c r="I74" s="36" t="str">
        <f>IF('Zoopl Count'!I74=0,"",('Zoopl Analysis'!I74*LN('Zoopl Analysis'!I74)))</f>
        <v/>
      </c>
      <c r="J74" s="36" t="str">
        <f>IF('Zoopl Count'!J74=0,"",('Zoopl Analysis'!J74*LN('Zoopl Analysis'!J74)))</f>
        <v/>
      </c>
      <c r="K74" s="36" t="str">
        <f>IF('Zoopl Count'!K74=0,"",('Zoopl Analysis'!K74*LN('Zoopl Analysis'!K74)))</f>
        <v/>
      </c>
      <c r="L74" s="36" t="str">
        <f>IF('Zoopl Count'!L74=0,"",('Zoopl Analysis'!L74*LN('Zoopl Analysis'!L74)))</f>
        <v/>
      </c>
      <c r="M74" s="36" t="str">
        <f>IF('Zoopl Count'!M74=0,"",('Zoopl Analysis'!M74*LN('Zoopl Analysis'!M74)))</f>
        <v/>
      </c>
      <c r="N74" s="36" t="str">
        <f>IF('Zoopl Count'!N74=0,"",('Zoopl Analysis'!N74*LN('Zoopl Analysis'!N74)))</f>
        <v/>
      </c>
      <c r="O74" s="36" t="str">
        <f>IF('Zoopl Count'!O74=0,"",('Zoopl Analysis'!O74*LN('Zoopl Analysis'!O74)))</f>
        <v/>
      </c>
      <c r="P74" s="36" t="str">
        <f>IF('Zoopl Count'!P74=0,"",('Zoopl Analysis'!P74*LN('Zoopl Analysis'!P74)))</f>
        <v/>
      </c>
    </row>
    <row r="75" spans="1:16">
      <c r="A75" s="2"/>
      <c r="B75" s="195"/>
      <c r="C75" s="195"/>
      <c r="D75" s="2"/>
      <c r="E75" s="193"/>
      <c r="F75" s="193" t="s">
        <v>292</v>
      </c>
      <c r="G75" s="36" t="str">
        <f>IF('Zoopl Count'!G75=0,"",('Zoopl Analysis'!G75*LN('Zoopl Analysis'!G75)))</f>
        <v/>
      </c>
      <c r="H75" s="36">
        <f>IF('Zoopl Count'!H75=0,"",('Zoopl Analysis'!H75*LN('Zoopl Analysis'!H75)))</f>
        <v>-0.1779977489437593</v>
      </c>
      <c r="I75" s="36" t="str">
        <f>IF('Zoopl Count'!I75=0,"",('Zoopl Analysis'!I75*LN('Zoopl Analysis'!I75)))</f>
        <v/>
      </c>
      <c r="J75" s="36" t="str">
        <f>IF('Zoopl Count'!J75=0,"",('Zoopl Analysis'!J75*LN('Zoopl Analysis'!J75)))</f>
        <v/>
      </c>
      <c r="K75" s="36">
        <f>IF('Zoopl Count'!K75=0,"",('Zoopl Analysis'!K75*LN('Zoopl Analysis'!K75)))</f>
        <v>-0.35050162848493283</v>
      </c>
      <c r="L75" s="36" t="str">
        <f>IF('Zoopl Count'!L75=0,"",('Zoopl Analysis'!L75*LN('Zoopl Analysis'!L75)))</f>
        <v/>
      </c>
      <c r="M75" s="36" t="str">
        <f>IF('Zoopl Count'!M75=0,"",('Zoopl Analysis'!M75*LN('Zoopl Analysis'!M75)))</f>
        <v/>
      </c>
      <c r="N75" s="36" t="str">
        <f>IF('Zoopl Count'!N75=0,"",('Zoopl Analysis'!N75*LN('Zoopl Analysis'!N75)))</f>
        <v/>
      </c>
      <c r="O75" s="36" t="str">
        <f>IF('Zoopl Count'!O75=0,"",('Zoopl Analysis'!O75*LN('Zoopl Analysis'!O75)))</f>
        <v/>
      </c>
      <c r="P75" s="36" t="str">
        <f>IF('Zoopl Count'!P75=0,"",('Zoopl Analysis'!P75*LN('Zoopl Analysis'!P75)))</f>
        <v/>
      </c>
    </row>
    <row r="76" spans="1:16">
      <c r="A76" s="2"/>
      <c r="B76" s="21"/>
      <c r="C76" s="21" t="s">
        <v>10</v>
      </c>
      <c r="D76" s="2" t="s">
        <v>280</v>
      </c>
      <c r="E76" s="193"/>
      <c r="F76" s="193"/>
      <c r="G76" s="36" t="str">
        <f>IF('Zoopl Count'!G76=0,"",('Zoopl Analysis'!G76*LN('Zoopl Analysis'!G76)))</f>
        <v/>
      </c>
      <c r="H76" s="36" t="str">
        <f>IF('Zoopl Count'!H76=0,"",('Zoopl Analysis'!H76*LN('Zoopl Analysis'!H76)))</f>
        <v/>
      </c>
      <c r="I76" s="36" t="str">
        <f>IF('Zoopl Count'!I76=0,"",('Zoopl Analysis'!I76*LN('Zoopl Analysis'!I76)))</f>
        <v/>
      </c>
      <c r="J76" s="36" t="str">
        <f>IF('Zoopl Count'!J76=0,"",('Zoopl Analysis'!J76*LN('Zoopl Analysis'!J76)))</f>
        <v/>
      </c>
      <c r="K76" s="36" t="str">
        <f>IF('Zoopl Count'!K76=0,"",('Zoopl Analysis'!K76*LN('Zoopl Analysis'!K76)))</f>
        <v/>
      </c>
      <c r="L76" s="36" t="str">
        <f>IF('Zoopl Count'!L76=0,"",('Zoopl Analysis'!L76*LN('Zoopl Analysis'!L76)))</f>
        <v/>
      </c>
      <c r="M76" s="36" t="str">
        <f>IF('Zoopl Count'!M76=0,"",('Zoopl Analysis'!M76*LN('Zoopl Analysis'!M76)))</f>
        <v/>
      </c>
      <c r="N76" s="36" t="str">
        <f>IF('Zoopl Count'!N76=0,"",('Zoopl Analysis'!N76*LN('Zoopl Analysis'!N76)))</f>
        <v/>
      </c>
      <c r="O76" s="36" t="str">
        <f>IF('Zoopl Count'!O76=0,"",('Zoopl Analysis'!O76*LN('Zoopl Analysis'!O76)))</f>
        <v/>
      </c>
      <c r="P76" s="36" t="str">
        <f>IF('Zoopl Count'!P76=0,"",('Zoopl Analysis'!P76*LN('Zoopl Analysis'!P76)))</f>
        <v/>
      </c>
    </row>
    <row r="77" spans="1:16">
      <c r="A77" s="181"/>
      <c r="B77" s="181"/>
      <c r="C77" s="181"/>
      <c r="D77" s="180" t="s">
        <v>12</v>
      </c>
      <c r="E77" s="181" t="s">
        <v>281</v>
      </c>
      <c r="F77" s="182"/>
      <c r="G77" s="36" t="str">
        <f>IF('Zoopl Count'!G77=0,"",('Zoopl Analysis'!G77*LN('Zoopl Analysis'!G77)))</f>
        <v/>
      </c>
      <c r="H77" s="36" t="str">
        <f>IF('Zoopl Count'!H77=0,"",('Zoopl Analysis'!H77*LN('Zoopl Analysis'!H77)))</f>
        <v/>
      </c>
      <c r="I77" s="36" t="str">
        <f>IF('Zoopl Count'!I77=0,"",('Zoopl Analysis'!I77*LN('Zoopl Analysis'!I77)))</f>
        <v/>
      </c>
      <c r="J77" s="36" t="str">
        <f>IF('Zoopl Count'!J77=0,"",('Zoopl Analysis'!J77*LN('Zoopl Analysis'!J77)))</f>
        <v/>
      </c>
      <c r="K77" s="36" t="str">
        <f>IF('Zoopl Count'!K77=0,"",('Zoopl Analysis'!K77*LN('Zoopl Analysis'!K77)))</f>
        <v/>
      </c>
      <c r="L77" s="36" t="str">
        <f>IF('Zoopl Count'!L77=0,"",('Zoopl Analysis'!L77*LN('Zoopl Analysis'!L77)))</f>
        <v/>
      </c>
      <c r="M77" s="36" t="str">
        <f>IF('Zoopl Count'!M77=0,"",('Zoopl Analysis'!M77*LN('Zoopl Analysis'!M77)))</f>
        <v/>
      </c>
      <c r="N77" s="36" t="str">
        <f>IF('Zoopl Count'!N77=0,"",('Zoopl Analysis'!N77*LN('Zoopl Analysis'!N77)))</f>
        <v/>
      </c>
      <c r="O77" s="36" t="str">
        <f>IF('Zoopl Count'!O77=0,"",('Zoopl Analysis'!O77*LN('Zoopl Analysis'!O77)))</f>
        <v/>
      </c>
      <c r="P77" s="36" t="str">
        <f>IF('Zoopl Count'!P77=0,"",('Zoopl Analysis'!P77*LN('Zoopl Analysis'!P77)))</f>
        <v/>
      </c>
    </row>
    <row r="78" spans="1:16">
      <c r="A78" s="181"/>
      <c r="B78" s="181"/>
      <c r="C78" s="181"/>
      <c r="D78" s="180"/>
      <c r="E78" s="180" t="s">
        <v>14</v>
      </c>
      <c r="F78" s="10" t="s">
        <v>282</v>
      </c>
      <c r="G78" s="36">
        <f>IF('Zoopl Count'!G78=0,"",('Zoopl Analysis'!G78*LN('Zoopl Analysis'!G78)))</f>
        <v>-0.35050162848493283</v>
      </c>
      <c r="H78" s="36" t="str">
        <f>IF('Zoopl Count'!H78=0,"",('Zoopl Analysis'!H78*LN('Zoopl Analysis'!H78)))</f>
        <v/>
      </c>
      <c r="I78" s="36" t="str">
        <f>IF('Zoopl Count'!I78=0,"",('Zoopl Analysis'!I78*LN('Zoopl Analysis'!I78)))</f>
        <v/>
      </c>
      <c r="J78" s="36" t="str">
        <f>IF('Zoopl Count'!J78=0,"",('Zoopl Analysis'!J78*LN('Zoopl Analysis'!J78)))</f>
        <v/>
      </c>
      <c r="K78" s="36" t="str">
        <f>IF('Zoopl Count'!K78=0,"",('Zoopl Analysis'!K78*LN('Zoopl Analysis'!K78)))</f>
        <v/>
      </c>
      <c r="L78" s="36" t="str">
        <f>IF('Zoopl Count'!L78=0,"",('Zoopl Analysis'!L78*LN('Zoopl Analysis'!L78)))</f>
        <v/>
      </c>
      <c r="M78" s="36">
        <f>IF('Zoopl Count'!M78=0,"",('Zoopl Analysis'!M78*LN('Zoopl Analysis'!M78)))</f>
        <v>-0.26562315606499248</v>
      </c>
      <c r="N78" s="36" t="str">
        <f>IF('Zoopl Count'!N78=0,"",('Zoopl Analysis'!N78*LN('Zoopl Analysis'!N78)))</f>
        <v/>
      </c>
      <c r="O78" s="36" t="str">
        <f>IF('Zoopl Count'!O78=0,"",('Zoopl Analysis'!O78*LN('Zoopl Analysis'!O78)))</f>
        <v/>
      </c>
      <c r="P78" s="36" t="str">
        <f>IF('Zoopl Count'!P78=0,"",('Zoopl Analysis'!P78*LN('Zoopl Analysis'!P78)))</f>
        <v/>
      </c>
    </row>
    <row r="79" spans="1:16">
      <c r="A79" s="180"/>
      <c r="B79" s="180"/>
      <c r="C79" s="2"/>
      <c r="D79" s="181"/>
      <c r="E79" s="181"/>
      <c r="F79" s="182"/>
      <c r="G79" s="36" t="str">
        <f>IF('Zoopl Count'!G79=0,"",('Zoopl Analysis'!G79*LN('Zoopl Analysis'!G79)))</f>
        <v/>
      </c>
      <c r="H79" s="36" t="str">
        <f>IF('Zoopl Count'!H79=0,"",('Zoopl Analysis'!H79*LN('Zoopl Analysis'!H79)))</f>
        <v/>
      </c>
      <c r="I79" s="36" t="str">
        <f>IF('Zoopl Count'!I79=0,"",('Zoopl Analysis'!I79*LN('Zoopl Analysis'!I79)))</f>
        <v/>
      </c>
      <c r="J79" s="36" t="str">
        <f>IF('Zoopl Count'!J79=0,"",('Zoopl Analysis'!J79*LN('Zoopl Analysis'!J79)))</f>
        <v/>
      </c>
      <c r="K79" s="36" t="str">
        <f>IF('Zoopl Count'!K79=0,"",('Zoopl Analysis'!K79*LN('Zoopl Analysis'!K79)))</f>
        <v/>
      </c>
      <c r="L79" s="36" t="str">
        <f>IF('Zoopl Count'!L79=0,"",('Zoopl Analysis'!L79*LN('Zoopl Analysis'!L79)))</f>
        <v/>
      </c>
      <c r="M79" s="36" t="str">
        <f>IF('Zoopl Count'!M79=0,"",('Zoopl Analysis'!M79*LN('Zoopl Analysis'!M79)))</f>
        <v/>
      </c>
      <c r="N79" s="36" t="str">
        <f>IF('Zoopl Count'!N79=0,"",('Zoopl Analysis'!N79*LN('Zoopl Analysis'!N79)))</f>
        <v/>
      </c>
      <c r="O79" s="36" t="str">
        <f>IF('Zoopl Count'!O79=0,"",('Zoopl Analysis'!O79*LN('Zoopl Analysis'!O79)))</f>
        <v/>
      </c>
      <c r="P79" s="36" t="str">
        <f>IF('Zoopl Count'!P79=0,"",('Zoopl Analysis'!P79*LN('Zoopl Analysis'!P79)))</f>
        <v/>
      </c>
    </row>
    <row r="80" spans="1:16">
      <c r="A80" s="2"/>
      <c r="B80" s="21"/>
      <c r="C80" s="21" t="s">
        <v>10</v>
      </c>
      <c r="D80" s="2" t="s">
        <v>278</v>
      </c>
      <c r="E80" s="2"/>
      <c r="F80" s="100"/>
      <c r="G80" s="36" t="str">
        <f>IF('Zoopl Count'!G80=0,"",('Zoopl Analysis'!G80*LN('Zoopl Analysis'!G80)))</f>
        <v/>
      </c>
      <c r="H80" s="36" t="str">
        <f>IF('Zoopl Count'!H80=0,"",('Zoopl Analysis'!H80*LN('Zoopl Analysis'!H80)))</f>
        <v/>
      </c>
      <c r="I80" s="36" t="str">
        <f>IF('Zoopl Count'!I80=0,"",('Zoopl Analysis'!I80*LN('Zoopl Analysis'!I80)))</f>
        <v/>
      </c>
      <c r="J80" s="36" t="str">
        <f>IF('Zoopl Count'!J80=0,"",('Zoopl Analysis'!J80*LN('Zoopl Analysis'!J80)))</f>
        <v/>
      </c>
      <c r="K80" s="36" t="str">
        <f>IF('Zoopl Count'!K80=0,"",('Zoopl Analysis'!K80*LN('Zoopl Analysis'!K80)))</f>
        <v/>
      </c>
      <c r="L80" s="36" t="str">
        <f>IF('Zoopl Count'!L80=0,"",('Zoopl Analysis'!L80*LN('Zoopl Analysis'!L80)))</f>
        <v/>
      </c>
      <c r="M80" s="36" t="str">
        <f>IF('Zoopl Count'!M80=0,"",('Zoopl Analysis'!M80*LN('Zoopl Analysis'!M80)))</f>
        <v/>
      </c>
      <c r="N80" s="36" t="str">
        <f>IF('Zoopl Count'!N80=0,"",('Zoopl Analysis'!N80*LN('Zoopl Analysis'!N80)))</f>
        <v/>
      </c>
      <c r="O80" s="36" t="str">
        <f>IF('Zoopl Count'!O80=0,"",('Zoopl Analysis'!O80*LN('Zoopl Analysis'!O80)))</f>
        <v/>
      </c>
      <c r="P80" s="36" t="str">
        <f>IF('Zoopl Count'!P80=0,"",('Zoopl Analysis'!P80*LN('Zoopl Analysis'!P80)))</f>
        <v/>
      </c>
    </row>
    <row r="81" spans="1:16">
      <c r="A81" s="181"/>
      <c r="B81" s="181"/>
      <c r="C81" s="181"/>
      <c r="D81" s="180" t="s">
        <v>12</v>
      </c>
      <c r="E81" s="181" t="s">
        <v>279</v>
      </c>
      <c r="F81" s="182"/>
      <c r="G81" s="36" t="str">
        <f>IF('Zoopl Count'!G81=0,"",('Zoopl Analysis'!G81*LN('Zoopl Analysis'!G81)))</f>
        <v/>
      </c>
      <c r="H81" s="36" t="str">
        <f>IF('Zoopl Count'!H81=0,"",('Zoopl Analysis'!H81*LN('Zoopl Analysis'!H81)))</f>
        <v/>
      </c>
      <c r="I81" s="36" t="str">
        <f>IF('Zoopl Count'!I81=0,"",('Zoopl Analysis'!I81*LN('Zoopl Analysis'!I81)))</f>
        <v/>
      </c>
      <c r="J81" s="36" t="str">
        <f>IF('Zoopl Count'!J81=0,"",('Zoopl Analysis'!J81*LN('Zoopl Analysis'!J81)))</f>
        <v/>
      </c>
      <c r="K81" s="36" t="str">
        <f>IF('Zoopl Count'!K81=0,"",('Zoopl Analysis'!K81*LN('Zoopl Analysis'!K81)))</f>
        <v/>
      </c>
      <c r="L81" s="36" t="str">
        <f>IF('Zoopl Count'!L81=0,"",('Zoopl Analysis'!L81*LN('Zoopl Analysis'!L81)))</f>
        <v/>
      </c>
      <c r="M81" s="36" t="str">
        <f>IF('Zoopl Count'!M81=0,"",('Zoopl Analysis'!M81*LN('Zoopl Analysis'!M81)))</f>
        <v/>
      </c>
      <c r="N81" s="36" t="str">
        <f>IF('Zoopl Count'!N81=0,"",('Zoopl Analysis'!N81*LN('Zoopl Analysis'!N81)))</f>
        <v/>
      </c>
      <c r="O81" s="36" t="str">
        <f>IF('Zoopl Count'!O81=0,"",('Zoopl Analysis'!O81*LN('Zoopl Analysis'!O81)))</f>
        <v/>
      </c>
      <c r="P81" s="36" t="str">
        <f>IF('Zoopl Count'!P81=0,"",('Zoopl Analysis'!P81*LN('Zoopl Analysis'!P81)))</f>
        <v/>
      </c>
    </row>
    <row r="82" spans="1:16">
      <c r="A82" s="181"/>
      <c r="B82" s="181"/>
      <c r="C82" s="181"/>
      <c r="D82" s="180"/>
      <c r="E82" s="180" t="s">
        <v>14</v>
      </c>
      <c r="F82" s="10" t="s">
        <v>5</v>
      </c>
      <c r="G82" s="36" t="str">
        <f>IF('Zoopl Count'!G82=0,"",('Zoopl Analysis'!G82*LN('Zoopl Analysis'!G82)))</f>
        <v/>
      </c>
      <c r="H82" s="36" t="str">
        <f>IF('Zoopl Count'!H82=0,"",('Zoopl Analysis'!H82*LN('Zoopl Analysis'!H82)))</f>
        <v/>
      </c>
      <c r="I82" s="36" t="str">
        <f>IF('Zoopl Count'!I82=0,"",('Zoopl Analysis'!I82*LN('Zoopl Analysis'!I82)))</f>
        <v/>
      </c>
      <c r="J82" s="36" t="str">
        <f>IF('Zoopl Count'!J82=0,"",('Zoopl Analysis'!J82*LN('Zoopl Analysis'!J82)))</f>
        <v/>
      </c>
      <c r="K82" s="36" t="str">
        <f>IF('Zoopl Count'!K82=0,"",('Zoopl Analysis'!K82*LN('Zoopl Analysis'!K82)))</f>
        <v/>
      </c>
      <c r="L82" s="36" t="str">
        <f>IF('Zoopl Count'!L82=0,"",('Zoopl Analysis'!L82*LN('Zoopl Analysis'!L82)))</f>
        <v/>
      </c>
      <c r="M82" s="36" t="str">
        <f>IF('Zoopl Count'!M82=0,"",('Zoopl Analysis'!M82*LN('Zoopl Analysis'!M82)))</f>
        <v/>
      </c>
      <c r="N82" s="36" t="str">
        <f>IF('Zoopl Count'!N82=0,"",('Zoopl Analysis'!N82*LN('Zoopl Analysis'!N82)))</f>
        <v/>
      </c>
      <c r="O82" s="36" t="str">
        <f>IF('Zoopl Count'!O82=0,"",('Zoopl Analysis'!O82*LN('Zoopl Analysis'!O82)))</f>
        <v/>
      </c>
      <c r="P82" s="36" t="str">
        <f>IF('Zoopl Count'!P82=0,"",('Zoopl Analysis'!P82*LN('Zoopl Analysis'!P82)))</f>
        <v/>
      </c>
    </row>
    <row r="83" spans="1:16">
      <c r="A83" s="181"/>
      <c r="B83" s="181"/>
      <c r="C83" s="181"/>
      <c r="D83" s="180"/>
      <c r="E83" s="180"/>
      <c r="F83" s="10"/>
      <c r="G83" s="36" t="str">
        <f>IF('Zoopl Count'!G83=0,"",('Zoopl Analysis'!G83*LN('Zoopl Analysis'!G83)))</f>
        <v/>
      </c>
      <c r="H83" s="36" t="str">
        <f>IF('Zoopl Count'!H83=0,"",('Zoopl Analysis'!H83*LN('Zoopl Analysis'!H83)))</f>
        <v/>
      </c>
      <c r="I83" s="36" t="str">
        <f>IF('Zoopl Count'!I83=0,"",('Zoopl Analysis'!I83*LN('Zoopl Analysis'!I83)))</f>
        <v/>
      </c>
      <c r="J83" s="36" t="str">
        <f>IF('Zoopl Count'!J83=0,"",('Zoopl Analysis'!J83*LN('Zoopl Analysis'!J83)))</f>
        <v/>
      </c>
      <c r="K83" s="36" t="str">
        <f>IF('Zoopl Count'!K83=0,"",('Zoopl Analysis'!K83*LN('Zoopl Analysis'!K83)))</f>
        <v/>
      </c>
      <c r="L83" s="36" t="str">
        <f>IF('Zoopl Count'!L83=0,"",('Zoopl Analysis'!L83*LN('Zoopl Analysis'!L83)))</f>
        <v/>
      </c>
      <c r="M83" s="36" t="str">
        <f>IF('Zoopl Count'!M83=0,"",('Zoopl Analysis'!M83*LN('Zoopl Analysis'!M83)))</f>
        <v/>
      </c>
      <c r="N83" s="36" t="str">
        <f>IF('Zoopl Count'!N83=0,"",('Zoopl Analysis'!N83*LN('Zoopl Analysis'!N83)))</f>
        <v/>
      </c>
      <c r="O83" s="36" t="str">
        <f>IF('Zoopl Count'!O83=0,"",('Zoopl Analysis'!O83*LN('Zoopl Analysis'!O83)))</f>
        <v/>
      </c>
      <c r="P83" s="36" t="str">
        <f>IF('Zoopl Count'!P83=0,"",('Zoopl Analysis'!P83*LN('Zoopl Analysis'!P83)))</f>
        <v/>
      </c>
    </row>
    <row r="84" spans="1:16">
      <c r="A84" s="2"/>
      <c r="B84" s="21"/>
      <c r="C84" s="21" t="s">
        <v>10</v>
      </c>
      <c r="D84" s="2" t="s">
        <v>283</v>
      </c>
      <c r="E84" s="181"/>
      <c r="F84" s="182"/>
      <c r="G84" s="36">
        <f>IF('Zoopl Count'!G84=0,"",('Zoopl Analysis'!G84*LN('Zoopl Analysis'!G84)))</f>
        <v>-0.26562315606499248</v>
      </c>
      <c r="H84" s="36" t="str">
        <f>IF('Zoopl Count'!H84=0,"",('Zoopl Analysis'!H84*LN('Zoopl Analysis'!H84)))</f>
        <v/>
      </c>
      <c r="I84" s="36" t="str">
        <f>IF('Zoopl Count'!I84=0,"",('Zoopl Analysis'!I84*LN('Zoopl Analysis'!I84)))</f>
        <v/>
      </c>
      <c r="J84" s="36" t="str">
        <f>IF('Zoopl Count'!J84=0,"",('Zoopl Analysis'!J84*LN('Zoopl Analysis'!J84)))</f>
        <v/>
      </c>
      <c r="K84" s="36" t="str">
        <f>IF('Zoopl Count'!K84=0,"",('Zoopl Analysis'!K84*LN('Zoopl Analysis'!K84)))</f>
        <v/>
      </c>
      <c r="L84" s="36" t="str">
        <f>IF('Zoopl Count'!L84=0,"",('Zoopl Analysis'!L84*LN('Zoopl Analysis'!L84)))</f>
        <v/>
      </c>
      <c r="M84" s="36" t="str">
        <f>IF('Zoopl Count'!M84=0,"",('Zoopl Analysis'!M84*LN('Zoopl Analysis'!M84)))</f>
        <v/>
      </c>
      <c r="N84" s="36" t="str">
        <f>IF('Zoopl Count'!N84=0,"",('Zoopl Analysis'!N84*LN('Zoopl Analysis'!N84)))</f>
        <v/>
      </c>
      <c r="O84" s="36" t="str">
        <f>IF('Zoopl Count'!O84=0,"",('Zoopl Analysis'!O84*LN('Zoopl Analysis'!O84)))</f>
        <v/>
      </c>
      <c r="P84" s="36" t="str">
        <f>IF('Zoopl Count'!P84=0,"",('Zoopl Analysis'!P84*LN('Zoopl Analysis'!P84)))</f>
        <v/>
      </c>
    </row>
    <row r="85" spans="1:16">
      <c r="A85" s="2"/>
      <c r="B85" s="180"/>
      <c r="C85" s="180"/>
      <c r="D85" s="2"/>
      <c r="E85" s="181"/>
      <c r="F85" s="182"/>
      <c r="G85" s="36" t="str">
        <f>IF('Zoopl Count'!G85=0,"",('Zoopl Analysis'!G85*LN('Zoopl Analysis'!G85)))</f>
        <v/>
      </c>
      <c r="H85" s="36" t="str">
        <f>IF('Zoopl Count'!H85=0,"",('Zoopl Analysis'!H85*LN('Zoopl Analysis'!H85)))</f>
        <v/>
      </c>
      <c r="I85" s="36" t="str">
        <f>IF('Zoopl Count'!I85=0,"",('Zoopl Analysis'!I85*LN('Zoopl Analysis'!I85)))</f>
        <v/>
      </c>
      <c r="J85" s="36" t="str">
        <f>IF('Zoopl Count'!J85=0,"",('Zoopl Analysis'!J85*LN('Zoopl Analysis'!J85)))</f>
        <v/>
      </c>
      <c r="K85" s="36" t="str">
        <f>IF('Zoopl Count'!K85=0,"",('Zoopl Analysis'!K85*LN('Zoopl Analysis'!K85)))</f>
        <v/>
      </c>
      <c r="L85" s="36" t="str">
        <f>IF('Zoopl Count'!L85=0,"",('Zoopl Analysis'!L85*LN('Zoopl Analysis'!L85)))</f>
        <v/>
      </c>
      <c r="M85" s="36" t="str">
        <f>IF('Zoopl Count'!M85=0,"",('Zoopl Analysis'!M85*LN('Zoopl Analysis'!M85)))</f>
        <v/>
      </c>
      <c r="N85" s="36" t="str">
        <f>IF('Zoopl Count'!N85=0,"",('Zoopl Analysis'!N85*LN('Zoopl Analysis'!N85)))</f>
        <v/>
      </c>
      <c r="O85" s="36" t="str">
        <f>IF('Zoopl Count'!O85=0,"",('Zoopl Analysis'!O85*LN('Zoopl Analysis'!O85)))</f>
        <v/>
      </c>
      <c r="P85" s="36" t="str">
        <f>IF('Zoopl Count'!P85=0,"",('Zoopl Analysis'!P85*LN('Zoopl Analysis'!P85)))</f>
        <v/>
      </c>
    </row>
    <row r="86" spans="1:16">
      <c r="A86" s="2"/>
      <c r="B86" s="21"/>
      <c r="C86" s="21" t="s">
        <v>10</v>
      </c>
      <c r="D86" s="2" t="s">
        <v>275</v>
      </c>
      <c r="E86" s="2"/>
      <c r="F86" s="3"/>
      <c r="G86" s="36" t="str">
        <f>IF('Zoopl Count'!G86=0,"",('Zoopl Analysis'!G86*LN('Zoopl Analysis'!G86)))</f>
        <v/>
      </c>
      <c r="H86" s="36" t="str">
        <f>IF('Zoopl Count'!H86=0,"",('Zoopl Analysis'!H86*LN('Zoopl Analysis'!H86)))</f>
        <v/>
      </c>
      <c r="I86" s="36" t="str">
        <f>IF('Zoopl Count'!I86=0,"",('Zoopl Analysis'!I86*LN('Zoopl Analysis'!I86)))</f>
        <v/>
      </c>
      <c r="J86" s="36" t="str">
        <f>IF('Zoopl Count'!J86=0,"",('Zoopl Analysis'!J86*LN('Zoopl Analysis'!J86)))</f>
        <v/>
      </c>
      <c r="K86" s="36" t="str">
        <f>IF('Zoopl Count'!K86=0,"",('Zoopl Analysis'!K86*LN('Zoopl Analysis'!K86)))</f>
        <v/>
      </c>
      <c r="L86" s="36" t="str">
        <f>IF('Zoopl Count'!L86=0,"",('Zoopl Analysis'!L86*LN('Zoopl Analysis'!L86)))</f>
        <v/>
      </c>
      <c r="M86" s="36" t="str">
        <f>IF('Zoopl Count'!M86=0,"",('Zoopl Analysis'!M86*LN('Zoopl Analysis'!M86)))</f>
        <v/>
      </c>
      <c r="N86" s="36" t="str">
        <f>IF('Zoopl Count'!N86=0,"",('Zoopl Analysis'!N86*LN('Zoopl Analysis'!N86)))</f>
        <v/>
      </c>
      <c r="O86" s="36" t="str">
        <f>IF('Zoopl Count'!O86=0,"",('Zoopl Analysis'!O86*LN('Zoopl Analysis'!O86)))</f>
        <v/>
      </c>
      <c r="P86" s="36" t="str">
        <f>IF('Zoopl Count'!P86=0,"",('Zoopl Analysis'!P86*LN('Zoopl Analysis'!P86)))</f>
        <v/>
      </c>
    </row>
    <row r="87" spans="1:16">
      <c r="A87" s="181"/>
      <c r="B87" s="181"/>
      <c r="C87" s="181"/>
      <c r="D87" s="180" t="s">
        <v>12</v>
      </c>
      <c r="E87" s="181" t="s">
        <v>276</v>
      </c>
      <c r="F87" s="182"/>
      <c r="G87" s="36" t="str">
        <f>IF('Zoopl Count'!G87=0,"",('Zoopl Analysis'!G87*LN('Zoopl Analysis'!G87)))</f>
        <v/>
      </c>
      <c r="H87" s="36" t="str">
        <f>IF('Zoopl Count'!H87=0,"",('Zoopl Analysis'!H87*LN('Zoopl Analysis'!H87)))</f>
        <v/>
      </c>
      <c r="I87" s="36" t="str">
        <f>IF('Zoopl Count'!I87=0,"",('Zoopl Analysis'!I87*LN('Zoopl Analysis'!I87)))</f>
        <v/>
      </c>
      <c r="J87" s="36" t="str">
        <f>IF('Zoopl Count'!J87=0,"",('Zoopl Analysis'!J87*LN('Zoopl Analysis'!J87)))</f>
        <v/>
      </c>
      <c r="K87" s="36" t="str">
        <f>IF('Zoopl Count'!K87=0,"",('Zoopl Analysis'!K87*LN('Zoopl Analysis'!K87)))</f>
        <v/>
      </c>
      <c r="L87" s="36" t="str">
        <f>IF('Zoopl Count'!L87=0,"",('Zoopl Analysis'!L87*LN('Zoopl Analysis'!L87)))</f>
        <v/>
      </c>
      <c r="M87" s="36" t="str">
        <f>IF('Zoopl Count'!M87=0,"",('Zoopl Analysis'!M87*LN('Zoopl Analysis'!M87)))</f>
        <v/>
      </c>
      <c r="N87" s="36" t="str">
        <f>IF('Zoopl Count'!N87=0,"",('Zoopl Analysis'!N87*LN('Zoopl Analysis'!N87)))</f>
        <v/>
      </c>
      <c r="O87" s="36" t="str">
        <f>IF('Zoopl Count'!O87=0,"",('Zoopl Analysis'!O87*LN('Zoopl Analysis'!O87)))</f>
        <v/>
      </c>
      <c r="P87" s="36" t="str">
        <f>IF('Zoopl Count'!P87=0,"",('Zoopl Analysis'!P87*LN('Zoopl Analysis'!P87)))</f>
        <v/>
      </c>
    </row>
    <row r="88" spans="1:16">
      <c r="A88" s="181"/>
      <c r="B88" s="181"/>
      <c r="C88" s="181"/>
      <c r="D88" s="180"/>
      <c r="E88" s="180" t="s">
        <v>14</v>
      </c>
      <c r="F88" s="10" t="s">
        <v>277</v>
      </c>
      <c r="G88" s="36" t="str">
        <f>IF('Zoopl Count'!G88=0,"",('Zoopl Analysis'!G88*LN('Zoopl Analysis'!G88)))</f>
        <v/>
      </c>
      <c r="H88" s="36" t="str">
        <f>IF('Zoopl Count'!H88=0,"",('Zoopl Analysis'!H88*LN('Zoopl Analysis'!H88)))</f>
        <v/>
      </c>
      <c r="I88" s="36" t="str">
        <f>IF('Zoopl Count'!I88=0,"",('Zoopl Analysis'!I88*LN('Zoopl Analysis'!I88)))</f>
        <v/>
      </c>
      <c r="J88" s="36" t="str">
        <f>IF('Zoopl Count'!J88=0,"",('Zoopl Analysis'!J88*LN('Zoopl Analysis'!J88)))</f>
        <v/>
      </c>
      <c r="K88" s="36" t="str">
        <f>IF('Zoopl Count'!K88=0,"",('Zoopl Analysis'!K88*LN('Zoopl Analysis'!K88)))</f>
        <v/>
      </c>
      <c r="L88" s="36" t="str">
        <f>IF('Zoopl Count'!L88=0,"",('Zoopl Analysis'!L88*LN('Zoopl Analysis'!L88)))</f>
        <v/>
      </c>
      <c r="M88" s="36" t="str">
        <f>IF('Zoopl Count'!M88=0,"",('Zoopl Analysis'!M88*LN('Zoopl Analysis'!M88)))</f>
        <v/>
      </c>
      <c r="N88" s="36" t="str">
        <f>IF('Zoopl Count'!N88=0,"",('Zoopl Analysis'!N88*LN('Zoopl Analysis'!N88)))</f>
        <v/>
      </c>
      <c r="O88" s="36" t="str">
        <f>IF('Zoopl Count'!O88=0,"",('Zoopl Analysis'!O88*LN('Zoopl Analysis'!O88)))</f>
        <v/>
      </c>
      <c r="P88" s="36" t="str">
        <f>IF('Zoopl Count'!P88=0,"",('Zoopl Analysis'!P88*LN('Zoopl Analysis'!P88)))</f>
        <v/>
      </c>
    </row>
    <row r="89" spans="1:16">
      <c r="A89" s="8"/>
      <c r="B89" s="2"/>
      <c r="F89" s="235" t="s">
        <v>336</v>
      </c>
      <c r="G89" s="36" t="str">
        <f>IF('Zoopl Count'!G89=0,"",('Zoopl Analysis'!G89*LN('Zoopl Analysis'!G89)))</f>
        <v/>
      </c>
      <c r="H89" s="36" t="str">
        <f>IF('Zoopl Count'!H89=0,"",('Zoopl Analysis'!H89*LN('Zoopl Analysis'!H89)))</f>
        <v/>
      </c>
      <c r="I89" s="36" t="str">
        <f>IF('Zoopl Count'!I89=0,"",('Zoopl Analysis'!I89*LN('Zoopl Analysis'!I89)))</f>
        <v/>
      </c>
      <c r="J89" s="36" t="str">
        <f>IF('Zoopl Count'!J89=0,"",('Zoopl Analysis'!J89*LN('Zoopl Analysis'!J89)))</f>
        <v/>
      </c>
      <c r="K89" s="36" t="str">
        <f>IF('Zoopl Count'!K89=0,"",('Zoopl Analysis'!K89*LN('Zoopl Analysis'!K89)))</f>
        <v/>
      </c>
      <c r="L89" s="36" t="str">
        <f>IF('Zoopl Count'!L89=0,"",('Zoopl Analysis'!L89*LN('Zoopl Analysis'!L89)))</f>
        <v/>
      </c>
      <c r="M89" s="36" t="str">
        <f>IF('Zoopl Count'!M89=0,"",('Zoopl Analysis'!M89*LN('Zoopl Analysis'!M89)))</f>
        <v/>
      </c>
      <c r="N89" s="36" t="str">
        <f>IF('Zoopl Count'!N89=0,"",('Zoopl Analysis'!N89*LN('Zoopl Analysis'!N89)))</f>
        <v/>
      </c>
      <c r="O89" s="36" t="str">
        <f>IF('Zoopl Count'!O89=0,"",('Zoopl Analysis'!O89*LN('Zoopl Analysis'!O89)))</f>
        <v/>
      </c>
      <c r="P89" s="36" t="str">
        <f>IF('Zoopl Count'!P89=0,"",('Zoopl Analysis'!P89*LN('Zoopl Analysis'!P89)))</f>
        <v/>
      </c>
    </row>
    <row r="90" spans="1:16">
      <c r="A90" s="181"/>
      <c r="B90" s="181"/>
      <c r="C90" s="181"/>
      <c r="D90" s="180"/>
      <c r="E90" s="180"/>
      <c r="F90" s="19"/>
      <c r="G90" s="36" t="str">
        <f>IF('Zoopl Count'!G90=0,"",('Zoopl Analysis'!G90*LN('Zoopl Analysis'!G90)))</f>
        <v/>
      </c>
      <c r="H90" s="36" t="str">
        <f>IF('Zoopl Count'!H90=0,"",('Zoopl Analysis'!H90*LN('Zoopl Analysis'!H90)))</f>
        <v/>
      </c>
      <c r="I90" s="36" t="str">
        <f>IF('Zoopl Count'!I90=0,"",('Zoopl Analysis'!I90*LN('Zoopl Analysis'!I90)))</f>
        <v/>
      </c>
      <c r="J90" s="36" t="str">
        <f>IF('Zoopl Count'!J90=0,"",('Zoopl Analysis'!J90*LN('Zoopl Analysis'!J90)))</f>
        <v/>
      </c>
      <c r="K90" s="36" t="str">
        <f>IF('Zoopl Count'!K90=0,"",('Zoopl Analysis'!K90*LN('Zoopl Analysis'!K90)))</f>
        <v/>
      </c>
      <c r="L90" s="36" t="str">
        <f>IF('Zoopl Count'!L90=0,"",('Zoopl Analysis'!L90*LN('Zoopl Analysis'!L90)))</f>
        <v/>
      </c>
      <c r="M90" s="36" t="str">
        <f>IF('Zoopl Count'!M90=0,"",('Zoopl Analysis'!M90*LN('Zoopl Analysis'!M90)))</f>
        <v/>
      </c>
      <c r="N90" s="36" t="str">
        <f>IF('Zoopl Count'!N90=0,"",('Zoopl Analysis'!N90*LN('Zoopl Analysis'!N90)))</f>
        <v/>
      </c>
      <c r="O90" s="36" t="str">
        <f>IF('Zoopl Count'!O90=0,"",('Zoopl Analysis'!O90*LN('Zoopl Analysis'!O90)))</f>
        <v/>
      </c>
      <c r="P90" s="36" t="str">
        <f>IF('Zoopl Count'!P90=0,"",('Zoopl Analysis'!P90*LN('Zoopl Analysis'!P90)))</f>
        <v/>
      </c>
    </row>
    <row r="91" spans="1:16">
      <c r="A91" s="21"/>
      <c r="B91" s="21" t="s">
        <v>79</v>
      </c>
      <c r="C91" s="2" t="s">
        <v>303</v>
      </c>
      <c r="D91" s="2"/>
      <c r="E91" s="2"/>
      <c r="F91" s="2"/>
      <c r="G91" s="36" t="str">
        <f>IF('Zoopl Count'!G91=0,"",('Zoopl Analysis'!G91*LN('Zoopl Analysis'!G91)))</f>
        <v/>
      </c>
      <c r="H91" s="36" t="str">
        <f>IF('Zoopl Count'!H91=0,"",('Zoopl Analysis'!H91*LN('Zoopl Analysis'!H91)))</f>
        <v/>
      </c>
      <c r="I91" s="36" t="str">
        <f>IF('Zoopl Count'!I91=0,"",('Zoopl Analysis'!I91*LN('Zoopl Analysis'!I91)))</f>
        <v/>
      </c>
      <c r="J91" s="36" t="str">
        <f>IF('Zoopl Count'!J91=0,"",('Zoopl Analysis'!J91*LN('Zoopl Analysis'!J91)))</f>
        <v/>
      </c>
      <c r="K91" s="36" t="str">
        <f>IF('Zoopl Count'!K91=0,"",('Zoopl Analysis'!K91*LN('Zoopl Analysis'!K91)))</f>
        <v/>
      </c>
      <c r="L91" s="36" t="str">
        <f>IF('Zoopl Count'!L91=0,"",('Zoopl Analysis'!L91*LN('Zoopl Analysis'!L91)))</f>
        <v/>
      </c>
      <c r="M91" s="36" t="str">
        <f>IF('Zoopl Count'!M91=0,"",('Zoopl Analysis'!M91*LN('Zoopl Analysis'!M91)))</f>
        <v/>
      </c>
      <c r="N91" s="36" t="str">
        <f>IF('Zoopl Count'!N91=0,"",('Zoopl Analysis'!N91*LN('Zoopl Analysis'!N91)))</f>
        <v/>
      </c>
      <c r="O91" s="36" t="str">
        <f>IF('Zoopl Count'!O91=0,"",('Zoopl Analysis'!O91*LN('Zoopl Analysis'!O91)))</f>
        <v/>
      </c>
      <c r="P91" s="36" t="str">
        <f>IF('Zoopl Count'!P91=0,"",('Zoopl Analysis'!P91*LN('Zoopl Analysis'!P91)))</f>
        <v/>
      </c>
    </row>
    <row r="92" spans="1:16">
      <c r="A92" s="2"/>
      <c r="B92" s="211"/>
      <c r="C92" s="211"/>
      <c r="D92" s="2"/>
      <c r="E92" s="212"/>
      <c r="F92" s="212" t="s">
        <v>304</v>
      </c>
      <c r="G92" s="36" t="str">
        <f>IF('Zoopl Count'!G92=0,"",('Zoopl Analysis'!G92*LN('Zoopl Analysis'!G92)))</f>
        <v/>
      </c>
      <c r="H92" s="36" t="str">
        <f>IF('Zoopl Count'!H92=0,"",('Zoopl Analysis'!H92*LN('Zoopl Analysis'!H92)))</f>
        <v/>
      </c>
      <c r="I92" s="36" t="str">
        <f>IF('Zoopl Count'!I92=0,"",('Zoopl Analysis'!I92*LN('Zoopl Analysis'!I92)))</f>
        <v/>
      </c>
      <c r="J92" s="36" t="str">
        <f>IF('Zoopl Count'!J92=0,"",('Zoopl Analysis'!J92*LN('Zoopl Analysis'!J92)))</f>
        <v/>
      </c>
      <c r="K92" s="36" t="str">
        <f>IF('Zoopl Count'!K92=0,"",('Zoopl Analysis'!K92*LN('Zoopl Analysis'!K92)))</f>
        <v/>
      </c>
      <c r="L92" s="36" t="str">
        <f>IF('Zoopl Count'!L92=0,"",('Zoopl Analysis'!L92*LN('Zoopl Analysis'!L92)))</f>
        <v/>
      </c>
      <c r="M92" s="36" t="str">
        <f>IF('Zoopl Count'!M92=0,"",('Zoopl Analysis'!M92*LN('Zoopl Analysis'!M92)))</f>
        <v/>
      </c>
      <c r="N92" s="36" t="str">
        <f>IF('Zoopl Count'!N92=0,"",('Zoopl Analysis'!N92*LN('Zoopl Analysis'!N92)))</f>
        <v/>
      </c>
      <c r="O92" s="36" t="str">
        <f>IF('Zoopl Count'!O92=0,"",('Zoopl Analysis'!O92*LN('Zoopl Analysis'!O92)))</f>
        <v/>
      </c>
      <c r="P92" s="36" t="str">
        <f>IF('Zoopl Count'!P92=0,"",('Zoopl Analysis'!P92*LN('Zoopl Analysis'!P92)))</f>
        <v/>
      </c>
    </row>
    <row r="93" spans="1:16">
      <c r="F93" s="81"/>
      <c r="G93" s="36" t="str">
        <f>IF('Zoopl Count'!G93=0,"",('Zoopl Analysis'!G93*LN('Zoopl Analysis'!G93)))</f>
        <v/>
      </c>
      <c r="H93" s="36" t="str">
        <f>IF('Zoopl Count'!H93=0,"",('Zoopl Analysis'!H93*LN('Zoopl Analysis'!H93)))</f>
        <v/>
      </c>
      <c r="I93" s="36" t="str">
        <f>IF('Zoopl Count'!I93=0,"",('Zoopl Analysis'!I93*LN('Zoopl Analysis'!I93)))</f>
        <v/>
      </c>
      <c r="J93" s="36" t="str">
        <f>IF('Zoopl Count'!J93=0,"",('Zoopl Analysis'!J93*LN('Zoopl Analysis'!J93)))</f>
        <v/>
      </c>
      <c r="K93" s="36" t="str">
        <f>IF('Zoopl Count'!K93=0,"",('Zoopl Analysis'!K93*LN('Zoopl Analysis'!K93)))</f>
        <v/>
      </c>
      <c r="L93" s="36" t="str">
        <f>IF('Zoopl Count'!L93=0,"",('Zoopl Analysis'!L93*LN('Zoopl Analysis'!L93)))</f>
        <v/>
      </c>
      <c r="M93" s="36" t="str">
        <f>IF('Zoopl Count'!M93=0,"",('Zoopl Analysis'!M93*LN('Zoopl Analysis'!M93)))</f>
        <v/>
      </c>
      <c r="N93" s="36" t="str">
        <f>IF('Zoopl Count'!N93=0,"",('Zoopl Analysis'!N93*LN('Zoopl Analysis'!N93)))</f>
        <v/>
      </c>
      <c r="O93" s="36" t="str">
        <f>IF('Zoopl Count'!O93=0,"",('Zoopl Analysis'!O93*LN('Zoopl Analysis'!O93)))</f>
        <v/>
      </c>
      <c r="P93" s="36" t="str">
        <f>IF('Zoopl Count'!P93=0,"",('Zoopl Analysis'!P93*LN('Zoopl Analysis'!P93)))</f>
        <v/>
      </c>
    </row>
    <row r="94" spans="1:16">
      <c r="A94" s="8" t="s">
        <v>7</v>
      </c>
      <c r="B94" s="2" t="s">
        <v>73</v>
      </c>
      <c r="G94" s="36" t="str">
        <f>IF('Zoopl Count'!G94=0,"",('Zoopl Analysis'!G94*LN('Zoopl Analysis'!G94)))</f>
        <v/>
      </c>
      <c r="H94" s="36" t="str">
        <f>IF('Zoopl Count'!H94=0,"",('Zoopl Analysis'!H94*LN('Zoopl Analysis'!H94)))</f>
        <v/>
      </c>
      <c r="I94" s="36" t="str">
        <f>IF('Zoopl Count'!I94=0,"",('Zoopl Analysis'!I94*LN('Zoopl Analysis'!I94)))</f>
        <v/>
      </c>
      <c r="J94" s="36" t="str">
        <f>IF('Zoopl Count'!J94=0,"",('Zoopl Analysis'!J94*LN('Zoopl Analysis'!J94)))</f>
        <v/>
      </c>
      <c r="K94" s="36" t="str">
        <f>IF('Zoopl Count'!K94=0,"",('Zoopl Analysis'!K94*LN('Zoopl Analysis'!K94)))</f>
        <v/>
      </c>
      <c r="L94" s="36" t="str">
        <f>IF('Zoopl Count'!L94=0,"",('Zoopl Analysis'!L94*LN('Zoopl Analysis'!L94)))</f>
        <v/>
      </c>
      <c r="M94" s="36" t="str">
        <f>IF('Zoopl Count'!M94=0,"",('Zoopl Analysis'!M94*LN('Zoopl Analysis'!M94)))</f>
        <v/>
      </c>
      <c r="N94" s="36" t="str">
        <f>IF('Zoopl Count'!N94=0,"",('Zoopl Analysis'!N94*LN('Zoopl Analysis'!N94)))</f>
        <v/>
      </c>
      <c r="O94" s="36" t="str">
        <f>IF('Zoopl Count'!O94=0,"",('Zoopl Analysis'!O94*LN('Zoopl Analysis'!O94)))</f>
        <v/>
      </c>
      <c r="P94" s="36" t="str">
        <f>IF('Zoopl Count'!P94=0,"",('Zoopl Analysis'!P94*LN('Zoopl Analysis'!P94)))</f>
        <v/>
      </c>
    </row>
    <row r="95" spans="1:16">
      <c r="A95" s="8"/>
      <c r="B95" s="2"/>
      <c r="F95" s="6" t="s">
        <v>102</v>
      </c>
      <c r="G95" s="36" t="str">
        <f>IF('Zoopl Count'!G95=0,"",('Zoopl Analysis'!G95*LN('Zoopl Analysis'!G95)))</f>
        <v/>
      </c>
      <c r="H95" s="36" t="str">
        <f>IF('Zoopl Count'!H95=0,"",('Zoopl Analysis'!H95*LN('Zoopl Analysis'!H95)))</f>
        <v/>
      </c>
      <c r="I95" s="36" t="str">
        <f>IF('Zoopl Count'!I95=0,"",('Zoopl Analysis'!I95*LN('Zoopl Analysis'!I95)))</f>
        <v/>
      </c>
      <c r="J95" s="36" t="str">
        <f>IF('Zoopl Count'!J95=0,"",('Zoopl Analysis'!J95*LN('Zoopl Analysis'!J95)))</f>
        <v/>
      </c>
      <c r="K95" s="36" t="str">
        <f>IF('Zoopl Count'!K95=0,"",('Zoopl Analysis'!K95*LN('Zoopl Analysis'!K95)))</f>
        <v/>
      </c>
      <c r="L95" s="36" t="str">
        <f>IF('Zoopl Count'!L95=0,"",('Zoopl Analysis'!L95*LN('Zoopl Analysis'!L95)))</f>
        <v/>
      </c>
      <c r="M95" s="36" t="str">
        <f>IF('Zoopl Count'!M95=0,"",('Zoopl Analysis'!M95*LN('Zoopl Analysis'!M95)))</f>
        <v/>
      </c>
      <c r="N95" s="36" t="str">
        <f>IF('Zoopl Count'!N95=0,"",('Zoopl Analysis'!N95*LN('Zoopl Analysis'!N95)))</f>
        <v/>
      </c>
      <c r="O95" s="36" t="str">
        <f>IF('Zoopl Count'!O95=0,"",('Zoopl Analysis'!O95*LN('Zoopl Analysis'!O95)))</f>
        <v/>
      </c>
      <c r="P95" s="36" t="str">
        <f>IF('Zoopl Count'!P95=0,"",('Zoopl Analysis'!P95*LN('Zoopl Analysis'!P95)))</f>
        <v/>
      </c>
    </row>
    <row r="96" spans="1:16">
      <c r="A96" s="8"/>
      <c r="B96" s="8" t="s">
        <v>79</v>
      </c>
      <c r="C96" s="2" t="s">
        <v>86</v>
      </c>
      <c r="G96" s="36" t="str">
        <f>IF('Zoopl Count'!G96=0,"",('Zoopl Analysis'!G96*LN('Zoopl Analysis'!G96)))</f>
        <v/>
      </c>
      <c r="H96" s="36" t="str">
        <f>IF('Zoopl Count'!H96=0,"",('Zoopl Analysis'!H96*LN('Zoopl Analysis'!H96)))</f>
        <v/>
      </c>
      <c r="I96" s="36" t="str">
        <f>IF('Zoopl Count'!I96=0,"",('Zoopl Analysis'!I96*LN('Zoopl Analysis'!I96)))</f>
        <v/>
      </c>
      <c r="J96" s="36" t="str">
        <f>IF('Zoopl Count'!J96=0,"",('Zoopl Analysis'!J96*LN('Zoopl Analysis'!J96)))</f>
        <v/>
      </c>
      <c r="K96" s="36" t="str">
        <f>IF('Zoopl Count'!K96=0,"",('Zoopl Analysis'!K96*LN('Zoopl Analysis'!K96)))</f>
        <v/>
      </c>
      <c r="L96" s="36" t="str">
        <f>IF('Zoopl Count'!L96=0,"",('Zoopl Analysis'!L96*LN('Zoopl Analysis'!L96)))</f>
        <v/>
      </c>
      <c r="M96" s="36" t="str">
        <f>IF('Zoopl Count'!M96=0,"",('Zoopl Analysis'!M96*LN('Zoopl Analysis'!M96)))</f>
        <v/>
      </c>
      <c r="N96" s="36" t="str">
        <f>IF('Zoopl Count'!N96=0,"",('Zoopl Analysis'!N96*LN('Zoopl Analysis'!N96)))</f>
        <v/>
      </c>
      <c r="O96" s="36" t="str">
        <f>IF('Zoopl Count'!O96=0,"",('Zoopl Analysis'!O96*LN('Zoopl Analysis'!O96)))</f>
        <v/>
      </c>
      <c r="P96" s="36" t="str">
        <f>IF('Zoopl Count'!P96=0,"",('Zoopl Analysis'!P96*LN('Zoopl Analysis'!P96)))</f>
        <v/>
      </c>
    </row>
    <row r="97" spans="1:16">
      <c r="A97" s="2"/>
      <c r="B97" s="21"/>
      <c r="C97" s="21" t="s">
        <v>10</v>
      </c>
      <c r="D97" s="2" t="s">
        <v>289</v>
      </c>
      <c r="E97" s="2"/>
      <c r="F97" s="3"/>
      <c r="G97" s="36" t="str">
        <f>IF('Zoopl Count'!G97=0,"",('Zoopl Analysis'!G97*LN('Zoopl Analysis'!G97)))</f>
        <v/>
      </c>
      <c r="H97" s="36" t="str">
        <f>IF('Zoopl Count'!H97=0,"",('Zoopl Analysis'!H97*LN('Zoopl Analysis'!H97)))</f>
        <v/>
      </c>
      <c r="I97" s="36" t="str">
        <f>IF('Zoopl Count'!I97=0,"",('Zoopl Analysis'!I97*LN('Zoopl Analysis'!I97)))</f>
        <v/>
      </c>
      <c r="J97" s="36" t="str">
        <f>IF('Zoopl Count'!J97=0,"",('Zoopl Analysis'!J97*LN('Zoopl Analysis'!J97)))</f>
        <v/>
      </c>
      <c r="K97" s="36" t="str">
        <f>IF('Zoopl Count'!K97=0,"",('Zoopl Analysis'!K97*LN('Zoopl Analysis'!K97)))</f>
        <v/>
      </c>
      <c r="L97" s="36" t="str">
        <f>IF('Zoopl Count'!L97=0,"",('Zoopl Analysis'!L97*LN('Zoopl Analysis'!L97)))</f>
        <v/>
      </c>
      <c r="M97" s="36" t="str">
        <f>IF('Zoopl Count'!M97=0,"",('Zoopl Analysis'!M97*LN('Zoopl Analysis'!M97)))</f>
        <v/>
      </c>
      <c r="N97" s="36" t="str">
        <f>IF('Zoopl Count'!N97=0,"",('Zoopl Analysis'!N97*LN('Zoopl Analysis'!N97)))</f>
        <v/>
      </c>
      <c r="O97" s="36" t="str">
        <f>IF('Zoopl Count'!O97=0,"",('Zoopl Analysis'!O97*LN('Zoopl Analysis'!O97)))</f>
        <v/>
      </c>
      <c r="P97" s="36" t="str">
        <f>IF('Zoopl Count'!P97=0,"",('Zoopl Analysis'!P97*LN('Zoopl Analysis'!P97)))</f>
        <v/>
      </c>
    </row>
    <row r="98" spans="1:16">
      <c r="A98" s="187"/>
      <c r="B98" s="187"/>
      <c r="C98" s="187"/>
      <c r="D98" s="188" t="s">
        <v>12</v>
      </c>
      <c r="E98" s="187" t="s">
        <v>290</v>
      </c>
      <c r="F98" s="189"/>
      <c r="G98" s="36" t="str">
        <f>IF('Zoopl Count'!G98=0,"",('Zoopl Analysis'!G98*LN('Zoopl Analysis'!G98)))</f>
        <v/>
      </c>
      <c r="H98" s="36" t="str">
        <f>IF('Zoopl Count'!H98=0,"",('Zoopl Analysis'!H98*LN('Zoopl Analysis'!H98)))</f>
        <v/>
      </c>
      <c r="I98" s="36" t="str">
        <f>IF('Zoopl Count'!I98=0,"",('Zoopl Analysis'!I98*LN('Zoopl Analysis'!I98)))</f>
        <v/>
      </c>
      <c r="J98" s="36" t="str">
        <f>IF('Zoopl Count'!J98=0,"",('Zoopl Analysis'!J98*LN('Zoopl Analysis'!J98)))</f>
        <v/>
      </c>
      <c r="K98" s="36" t="str">
        <f>IF('Zoopl Count'!K98=0,"",('Zoopl Analysis'!K98*LN('Zoopl Analysis'!K98)))</f>
        <v/>
      </c>
      <c r="L98" s="36" t="str">
        <f>IF('Zoopl Count'!L98=0,"",('Zoopl Analysis'!L98*LN('Zoopl Analysis'!L98)))</f>
        <v/>
      </c>
      <c r="M98" s="36" t="str">
        <f>IF('Zoopl Count'!M98=0,"",('Zoopl Analysis'!M98*LN('Zoopl Analysis'!M98)))</f>
        <v/>
      </c>
      <c r="N98" s="36" t="str">
        <f>IF('Zoopl Count'!N98=0,"",('Zoopl Analysis'!N98*LN('Zoopl Analysis'!N98)))</f>
        <v/>
      </c>
      <c r="O98" s="36" t="str">
        <f>IF('Zoopl Count'!O98=0,"",('Zoopl Analysis'!O98*LN('Zoopl Analysis'!O98)))</f>
        <v/>
      </c>
      <c r="P98" s="36" t="str">
        <f>IF('Zoopl Count'!P98=0,"",('Zoopl Analysis'!P98*LN('Zoopl Analysis'!P98)))</f>
        <v/>
      </c>
    </row>
    <row r="99" spans="1:16">
      <c r="E99" s="8" t="s">
        <v>14</v>
      </c>
      <c r="F99" s="19" t="s">
        <v>389</v>
      </c>
      <c r="G99" s="36" t="str">
        <f>IF('Zoopl Count'!G99=0,"",('Zoopl Analysis'!G99*LN('Zoopl Analysis'!G99)))</f>
        <v/>
      </c>
      <c r="H99" s="36" t="str">
        <f>IF('Zoopl Count'!H99=0,"",('Zoopl Analysis'!H99*LN('Zoopl Analysis'!H99)))</f>
        <v/>
      </c>
      <c r="I99" s="36" t="str">
        <f>IF('Zoopl Count'!I99=0,"",('Zoopl Analysis'!I99*LN('Zoopl Analysis'!I99)))</f>
        <v/>
      </c>
      <c r="J99" s="36" t="str">
        <f>IF('Zoopl Count'!J99=0,"",('Zoopl Analysis'!J99*LN('Zoopl Analysis'!J99)))</f>
        <v/>
      </c>
      <c r="K99" s="36" t="str">
        <f>IF('Zoopl Count'!K99=0,"",('Zoopl Analysis'!K99*LN('Zoopl Analysis'!K99)))</f>
        <v/>
      </c>
      <c r="L99" s="36" t="str">
        <f>IF('Zoopl Count'!L99=0,"",('Zoopl Analysis'!L99*LN('Zoopl Analysis'!L99)))</f>
        <v/>
      </c>
      <c r="M99" s="36" t="str">
        <f>IF('Zoopl Count'!M99=0,"",('Zoopl Analysis'!M99*LN('Zoopl Analysis'!M99)))</f>
        <v/>
      </c>
      <c r="N99" s="36" t="str">
        <f>IF('Zoopl Count'!N99=0,"",('Zoopl Analysis'!N99*LN('Zoopl Analysis'!N99)))</f>
        <v/>
      </c>
      <c r="O99" s="36" t="str">
        <f>IF('Zoopl Count'!O99=0,"",('Zoopl Analysis'!O99*LN('Zoopl Analysis'!O99)))</f>
        <v/>
      </c>
      <c r="P99" s="36" t="str">
        <f>IF('Zoopl Count'!P99=0,"",('Zoopl Analysis'!P99*LN('Zoopl Analysis'!P99)))</f>
        <v/>
      </c>
    </row>
    <row r="100" spans="1:16">
      <c r="B100" s="8"/>
      <c r="F100" s="19"/>
      <c r="G100" s="36" t="str">
        <f>IF('Zoopl Count'!G100=0,"",('Zoopl Analysis'!G100*LN('Zoopl Analysis'!G100)))</f>
        <v/>
      </c>
      <c r="H100" s="36" t="str">
        <f>IF('Zoopl Count'!H100=0,"",('Zoopl Analysis'!H100*LN('Zoopl Analysis'!H100)))</f>
        <v/>
      </c>
      <c r="I100" s="36" t="str">
        <f>IF('Zoopl Count'!I100=0,"",('Zoopl Analysis'!I100*LN('Zoopl Analysis'!I100)))</f>
        <v/>
      </c>
      <c r="J100" s="36" t="str">
        <f>IF('Zoopl Count'!J100=0,"",('Zoopl Analysis'!J100*LN('Zoopl Analysis'!J100)))</f>
        <v/>
      </c>
      <c r="K100" s="36" t="str">
        <f>IF('Zoopl Count'!K100=0,"",('Zoopl Analysis'!K100*LN('Zoopl Analysis'!K100)))</f>
        <v/>
      </c>
      <c r="L100" s="36" t="str">
        <f>IF('Zoopl Count'!L100=0,"",('Zoopl Analysis'!L100*LN('Zoopl Analysis'!L100)))</f>
        <v/>
      </c>
      <c r="M100" s="36" t="str">
        <f>IF('Zoopl Count'!M100=0,"",('Zoopl Analysis'!M100*LN('Zoopl Analysis'!M100)))</f>
        <v/>
      </c>
      <c r="N100" s="36" t="str">
        <f>IF('Zoopl Count'!N100=0,"",('Zoopl Analysis'!N100*LN('Zoopl Analysis'!N100)))</f>
        <v/>
      </c>
      <c r="O100" s="36" t="str">
        <f>IF('Zoopl Count'!O100=0,"",('Zoopl Analysis'!O100*LN('Zoopl Analysis'!O100)))</f>
        <v/>
      </c>
      <c r="P100" s="36" t="str">
        <f>IF('Zoopl Count'!P100=0,"",('Zoopl Analysis'!P100*LN('Zoopl Analysis'!P100)))</f>
        <v/>
      </c>
    </row>
    <row r="101" spans="1:16">
      <c r="A101" s="2"/>
      <c r="B101" s="21"/>
      <c r="C101" s="21" t="s">
        <v>10</v>
      </c>
      <c r="D101" s="2" t="s">
        <v>390</v>
      </c>
      <c r="E101" s="2"/>
      <c r="F101" s="3"/>
      <c r="G101" s="36" t="str">
        <f>IF('Zoopl Count'!G101=0,"",('Zoopl Analysis'!G101*LN('Zoopl Analysis'!G101)))</f>
        <v/>
      </c>
      <c r="H101" s="36" t="str">
        <f>IF('Zoopl Count'!H101=0,"",('Zoopl Analysis'!H101*LN('Zoopl Analysis'!H101)))</f>
        <v/>
      </c>
      <c r="I101" s="36" t="str">
        <f>IF('Zoopl Count'!I101=0,"",('Zoopl Analysis'!I101*LN('Zoopl Analysis'!I101)))</f>
        <v/>
      </c>
      <c r="J101" s="36" t="str">
        <f>IF('Zoopl Count'!J101=0,"",('Zoopl Analysis'!J101*LN('Zoopl Analysis'!J101)))</f>
        <v/>
      </c>
      <c r="K101" s="36" t="str">
        <f>IF('Zoopl Count'!K101=0,"",('Zoopl Analysis'!K101*LN('Zoopl Analysis'!K101)))</f>
        <v/>
      </c>
      <c r="L101" s="36" t="str">
        <f>IF('Zoopl Count'!L101=0,"",('Zoopl Analysis'!L101*LN('Zoopl Analysis'!L101)))</f>
        <v/>
      </c>
      <c r="M101" s="36" t="str">
        <f>IF('Zoopl Count'!M101=0,"",('Zoopl Analysis'!M101*LN('Zoopl Analysis'!M101)))</f>
        <v/>
      </c>
      <c r="N101" s="36" t="str">
        <f>IF('Zoopl Count'!N101=0,"",('Zoopl Analysis'!N101*LN('Zoopl Analysis'!N101)))</f>
        <v/>
      </c>
      <c r="O101" s="36" t="str">
        <f>IF('Zoopl Count'!O101=0,"",('Zoopl Analysis'!O101*LN('Zoopl Analysis'!O101)))</f>
        <v/>
      </c>
      <c r="P101" s="36" t="str">
        <f>IF('Zoopl Count'!P101=0,"",('Zoopl Analysis'!P101*LN('Zoopl Analysis'!P101)))</f>
        <v/>
      </c>
    </row>
    <row r="102" spans="1:16">
      <c r="A102" s="187"/>
      <c r="B102" s="187"/>
      <c r="C102" s="187"/>
      <c r="D102" s="188" t="s">
        <v>12</v>
      </c>
      <c r="E102" s="239" t="s">
        <v>391</v>
      </c>
      <c r="F102" s="189"/>
      <c r="G102" s="36" t="str">
        <f>IF('Zoopl Count'!G102=0,"",('Zoopl Analysis'!G102*LN('Zoopl Analysis'!G102)))</f>
        <v/>
      </c>
      <c r="H102" s="36" t="str">
        <f>IF('Zoopl Count'!H102=0,"",('Zoopl Analysis'!H102*LN('Zoopl Analysis'!H102)))</f>
        <v/>
      </c>
      <c r="I102" s="36" t="str">
        <f>IF('Zoopl Count'!I102=0,"",('Zoopl Analysis'!I102*LN('Zoopl Analysis'!I102)))</f>
        <v/>
      </c>
      <c r="J102" s="36" t="str">
        <f>IF('Zoopl Count'!J102=0,"",('Zoopl Analysis'!J102*LN('Zoopl Analysis'!J102)))</f>
        <v/>
      </c>
      <c r="K102" s="36" t="str">
        <f>IF('Zoopl Count'!K102=0,"",('Zoopl Analysis'!K102*LN('Zoopl Analysis'!K102)))</f>
        <v/>
      </c>
      <c r="L102" s="36" t="str">
        <f>IF('Zoopl Count'!L102=0,"",('Zoopl Analysis'!L102*LN('Zoopl Analysis'!L102)))</f>
        <v/>
      </c>
      <c r="M102" s="36" t="str">
        <f>IF('Zoopl Count'!M102=0,"",('Zoopl Analysis'!M102*LN('Zoopl Analysis'!M102)))</f>
        <v/>
      </c>
      <c r="N102" s="36" t="str">
        <f>IF('Zoopl Count'!N102=0,"",('Zoopl Analysis'!N102*LN('Zoopl Analysis'!N102)))</f>
        <v/>
      </c>
      <c r="O102" s="36" t="str">
        <f>IF('Zoopl Count'!O102=0,"",('Zoopl Analysis'!O102*LN('Zoopl Analysis'!O102)))</f>
        <v/>
      </c>
      <c r="P102" s="36" t="str">
        <f>IF('Zoopl Count'!P102=0,"",('Zoopl Analysis'!P102*LN('Zoopl Analysis'!P102)))</f>
        <v/>
      </c>
    </row>
    <row r="103" spans="1:16">
      <c r="E103" s="8" t="s">
        <v>14</v>
      </c>
      <c r="F103" s="19" t="s">
        <v>74</v>
      </c>
      <c r="G103" s="36" t="str">
        <f>IF('Zoopl Count'!G103=0,"",('Zoopl Analysis'!G103*LN('Zoopl Analysis'!G103)))</f>
        <v/>
      </c>
      <c r="H103" s="36" t="str">
        <f>IF('Zoopl Count'!H103=0,"",('Zoopl Analysis'!H103*LN('Zoopl Analysis'!H103)))</f>
        <v/>
      </c>
      <c r="I103" s="36" t="str">
        <f>IF('Zoopl Count'!I103=0,"",('Zoopl Analysis'!I103*LN('Zoopl Analysis'!I103)))</f>
        <v/>
      </c>
      <c r="J103" s="36" t="str">
        <f>IF('Zoopl Count'!J103=0,"",('Zoopl Analysis'!J103*LN('Zoopl Analysis'!J103)))</f>
        <v/>
      </c>
      <c r="K103" s="36" t="str">
        <f>IF('Zoopl Count'!K103=0,"",('Zoopl Analysis'!K103*LN('Zoopl Analysis'!K103)))</f>
        <v/>
      </c>
      <c r="L103" s="36" t="str">
        <f>IF('Zoopl Count'!L103=0,"",('Zoopl Analysis'!L103*LN('Zoopl Analysis'!L103)))</f>
        <v/>
      </c>
      <c r="M103" s="36" t="str">
        <f>IF('Zoopl Count'!M103=0,"",('Zoopl Analysis'!M103*LN('Zoopl Analysis'!M103)))</f>
        <v/>
      </c>
      <c r="N103" s="36" t="str">
        <f>IF('Zoopl Count'!N103=0,"",('Zoopl Analysis'!N103*LN('Zoopl Analysis'!N103)))</f>
        <v/>
      </c>
      <c r="O103" s="36" t="str">
        <f>IF('Zoopl Count'!O103=0,"",('Zoopl Analysis'!O103*LN('Zoopl Analysis'!O103)))</f>
        <v/>
      </c>
      <c r="P103" s="36" t="str">
        <f>IF('Zoopl Count'!P103=0,"",('Zoopl Analysis'!P103*LN('Zoopl Analysis'!P103)))</f>
        <v/>
      </c>
    </row>
    <row r="104" spans="1:16">
      <c r="B104" s="8"/>
      <c r="F104" s="19"/>
      <c r="G104" s="36" t="str">
        <f>IF('Zoopl Count'!G104=0,"",('Zoopl Analysis'!G104*LN('Zoopl Analysis'!G104)))</f>
        <v/>
      </c>
      <c r="H104" s="36" t="str">
        <f>IF('Zoopl Count'!H104=0,"",('Zoopl Analysis'!H104*LN('Zoopl Analysis'!H104)))</f>
        <v/>
      </c>
      <c r="I104" s="36" t="str">
        <f>IF('Zoopl Count'!I104=0,"",('Zoopl Analysis'!I104*LN('Zoopl Analysis'!I104)))</f>
        <v/>
      </c>
      <c r="J104" s="36" t="str">
        <f>IF('Zoopl Count'!J104=0,"",('Zoopl Analysis'!J104*LN('Zoopl Analysis'!J104)))</f>
        <v/>
      </c>
      <c r="K104" s="36" t="str">
        <f>IF('Zoopl Count'!K104=0,"",('Zoopl Analysis'!K104*LN('Zoopl Analysis'!K104)))</f>
        <v/>
      </c>
      <c r="L104" s="36" t="str">
        <f>IF('Zoopl Count'!L104=0,"",('Zoopl Analysis'!L104*LN('Zoopl Analysis'!L104)))</f>
        <v/>
      </c>
      <c r="M104" s="36" t="str">
        <f>IF('Zoopl Count'!M104=0,"",('Zoopl Analysis'!M104*LN('Zoopl Analysis'!M104)))</f>
        <v/>
      </c>
      <c r="N104" s="36" t="str">
        <f>IF('Zoopl Count'!N104=0,"",('Zoopl Analysis'!N104*LN('Zoopl Analysis'!N104)))</f>
        <v/>
      </c>
      <c r="O104" s="36" t="str">
        <f>IF('Zoopl Count'!O104=0,"",('Zoopl Analysis'!O104*LN('Zoopl Analysis'!O104)))</f>
        <v/>
      </c>
      <c r="P104" s="36" t="str">
        <f>IF('Zoopl Count'!P104=0,"",('Zoopl Analysis'!P104*LN('Zoopl Analysis'!P104)))</f>
        <v/>
      </c>
    </row>
    <row r="105" spans="1:16">
      <c r="B105" s="8" t="s">
        <v>79</v>
      </c>
      <c r="C105" s="2" t="s">
        <v>87</v>
      </c>
      <c r="G105" s="36" t="str">
        <f>IF('Zoopl Count'!G105=0,"",('Zoopl Analysis'!G105*LN('Zoopl Analysis'!G105)))</f>
        <v/>
      </c>
      <c r="H105" s="36" t="str">
        <f>IF('Zoopl Count'!H105=0,"",('Zoopl Analysis'!H105*LN('Zoopl Analysis'!H105)))</f>
        <v/>
      </c>
      <c r="I105" s="36" t="str">
        <f>IF('Zoopl Count'!I105=0,"",('Zoopl Analysis'!I105*LN('Zoopl Analysis'!I105)))</f>
        <v/>
      </c>
      <c r="J105" s="36" t="str">
        <f>IF('Zoopl Count'!J105=0,"",('Zoopl Analysis'!J105*LN('Zoopl Analysis'!J105)))</f>
        <v/>
      </c>
      <c r="K105" s="36" t="str">
        <f>IF('Zoopl Count'!K105=0,"",('Zoopl Analysis'!K105*LN('Zoopl Analysis'!K105)))</f>
        <v/>
      </c>
      <c r="L105" s="36" t="str">
        <f>IF('Zoopl Count'!L105=0,"",('Zoopl Analysis'!L105*LN('Zoopl Analysis'!L105)))</f>
        <v/>
      </c>
      <c r="M105" s="36" t="str">
        <f>IF('Zoopl Count'!M105=0,"",('Zoopl Analysis'!M105*LN('Zoopl Analysis'!M105)))</f>
        <v/>
      </c>
      <c r="N105" s="36" t="str">
        <f>IF('Zoopl Count'!N105=0,"",('Zoopl Analysis'!N105*LN('Zoopl Analysis'!N105)))</f>
        <v/>
      </c>
      <c r="O105" s="36" t="str">
        <f>IF('Zoopl Count'!O105=0,"",('Zoopl Analysis'!O105*LN('Zoopl Analysis'!O105)))</f>
        <v/>
      </c>
      <c r="P105" s="36" t="str">
        <f>IF('Zoopl Count'!P105=0,"",('Zoopl Analysis'!P105*LN('Zoopl Analysis'!P105)))</f>
        <v/>
      </c>
    </row>
    <row r="106" spans="1:16">
      <c r="C106" s="8" t="s">
        <v>10</v>
      </c>
      <c r="D106" s="2" t="s">
        <v>320</v>
      </c>
      <c r="E106" s="8"/>
      <c r="F106" s="19"/>
      <c r="G106" s="36" t="str">
        <f>IF('Zoopl Count'!G106=0,"",('Zoopl Analysis'!G106*LN('Zoopl Analysis'!G106)))</f>
        <v/>
      </c>
      <c r="H106" s="36" t="str">
        <f>IF('Zoopl Count'!H106=0,"",('Zoopl Analysis'!H106*LN('Zoopl Analysis'!H106)))</f>
        <v/>
      </c>
      <c r="I106" s="36" t="str">
        <f>IF('Zoopl Count'!I106=0,"",('Zoopl Analysis'!I106*LN('Zoopl Analysis'!I106)))</f>
        <v/>
      </c>
      <c r="J106" s="36" t="str">
        <f>IF('Zoopl Count'!J106=0,"",('Zoopl Analysis'!J106*LN('Zoopl Analysis'!J106)))</f>
        <v/>
      </c>
      <c r="K106" s="36" t="str">
        <f>IF('Zoopl Count'!K106=0,"",('Zoopl Analysis'!K106*LN('Zoopl Analysis'!K106)))</f>
        <v/>
      </c>
      <c r="L106" s="36" t="str">
        <f>IF('Zoopl Count'!L106=0,"",('Zoopl Analysis'!L106*LN('Zoopl Analysis'!L106)))</f>
        <v/>
      </c>
      <c r="M106" s="36" t="str">
        <f>IF('Zoopl Count'!M106=0,"",('Zoopl Analysis'!M106*LN('Zoopl Analysis'!M106)))</f>
        <v/>
      </c>
      <c r="N106" s="36" t="str">
        <f>IF('Zoopl Count'!N106=0,"",('Zoopl Analysis'!N106*LN('Zoopl Analysis'!N106)))</f>
        <v/>
      </c>
      <c r="O106" s="36" t="str">
        <f>IF('Zoopl Count'!O106=0,"",('Zoopl Analysis'!O106*LN('Zoopl Analysis'!O106)))</f>
        <v/>
      </c>
      <c r="P106" s="36" t="str">
        <f>IF('Zoopl Count'!P106=0,"",('Zoopl Analysis'!P106*LN('Zoopl Analysis'!P106)))</f>
        <v/>
      </c>
    </row>
    <row r="107" spans="1:16">
      <c r="D107" s="8" t="s">
        <v>12</v>
      </c>
      <c r="E107" s="11" t="s">
        <v>321</v>
      </c>
      <c r="F107" s="19"/>
      <c r="G107" s="36" t="str">
        <f>IF('Zoopl Count'!G107=0,"",('Zoopl Analysis'!G107*LN('Zoopl Analysis'!G107)))</f>
        <v/>
      </c>
      <c r="H107" s="36" t="str">
        <f>IF('Zoopl Count'!H107=0,"",('Zoopl Analysis'!H107*LN('Zoopl Analysis'!H107)))</f>
        <v/>
      </c>
      <c r="I107" s="36" t="str">
        <f>IF('Zoopl Count'!I107=0,"",('Zoopl Analysis'!I107*LN('Zoopl Analysis'!I107)))</f>
        <v/>
      </c>
      <c r="J107" s="36" t="str">
        <f>IF('Zoopl Count'!J107=0,"",('Zoopl Analysis'!J107*LN('Zoopl Analysis'!J107)))</f>
        <v/>
      </c>
      <c r="K107" s="36" t="str">
        <f>IF('Zoopl Count'!K107=0,"",('Zoopl Analysis'!K107*LN('Zoopl Analysis'!K107)))</f>
        <v/>
      </c>
      <c r="L107" s="36" t="str">
        <f>IF('Zoopl Count'!L107=0,"",('Zoopl Analysis'!L107*LN('Zoopl Analysis'!L107)))</f>
        <v/>
      </c>
      <c r="M107" s="36" t="str">
        <f>IF('Zoopl Count'!M107=0,"",('Zoopl Analysis'!M107*LN('Zoopl Analysis'!M107)))</f>
        <v/>
      </c>
      <c r="N107" s="36" t="str">
        <f>IF('Zoopl Count'!N107=0,"",('Zoopl Analysis'!N107*LN('Zoopl Analysis'!N107)))</f>
        <v/>
      </c>
      <c r="O107" s="36" t="str">
        <f>IF('Zoopl Count'!O107=0,"",('Zoopl Analysis'!O107*LN('Zoopl Analysis'!O107)))</f>
        <v/>
      </c>
      <c r="P107" s="36" t="str">
        <f>IF('Zoopl Count'!P107=0,"",('Zoopl Analysis'!P107*LN('Zoopl Analysis'!P107)))</f>
        <v/>
      </c>
    </row>
    <row r="108" spans="1:16">
      <c r="E108" s="8" t="s">
        <v>14</v>
      </c>
      <c r="F108" s="19" t="s">
        <v>75</v>
      </c>
      <c r="G108" s="36" t="str">
        <f>IF('Zoopl Count'!G108=0,"",('Zoopl Analysis'!G108*LN('Zoopl Analysis'!G108)))</f>
        <v/>
      </c>
      <c r="H108" s="36" t="str">
        <f>IF('Zoopl Count'!H108=0,"",('Zoopl Analysis'!H108*LN('Zoopl Analysis'!H108)))</f>
        <v/>
      </c>
      <c r="I108" s="36" t="str">
        <f>IF('Zoopl Count'!I108=0,"",('Zoopl Analysis'!I108*LN('Zoopl Analysis'!I108)))</f>
        <v/>
      </c>
      <c r="J108" s="36" t="str">
        <f>IF('Zoopl Count'!J108=0,"",('Zoopl Analysis'!J108*LN('Zoopl Analysis'!J108)))</f>
        <v/>
      </c>
      <c r="K108" s="36" t="str">
        <f>IF('Zoopl Count'!K108=0,"",('Zoopl Analysis'!K108*LN('Zoopl Analysis'!K108)))</f>
        <v/>
      </c>
      <c r="L108" s="36" t="str">
        <f>IF('Zoopl Count'!L108=0,"",('Zoopl Analysis'!L108*LN('Zoopl Analysis'!L108)))</f>
        <v/>
      </c>
      <c r="M108" s="36" t="str">
        <f>IF('Zoopl Count'!M108=0,"",('Zoopl Analysis'!M108*LN('Zoopl Analysis'!M108)))</f>
        <v/>
      </c>
      <c r="N108" s="36" t="str">
        <f>IF('Zoopl Count'!N108=0,"",('Zoopl Analysis'!N108*LN('Zoopl Analysis'!N108)))</f>
        <v/>
      </c>
      <c r="O108" s="36" t="str">
        <f>IF('Zoopl Count'!O108=0,"",('Zoopl Analysis'!O108*LN('Zoopl Analysis'!O108)))</f>
        <v/>
      </c>
      <c r="P108" s="36" t="str">
        <f>IF('Zoopl Count'!P108=0,"",('Zoopl Analysis'!P108*LN('Zoopl Analysis'!P108)))</f>
        <v/>
      </c>
    </row>
    <row r="109" spans="1:16">
      <c r="G109" s="36" t="str">
        <f>IF('Zoopl Count'!G109=0,"",('Zoopl Analysis'!G109*LN('Zoopl Analysis'!G109)))</f>
        <v/>
      </c>
      <c r="H109" s="36" t="str">
        <f>IF('Zoopl Count'!H109=0,"",('Zoopl Analysis'!H109*LN('Zoopl Analysis'!H109)))</f>
        <v/>
      </c>
      <c r="I109" s="36" t="str">
        <f>IF('Zoopl Count'!I109=0,"",('Zoopl Analysis'!I109*LN('Zoopl Analysis'!I109)))</f>
        <v/>
      </c>
      <c r="J109" s="36" t="str">
        <f>IF('Zoopl Count'!J109=0,"",('Zoopl Analysis'!J109*LN('Zoopl Analysis'!J109)))</f>
        <v/>
      </c>
      <c r="K109" s="36" t="str">
        <f>IF('Zoopl Count'!K109=0,"",('Zoopl Analysis'!K109*LN('Zoopl Analysis'!K109)))</f>
        <v/>
      </c>
      <c r="L109" s="36" t="str">
        <f>IF('Zoopl Count'!L109=0,"",('Zoopl Analysis'!L109*LN('Zoopl Analysis'!L109)))</f>
        <v/>
      </c>
      <c r="M109" s="36" t="str">
        <f>IF('Zoopl Count'!M109=0,"",('Zoopl Analysis'!M109*LN('Zoopl Analysis'!M109)))</f>
        <v/>
      </c>
      <c r="N109" s="36" t="str">
        <f>IF('Zoopl Count'!N109=0,"",('Zoopl Analysis'!N109*LN('Zoopl Analysis'!N109)))</f>
        <v/>
      </c>
      <c r="O109" s="36" t="str">
        <f>IF('Zoopl Count'!O109=0,"",('Zoopl Analysis'!O109*LN('Zoopl Analysis'!O109)))</f>
        <v/>
      </c>
      <c r="P109" s="36" t="str">
        <f>IF('Zoopl Count'!P109=0,"",('Zoopl Analysis'!P109*LN('Zoopl Analysis'!P109)))</f>
        <v/>
      </c>
    </row>
    <row r="110" spans="1:16">
      <c r="A110" s="8" t="s">
        <v>7</v>
      </c>
      <c r="B110" s="2" t="s">
        <v>76</v>
      </c>
      <c r="G110" s="36" t="str">
        <f>IF('Zoopl Count'!G110=0,"",('Zoopl Analysis'!G110*LN('Zoopl Analysis'!G110)))</f>
        <v/>
      </c>
      <c r="H110" s="36" t="str">
        <f>IF('Zoopl Count'!H110=0,"",('Zoopl Analysis'!H110*LN('Zoopl Analysis'!H110)))</f>
        <v/>
      </c>
      <c r="I110" s="36" t="str">
        <f>IF('Zoopl Count'!I110=0,"",('Zoopl Analysis'!I110*LN('Zoopl Analysis'!I110)))</f>
        <v/>
      </c>
      <c r="J110" s="36" t="str">
        <f>IF('Zoopl Count'!J110=0,"",('Zoopl Analysis'!J110*LN('Zoopl Analysis'!J110)))</f>
        <v/>
      </c>
      <c r="K110" s="36" t="str">
        <f>IF('Zoopl Count'!K110=0,"",('Zoopl Analysis'!K110*LN('Zoopl Analysis'!K110)))</f>
        <v/>
      </c>
      <c r="L110" s="36" t="str">
        <f>IF('Zoopl Count'!L110=0,"",('Zoopl Analysis'!L110*LN('Zoopl Analysis'!L110)))</f>
        <v/>
      </c>
      <c r="M110" s="36" t="str">
        <f>IF('Zoopl Count'!M110=0,"",('Zoopl Analysis'!M110*LN('Zoopl Analysis'!M110)))</f>
        <v/>
      </c>
      <c r="N110" s="36" t="str">
        <f>IF('Zoopl Count'!N110=0,"",('Zoopl Analysis'!N110*LN('Zoopl Analysis'!N110)))</f>
        <v/>
      </c>
      <c r="O110" s="36" t="str">
        <f>IF('Zoopl Count'!O110=0,"",('Zoopl Analysis'!O110*LN('Zoopl Analysis'!O110)))</f>
        <v/>
      </c>
      <c r="P110" s="36" t="str">
        <f>IF('Zoopl Count'!P110=0,"",('Zoopl Analysis'!P110*LN('Zoopl Analysis'!P110)))</f>
        <v/>
      </c>
    </row>
    <row r="111" spans="1:16">
      <c r="A111" s="8"/>
      <c r="B111" s="2"/>
      <c r="F111" s="6" t="s">
        <v>101</v>
      </c>
      <c r="G111" s="36" t="str">
        <f>IF('Zoopl Count'!G111=0,"",('Zoopl Analysis'!G111*LN('Zoopl Analysis'!G111)))</f>
        <v/>
      </c>
      <c r="H111" s="36" t="str">
        <f>IF('Zoopl Count'!H111=0,"",('Zoopl Analysis'!H111*LN('Zoopl Analysis'!H111)))</f>
        <v/>
      </c>
      <c r="I111" s="36" t="str">
        <f>IF('Zoopl Count'!I111=0,"",('Zoopl Analysis'!I111*LN('Zoopl Analysis'!I111)))</f>
        <v/>
      </c>
      <c r="J111" s="36" t="str">
        <f>IF('Zoopl Count'!J111=0,"",('Zoopl Analysis'!J111*LN('Zoopl Analysis'!J111)))</f>
        <v/>
      </c>
      <c r="K111" s="36" t="str">
        <f>IF('Zoopl Count'!K111=0,"",('Zoopl Analysis'!K111*LN('Zoopl Analysis'!K111)))</f>
        <v/>
      </c>
      <c r="L111" s="36" t="str">
        <f>IF('Zoopl Count'!L111=0,"",('Zoopl Analysis'!L111*LN('Zoopl Analysis'!L111)))</f>
        <v/>
      </c>
      <c r="M111" s="36" t="str">
        <f>IF('Zoopl Count'!M111=0,"",('Zoopl Analysis'!M111*LN('Zoopl Analysis'!M111)))</f>
        <v/>
      </c>
      <c r="N111" s="36" t="str">
        <f>IF('Zoopl Count'!N111=0,"",('Zoopl Analysis'!N111*LN('Zoopl Analysis'!N111)))</f>
        <v/>
      </c>
      <c r="O111" s="36" t="str">
        <f>IF('Zoopl Count'!O111=0,"",('Zoopl Analysis'!O111*LN('Zoopl Analysis'!O111)))</f>
        <v/>
      </c>
      <c r="P111" s="36" t="str">
        <f>IF('Zoopl Count'!P111=0,"",('Zoopl Analysis'!P111*LN('Zoopl Analysis'!P111)))</f>
        <v/>
      </c>
    </row>
    <row r="112" spans="1:16">
      <c r="A112" s="8"/>
      <c r="B112" s="8" t="s">
        <v>79</v>
      </c>
      <c r="C112" s="2" t="s">
        <v>88</v>
      </c>
      <c r="G112" s="36" t="str">
        <f>IF('Zoopl Count'!G112=0,"",('Zoopl Analysis'!G112*LN('Zoopl Analysis'!G112)))</f>
        <v/>
      </c>
      <c r="H112" s="36" t="str">
        <f>IF('Zoopl Count'!H112=0,"",('Zoopl Analysis'!H112*LN('Zoopl Analysis'!H112)))</f>
        <v/>
      </c>
      <c r="I112" s="36" t="str">
        <f>IF('Zoopl Count'!I112=0,"",('Zoopl Analysis'!I112*LN('Zoopl Analysis'!I112)))</f>
        <v/>
      </c>
      <c r="J112" s="36" t="str">
        <f>IF('Zoopl Count'!J112=0,"",('Zoopl Analysis'!J112*LN('Zoopl Analysis'!J112)))</f>
        <v/>
      </c>
      <c r="K112" s="36" t="str">
        <f>IF('Zoopl Count'!K112=0,"",('Zoopl Analysis'!K112*LN('Zoopl Analysis'!K112)))</f>
        <v/>
      </c>
      <c r="L112" s="36" t="str">
        <f>IF('Zoopl Count'!L112=0,"",('Zoopl Analysis'!L112*LN('Zoopl Analysis'!L112)))</f>
        <v/>
      </c>
      <c r="M112" s="36" t="str">
        <f>IF('Zoopl Count'!M112=0,"",('Zoopl Analysis'!M112*LN('Zoopl Analysis'!M112)))</f>
        <v/>
      </c>
      <c r="N112" s="36" t="str">
        <f>IF('Zoopl Count'!N112=0,"",('Zoopl Analysis'!N112*LN('Zoopl Analysis'!N112)))</f>
        <v/>
      </c>
      <c r="O112" s="36" t="str">
        <f>IF('Zoopl Count'!O112=0,"",('Zoopl Analysis'!O112*LN('Zoopl Analysis'!O112)))</f>
        <v/>
      </c>
      <c r="P112" s="36" t="str">
        <f>IF('Zoopl Count'!P112=0,"",('Zoopl Analysis'!P112*LN('Zoopl Analysis'!P112)))</f>
        <v/>
      </c>
    </row>
    <row r="113" spans="1:16">
      <c r="F113" s="6" t="s">
        <v>78</v>
      </c>
      <c r="G113" s="36">
        <f>IF('Zoopl Count'!G113=0,"",('Zoopl Analysis'!G113*LN('Zoopl Analysis'!G113)))</f>
        <v>-0.33951388967976126</v>
      </c>
      <c r="H113" s="36">
        <f>IF('Zoopl Count'!H113=0,"",('Zoopl Analysis'!H113*LN('Zoopl Analysis'!H113)))</f>
        <v>-0.35050162848493283</v>
      </c>
      <c r="I113" s="36">
        <f>IF('Zoopl Count'!I113=0,"",('Zoopl Analysis'!I113*LN('Zoopl Analysis'!I113)))</f>
        <v>-0.33715605188423164</v>
      </c>
      <c r="J113" s="36">
        <f>IF('Zoopl Count'!J113=0,"",('Zoopl Analysis'!J113*LN('Zoopl Analysis'!J113)))</f>
        <v>-8.3411422021561196E-2</v>
      </c>
      <c r="K113" s="36">
        <f>IF('Zoopl Count'!K113=0,"",('Zoopl Analysis'!K113*LN('Zoopl Analysis'!K113)))</f>
        <v>-0.35050162848493283</v>
      </c>
      <c r="L113" s="36" t="str">
        <f>IF('Zoopl Count'!L113=0,"",('Zoopl Analysis'!L113*LN('Zoopl Analysis'!L113)))</f>
        <v/>
      </c>
      <c r="M113" s="36">
        <f>IF('Zoopl Count'!M113=0,"",('Zoopl Analysis'!M113*LN('Zoopl Analysis'!M113)))</f>
        <v>-8.3411422021561196E-2</v>
      </c>
      <c r="N113" s="36">
        <f>IF('Zoopl Count'!N113=0,"",('Zoopl Analysis'!N113*LN('Zoopl Analysis'!N113)))</f>
        <v>-0.35050162848493283</v>
      </c>
      <c r="O113" s="36" t="str">
        <f>IF('Zoopl Count'!O113=0,"",('Zoopl Analysis'!O113*LN('Zoopl Analysis'!O113)))</f>
        <v/>
      </c>
      <c r="P113" s="36">
        <f>IF('Zoopl Count'!P113=0,"",('Zoopl Analysis'!P113*LN('Zoopl Analysis'!P113)))</f>
        <v>-0.35050162848493283</v>
      </c>
    </row>
    <row r="114" spans="1:16">
      <c r="C114" s="8" t="s">
        <v>10</v>
      </c>
      <c r="D114" s="2" t="s">
        <v>322</v>
      </c>
      <c r="E114" s="8"/>
      <c r="F114" s="19"/>
      <c r="G114" s="36" t="str">
        <f>IF('Zoopl Count'!G114=0,"",('Zoopl Analysis'!G114*LN('Zoopl Analysis'!G114)))</f>
        <v/>
      </c>
      <c r="H114" s="36" t="str">
        <f>IF('Zoopl Count'!H114=0,"",('Zoopl Analysis'!H114*LN('Zoopl Analysis'!H114)))</f>
        <v/>
      </c>
      <c r="I114" s="36" t="str">
        <f>IF('Zoopl Count'!I114=0,"",('Zoopl Analysis'!I114*LN('Zoopl Analysis'!I114)))</f>
        <v/>
      </c>
      <c r="J114" s="36" t="str">
        <f>IF('Zoopl Count'!J114=0,"",('Zoopl Analysis'!J114*LN('Zoopl Analysis'!J114)))</f>
        <v/>
      </c>
      <c r="K114" s="36" t="str">
        <f>IF('Zoopl Count'!K114=0,"",('Zoopl Analysis'!K114*LN('Zoopl Analysis'!K114)))</f>
        <v/>
      </c>
      <c r="L114" s="36" t="str">
        <f>IF('Zoopl Count'!L114=0,"",('Zoopl Analysis'!L114*LN('Zoopl Analysis'!L114)))</f>
        <v/>
      </c>
      <c r="M114" s="36" t="str">
        <f>IF('Zoopl Count'!M114=0,"",('Zoopl Analysis'!M114*LN('Zoopl Analysis'!M114)))</f>
        <v/>
      </c>
      <c r="N114" s="36" t="str">
        <f>IF('Zoopl Count'!N114=0,"",('Zoopl Analysis'!N114*LN('Zoopl Analysis'!N114)))</f>
        <v/>
      </c>
      <c r="O114" s="36" t="str">
        <f>IF('Zoopl Count'!O114=0,"",('Zoopl Analysis'!O114*LN('Zoopl Analysis'!O114)))</f>
        <v/>
      </c>
      <c r="P114" s="36" t="str">
        <f>IF('Zoopl Count'!P114=0,"",('Zoopl Analysis'!P114*LN('Zoopl Analysis'!P114)))</f>
        <v/>
      </c>
    </row>
    <row r="115" spans="1:16">
      <c r="D115" s="8" t="s">
        <v>12</v>
      </c>
      <c r="E115" s="11" t="s">
        <v>323</v>
      </c>
      <c r="F115" s="19"/>
      <c r="G115" s="36" t="str">
        <f>IF('Zoopl Count'!G115=0,"",('Zoopl Analysis'!G115*LN('Zoopl Analysis'!G115)))</f>
        <v/>
      </c>
      <c r="H115" s="36" t="str">
        <f>IF('Zoopl Count'!H115=0,"",('Zoopl Analysis'!H115*LN('Zoopl Analysis'!H115)))</f>
        <v/>
      </c>
      <c r="I115" s="36" t="str">
        <f>IF('Zoopl Count'!I115=0,"",('Zoopl Analysis'!I115*LN('Zoopl Analysis'!I115)))</f>
        <v/>
      </c>
      <c r="J115" s="36" t="str">
        <f>IF('Zoopl Count'!J115=0,"",('Zoopl Analysis'!J115*LN('Zoopl Analysis'!J115)))</f>
        <v/>
      </c>
      <c r="K115" s="36" t="str">
        <f>IF('Zoopl Count'!K115=0,"",('Zoopl Analysis'!K115*LN('Zoopl Analysis'!K115)))</f>
        <v/>
      </c>
      <c r="L115" s="36" t="str">
        <f>IF('Zoopl Count'!L115=0,"",('Zoopl Analysis'!L115*LN('Zoopl Analysis'!L115)))</f>
        <v/>
      </c>
      <c r="M115" s="36" t="str">
        <f>IF('Zoopl Count'!M115=0,"",('Zoopl Analysis'!M115*LN('Zoopl Analysis'!M115)))</f>
        <v/>
      </c>
      <c r="N115" s="36" t="str">
        <f>IF('Zoopl Count'!N115=0,"",('Zoopl Analysis'!N115*LN('Zoopl Analysis'!N115)))</f>
        <v/>
      </c>
      <c r="O115" s="36" t="str">
        <f>IF('Zoopl Count'!O115=0,"",('Zoopl Analysis'!O115*LN('Zoopl Analysis'!O115)))</f>
        <v/>
      </c>
      <c r="P115" s="36" t="str">
        <f>IF('Zoopl Count'!P115=0,"",('Zoopl Analysis'!P115*LN('Zoopl Analysis'!P115)))</f>
        <v/>
      </c>
    </row>
    <row r="116" spans="1:16">
      <c r="E116" s="8" t="s">
        <v>14</v>
      </c>
      <c r="F116" s="19" t="s">
        <v>77</v>
      </c>
      <c r="G116" s="36" t="str">
        <f>IF('Zoopl Count'!G116=0,"",('Zoopl Analysis'!G116*LN('Zoopl Analysis'!G116)))</f>
        <v/>
      </c>
      <c r="H116" s="36" t="str">
        <f>IF('Zoopl Count'!H116=0,"",('Zoopl Analysis'!H116*LN('Zoopl Analysis'!H116)))</f>
        <v/>
      </c>
      <c r="I116" s="36" t="str">
        <f>IF('Zoopl Count'!I116=0,"",('Zoopl Analysis'!I116*LN('Zoopl Analysis'!I116)))</f>
        <v/>
      </c>
      <c r="J116" s="36" t="str">
        <f>IF('Zoopl Count'!J116=0,"",('Zoopl Analysis'!J116*LN('Zoopl Analysis'!J116)))</f>
        <v/>
      </c>
      <c r="K116" s="36" t="str">
        <f>IF('Zoopl Count'!K116=0,"",('Zoopl Analysis'!K116*LN('Zoopl Analysis'!K116)))</f>
        <v/>
      </c>
      <c r="L116" s="36" t="str">
        <f>IF('Zoopl Count'!L116=0,"",('Zoopl Analysis'!L116*LN('Zoopl Analysis'!L116)))</f>
        <v/>
      </c>
      <c r="M116" s="36" t="str">
        <f>IF('Zoopl Count'!M116=0,"",('Zoopl Analysis'!M116*LN('Zoopl Analysis'!M116)))</f>
        <v/>
      </c>
      <c r="N116" s="36" t="str">
        <f>IF('Zoopl Count'!N116=0,"",('Zoopl Analysis'!N116*LN('Zoopl Analysis'!N116)))</f>
        <v/>
      </c>
      <c r="O116" s="36" t="str">
        <f>IF('Zoopl Count'!O116=0,"",('Zoopl Analysis'!O116*LN('Zoopl Analysis'!O116)))</f>
        <v/>
      </c>
      <c r="P116" s="36" t="str">
        <f>IF('Zoopl Count'!P116=0,"",('Zoopl Analysis'!P116*LN('Zoopl Analysis'!P116)))</f>
        <v/>
      </c>
    </row>
    <row r="117" spans="1:16">
      <c r="G117" s="36" t="str">
        <f>IF('Zoopl Count'!G117=0,"",('Zoopl Analysis'!G117*LN('Zoopl Analysis'!G117)))</f>
        <v/>
      </c>
      <c r="H117" s="36" t="str">
        <f>IF('Zoopl Count'!H117=0,"",('Zoopl Analysis'!H117*LN('Zoopl Analysis'!H117)))</f>
        <v/>
      </c>
      <c r="I117" s="36" t="str">
        <f>IF('Zoopl Count'!I117=0,"",('Zoopl Analysis'!I117*LN('Zoopl Analysis'!I117)))</f>
        <v/>
      </c>
      <c r="J117" s="36" t="str">
        <f>IF('Zoopl Count'!J117=0,"",('Zoopl Analysis'!J117*LN('Zoopl Analysis'!J117)))</f>
        <v/>
      </c>
      <c r="K117" s="36" t="str">
        <f>IF('Zoopl Count'!K117=0,"",('Zoopl Analysis'!K117*LN('Zoopl Analysis'!K117)))</f>
        <v/>
      </c>
      <c r="L117" s="36" t="str">
        <f>IF('Zoopl Count'!L117=0,"",('Zoopl Analysis'!L117*LN('Zoopl Analysis'!L117)))</f>
        <v/>
      </c>
      <c r="M117" s="36" t="str">
        <f>IF('Zoopl Count'!M117=0,"",('Zoopl Analysis'!M117*LN('Zoopl Analysis'!M117)))</f>
        <v/>
      </c>
      <c r="N117" s="36" t="str">
        <f>IF('Zoopl Count'!N117=0,"",('Zoopl Analysis'!N117*LN('Zoopl Analysis'!N117)))</f>
        <v/>
      </c>
      <c r="O117" s="36" t="str">
        <f>IF('Zoopl Count'!O117=0,"",('Zoopl Analysis'!O117*LN('Zoopl Analysis'!O117)))</f>
        <v/>
      </c>
      <c r="P117" s="36" t="str">
        <f>IF('Zoopl Count'!P117=0,"",('Zoopl Analysis'!P117*LN('Zoopl Analysis'!P117)))</f>
        <v/>
      </c>
    </row>
    <row r="118" spans="1:16">
      <c r="C118" s="8" t="s">
        <v>10</v>
      </c>
      <c r="D118" s="2" t="s">
        <v>324</v>
      </c>
      <c r="E118" s="8"/>
      <c r="F118" s="19"/>
      <c r="G118" s="36" t="str">
        <f>IF('Zoopl Count'!G118=0,"",('Zoopl Analysis'!G118*LN('Zoopl Analysis'!G118)))</f>
        <v/>
      </c>
      <c r="H118" s="36" t="str">
        <f>IF('Zoopl Count'!H118=0,"",('Zoopl Analysis'!H118*LN('Zoopl Analysis'!H118)))</f>
        <v/>
      </c>
      <c r="I118" s="36" t="str">
        <f>IF('Zoopl Count'!I118=0,"",('Zoopl Analysis'!I118*LN('Zoopl Analysis'!I118)))</f>
        <v/>
      </c>
      <c r="J118" s="36" t="str">
        <f>IF('Zoopl Count'!J118=0,"",('Zoopl Analysis'!J118*LN('Zoopl Analysis'!J118)))</f>
        <v/>
      </c>
      <c r="K118" s="36" t="str">
        <f>IF('Zoopl Count'!K118=0,"",('Zoopl Analysis'!K118*LN('Zoopl Analysis'!K118)))</f>
        <v/>
      </c>
      <c r="L118" s="36" t="str">
        <f>IF('Zoopl Count'!L118=0,"",('Zoopl Analysis'!L118*LN('Zoopl Analysis'!L118)))</f>
        <v/>
      </c>
      <c r="M118" s="36" t="str">
        <f>IF('Zoopl Count'!M118=0,"",('Zoopl Analysis'!M118*LN('Zoopl Analysis'!M118)))</f>
        <v/>
      </c>
      <c r="N118" s="36" t="str">
        <f>IF('Zoopl Count'!N118=0,"",('Zoopl Analysis'!N118*LN('Zoopl Analysis'!N118)))</f>
        <v/>
      </c>
      <c r="O118" s="36" t="str">
        <f>IF('Zoopl Count'!O118=0,"",('Zoopl Analysis'!O118*LN('Zoopl Analysis'!O118)))</f>
        <v/>
      </c>
      <c r="P118" s="36" t="str">
        <f>IF('Zoopl Count'!P118=0,"",('Zoopl Analysis'!P118*LN('Zoopl Analysis'!P118)))</f>
        <v/>
      </c>
    </row>
    <row r="119" spans="1:16">
      <c r="C119" s="59" t="s">
        <v>223</v>
      </c>
      <c r="D119" s="59"/>
      <c r="E119" s="59"/>
      <c r="F119" s="59"/>
      <c r="G119" s="36" t="str">
        <f>IF('Zoopl Count'!G119=0,"",('Zoopl Analysis'!G119*LN('Zoopl Analysis'!G119)))</f>
        <v/>
      </c>
      <c r="H119" s="36" t="str">
        <f>IF('Zoopl Count'!H119=0,"",('Zoopl Analysis'!H119*LN('Zoopl Analysis'!H119)))</f>
        <v/>
      </c>
      <c r="I119" s="36" t="str">
        <f>IF('Zoopl Count'!I119=0,"",('Zoopl Analysis'!I119*LN('Zoopl Analysis'!I119)))</f>
        <v/>
      </c>
      <c r="J119" s="36" t="str">
        <f>IF('Zoopl Count'!J119=0,"",('Zoopl Analysis'!J119*LN('Zoopl Analysis'!J119)))</f>
        <v/>
      </c>
      <c r="K119" s="36" t="str">
        <f>IF('Zoopl Count'!K119=0,"",('Zoopl Analysis'!K119*LN('Zoopl Analysis'!K119)))</f>
        <v/>
      </c>
      <c r="L119" s="36" t="str">
        <f>IF('Zoopl Count'!L119=0,"",('Zoopl Analysis'!L119*LN('Zoopl Analysis'!L119)))</f>
        <v/>
      </c>
      <c r="M119" s="36" t="str">
        <f>IF('Zoopl Count'!M119=0,"",('Zoopl Analysis'!M119*LN('Zoopl Analysis'!M119)))</f>
        <v/>
      </c>
      <c r="N119" s="36" t="str">
        <f>IF('Zoopl Count'!N119=0,"",('Zoopl Analysis'!N119*LN('Zoopl Analysis'!N119)))</f>
        <v/>
      </c>
      <c r="O119" s="36" t="str">
        <f>IF('Zoopl Count'!O119=0,"",('Zoopl Analysis'!O119*LN('Zoopl Analysis'!O119)))</f>
        <v/>
      </c>
      <c r="P119" s="36" t="str">
        <f>IF('Zoopl Count'!P119=0,"",('Zoopl Analysis'!P119*LN('Zoopl Analysis'!P119)))</f>
        <v/>
      </c>
    </row>
    <row r="120" spans="1:16">
      <c r="C120" s="59"/>
      <c r="D120" s="59" t="s">
        <v>224</v>
      </c>
      <c r="E120" s="59"/>
      <c r="F120" s="59"/>
      <c r="G120" s="36" t="str">
        <f>IF('Zoopl Count'!G120=0,"",('Zoopl Analysis'!G120*LN('Zoopl Analysis'!G120)))</f>
        <v/>
      </c>
      <c r="H120" s="36" t="str">
        <f>IF('Zoopl Count'!H120=0,"",('Zoopl Analysis'!H120*LN('Zoopl Analysis'!H120)))</f>
        <v/>
      </c>
      <c r="I120" s="36" t="str">
        <f>IF('Zoopl Count'!I120=0,"",('Zoopl Analysis'!I120*LN('Zoopl Analysis'!I120)))</f>
        <v/>
      </c>
      <c r="J120" s="36" t="str">
        <f>IF('Zoopl Count'!J120=0,"",('Zoopl Analysis'!J120*LN('Zoopl Analysis'!J120)))</f>
        <v/>
      </c>
      <c r="K120" s="36" t="str">
        <f>IF('Zoopl Count'!K120=0,"",('Zoopl Analysis'!K120*LN('Zoopl Analysis'!K120)))</f>
        <v/>
      </c>
      <c r="L120" s="36" t="str">
        <f>IF('Zoopl Count'!L120=0,"",('Zoopl Analysis'!L120*LN('Zoopl Analysis'!L120)))</f>
        <v/>
      </c>
      <c r="M120" s="36" t="str">
        <f>IF('Zoopl Count'!M120=0,"",('Zoopl Analysis'!M120*LN('Zoopl Analysis'!M120)))</f>
        <v/>
      </c>
      <c r="N120" s="36" t="str">
        <f>IF('Zoopl Count'!N120=0,"",('Zoopl Analysis'!N120*LN('Zoopl Analysis'!N120)))</f>
        <v/>
      </c>
      <c r="O120" s="36" t="str">
        <f>IF('Zoopl Count'!O120=0,"",('Zoopl Analysis'!O120*LN('Zoopl Analysis'!O120)))</f>
        <v/>
      </c>
      <c r="P120" s="36" t="str">
        <f>IF('Zoopl Count'!P120=0,"",('Zoopl Analysis'!P120*LN('Zoopl Analysis'!P120)))</f>
        <v/>
      </c>
    </row>
    <row r="121" spans="1:16">
      <c r="C121" s="59"/>
      <c r="D121" s="59"/>
      <c r="E121" s="59"/>
      <c r="F121" s="59"/>
      <c r="G121" s="36" t="str">
        <f>IF('Zoopl Count'!G121=0,"",('Zoopl Analysis'!G121*LN('Zoopl Analysis'!G121)))</f>
        <v/>
      </c>
      <c r="H121" s="36" t="str">
        <f>IF('Zoopl Count'!H121=0,"",('Zoopl Analysis'!H121*LN('Zoopl Analysis'!H121)))</f>
        <v/>
      </c>
      <c r="I121" s="36" t="str">
        <f>IF('Zoopl Count'!I121=0,"",('Zoopl Analysis'!I121*LN('Zoopl Analysis'!I121)))</f>
        <v/>
      </c>
      <c r="J121" s="36" t="str">
        <f>IF('Zoopl Count'!J121=0,"",('Zoopl Analysis'!J121*LN('Zoopl Analysis'!J121)))</f>
        <v/>
      </c>
      <c r="K121" s="36" t="str">
        <f>IF('Zoopl Count'!K121=0,"",('Zoopl Analysis'!K121*LN('Zoopl Analysis'!K121)))</f>
        <v/>
      </c>
      <c r="L121" s="36" t="str">
        <f>IF('Zoopl Count'!L121=0,"",('Zoopl Analysis'!L121*LN('Zoopl Analysis'!L121)))</f>
        <v/>
      </c>
      <c r="M121" s="36" t="str">
        <f>IF('Zoopl Count'!M121=0,"",('Zoopl Analysis'!M121*LN('Zoopl Analysis'!M121)))</f>
        <v/>
      </c>
      <c r="N121" s="36" t="str">
        <f>IF('Zoopl Count'!N121=0,"",('Zoopl Analysis'!N121*LN('Zoopl Analysis'!N121)))</f>
        <v/>
      </c>
      <c r="O121" s="36" t="str">
        <f>IF('Zoopl Count'!O121=0,"",('Zoopl Analysis'!O121*LN('Zoopl Analysis'!O121)))</f>
        <v/>
      </c>
      <c r="P121" s="36" t="str">
        <f>IF('Zoopl Count'!P121=0,"",('Zoopl Analysis'!P121*LN('Zoopl Analysis'!P121)))</f>
        <v/>
      </c>
    </row>
    <row r="122" spans="1:16">
      <c r="A122" s="8" t="s">
        <v>7</v>
      </c>
      <c r="B122" s="2" t="s">
        <v>347</v>
      </c>
      <c r="G122" s="36" t="str">
        <f>IF('Zoopl Count'!G122=0,"",('Zoopl Analysis'!G122*LN('Zoopl Analysis'!G122)))</f>
        <v/>
      </c>
      <c r="H122" s="36" t="str">
        <f>IF('Zoopl Count'!H122=0,"",('Zoopl Analysis'!H122*LN('Zoopl Analysis'!H122)))</f>
        <v/>
      </c>
      <c r="I122" s="36" t="str">
        <f>IF('Zoopl Count'!I122=0,"",('Zoopl Analysis'!I122*LN('Zoopl Analysis'!I122)))</f>
        <v/>
      </c>
      <c r="J122" s="36" t="str">
        <f>IF('Zoopl Count'!J122=0,"",('Zoopl Analysis'!J122*LN('Zoopl Analysis'!J122)))</f>
        <v/>
      </c>
      <c r="K122" s="36" t="str">
        <f>IF('Zoopl Count'!K122=0,"",('Zoopl Analysis'!K122*LN('Zoopl Analysis'!K122)))</f>
        <v/>
      </c>
      <c r="L122" s="36" t="str">
        <f>IF('Zoopl Count'!L122=0,"",('Zoopl Analysis'!L122*LN('Zoopl Analysis'!L122)))</f>
        <v/>
      </c>
      <c r="M122" s="36" t="str">
        <f>IF('Zoopl Count'!M122=0,"",('Zoopl Analysis'!M122*LN('Zoopl Analysis'!M122)))</f>
        <v/>
      </c>
      <c r="N122" s="36" t="str">
        <f>IF('Zoopl Count'!N122=0,"",('Zoopl Analysis'!N122*LN('Zoopl Analysis'!N122)))</f>
        <v/>
      </c>
      <c r="O122" s="36" t="str">
        <f>IF('Zoopl Count'!O122=0,"",('Zoopl Analysis'!O122*LN('Zoopl Analysis'!O122)))</f>
        <v/>
      </c>
      <c r="P122" s="36" t="str">
        <f>IF('Zoopl Count'!P122=0,"",('Zoopl Analysis'!P122*LN('Zoopl Analysis'!P122)))</f>
        <v/>
      </c>
    </row>
    <row r="123" spans="1:16">
      <c r="A123" s="8"/>
      <c r="B123" s="8" t="s">
        <v>79</v>
      </c>
      <c r="C123" s="2" t="s">
        <v>392</v>
      </c>
      <c r="G123" s="36" t="str">
        <f>IF('Zoopl Count'!G123=0,"",('Zoopl Analysis'!G123*LN('Zoopl Analysis'!G123)))</f>
        <v/>
      </c>
      <c r="H123" s="36" t="str">
        <f>IF('Zoopl Count'!H123=0,"",('Zoopl Analysis'!H123*LN('Zoopl Analysis'!H123)))</f>
        <v/>
      </c>
      <c r="I123" s="36" t="str">
        <f>IF('Zoopl Count'!I123=0,"",('Zoopl Analysis'!I123*LN('Zoopl Analysis'!I123)))</f>
        <v/>
      </c>
      <c r="J123" s="36" t="str">
        <f>IF('Zoopl Count'!J123=0,"",('Zoopl Analysis'!J123*LN('Zoopl Analysis'!J123)))</f>
        <v/>
      </c>
      <c r="K123" s="36" t="str">
        <f>IF('Zoopl Count'!K123=0,"",('Zoopl Analysis'!K123*LN('Zoopl Analysis'!K123)))</f>
        <v/>
      </c>
      <c r="L123" s="36" t="str">
        <f>IF('Zoopl Count'!L123=0,"",('Zoopl Analysis'!L123*LN('Zoopl Analysis'!L123)))</f>
        <v/>
      </c>
      <c r="M123" s="36" t="str">
        <f>IF('Zoopl Count'!M123=0,"",('Zoopl Analysis'!M123*LN('Zoopl Analysis'!M123)))</f>
        <v/>
      </c>
      <c r="N123" s="36" t="str">
        <f>IF('Zoopl Count'!N123=0,"",('Zoopl Analysis'!N123*LN('Zoopl Analysis'!N123)))</f>
        <v/>
      </c>
      <c r="O123" s="36" t="str">
        <f>IF('Zoopl Count'!O123=0,"",('Zoopl Analysis'!O123*LN('Zoopl Analysis'!O123)))</f>
        <v/>
      </c>
      <c r="P123" s="36" t="str">
        <f>IF('Zoopl Count'!P123=0,"",('Zoopl Analysis'!P123*LN('Zoopl Analysis'!P123)))</f>
        <v/>
      </c>
    </row>
    <row r="124" spans="1:16">
      <c r="A124" s="8"/>
      <c r="B124" s="8"/>
      <c r="C124" s="2"/>
      <c r="G124" s="36" t="str">
        <f>IF('Zoopl Count'!G124=0,"",('Zoopl Analysis'!G124*LN('Zoopl Analysis'!G124)))</f>
        <v/>
      </c>
      <c r="H124" s="36" t="str">
        <f>IF('Zoopl Count'!H124=0,"",('Zoopl Analysis'!H124*LN('Zoopl Analysis'!H124)))</f>
        <v/>
      </c>
      <c r="I124" s="36" t="str">
        <f>IF('Zoopl Count'!I124=0,"",('Zoopl Analysis'!I124*LN('Zoopl Analysis'!I124)))</f>
        <v/>
      </c>
      <c r="J124" s="36" t="str">
        <f>IF('Zoopl Count'!J124=0,"",('Zoopl Analysis'!J124*LN('Zoopl Analysis'!J124)))</f>
        <v/>
      </c>
      <c r="K124" s="36" t="str">
        <f>IF('Zoopl Count'!K124=0,"",('Zoopl Analysis'!K124*LN('Zoopl Analysis'!K124)))</f>
        <v/>
      </c>
      <c r="L124" s="36" t="str">
        <f>IF('Zoopl Count'!L124=0,"",('Zoopl Analysis'!L124*LN('Zoopl Analysis'!L124)))</f>
        <v/>
      </c>
      <c r="M124" s="36" t="str">
        <f>IF('Zoopl Count'!M124=0,"",('Zoopl Analysis'!M124*LN('Zoopl Analysis'!M124)))</f>
        <v/>
      </c>
      <c r="N124" s="36" t="str">
        <f>IF('Zoopl Count'!N124=0,"",('Zoopl Analysis'!N124*LN('Zoopl Analysis'!N124)))</f>
        <v/>
      </c>
      <c r="O124" s="36" t="str">
        <f>IF('Zoopl Count'!O124=0,"",('Zoopl Analysis'!O124*LN('Zoopl Analysis'!O124)))</f>
        <v/>
      </c>
      <c r="P124" s="36" t="str">
        <f>IF('Zoopl Count'!P124=0,"",('Zoopl Analysis'!P124*LN('Zoopl Analysis'!P124)))</f>
        <v/>
      </c>
    </row>
    <row r="125" spans="1:16">
      <c r="A125" s="8" t="s">
        <v>7</v>
      </c>
      <c r="B125" s="2" t="s">
        <v>395</v>
      </c>
      <c r="G125" s="36" t="str">
        <f>IF('Zoopl Count'!G125=0,"",('Zoopl Analysis'!G125*LN('Zoopl Analysis'!G125)))</f>
        <v/>
      </c>
      <c r="H125" s="36" t="str">
        <f>IF('Zoopl Count'!H125=0,"",('Zoopl Analysis'!H125*LN('Zoopl Analysis'!H125)))</f>
        <v/>
      </c>
      <c r="I125" s="36" t="str">
        <f>IF('Zoopl Count'!I125=0,"",('Zoopl Analysis'!I125*LN('Zoopl Analysis'!I125)))</f>
        <v/>
      </c>
      <c r="J125" s="36" t="str">
        <f>IF('Zoopl Count'!J125=0,"",('Zoopl Analysis'!J125*LN('Zoopl Analysis'!J125)))</f>
        <v/>
      </c>
      <c r="K125" s="36" t="str">
        <f>IF('Zoopl Count'!K125=0,"",('Zoopl Analysis'!K125*LN('Zoopl Analysis'!K125)))</f>
        <v/>
      </c>
      <c r="L125" s="36" t="str">
        <f>IF('Zoopl Count'!L125=0,"",('Zoopl Analysis'!L125*LN('Zoopl Analysis'!L125)))</f>
        <v/>
      </c>
      <c r="M125" s="36" t="str">
        <f>IF('Zoopl Count'!M125=0,"",('Zoopl Analysis'!M125*LN('Zoopl Analysis'!M125)))</f>
        <v/>
      </c>
      <c r="N125" s="36" t="str">
        <f>IF('Zoopl Count'!N125=0,"",('Zoopl Analysis'!N125*LN('Zoopl Analysis'!N125)))</f>
        <v/>
      </c>
      <c r="O125" s="36" t="str">
        <f>IF('Zoopl Count'!O125=0,"",('Zoopl Analysis'!O125*LN('Zoopl Analysis'!O125)))</f>
        <v/>
      </c>
      <c r="P125" s="36" t="str">
        <f>IF('Zoopl Count'!P125=0,"",('Zoopl Analysis'!P125*LN('Zoopl Analysis'!P125)))</f>
        <v/>
      </c>
    </row>
    <row r="126" spans="1:16">
      <c r="A126" s="8"/>
      <c r="B126" s="8"/>
      <c r="C126" s="2"/>
      <c r="F126" s="239" t="s">
        <v>396</v>
      </c>
      <c r="G126" s="36" t="str">
        <f>IF('Zoopl Count'!G126=0,"",('Zoopl Analysis'!G126*LN('Zoopl Analysis'!G126)))</f>
        <v/>
      </c>
      <c r="H126" s="36" t="str">
        <f>IF('Zoopl Count'!H126=0,"",('Zoopl Analysis'!H126*LN('Zoopl Analysis'!H126)))</f>
        <v/>
      </c>
      <c r="I126" s="36" t="str">
        <f>IF('Zoopl Count'!I126=0,"",('Zoopl Analysis'!I126*LN('Zoopl Analysis'!I126)))</f>
        <v/>
      </c>
      <c r="J126" s="36" t="str">
        <f>IF('Zoopl Count'!J126=0,"",('Zoopl Analysis'!J126*LN('Zoopl Analysis'!J126)))</f>
        <v/>
      </c>
      <c r="K126" s="36" t="str">
        <f>IF('Zoopl Count'!K126=0,"",('Zoopl Analysis'!K126*LN('Zoopl Analysis'!K126)))</f>
        <v/>
      </c>
      <c r="L126" s="36" t="str">
        <f>IF('Zoopl Count'!L126=0,"",('Zoopl Analysis'!L126*LN('Zoopl Analysis'!L126)))</f>
        <v/>
      </c>
      <c r="M126" s="36" t="str">
        <f>IF('Zoopl Count'!M126=0,"",('Zoopl Analysis'!M126*LN('Zoopl Analysis'!M126)))</f>
        <v/>
      </c>
      <c r="N126" s="36" t="str">
        <f>IF('Zoopl Count'!N126=0,"",('Zoopl Analysis'!N126*LN('Zoopl Analysis'!N126)))</f>
        <v/>
      </c>
      <c r="O126" s="36" t="str">
        <f>IF('Zoopl Count'!O126=0,"",('Zoopl Analysis'!O126*LN('Zoopl Analysis'!O126)))</f>
        <v/>
      </c>
      <c r="P126" s="36" t="str">
        <f>IF('Zoopl Count'!P126=0,"",('Zoopl Analysis'!P126*LN('Zoopl Analysis'!P126)))</f>
        <v/>
      </c>
    </row>
    <row r="127" spans="1:16">
      <c r="A127" s="8"/>
      <c r="B127" s="2"/>
      <c r="F127" s="238"/>
      <c r="G127" s="36" t="str">
        <f>IF('Zoopl Count'!G127=0,"",('Zoopl Analysis'!G127*LN('Zoopl Analysis'!G127)))</f>
        <v/>
      </c>
      <c r="H127" s="36" t="str">
        <f>IF('Zoopl Count'!H127=0,"",('Zoopl Analysis'!H127*LN('Zoopl Analysis'!H127)))</f>
        <v/>
      </c>
      <c r="I127" s="36" t="str">
        <f>IF('Zoopl Count'!I127=0,"",('Zoopl Analysis'!I127*LN('Zoopl Analysis'!I127)))</f>
        <v/>
      </c>
      <c r="J127" s="36" t="str">
        <f>IF('Zoopl Count'!J127=0,"",('Zoopl Analysis'!J127*LN('Zoopl Analysis'!J127)))</f>
        <v/>
      </c>
      <c r="K127" s="36" t="str">
        <f>IF('Zoopl Count'!K127=0,"",('Zoopl Analysis'!K127*LN('Zoopl Analysis'!K127)))</f>
        <v/>
      </c>
      <c r="L127" s="36" t="str">
        <f>IF('Zoopl Count'!L127=0,"",('Zoopl Analysis'!L127*LN('Zoopl Analysis'!L127)))</f>
        <v/>
      </c>
      <c r="M127" s="36" t="str">
        <f>IF('Zoopl Count'!M127=0,"",('Zoopl Analysis'!M127*LN('Zoopl Analysis'!M127)))</f>
        <v/>
      </c>
      <c r="N127" s="36" t="str">
        <f>IF('Zoopl Count'!N127=0,"",('Zoopl Analysis'!N127*LN('Zoopl Analysis'!N127)))</f>
        <v/>
      </c>
      <c r="O127" s="36" t="str">
        <f>IF('Zoopl Count'!O127=0,"",('Zoopl Analysis'!O127*LN('Zoopl Analysis'!O127)))</f>
        <v/>
      </c>
      <c r="P127" s="36" t="str">
        <f>IF('Zoopl Count'!P127=0,"",('Zoopl Analysis'!P127*LN('Zoopl Analysis'!P127)))</f>
        <v/>
      </c>
    </row>
    <row r="128" spans="1:16">
      <c r="A128" s="8" t="s">
        <v>7</v>
      </c>
      <c r="B128" s="2" t="s">
        <v>9</v>
      </c>
      <c r="G128" s="36" t="str">
        <f>IF('Zoopl Count'!G128=0,"",('Zoopl Analysis'!G128*LN('Zoopl Analysis'!G128)))</f>
        <v/>
      </c>
      <c r="H128" s="36" t="str">
        <f>IF('Zoopl Count'!H128=0,"",('Zoopl Analysis'!H128*LN('Zoopl Analysis'!H128)))</f>
        <v/>
      </c>
      <c r="I128" s="36" t="str">
        <f>IF('Zoopl Count'!I128=0,"",('Zoopl Analysis'!I128*LN('Zoopl Analysis'!I128)))</f>
        <v/>
      </c>
      <c r="J128" s="36" t="str">
        <f>IF('Zoopl Count'!J128=0,"",('Zoopl Analysis'!J128*LN('Zoopl Analysis'!J128)))</f>
        <v/>
      </c>
      <c r="K128" s="36" t="str">
        <f>IF('Zoopl Count'!K128=0,"",('Zoopl Analysis'!K128*LN('Zoopl Analysis'!K128)))</f>
        <v/>
      </c>
      <c r="L128" s="36" t="str">
        <f>IF('Zoopl Count'!L128=0,"",('Zoopl Analysis'!L128*LN('Zoopl Analysis'!L128)))</f>
        <v/>
      </c>
      <c r="M128" s="36" t="str">
        <f>IF('Zoopl Count'!M128=0,"",('Zoopl Analysis'!M128*LN('Zoopl Analysis'!M128)))</f>
        <v/>
      </c>
      <c r="N128" s="36" t="str">
        <f>IF('Zoopl Count'!N128=0,"",('Zoopl Analysis'!N128*LN('Zoopl Analysis'!N128)))</f>
        <v/>
      </c>
      <c r="O128" s="36" t="str">
        <f>IF('Zoopl Count'!O128=0,"",('Zoopl Analysis'!O128*LN('Zoopl Analysis'!O128)))</f>
        <v/>
      </c>
      <c r="P128" s="36" t="str">
        <f>IF('Zoopl Count'!P128=0,"",('Zoopl Analysis'!P128*LN('Zoopl Analysis'!P128)))</f>
        <v/>
      </c>
    </row>
    <row r="129" spans="1:16">
      <c r="A129" s="8"/>
      <c r="B129" s="8" t="s">
        <v>79</v>
      </c>
      <c r="C129" s="2" t="s">
        <v>80</v>
      </c>
      <c r="G129" s="36" t="str">
        <f>IF('Zoopl Count'!G129=0,"",('Zoopl Analysis'!G129*LN('Zoopl Analysis'!G129)))</f>
        <v/>
      </c>
      <c r="H129" s="36" t="str">
        <f>IF('Zoopl Count'!H129=0,"",('Zoopl Analysis'!H129*LN('Zoopl Analysis'!H129)))</f>
        <v/>
      </c>
      <c r="I129" s="36" t="str">
        <f>IF('Zoopl Count'!I129=0,"",('Zoopl Analysis'!I129*LN('Zoopl Analysis'!I129)))</f>
        <v/>
      </c>
      <c r="J129" s="36" t="str">
        <f>IF('Zoopl Count'!J129=0,"",('Zoopl Analysis'!J129*LN('Zoopl Analysis'!J129)))</f>
        <v/>
      </c>
      <c r="K129" s="36" t="str">
        <f>IF('Zoopl Count'!K129=0,"",('Zoopl Analysis'!K129*LN('Zoopl Analysis'!K129)))</f>
        <v/>
      </c>
      <c r="L129" s="36" t="str">
        <f>IF('Zoopl Count'!L129=0,"",('Zoopl Analysis'!L129*LN('Zoopl Analysis'!L129)))</f>
        <v/>
      </c>
      <c r="M129" s="36" t="str">
        <f>IF('Zoopl Count'!M129=0,"",('Zoopl Analysis'!M129*LN('Zoopl Analysis'!M129)))</f>
        <v/>
      </c>
      <c r="N129" s="36" t="str">
        <f>IF('Zoopl Count'!N129=0,"",('Zoopl Analysis'!N129*LN('Zoopl Analysis'!N129)))</f>
        <v/>
      </c>
      <c r="O129" s="36" t="str">
        <f>IF('Zoopl Count'!O129=0,"",('Zoopl Analysis'!O129*LN('Zoopl Analysis'!O129)))</f>
        <v/>
      </c>
      <c r="P129" s="36" t="str">
        <f>IF('Zoopl Count'!P129=0,"",('Zoopl Analysis'!P129*LN('Zoopl Analysis'!P129)))</f>
        <v/>
      </c>
    </row>
    <row r="130" spans="1:16">
      <c r="A130" s="8"/>
      <c r="B130" s="8"/>
      <c r="C130" s="2"/>
      <c r="F130" s="19" t="s">
        <v>103</v>
      </c>
      <c r="G130" s="36" t="str">
        <f>IF('Zoopl Count'!G130=0,"",('Zoopl Analysis'!G130*LN('Zoopl Analysis'!G130)))</f>
        <v/>
      </c>
      <c r="H130" s="36" t="str">
        <f>IF('Zoopl Count'!H130=0,"",('Zoopl Analysis'!H130*LN('Zoopl Analysis'!H130)))</f>
        <v/>
      </c>
      <c r="I130" s="36" t="str">
        <f>IF('Zoopl Count'!I130=0,"",('Zoopl Analysis'!I130*LN('Zoopl Analysis'!I130)))</f>
        <v/>
      </c>
      <c r="J130" s="36" t="str">
        <f>IF('Zoopl Count'!J130=0,"",('Zoopl Analysis'!J130*LN('Zoopl Analysis'!J130)))</f>
        <v/>
      </c>
      <c r="K130" s="36" t="str">
        <f>IF('Zoopl Count'!K130=0,"",('Zoopl Analysis'!K130*LN('Zoopl Analysis'!K130)))</f>
        <v/>
      </c>
      <c r="L130" s="36" t="str">
        <f>IF('Zoopl Count'!L130=0,"",('Zoopl Analysis'!L130*LN('Zoopl Analysis'!L130)))</f>
        <v/>
      </c>
      <c r="M130" s="36" t="str">
        <f>IF('Zoopl Count'!M130=0,"",('Zoopl Analysis'!M130*LN('Zoopl Analysis'!M130)))</f>
        <v/>
      </c>
      <c r="N130" s="36" t="str">
        <f>IF('Zoopl Count'!N130=0,"",('Zoopl Analysis'!N130*LN('Zoopl Analysis'!N130)))</f>
        <v/>
      </c>
      <c r="O130" s="36" t="str">
        <f>IF('Zoopl Count'!O130=0,"",('Zoopl Analysis'!O130*LN('Zoopl Analysis'!O130)))</f>
        <v/>
      </c>
      <c r="P130" s="36" t="str">
        <f>IF('Zoopl Count'!P130=0,"",('Zoopl Analysis'!P130*LN('Zoopl Analysis'!P130)))</f>
        <v/>
      </c>
    </row>
    <row r="131" spans="1:16">
      <c r="C131" s="8" t="s">
        <v>10</v>
      </c>
      <c r="D131" s="2" t="s">
        <v>325</v>
      </c>
      <c r="E131" s="8"/>
      <c r="F131" s="19"/>
      <c r="G131" s="36" t="str">
        <f>IF('Zoopl Count'!G131=0,"",('Zoopl Analysis'!G131*LN('Zoopl Analysis'!G131)))</f>
        <v/>
      </c>
      <c r="H131" s="36" t="str">
        <f>IF('Zoopl Count'!H131=0,"",('Zoopl Analysis'!H131*LN('Zoopl Analysis'!H131)))</f>
        <v/>
      </c>
      <c r="I131" s="36" t="str">
        <f>IF('Zoopl Count'!I131=0,"",('Zoopl Analysis'!I131*LN('Zoopl Analysis'!I131)))</f>
        <v/>
      </c>
      <c r="J131" s="36" t="str">
        <f>IF('Zoopl Count'!J131=0,"",('Zoopl Analysis'!J131*LN('Zoopl Analysis'!J131)))</f>
        <v/>
      </c>
      <c r="K131" s="36" t="str">
        <f>IF('Zoopl Count'!K131=0,"",('Zoopl Analysis'!K131*LN('Zoopl Analysis'!K131)))</f>
        <v/>
      </c>
      <c r="L131" s="36" t="str">
        <f>IF('Zoopl Count'!L131=0,"",('Zoopl Analysis'!L131*LN('Zoopl Analysis'!L131)))</f>
        <v/>
      </c>
      <c r="M131" s="36" t="str">
        <f>IF('Zoopl Count'!M131=0,"",('Zoopl Analysis'!M131*LN('Zoopl Analysis'!M131)))</f>
        <v/>
      </c>
      <c r="N131" s="36" t="str">
        <f>IF('Zoopl Count'!N131=0,"",('Zoopl Analysis'!N131*LN('Zoopl Analysis'!N131)))</f>
        <v/>
      </c>
      <c r="O131" s="36" t="str">
        <f>IF('Zoopl Count'!O131=0,"",('Zoopl Analysis'!O131*LN('Zoopl Analysis'!O131)))</f>
        <v/>
      </c>
      <c r="P131" s="36" t="str">
        <f>IF('Zoopl Count'!P131=0,"",('Zoopl Analysis'!P131*LN('Zoopl Analysis'!P131)))</f>
        <v/>
      </c>
    </row>
    <row r="132" spans="1:16">
      <c r="D132" s="8" t="s">
        <v>12</v>
      </c>
      <c r="E132" s="11" t="s">
        <v>68</v>
      </c>
      <c r="F132" s="19"/>
      <c r="G132" s="36" t="str">
        <f>IF('Zoopl Count'!G132=0,"",('Zoopl Analysis'!G132*LN('Zoopl Analysis'!G132)))</f>
        <v/>
      </c>
      <c r="H132" s="36" t="str">
        <f>IF('Zoopl Count'!H132=0,"",('Zoopl Analysis'!H132*LN('Zoopl Analysis'!H132)))</f>
        <v/>
      </c>
      <c r="I132" s="36" t="str">
        <f>IF('Zoopl Count'!I132=0,"",('Zoopl Analysis'!I132*LN('Zoopl Analysis'!I132)))</f>
        <v/>
      </c>
      <c r="J132" s="36" t="str">
        <f>IF('Zoopl Count'!J132=0,"",('Zoopl Analysis'!J132*LN('Zoopl Analysis'!J132)))</f>
        <v/>
      </c>
      <c r="K132" s="36" t="str">
        <f>IF('Zoopl Count'!K132=0,"",('Zoopl Analysis'!K132*LN('Zoopl Analysis'!K132)))</f>
        <v/>
      </c>
      <c r="L132" s="36" t="str">
        <f>IF('Zoopl Count'!L132=0,"",('Zoopl Analysis'!L132*LN('Zoopl Analysis'!L132)))</f>
        <v/>
      </c>
      <c r="M132" s="36" t="str">
        <f>IF('Zoopl Count'!M132=0,"",('Zoopl Analysis'!M132*LN('Zoopl Analysis'!M132)))</f>
        <v/>
      </c>
      <c r="N132" s="36" t="str">
        <f>IF('Zoopl Count'!N132=0,"",('Zoopl Analysis'!N132*LN('Zoopl Analysis'!N132)))</f>
        <v/>
      </c>
      <c r="O132" s="36" t="str">
        <f>IF('Zoopl Count'!O132=0,"",('Zoopl Analysis'!O132*LN('Zoopl Analysis'!O132)))</f>
        <v/>
      </c>
      <c r="P132" s="36" t="str">
        <f>IF('Zoopl Count'!P132=0,"",('Zoopl Analysis'!P132*LN('Zoopl Analysis'!P132)))</f>
        <v/>
      </c>
    </row>
    <row r="133" spans="1:16">
      <c r="E133" s="8" t="s">
        <v>14</v>
      </c>
      <c r="F133" s="19" t="s">
        <v>69</v>
      </c>
      <c r="G133" s="36" t="str">
        <f>IF('Zoopl Count'!G133=0,"",('Zoopl Analysis'!G133*LN('Zoopl Analysis'!G133)))</f>
        <v/>
      </c>
      <c r="H133" s="36" t="str">
        <f>IF('Zoopl Count'!H133=0,"",('Zoopl Analysis'!H133*LN('Zoopl Analysis'!H133)))</f>
        <v/>
      </c>
      <c r="I133" s="36" t="str">
        <f>IF('Zoopl Count'!I133=0,"",('Zoopl Analysis'!I133*LN('Zoopl Analysis'!I133)))</f>
        <v/>
      </c>
      <c r="J133" s="36" t="str">
        <f>IF('Zoopl Count'!J133=0,"",('Zoopl Analysis'!J133*LN('Zoopl Analysis'!J133)))</f>
        <v/>
      </c>
      <c r="K133" s="36" t="str">
        <f>IF('Zoopl Count'!K133=0,"",('Zoopl Analysis'!K133*LN('Zoopl Analysis'!K133)))</f>
        <v/>
      </c>
      <c r="L133" s="36" t="str">
        <f>IF('Zoopl Count'!L133=0,"",('Zoopl Analysis'!L133*LN('Zoopl Analysis'!L133)))</f>
        <v/>
      </c>
      <c r="M133" s="36" t="str">
        <f>IF('Zoopl Count'!M133=0,"",('Zoopl Analysis'!M133*LN('Zoopl Analysis'!M133)))</f>
        <v/>
      </c>
      <c r="N133" s="36" t="str">
        <f>IF('Zoopl Count'!N133=0,"",('Zoopl Analysis'!N133*LN('Zoopl Analysis'!N133)))</f>
        <v/>
      </c>
      <c r="O133" s="36" t="str">
        <f>IF('Zoopl Count'!O133=0,"",('Zoopl Analysis'!O133*LN('Zoopl Analysis'!O133)))</f>
        <v/>
      </c>
      <c r="P133" s="36" t="str">
        <f>IF('Zoopl Count'!P133=0,"",('Zoopl Analysis'!P133*LN('Zoopl Analysis'!P133)))</f>
        <v/>
      </c>
    </row>
    <row r="134" spans="1:16">
      <c r="E134" s="8"/>
      <c r="F134" s="19" t="s">
        <v>70</v>
      </c>
      <c r="G134" s="36" t="str">
        <f>IF('Zoopl Count'!G134=0,"",('Zoopl Analysis'!G134*LN('Zoopl Analysis'!G134)))</f>
        <v/>
      </c>
      <c r="H134" s="36" t="str">
        <f>IF('Zoopl Count'!H134=0,"",('Zoopl Analysis'!H134*LN('Zoopl Analysis'!H134)))</f>
        <v/>
      </c>
      <c r="I134" s="36" t="str">
        <f>IF('Zoopl Count'!I134=0,"",('Zoopl Analysis'!I134*LN('Zoopl Analysis'!I134)))</f>
        <v/>
      </c>
      <c r="J134" s="36" t="str">
        <f>IF('Zoopl Count'!J134=0,"",('Zoopl Analysis'!J134*LN('Zoopl Analysis'!J134)))</f>
        <v/>
      </c>
      <c r="K134" s="36" t="str">
        <f>IF('Zoopl Count'!K134=0,"",('Zoopl Analysis'!K134*LN('Zoopl Analysis'!K134)))</f>
        <v/>
      </c>
      <c r="L134" s="36" t="str">
        <f>IF('Zoopl Count'!L134=0,"",('Zoopl Analysis'!L134*LN('Zoopl Analysis'!L134)))</f>
        <v/>
      </c>
      <c r="M134" s="36" t="str">
        <f>IF('Zoopl Count'!M134=0,"",('Zoopl Analysis'!M134*LN('Zoopl Analysis'!M134)))</f>
        <v/>
      </c>
      <c r="N134" s="36" t="str">
        <f>IF('Zoopl Count'!N134=0,"",('Zoopl Analysis'!N134*LN('Zoopl Analysis'!N134)))</f>
        <v/>
      </c>
      <c r="O134" s="36" t="str">
        <f>IF('Zoopl Count'!O134=0,"",('Zoopl Analysis'!O134*LN('Zoopl Analysis'!O134)))</f>
        <v/>
      </c>
      <c r="P134" s="36" t="str">
        <f>IF('Zoopl Count'!P134=0,"",('Zoopl Analysis'!P134*LN('Zoopl Analysis'!P134)))</f>
        <v/>
      </c>
    </row>
    <row r="135" spans="1:16">
      <c r="E135" s="8"/>
      <c r="F135" s="19"/>
      <c r="G135" s="36" t="str">
        <f>IF('Zoopl Count'!G135=0,"",('Zoopl Analysis'!G135*LN('Zoopl Analysis'!G135)))</f>
        <v/>
      </c>
      <c r="H135" s="36" t="str">
        <f>IF('Zoopl Count'!H135=0,"",('Zoopl Analysis'!H135*LN('Zoopl Analysis'!H135)))</f>
        <v/>
      </c>
      <c r="I135" s="36" t="str">
        <f>IF('Zoopl Count'!I135=0,"",('Zoopl Analysis'!I135*LN('Zoopl Analysis'!I135)))</f>
        <v/>
      </c>
      <c r="J135" s="36" t="str">
        <f>IF('Zoopl Count'!J135=0,"",('Zoopl Analysis'!J135*LN('Zoopl Analysis'!J135)))</f>
        <v/>
      </c>
      <c r="K135" s="36" t="str">
        <f>IF('Zoopl Count'!K135=0,"",('Zoopl Analysis'!K135*LN('Zoopl Analysis'!K135)))</f>
        <v/>
      </c>
      <c r="L135" s="36" t="str">
        <f>IF('Zoopl Count'!L135=0,"",('Zoopl Analysis'!L135*LN('Zoopl Analysis'!L135)))</f>
        <v/>
      </c>
      <c r="M135" s="36" t="str">
        <f>IF('Zoopl Count'!M135=0,"",('Zoopl Analysis'!M135*LN('Zoopl Analysis'!M135)))</f>
        <v/>
      </c>
      <c r="N135" s="36" t="str">
        <f>IF('Zoopl Count'!N135=0,"",('Zoopl Analysis'!N135*LN('Zoopl Analysis'!N135)))</f>
        <v/>
      </c>
      <c r="O135" s="36" t="str">
        <f>IF('Zoopl Count'!O135=0,"",('Zoopl Analysis'!O135*LN('Zoopl Analysis'!O135)))</f>
        <v/>
      </c>
      <c r="P135" s="36" t="str">
        <f>IF('Zoopl Count'!P135=0,"",('Zoopl Analysis'!P135*LN('Zoopl Analysis'!P135)))</f>
        <v/>
      </c>
    </row>
    <row r="136" spans="1:16">
      <c r="C136" s="8" t="s">
        <v>10</v>
      </c>
      <c r="D136" s="2" t="s">
        <v>326</v>
      </c>
      <c r="E136" s="8"/>
      <c r="F136" s="19"/>
      <c r="G136" s="36" t="str">
        <f>IF('Zoopl Count'!G136=0,"",('Zoopl Analysis'!G136*LN('Zoopl Analysis'!G136)))</f>
        <v/>
      </c>
      <c r="H136" s="36" t="str">
        <f>IF('Zoopl Count'!H136=0,"",('Zoopl Analysis'!H136*LN('Zoopl Analysis'!H136)))</f>
        <v/>
      </c>
      <c r="I136" s="36" t="str">
        <f>IF('Zoopl Count'!I136=0,"",('Zoopl Analysis'!I136*LN('Zoopl Analysis'!I136)))</f>
        <v/>
      </c>
      <c r="J136" s="36" t="str">
        <f>IF('Zoopl Count'!J136=0,"",('Zoopl Analysis'!J136*LN('Zoopl Analysis'!J136)))</f>
        <v/>
      </c>
      <c r="K136" s="36" t="str">
        <f>IF('Zoopl Count'!K136=0,"",('Zoopl Analysis'!K136*LN('Zoopl Analysis'!K136)))</f>
        <v/>
      </c>
      <c r="L136" s="36" t="str">
        <f>IF('Zoopl Count'!L136=0,"",('Zoopl Analysis'!L136*LN('Zoopl Analysis'!L136)))</f>
        <v/>
      </c>
      <c r="M136" s="36" t="str">
        <f>IF('Zoopl Count'!M136=0,"",('Zoopl Analysis'!M136*LN('Zoopl Analysis'!M136)))</f>
        <v/>
      </c>
      <c r="N136" s="36" t="str">
        <f>IF('Zoopl Count'!N136=0,"",('Zoopl Analysis'!N136*LN('Zoopl Analysis'!N136)))</f>
        <v/>
      </c>
      <c r="O136" s="36" t="str">
        <f>IF('Zoopl Count'!O136=0,"",('Zoopl Analysis'!O136*LN('Zoopl Analysis'!O136)))</f>
        <v/>
      </c>
      <c r="P136" s="36" t="str">
        <f>IF('Zoopl Count'!P136=0,"",('Zoopl Analysis'!P136*LN('Zoopl Analysis'!P136)))</f>
        <v/>
      </c>
    </row>
    <row r="137" spans="1:16">
      <c r="D137" s="8" t="s">
        <v>12</v>
      </c>
      <c r="E137" s="11" t="s">
        <v>71</v>
      </c>
      <c r="F137" s="19"/>
      <c r="G137" s="36" t="str">
        <f>IF('Zoopl Count'!G137=0,"",('Zoopl Analysis'!G137*LN('Zoopl Analysis'!G137)))</f>
        <v/>
      </c>
      <c r="H137" s="36" t="str">
        <f>IF('Zoopl Count'!H137=0,"",('Zoopl Analysis'!H137*LN('Zoopl Analysis'!H137)))</f>
        <v/>
      </c>
      <c r="I137" s="36" t="str">
        <f>IF('Zoopl Count'!I137=0,"",('Zoopl Analysis'!I137*LN('Zoopl Analysis'!I137)))</f>
        <v/>
      </c>
      <c r="J137" s="36" t="str">
        <f>IF('Zoopl Count'!J137=0,"",('Zoopl Analysis'!J137*LN('Zoopl Analysis'!J137)))</f>
        <v/>
      </c>
      <c r="K137" s="36" t="str">
        <f>IF('Zoopl Count'!K137=0,"",('Zoopl Analysis'!K137*LN('Zoopl Analysis'!K137)))</f>
        <v/>
      </c>
      <c r="L137" s="36" t="str">
        <f>IF('Zoopl Count'!L137=0,"",('Zoopl Analysis'!L137*LN('Zoopl Analysis'!L137)))</f>
        <v/>
      </c>
      <c r="M137" s="36" t="str">
        <f>IF('Zoopl Count'!M137=0,"",('Zoopl Analysis'!M137*LN('Zoopl Analysis'!M137)))</f>
        <v/>
      </c>
      <c r="N137" s="36" t="str">
        <f>IF('Zoopl Count'!N137=0,"",('Zoopl Analysis'!N137*LN('Zoopl Analysis'!N137)))</f>
        <v/>
      </c>
      <c r="O137" s="36" t="str">
        <f>IF('Zoopl Count'!O137=0,"",('Zoopl Analysis'!O137*LN('Zoopl Analysis'!O137)))</f>
        <v/>
      </c>
      <c r="P137" s="36" t="str">
        <f>IF('Zoopl Count'!P137=0,"",('Zoopl Analysis'!P137*LN('Zoopl Analysis'!P137)))</f>
        <v/>
      </c>
    </row>
    <row r="138" spans="1:16">
      <c r="E138" s="8" t="s">
        <v>14</v>
      </c>
      <c r="F138" s="19" t="s">
        <v>72</v>
      </c>
      <c r="G138" s="36" t="str">
        <f>IF('Zoopl Count'!G138=0,"",('Zoopl Analysis'!G138*LN('Zoopl Analysis'!G138)))</f>
        <v/>
      </c>
      <c r="H138" s="36" t="str">
        <f>IF('Zoopl Count'!H138=0,"",('Zoopl Analysis'!H138*LN('Zoopl Analysis'!H138)))</f>
        <v/>
      </c>
      <c r="I138" s="36" t="str">
        <f>IF('Zoopl Count'!I138=0,"",('Zoopl Analysis'!I138*LN('Zoopl Analysis'!I138)))</f>
        <v/>
      </c>
      <c r="J138" s="36" t="str">
        <f>IF('Zoopl Count'!J138=0,"",('Zoopl Analysis'!J138*LN('Zoopl Analysis'!J138)))</f>
        <v/>
      </c>
      <c r="K138" s="36" t="str">
        <f>IF('Zoopl Count'!K138=0,"",('Zoopl Analysis'!K138*LN('Zoopl Analysis'!K138)))</f>
        <v/>
      </c>
      <c r="L138" s="36" t="str">
        <f>IF('Zoopl Count'!L138=0,"",('Zoopl Analysis'!L138*LN('Zoopl Analysis'!L138)))</f>
        <v/>
      </c>
      <c r="M138" s="36" t="str">
        <f>IF('Zoopl Count'!M138=0,"",('Zoopl Analysis'!M138*LN('Zoopl Analysis'!M138)))</f>
        <v/>
      </c>
      <c r="N138" s="36" t="str">
        <f>IF('Zoopl Count'!N138=0,"",('Zoopl Analysis'!N138*LN('Zoopl Analysis'!N138)))</f>
        <v/>
      </c>
      <c r="O138" s="36" t="str">
        <f>IF('Zoopl Count'!O138=0,"",('Zoopl Analysis'!O138*LN('Zoopl Analysis'!O138)))</f>
        <v/>
      </c>
      <c r="P138" s="36" t="str">
        <f>IF('Zoopl Count'!P138=0,"",('Zoopl Analysis'!P138*LN('Zoopl Analysis'!P138)))</f>
        <v/>
      </c>
    </row>
    <row r="139" spans="1:16">
      <c r="E139" s="8"/>
      <c r="F139" s="19"/>
      <c r="G139" s="36" t="str">
        <f>IF('Zoopl Count'!G139=0,"",('Zoopl Analysis'!G139*LN('Zoopl Analysis'!G139)))</f>
        <v/>
      </c>
      <c r="H139" s="36" t="str">
        <f>IF('Zoopl Count'!H139=0,"",('Zoopl Analysis'!H139*LN('Zoopl Analysis'!H139)))</f>
        <v/>
      </c>
      <c r="I139" s="36" t="str">
        <f>IF('Zoopl Count'!I139=0,"",('Zoopl Analysis'!I139*LN('Zoopl Analysis'!I139)))</f>
        <v/>
      </c>
      <c r="J139" s="36" t="str">
        <f>IF('Zoopl Count'!J139=0,"",('Zoopl Analysis'!J139*LN('Zoopl Analysis'!J139)))</f>
        <v/>
      </c>
      <c r="K139" s="36" t="str">
        <f>IF('Zoopl Count'!K139=0,"",('Zoopl Analysis'!K139*LN('Zoopl Analysis'!K139)))</f>
        <v/>
      </c>
      <c r="L139" s="36" t="str">
        <f>IF('Zoopl Count'!L139=0,"",('Zoopl Analysis'!L139*LN('Zoopl Analysis'!L139)))</f>
        <v/>
      </c>
      <c r="M139" s="36" t="str">
        <f>IF('Zoopl Count'!M139=0,"",('Zoopl Analysis'!M139*LN('Zoopl Analysis'!M139)))</f>
        <v/>
      </c>
      <c r="N139" s="36" t="str">
        <f>IF('Zoopl Count'!N139=0,"",('Zoopl Analysis'!N139*LN('Zoopl Analysis'!N139)))</f>
        <v/>
      </c>
      <c r="O139" s="36" t="str">
        <f>IF('Zoopl Count'!O139=0,"",('Zoopl Analysis'!O139*LN('Zoopl Analysis'!O139)))</f>
        <v/>
      </c>
      <c r="P139" s="36" t="str">
        <f>IF('Zoopl Count'!P139=0,"",('Zoopl Analysis'!P139*LN('Zoopl Analysis'!P139)))</f>
        <v/>
      </c>
    </row>
    <row r="140" spans="1:16">
      <c r="B140" s="8" t="s">
        <v>79</v>
      </c>
      <c r="C140" s="2" t="s">
        <v>81</v>
      </c>
      <c r="E140" s="8"/>
      <c r="F140" s="19"/>
      <c r="G140" s="36" t="str">
        <f>IF('Zoopl Count'!G140=0,"",('Zoopl Analysis'!G140*LN('Zoopl Analysis'!G140)))</f>
        <v/>
      </c>
      <c r="H140" s="36" t="str">
        <f>IF('Zoopl Count'!H140=0,"",('Zoopl Analysis'!H140*LN('Zoopl Analysis'!H140)))</f>
        <v/>
      </c>
      <c r="I140" s="36" t="str">
        <f>IF('Zoopl Count'!I140=0,"",('Zoopl Analysis'!I140*LN('Zoopl Analysis'!I140)))</f>
        <v/>
      </c>
      <c r="J140" s="36" t="str">
        <f>IF('Zoopl Count'!J140=0,"",('Zoopl Analysis'!J140*LN('Zoopl Analysis'!J140)))</f>
        <v/>
      </c>
      <c r="K140" s="36" t="str">
        <f>IF('Zoopl Count'!K140=0,"",('Zoopl Analysis'!K140*LN('Zoopl Analysis'!K140)))</f>
        <v/>
      </c>
      <c r="L140" s="36" t="str">
        <f>IF('Zoopl Count'!L140=0,"",('Zoopl Analysis'!L140*LN('Zoopl Analysis'!L140)))</f>
        <v/>
      </c>
      <c r="M140" s="36" t="str">
        <f>IF('Zoopl Count'!M140=0,"",('Zoopl Analysis'!M140*LN('Zoopl Analysis'!M140)))</f>
        <v/>
      </c>
      <c r="N140" s="36" t="str">
        <f>IF('Zoopl Count'!N140=0,"",('Zoopl Analysis'!N140*LN('Zoopl Analysis'!N140)))</f>
        <v/>
      </c>
      <c r="O140" s="36" t="str">
        <f>IF('Zoopl Count'!O140=0,"",('Zoopl Analysis'!O140*LN('Zoopl Analysis'!O140)))</f>
        <v/>
      </c>
      <c r="P140" s="36" t="str">
        <f>IF('Zoopl Count'!P140=0,"",('Zoopl Analysis'!P140*LN('Zoopl Analysis'!P140)))</f>
        <v/>
      </c>
    </row>
    <row r="141" spans="1:16">
      <c r="B141" s="8"/>
      <c r="C141" s="2"/>
      <c r="E141" s="8"/>
      <c r="F141" s="19" t="s">
        <v>100</v>
      </c>
      <c r="G141" s="36" t="str">
        <f>IF('Zoopl Count'!G141=0,"",('Zoopl Analysis'!G141*LN('Zoopl Analysis'!G141)))</f>
        <v/>
      </c>
      <c r="H141" s="36" t="str">
        <f>IF('Zoopl Count'!H141=0,"",('Zoopl Analysis'!H141*LN('Zoopl Analysis'!H141)))</f>
        <v/>
      </c>
      <c r="I141" s="36" t="str">
        <f>IF('Zoopl Count'!I141=0,"",('Zoopl Analysis'!I141*LN('Zoopl Analysis'!I141)))</f>
        <v/>
      </c>
      <c r="J141" s="36" t="str">
        <f>IF('Zoopl Count'!J141=0,"",('Zoopl Analysis'!J141*LN('Zoopl Analysis'!J141)))</f>
        <v/>
      </c>
      <c r="K141" s="36" t="str">
        <f>IF('Zoopl Count'!K141=0,"",('Zoopl Analysis'!K141*LN('Zoopl Analysis'!K141)))</f>
        <v/>
      </c>
      <c r="L141" s="36" t="str">
        <f>IF('Zoopl Count'!L141=0,"",('Zoopl Analysis'!L141*LN('Zoopl Analysis'!L141)))</f>
        <v/>
      </c>
      <c r="M141" s="36" t="str">
        <f>IF('Zoopl Count'!M141=0,"",('Zoopl Analysis'!M141*LN('Zoopl Analysis'!M141)))</f>
        <v/>
      </c>
      <c r="N141" s="36" t="str">
        <f>IF('Zoopl Count'!N141=0,"",('Zoopl Analysis'!N141*LN('Zoopl Analysis'!N141)))</f>
        <v/>
      </c>
      <c r="O141" s="36" t="str">
        <f>IF('Zoopl Count'!O141=0,"",('Zoopl Analysis'!O141*LN('Zoopl Analysis'!O141)))</f>
        <v/>
      </c>
      <c r="P141" s="36" t="str">
        <f>IF('Zoopl Count'!P141=0,"",('Zoopl Analysis'!P141*LN('Zoopl Analysis'!P141)))</f>
        <v/>
      </c>
    </row>
    <row r="142" spans="1:16">
      <c r="A142" s="176"/>
      <c r="B142" s="177"/>
      <c r="C142" s="177" t="s">
        <v>10</v>
      </c>
      <c r="D142" s="2" t="s">
        <v>272</v>
      </c>
      <c r="E142" s="177"/>
      <c r="F142" s="19"/>
      <c r="G142" s="36" t="str">
        <f>IF('Zoopl Count'!G142=0,"",('Zoopl Analysis'!G142*LN('Zoopl Analysis'!G142)))</f>
        <v/>
      </c>
      <c r="H142" s="36" t="str">
        <f>IF('Zoopl Count'!H142=0,"",('Zoopl Analysis'!H142*LN('Zoopl Analysis'!H142)))</f>
        <v/>
      </c>
      <c r="I142" s="36" t="str">
        <f>IF('Zoopl Count'!I142=0,"",('Zoopl Analysis'!I142*LN('Zoopl Analysis'!I142)))</f>
        <v/>
      </c>
      <c r="J142" s="36" t="str">
        <f>IF('Zoopl Count'!J142=0,"",('Zoopl Analysis'!J142*LN('Zoopl Analysis'!J142)))</f>
        <v/>
      </c>
      <c r="K142" s="36" t="str">
        <f>IF('Zoopl Count'!K142=0,"",('Zoopl Analysis'!K142*LN('Zoopl Analysis'!K142)))</f>
        <v/>
      </c>
      <c r="L142" s="36" t="str">
        <f>IF('Zoopl Count'!L142=0,"",('Zoopl Analysis'!L142*LN('Zoopl Analysis'!L142)))</f>
        <v/>
      </c>
      <c r="M142" s="36" t="str">
        <f>IF('Zoopl Count'!M142=0,"",('Zoopl Analysis'!M142*LN('Zoopl Analysis'!M142)))</f>
        <v/>
      </c>
      <c r="N142" s="36" t="str">
        <f>IF('Zoopl Count'!N142=0,"",('Zoopl Analysis'!N142*LN('Zoopl Analysis'!N142)))</f>
        <v/>
      </c>
      <c r="O142" s="36" t="str">
        <f>IF('Zoopl Count'!O142=0,"",('Zoopl Analysis'!O142*LN('Zoopl Analysis'!O142)))</f>
        <v/>
      </c>
      <c r="P142" s="36" t="str">
        <f>IF('Zoopl Count'!P142=0,"",('Zoopl Analysis'!P142*LN('Zoopl Analysis'!P142)))</f>
        <v/>
      </c>
    </row>
    <row r="143" spans="1:16">
      <c r="A143" s="176"/>
      <c r="B143" s="177"/>
      <c r="C143" s="2"/>
      <c r="D143" s="177" t="s">
        <v>12</v>
      </c>
      <c r="E143" s="178" t="s">
        <v>273</v>
      </c>
      <c r="F143" s="176"/>
      <c r="G143" s="36" t="str">
        <f>IF('Zoopl Count'!G143=0,"",('Zoopl Analysis'!G143*LN('Zoopl Analysis'!G143)))</f>
        <v/>
      </c>
      <c r="H143" s="36" t="str">
        <f>IF('Zoopl Count'!H143=0,"",('Zoopl Analysis'!H143*LN('Zoopl Analysis'!H143)))</f>
        <v/>
      </c>
      <c r="I143" s="36" t="str">
        <f>IF('Zoopl Count'!I143=0,"",('Zoopl Analysis'!I143*LN('Zoopl Analysis'!I143)))</f>
        <v/>
      </c>
      <c r="J143" s="36" t="str">
        <f>IF('Zoopl Count'!J143=0,"",('Zoopl Analysis'!J143*LN('Zoopl Analysis'!J143)))</f>
        <v/>
      </c>
      <c r="K143" s="36" t="str">
        <f>IF('Zoopl Count'!K143=0,"",('Zoopl Analysis'!K143*LN('Zoopl Analysis'!K143)))</f>
        <v/>
      </c>
      <c r="L143" s="36" t="str">
        <f>IF('Zoopl Count'!L143=0,"",('Zoopl Analysis'!L143*LN('Zoopl Analysis'!L143)))</f>
        <v/>
      </c>
      <c r="M143" s="36" t="str">
        <f>IF('Zoopl Count'!M143=0,"",('Zoopl Analysis'!M143*LN('Zoopl Analysis'!M143)))</f>
        <v/>
      </c>
      <c r="N143" s="36" t="str">
        <f>IF('Zoopl Count'!N143=0,"",('Zoopl Analysis'!N143*LN('Zoopl Analysis'!N143)))</f>
        <v/>
      </c>
      <c r="O143" s="36" t="str">
        <f>IF('Zoopl Count'!O143=0,"",('Zoopl Analysis'!O143*LN('Zoopl Analysis'!O143)))</f>
        <v/>
      </c>
      <c r="P143" s="36" t="str">
        <f>IF('Zoopl Count'!P143=0,"",('Zoopl Analysis'!P143*LN('Zoopl Analysis'!P143)))</f>
        <v/>
      </c>
    </row>
    <row r="144" spans="1:16">
      <c r="A144" s="176"/>
      <c r="B144" s="176"/>
      <c r="C144" s="176"/>
      <c r="D144" s="176"/>
      <c r="E144" s="177" t="s">
        <v>14</v>
      </c>
      <c r="F144" s="19" t="s">
        <v>274</v>
      </c>
      <c r="G144" s="36" t="str">
        <f>IF('Zoopl Count'!G144=0,"",('Zoopl Analysis'!G144*LN('Zoopl Analysis'!G144)))</f>
        <v/>
      </c>
      <c r="H144" s="36" t="str">
        <f>IF('Zoopl Count'!H144=0,"",('Zoopl Analysis'!H144*LN('Zoopl Analysis'!H144)))</f>
        <v/>
      </c>
      <c r="I144" s="36" t="str">
        <f>IF('Zoopl Count'!I144=0,"",('Zoopl Analysis'!I144*LN('Zoopl Analysis'!I144)))</f>
        <v/>
      </c>
      <c r="J144" s="36" t="str">
        <f>IF('Zoopl Count'!J144=0,"",('Zoopl Analysis'!J144*LN('Zoopl Analysis'!J144)))</f>
        <v/>
      </c>
      <c r="K144" s="36" t="str">
        <f>IF('Zoopl Count'!K144=0,"",('Zoopl Analysis'!K144*LN('Zoopl Analysis'!K144)))</f>
        <v/>
      </c>
      <c r="L144" s="36" t="str">
        <f>IF('Zoopl Count'!L144=0,"",('Zoopl Analysis'!L144*LN('Zoopl Analysis'!L144)))</f>
        <v/>
      </c>
      <c r="M144" s="36" t="str">
        <f>IF('Zoopl Count'!M144=0,"",('Zoopl Analysis'!M144*LN('Zoopl Analysis'!M144)))</f>
        <v/>
      </c>
      <c r="N144" s="36" t="str">
        <f>IF('Zoopl Count'!N144=0,"",('Zoopl Analysis'!N144*LN('Zoopl Analysis'!N144)))</f>
        <v/>
      </c>
      <c r="O144" s="36" t="str">
        <f>IF('Zoopl Count'!O144=0,"",('Zoopl Analysis'!O144*LN('Zoopl Analysis'!O144)))</f>
        <v/>
      </c>
      <c r="P144" s="36" t="str">
        <f>IF('Zoopl Count'!P144=0,"",('Zoopl Analysis'!P144*LN('Zoopl Analysis'!P144)))</f>
        <v/>
      </c>
    </row>
    <row r="145" spans="1:16">
      <c r="B145" s="8"/>
      <c r="C145" s="8" t="s">
        <v>10</v>
      </c>
      <c r="D145" s="2" t="s">
        <v>90</v>
      </c>
      <c r="E145" s="8"/>
      <c r="F145" s="19"/>
      <c r="G145" s="36" t="str">
        <f>IF('Zoopl Count'!G145=0,"",('Zoopl Analysis'!G145*LN('Zoopl Analysis'!G145)))</f>
        <v/>
      </c>
      <c r="H145" s="36" t="str">
        <f>IF('Zoopl Count'!H145=0,"",('Zoopl Analysis'!H145*LN('Zoopl Analysis'!H145)))</f>
        <v/>
      </c>
      <c r="I145" s="36" t="str">
        <f>IF('Zoopl Count'!I145=0,"",('Zoopl Analysis'!I145*LN('Zoopl Analysis'!I145)))</f>
        <v/>
      </c>
      <c r="J145" s="36" t="str">
        <f>IF('Zoopl Count'!J145=0,"",('Zoopl Analysis'!J145*LN('Zoopl Analysis'!J145)))</f>
        <v/>
      </c>
      <c r="K145" s="36" t="str">
        <f>IF('Zoopl Count'!K145=0,"",('Zoopl Analysis'!K145*LN('Zoopl Analysis'!K145)))</f>
        <v/>
      </c>
      <c r="L145" s="36" t="str">
        <f>IF('Zoopl Count'!L145=0,"",('Zoopl Analysis'!L145*LN('Zoopl Analysis'!L145)))</f>
        <v/>
      </c>
      <c r="M145" s="36" t="str">
        <f>IF('Zoopl Count'!M145=0,"",('Zoopl Analysis'!M145*LN('Zoopl Analysis'!M145)))</f>
        <v/>
      </c>
      <c r="N145" s="36" t="str">
        <f>IF('Zoopl Count'!N145=0,"",('Zoopl Analysis'!N145*LN('Zoopl Analysis'!N145)))</f>
        <v/>
      </c>
      <c r="O145" s="36" t="str">
        <f>IF('Zoopl Count'!O145=0,"",('Zoopl Analysis'!O145*LN('Zoopl Analysis'!O145)))</f>
        <v/>
      </c>
      <c r="P145" s="36" t="str">
        <f>IF('Zoopl Count'!P145=0,"",('Zoopl Analysis'!P145*LN('Zoopl Analysis'!P145)))</f>
        <v/>
      </c>
    </row>
    <row r="146" spans="1:16">
      <c r="B146" s="8"/>
      <c r="C146" s="2"/>
      <c r="D146" s="8" t="s">
        <v>12</v>
      </c>
      <c r="E146" s="11" t="s">
        <v>91</v>
      </c>
      <c r="G146" s="36" t="str">
        <f>IF('Zoopl Count'!G146=0,"",('Zoopl Analysis'!G146*LN('Zoopl Analysis'!G146)))</f>
        <v/>
      </c>
      <c r="H146" s="36" t="str">
        <f>IF('Zoopl Count'!H146=0,"",('Zoopl Analysis'!H146*LN('Zoopl Analysis'!H146)))</f>
        <v/>
      </c>
      <c r="I146" s="36" t="str">
        <f>IF('Zoopl Count'!I146=0,"",('Zoopl Analysis'!I146*LN('Zoopl Analysis'!I146)))</f>
        <v/>
      </c>
      <c r="J146" s="36" t="str">
        <f>IF('Zoopl Count'!J146=0,"",('Zoopl Analysis'!J146*LN('Zoopl Analysis'!J146)))</f>
        <v/>
      </c>
      <c r="K146" s="36" t="str">
        <f>IF('Zoopl Count'!K146=0,"",('Zoopl Analysis'!K146*LN('Zoopl Analysis'!K146)))</f>
        <v/>
      </c>
      <c r="L146" s="36" t="str">
        <f>IF('Zoopl Count'!L146=0,"",('Zoopl Analysis'!L146*LN('Zoopl Analysis'!L146)))</f>
        <v/>
      </c>
      <c r="M146" s="36" t="str">
        <f>IF('Zoopl Count'!M146=0,"",('Zoopl Analysis'!M146*LN('Zoopl Analysis'!M146)))</f>
        <v/>
      </c>
      <c r="N146" s="36" t="str">
        <f>IF('Zoopl Count'!N146=0,"",('Zoopl Analysis'!N146*LN('Zoopl Analysis'!N146)))</f>
        <v/>
      </c>
      <c r="O146" s="36" t="str">
        <f>IF('Zoopl Count'!O146=0,"",('Zoopl Analysis'!O146*LN('Zoopl Analysis'!O146)))</f>
        <v/>
      </c>
      <c r="P146" s="36" t="str">
        <f>IF('Zoopl Count'!P146=0,"",('Zoopl Analysis'!P146*LN('Zoopl Analysis'!P146)))</f>
        <v/>
      </c>
    </row>
    <row r="147" spans="1:16">
      <c r="E147" s="8" t="s">
        <v>14</v>
      </c>
      <c r="F147" s="19" t="s">
        <v>327</v>
      </c>
      <c r="G147" s="36" t="str">
        <f>IF('Zoopl Count'!G147=0,"",('Zoopl Analysis'!G147*LN('Zoopl Analysis'!G147)))</f>
        <v/>
      </c>
      <c r="H147" s="36">
        <f>IF('Zoopl Count'!H147=0,"",('Zoopl Analysis'!H147*LN('Zoopl Analysis'!H147)))</f>
        <v>-0.31913808749469075</v>
      </c>
      <c r="I147" s="36">
        <f>IF('Zoopl Count'!I147=0,"",('Zoopl Analysis'!I147*LN('Zoopl Analysis'!I147)))</f>
        <v>-0.1779977489437593</v>
      </c>
      <c r="J147" s="36" t="str">
        <f>IF('Zoopl Count'!J147=0,"",('Zoopl Analysis'!J147*LN('Zoopl Analysis'!J147)))</f>
        <v/>
      </c>
      <c r="K147" s="36" t="str">
        <f>IF('Zoopl Count'!K147=0,"",('Zoopl Analysis'!K147*LN('Zoopl Analysis'!K147)))</f>
        <v/>
      </c>
      <c r="L147" s="36" t="str">
        <f>IF('Zoopl Count'!L147=0,"",('Zoopl Analysis'!L147*LN('Zoopl Analysis'!L147)))</f>
        <v/>
      </c>
      <c r="M147" s="36" t="str">
        <f>IF('Zoopl Count'!M147=0,"",('Zoopl Analysis'!M147*LN('Zoopl Analysis'!M147)))</f>
        <v/>
      </c>
      <c r="N147" s="36" t="str">
        <f>IF('Zoopl Count'!N147=0,"",('Zoopl Analysis'!N147*LN('Zoopl Analysis'!N147)))</f>
        <v/>
      </c>
      <c r="O147" s="36" t="str">
        <f>IF('Zoopl Count'!O147=0,"",('Zoopl Analysis'!O147*LN('Zoopl Analysis'!O147)))</f>
        <v/>
      </c>
      <c r="P147" s="36" t="str">
        <f>IF('Zoopl Count'!P147=0,"",('Zoopl Analysis'!P147*LN('Zoopl Analysis'!P147)))</f>
        <v/>
      </c>
    </row>
    <row r="148" spans="1:16">
      <c r="E148" s="8"/>
      <c r="G148" s="36" t="str">
        <f>IF('Zoopl Count'!G148=0,"",('Zoopl Analysis'!G148*LN('Zoopl Analysis'!G148)))</f>
        <v/>
      </c>
      <c r="H148" s="36" t="str">
        <f>IF('Zoopl Count'!H148=0,"",('Zoopl Analysis'!H148*LN('Zoopl Analysis'!H148)))</f>
        <v/>
      </c>
      <c r="I148" s="36" t="str">
        <f>IF('Zoopl Count'!I148=0,"",('Zoopl Analysis'!I148*LN('Zoopl Analysis'!I148)))</f>
        <v/>
      </c>
      <c r="J148" s="36" t="str">
        <f>IF('Zoopl Count'!J148=0,"",('Zoopl Analysis'!J148*LN('Zoopl Analysis'!J148)))</f>
        <v/>
      </c>
      <c r="K148" s="36" t="str">
        <f>IF('Zoopl Count'!K148=0,"",('Zoopl Analysis'!K148*LN('Zoopl Analysis'!K148)))</f>
        <v/>
      </c>
      <c r="L148" s="36" t="str">
        <f>IF('Zoopl Count'!L148=0,"",('Zoopl Analysis'!L148*LN('Zoopl Analysis'!L148)))</f>
        <v/>
      </c>
      <c r="M148" s="36" t="str">
        <f>IF('Zoopl Count'!M148=0,"",('Zoopl Analysis'!M148*LN('Zoopl Analysis'!M148)))</f>
        <v/>
      </c>
      <c r="N148" s="36" t="str">
        <f>IF('Zoopl Count'!N148=0,"",('Zoopl Analysis'!N148*LN('Zoopl Analysis'!N148)))</f>
        <v/>
      </c>
      <c r="O148" s="36" t="str">
        <f>IF('Zoopl Count'!O148=0,"",('Zoopl Analysis'!O148*LN('Zoopl Analysis'!O148)))</f>
        <v/>
      </c>
      <c r="P148" s="36" t="str">
        <f>IF('Zoopl Count'!P148=0,"",('Zoopl Analysis'!P148*LN('Zoopl Analysis'!P148)))</f>
        <v/>
      </c>
    </row>
    <row r="149" spans="1:16">
      <c r="E149" s="8"/>
      <c r="F149" s="19"/>
      <c r="G149" s="36" t="str">
        <f>IF('Zoopl Count'!G149=0,"",('Zoopl Analysis'!G149*LN('Zoopl Analysis'!G149)))</f>
        <v/>
      </c>
      <c r="H149" s="36" t="str">
        <f>IF('Zoopl Count'!H149=0,"",('Zoopl Analysis'!H149*LN('Zoopl Analysis'!H149)))</f>
        <v/>
      </c>
      <c r="I149" s="36" t="str">
        <f>IF('Zoopl Count'!I149=0,"",('Zoopl Analysis'!I149*LN('Zoopl Analysis'!I149)))</f>
        <v/>
      </c>
      <c r="J149" s="36" t="str">
        <f>IF('Zoopl Count'!J149=0,"",('Zoopl Analysis'!J149*LN('Zoopl Analysis'!J149)))</f>
        <v/>
      </c>
      <c r="K149" s="36" t="str">
        <f>IF('Zoopl Count'!K149=0,"",('Zoopl Analysis'!K149*LN('Zoopl Analysis'!K149)))</f>
        <v/>
      </c>
      <c r="L149" s="36" t="str">
        <f>IF('Zoopl Count'!L149=0,"",('Zoopl Analysis'!L149*LN('Zoopl Analysis'!L149)))</f>
        <v/>
      </c>
      <c r="M149" s="36" t="str">
        <f>IF('Zoopl Count'!M149=0,"",('Zoopl Analysis'!M149*LN('Zoopl Analysis'!M149)))</f>
        <v/>
      </c>
      <c r="N149" s="36" t="str">
        <f>IF('Zoopl Count'!N149=0,"",('Zoopl Analysis'!N149*LN('Zoopl Analysis'!N149)))</f>
        <v/>
      </c>
      <c r="O149" s="36" t="str">
        <f>IF('Zoopl Count'!O149=0,"",('Zoopl Analysis'!O149*LN('Zoopl Analysis'!O149)))</f>
        <v/>
      </c>
      <c r="P149" s="36" t="str">
        <f>IF('Zoopl Count'!P149=0,"",('Zoopl Analysis'!P149*LN('Zoopl Analysis'!P149)))</f>
        <v/>
      </c>
    </row>
    <row r="150" spans="1:16">
      <c r="A150" s="21"/>
      <c r="B150" s="21" t="s">
        <v>79</v>
      </c>
      <c r="C150" s="2" t="s">
        <v>84</v>
      </c>
      <c r="D150" s="2"/>
      <c r="E150" s="2"/>
      <c r="F150" s="2"/>
      <c r="G150" s="36" t="str">
        <f>IF('Zoopl Count'!G150=0,"",('Zoopl Analysis'!G150*LN('Zoopl Analysis'!G150)))</f>
        <v/>
      </c>
      <c r="H150" s="36" t="str">
        <f>IF('Zoopl Count'!H150=0,"",('Zoopl Analysis'!H150*LN('Zoopl Analysis'!H150)))</f>
        <v/>
      </c>
      <c r="I150" s="36" t="str">
        <f>IF('Zoopl Count'!I150=0,"",('Zoopl Analysis'!I150*LN('Zoopl Analysis'!I150)))</f>
        <v/>
      </c>
      <c r="J150" s="36" t="str">
        <f>IF('Zoopl Count'!J150=0,"",('Zoopl Analysis'!J150*LN('Zoopl Analysis'!J150)))</f>
        <v/>
      </c>
      <c r="K150" s="36" t="str">
        <f>IF('Zoopl Count'!K150=0,"",('Zoopl Analysis'!K150*LN('Zoopl Analysis'!K150)))</f>
        <v/>
      </c>
      <c r="L150" s="36" t="str">
        <f>IF('Zoopl Count'!L150=0,"",('Zoopl Analysis'!L150*LN('Zoopl Analysis'!L150)))</f>
        <v/>
      </c>
      <c r="M150" s="36" t="str">
        <f>IF('Zoopl Count'!M150=0,"",('Zoopl Analysis'!M150*LN('Zoopl Analysis'!M150)))</f>
        <v/>
      </c>
      <c r="N150" s="36" t="str">
        <f>IF('Zoopl Count'!N150=0,"",('Zoopl Analysis'!N150*LN('Zoopl Analysis'!N150)))</f>
        <v/>
      </c>
      <c r="O150" s="36" t="str">
        <f>IF('Zoopl Count'!O150=0,"",('Zoopl Analysis'!O150*LN('Zoopl Analysis'!O150)))</f>
        <v/>
      </c>
      <c r="P150" s="36" t="str">
        <f>IF('Zoopl Count'!P150=0,"",('Zoopl Analysis'!P150*LN('Zoopl Analysis'!P150)))</f>
        <v/>
      </c>
    </row>
    <row r="151" spans="1:16">
      <c r="A151" s="8"/>
      <c r="B151" s="8"/>
      <c r="C151" s="2"/>
      <c r="F151" s="6" t="s">
        <v>159</v>
      </c>
      <c r="G151" s="36" t="str">
        <f>IF('Zoopl Count'!G151=0,"",('Zoopl Analysis'!G151*LN('Zoopl Analysis'!G151)))</f>
        <v/>
      </c>
      <c r="H151" s="36" t="str">
        <f>IF('Zoopl Count'!H151=0,"",('Zoopl Analysis'!H151*LN('Zoopl Analysis'!H151)))</f>
        <v/>
      </c>
      <c r="I151" s="36" t="str">
        <f>IF('Zoopl Count'!I151=0,"",('Zoopl Analysis'!I151*LN('Zoopl Analysis'!I151)))</f>
        <v/>
      </c>
      <c r="J151" s="36" t="str">
        <f>IF('Zoopl Count'!J151=0,"",('Zoopl Analysis'!J151*LN('Zoopl Analysis'!J151)))</f>
        <v/>
      </c>
      <c r="K151" s="36" t="str">
        <f>IF('Zoopl Count'!K151=0,"",('Zoopl Analysis'!K151*LN('Zoopl Analysis'!K151)))</f>
        <v/>
      </c>
      <c r="L151" s="36" t="str">
        <f>IF('Zoopl Count'!L151=0,"",('Zoopl Analysis'!L151*LN('Zoopl Analysis'!L151)))</f>
        <v/>
      </c>
      <c r="M151" s="36" t="str">
        <f>IF('Zoopl Count'!M151=0,"",('Zoopl Analysis'!M151*LN('Zoopl Analysis'!M151)))</f>
        <v/>
      </c>
      <c r="N151" s="36" t="str">
        <f>IF('Zoopl Count'!N151=0,"",('Zoopl Analysis'!N151*LN('Zoopl Analysis'!N151)))</f>
        <v/>
      </c>
      <c r="O151" s="36" t="str">
        <f>IF('Zoopl Count'!O151=0,"",('Zoopl Analysis'!O151*LN('Zoopl Analysis'!O151)))</f>
        <v/>
      </c>
      <c r="P151" s="36" t="str">
        <f>IF('Zoopl Count'!P151=0,"",('Zoopl Analysis'!P151*LN('Zoopl Analysis'!P151)))</f>
        <v/>
      </c>
    </row>
    <row r="152" spans="1:16">
      <c r="A152" s="8"/>
      <c r="B152" s="8"/>
      <c r="C152" s="2"/>
      <c r="F152" s="6" t="s">
        <v>156</v>
      </c>
      <c r="G152" s="36" t="str">
        <f>IF('Zoopl Count'!G152=0,"",('Zoopl Analysis'!G152*LN('Zoopl Analysis'!G152)))</f>
        <v/>
      </c>
      <c r="H152" s="36" t="str">
        <f>IF('Zoopl Count'!H152=0,"",('Zoopl Analysis'!H152*LN('Zoopl Analysis'!H152)))</f>
        <v/>
      </c>
      <c r="I152" s="36" t="str">
        <f>IF('Zoopl Count'!I152=0,"",('Zoopl Analysis'!I152*LN('Zoopl Analysis'!I152)))</f>
        <v/>
      </c>
      <c r="J152" s="36" t="str">
        <f>IF('Zoopl Count'!J152=0,"",('Zoopl Analysis'!J152*LN('Zoopl Analysis'!J152)))</f>
        <v/>
      </c>
      <c r="K152" s="36" t="str">
        <f>IF('Zoopl Count'!K152=0,"",('Zoopl Analysis'!K152*LN('Zoopl Analysis'!K152)))</f>
        <v/>
      </c>
      <c r="L152" s="36" t="str">
        <f>IF('Zoopl Count'!L152=0,"",('Zoopl Analysis'!L152*LN('Zoopl Analysis'!L152)))</f>
        <v/>
      </c>
      <c r="M152" s="36" t="str">
        <f>IF('Zoopl Count'!M152=0,"",('Zoopl Analysis'!M152*LN('Zoopl Analysis'!M152)))</f>
        <v/>
      </c>
      <c r="N152" s="36" t="str">
        <f>IF('Zoopl Count'!N152=0,"",('Zoopl Analysis'!N152*LN('Zoopl Analysis'!N152)))</f>
        <v/>
      </c>
      <c r="O152" s="36" t="str">
        <f>IF('Zoopl Count'!O152=0,"",('Zoopl Analysis'!O152*LN('Zoopl Analysis'!O152)))</f>
        <v/>
      </c>
      <c r="P152" s="36" t="str">
        <f>IF('Zoopl Count'!P152=0,"",('Zoopl Analysis'!P152*LN('Zoopl Analysis'!P152)))</f>
        <v/>
      </c>
    </row>
    <row r="153" spans="1:16">
      <c r="A153" s="8"/>
      <c r="B153" s="8"/>
      <c r="C153" s="2"/>
      <c r="G153" s="36" t="str">
        <f>IF('Zoopl Count'!G153=0,"",('Zoopl Analysis'!G153*LN('Zoopl Analysis'!G153)))</f>
        <v/>
      </c>
      <c r="H153" s="36" t="str">
        <f>IF('Zoopl Count'!H153=0,"",('Zoopl Analysis'!H153*LN('Zoopl Analysis'!H153)))</f>
        <v/>
      </c>
      <c r="I153" s="36" t="str">
        <f>IF('Zoopl Count'!I153=0,"",('Zoopl Analysis'!I153*LN('Zoopl Analysis'!I153)))</f>
        <v/>
      </c>
      <c r="J153" s="36" t="str">
        <f>IF('Zoopl Count'!J153=0,"",('Zoopl Analysis'!J153*LN('Zoopl Analysis'!J153)))</f>
        <v/>
      </c>
      <c r="K153" s="36" t="str">
        <f>IF('Zoopl Count'!K153=0,"",('Zoopl Analysis'!K153*LN('Zoopl Analysis'!K153)))</f>
        <v/>
      </c>
      <c r="L153" s="36" t="str">
        <f>IF('Zoopl Count'!L153=0,"",('Zoopl Analysis'!L153*LN('Zoopl Analysis'!L153)))</f>
        <v/>
      </c>
      <c r="M153" s="36" t="str">
        <f>IF('Zoopl Count'!M153=0,"",('Zoopl Analysis'!M153*LN('Zoopl Analysis'!M153)))</f>
        <v/>
      </c>
      <c r="N153" s="36" t="str">
        <f>IF('Zoopl Count'!N153=0,"",('Zoopl Analysis'!N153*LN('Zoopl Analysis'!N153)))</f>
        <v/>
      </c>
      <c r="O153" s="36" t="str">
        <f>IF('Zoopl Count'!O153=0,"",('Zoopl Analysis'!O153*LN('Zoopl Analysis'!O153)))</f>
        <v/>
      </c>
      <c r="P153" s="36" t="str">
        <f>IF('Zoopl Count'!P153=0,"",('Zoopl Analysis'!P153*LN('Zoopl Analysis'!P153)))</f>
        <v/>
      </c>
    </row>
    <row r="154" spans="1:16">
      <c r="C154" s="8" t="s">
        <v>10</v>
      </c>
      <c r="D154" s="2" t="s">
        <v>11</v>
      </c>
      <c r="G154" s="36" t="str">
        <f>IF('Zoopl Count'!G154=0,"",('Zoopl Analysis'!G154*LN('Zoopl Analysis'!G154)))</f>
        <v/>
      </c>
      <c r="H154" s="36" t="str">
        <f>IF('Zoopl Count'!H154=0,"",('Zoopl Analysis'!H154*LN('Zoopl Analysis'!H154)))</f>
        <v/>
      </c>
      <c r="I154" s="36" t="str">
        <f>IF('Zoopl Count'!I154=0,"",('Zoopl Analysis'!I154*LN('Zoopl Analysis'!I154)))</f>
        <v/>
      </c>
      <c r="J154" s="36" t="str">
        <f>IF('Zoopl Count'!J154=0,"",('Zoopl Analysis'!J154*LN('Zoopl Analysis'!J154)))</f>
        <v/>
      </c>
      <c r="K154" s="36" t="str">
        <f>IF('Zoopl Count'!K154=0,"",('Zoopl Analysis'!K154*LN('Zoopl Analysis'!K154)))</f>
        <v/>
      </c>
      <c r="L154" s="36" t="str">
        <f>IF('Zoopl Count'!L154=0,"",('Zoopl Analysis'!L154*LN('Zoopl Analysis'!L154)))</f>
        <v/>
      </c>
      <c r="M154" s="36" t="str">
        <f>IF('Zoopl Count'!M154=0,"",('Zoopl Analysis'!M154*LN('Zoopl Analysis'!M154)))</f>
        <v/>
      </c>
      <c r="N154" s="36" t="str">
        <f>IF('Zoopl Count'!N154=0,"",('Zoopl Analysis'!N154*LN('Zoopl Analysis'!N154)))</f>
        <v/>
      </c>
      <c r="O154" s="36" t="str">
        <f>IF('Zoopl Count'!O154=0,"",('Zoopl Analysis'!O154*LN('Zoopl Analysis'!O154)))</f>
        <v/>
      </c>
      <c r="P154" s="36" t="str">
        <f>IF('Zoopl Count'!P154=0,"",('Zoopl Analysis'!P154*LN('Zoopl Analysis'!P154)))</f>
        <v/>
      </c>
    </row>
    <row r="155" spans="1:16">
      <c r="C155" s="8"/>
      <c r="D155" s="2"/>
      <c r="F155" s="6" t="s">
        <v>157</v>
      </c>
      <c r="G155" s="36" t="str">
        <f>IF('Zoopl Count'!G155=0,"",('Zoopl Analysis'!G155*LN('Zoopl Analysis'!G155)))</f>
        <v/>
      </c>
      <c r="H155" s="36" t="str">
        <f>IF('Zoopl Count'!H155=0,"",('Zoopl Analysis'!H155*LN('Zoopl Analysis'!H155)))</f>
        <v/>
      </c>
      <c r="I155" s="36" t="str">
        <f>IF('Zoopl Count'!I155=0,"",('Zoopl Analysis'!I155*LN('Zoopl Analysis'!I155)))</f>
        <v/>
      </c>
      <c r="J155" s="36" t="str">
        <f>IF('Zoopl Count'!J155=0,"",('Zoopl Analysis'!J155*LN('Zoopl Analysis'!J155)))</f>
        <v/>
      </c>
      <c r="K155" s="36" t="str">
        <f>IF('Zoopl Count'!K155=0,"",('Zoopl Analysis'!K155*LN('Zoopl Analysis'!K155)))</f>
        <v/>
      </c>
      <c r="L155" s="36" t="str">
        <f>IF('Zoopl Count'!L155=0,"",('Zoopl Analysis'!L155*LN('Zoopl Analysis'!L155)))</f>
        <v/>
      </c>
      <c r="M155" s="36" t="str">
        <f>IF('Zoopl Count'!M155=0,"",('Zoopl Analysis'!M155*LN('Zoopl Analysis'!M155)))</f>
        <v/>
      </c>
      <c r="N155" s="36" t="str">
        <f>IF('Zoopl Count'!N155=0,"",('Zoopl Analysis'!N155*LN('Zoopl Analysis'!N155)))</f>
        <v/>
      </c>
      <c r="O155" s="36" t="str">
        <f>IF('Zoopl Count'!O155=0,"",('Zoopl Analysis'!O155*LN('Zoopl Analysis'!O155)))</f>
        <v/>
      </c>
      <c r="P155" s="36" t="str">
        <f>IF('Zoopl Count'!P155=0,"",('Zoopl Analysis'!P155*LN('Zoopl Analysis'!P155)))</f>
        <v/>
      </c>
    </row>
    <row r="156" spans="1:16">
      <c r="C156" s="8"/>
      <c r="D156" s="2"/>
      <c r="F156" s="6" t="s">
        <v>104</v>
      </c>
      <c r="G156" s="36" t="str">
        <f>IF('Zoopl Count'!G156=0,"",('Zoopl Analysis'!G156*LN('Zoopl Analysis'!G156)))</f>
        <v/>
      </c>
      <c r="H156" s="36" t="str">
        <f>IF('Zoopl Count'!H156=0,"",('Zoopl Analysis'!H156*LN('Zoopl Analysis'!H156)))</f>
        <v/>
      </c>
      <c r="I156" s="36" t="str">
        <f>IF('Zoopl Count'!I156=0,"",('Zoopl Analysis'!I156*LN('Zoopl Analysis'!I156)))</f>
        <v/>
      </c>
      <c r="J156" s="36" t="str">
        <f>IF('Zoopl Count'!J156=0,"",('Zoopl Analysis'!J156*LN('Zoopl Analysis'!J156)))</f>
        <v/>
      </c>
      <c r="K156" s="36" t="str">
        <f>IF('Zoopl Count'!K156=0,"",('Zoopl Analysis'!K156*LN('Zoopl Analysis'!K156)))</f>
        <v/>
      </c>
      <c r="L156" s="36" t="str">
        <f>IF('Zoopl Count'!L156=0,"",('Zoopl Analysis'!L156*LN('Zoopl Analysis'!L156)))</f>
        <v/>
      </c>
      <c r="M156" s="36" t="str">
        <f>IF('Zoopl Count'!M156=0,"",('Zoopl Analysis'!M156*LN('Zoopl Analysis'!M156)))</f>
        <v/>
      </c>
      <c r="N156" s="36" t="str">
        <f>IF('Zoopl Count'!N156=0,"",('Zoopl Analysis'!N156*LN('Zoopl Analysis'!N156)))</f>
        <v/>
      </c>
      <c r="O156" s="36" t="str">
        <f>IF('Zoopl Count'!O156=0,"",('Zoopl Analysis'!O156*LN('Zoopl Analysis'!O156)))</f>
        <v/>
      </c>
      <c r="P156" s="36" t="str">
        <f>IF('Zoopl Count'!P156=0,"",('Zoopl Analysis'!P156*LN('Zoopl Analysis'!P156)))</f>
        <v/>
      </c>
    </row>
    <row r="157" spans="1:16">
      <c r="D157" s="8" t="s">
        <v>12</v>
      </c>
      <c r="E157" s="6" t="s">
        <v>13</v>
      </c>
      <c r="G157" s="36" t="str">
        <f>IF('Zoopl Count'!G157=0,"",('Zoopl Analysis'!G157*LN('Zoopl Analysis'!G157)))</f>
        <v/>
      </c>
      <c r="H157" s="36" t="str">
        <f>IF('Zoopl Count'!H157=0,"",('Zoopl Analysis'!H157*LN('Zoopl Analysis'!H157)))</f>
        <v/>
      </c>
      <c r="I157" s="36" t="str">
        <f>IF('Zoopl Count'!I157=0,"",('Zoopl Analysis'!I157*LN('Zoopl Analysis'!I157)))</f>
        <v/>
      </c>
      <c r="J157" s="36" t="str">
        <f>IF('Zoopl Count'!J157=0,"",('Zoopl Analysis'!J157*LN('Zoopl Analysis'!J157)))</f>
        <v/>
      </c>
      <c r="K157" s="36" t="str">
        <f>IF('Zoopl Count'!K157=0,"",('Zoopl Analysis'!K157*LN('Zoopl Analysis'!K157)))</f>
        <v/>
      </c>
      <c r="L157" s="36" t="str">
        <f>IF('Zoopl Count'!L157=0,"",('Zoopl Analysis'!L157*LN('Zoopl Analysis'!L157)))</f>
        <v/>
      </c>
      <c r="M157" s="36" t="str">
        <f>IF('Zoopl Count'!M157=0,"",('Zoopl Analysis'!M157*LN('Zoopl Analysis'!M157)))</f>
        <v/>
      </c>
      <c r="N157" s="36" t="str">
        <f>IF('Zoopl Count'!N157=0,"",('Zoopl Analysis'!N157*LN('Zoopl Analysis'!N157)))</f>
        <v/>
      </c>
      <c r="O157" s="36" t="str">
        <f>IF('Zoopl Count'!O157=0,"",('Zoopl Analysis'!O157*LN('Zoopl Analysis'!O157)))</f>
        <v/>
      </c>
      <c r="P157" s="36" t="str">
        <f>IF('Zoopl Count'!P157=0,"",('Zoopl Analysis'!P157*LN('Zoopl Analysis'!P157)))</f>
        <v/>
      </c>
    </row>
    <row r="158" spans="1:16">
      <c r="E158" s="8" t="s">
        <v>14</v>
      </c>
      <c r="F158" s="19" t="s">
        <v>15</v>
      </c>
      <c r="G158" s="36">
        <f>IF('Zoopl Count'!G158=0,"",('Zoopl Analysis'!G158*LN('Zoopl Analysis'!G158)))</f>
        <v>26.656723561636777</v>
      </c>
      <c r="H158" s="36">
        <f>IF('Zoopl Count'!H158=0,"",('Zoopl Analysis'!H158*LN('Zoopl Analysis'!H158)))</f>
        <v>8.9606059661608288</v>
      </c>
      <c r="I158" s="36">
        <f>IF('Zoopl Count'!I158=0,"",('Zoopl Analysis'!I158*LN('Zoopl Analysis'!I158)))</f>
        <v>1.3117754445682965</v>
      </c>
      <c r="J158" s="36">
        <f>IF('Zoopl Count'!J158=0,"",('Zoopl Analysis'!J158*LN('Zoopl Analysis'!J158)))</f>
        <v>12.976024395441044</v>
      </c>
      <c r="K158" s="36">
        <f>IF('Zoopl Count'!K158=0,"",('Zoopl Analysis'!K158*LN('Zoopl Analysis'!K158)))</f>
        <v>15.299025679359206</v>
      </c>
      <c r="L158" s="36">
        <f>IF('Zoopl Count'!L158=0,"",('Zoopl Analysis'!L158*LN('Zoopl Analysis'!L158)))</f>
        <v>87.261385467683297</v>
      </c>
      <c r="M158" s="36">
        <f>IF('Zoopl Count'!M158=0,"",('Zoopl Analysis'!M158*LN('Zoopl Analysis'!M158)))</f>
        <v>44.00830453786098</v>
      </c>
      <c r="N158" s="36">
        <f>IF('Zoopl Count'!N158=0,"",('Zoopl Analysis'!N158*LN('Zoopl Analysis'!N158)))</f>
        <v>11.292542596477283</v>
      </c>
      <c r="O158" s="36">
        <f>IF('Zoopl Count'!O158=0,"",('Zoopl Analysis'!O158*LN('Zoopl Analysis'!O158)))</f>
        <v>369.16564234955376</v>
      </c>
      <c r="P158" s="36">
        <f>IF('Zoopl Count'!P158=0,"",('Zoopl Analysis'!P158*LN('Zoopl Analysis'!P158)))</f>
        <v>23.155518487600954</v>
      </c>
    </row>
    <row r="159" spans="1:16">
      <c r="D159" s="8" t="s">
        <v>12</v>
      </c>
      <c r="E159" s="237" t="s">
        <v>342</v>
      </c>
      <c r="G159" s="36" t="str">
        <f>IF('Zoopl Count'!G159=0,"",('Zoopl Analysis'!G159*LN('Zoopl Analysis'!G159)))</f>
        <v/>
      </c>
      <c r="H159" s="36" t="str">
        <f>IF('Zoopl Count'!H159=0,"",('Zoopl Analysis'!H159*LN('Zoopl Analysis'!H159)))</f>
        <v/>
      </c>
      <c r="I159" s="36" t="str">
        <f>IF('Zoopl Count'!I159=0,"",('Zoopl Analysis'!I159*LN('Zoopl Analysis'!I159)))</f>
        <v/>
      </c>
      <c r="J159" s="36" t="str">
        <f>IF('Zoopl Count'!J159=0,"",('Zoopl Analysis'!J159*LN('Zoopl Analysis'!J159)))</f>
        <v/>
      </c>
      <c r="K159" s="36" t="str">
        <f>IF('Zoopl Count'!K159=0,"",('Zoopl Analysis'!K159*LN('Zoopl Analysis'!K159)))</f>
        <v/>
      </c>
      <c r="L159" s="36" t="str">
        <f>IF('Zoopl Count'!L159=0,"",('Zoopl Analysis'!L159*LN('Zoopl Analysis'!L159)))</f>
        <v/>
      </c>
      <c r="M159" s="36" t="str">
        <f>IF('Zoopl Count'!M159=0,"",('Zoopl Analysis'!M159*LN('Zoopl Analysis'!M159)))</f>
        <v/>
      </c>
      <c r="N159" s="36" t="str">
        <f>IF('Zoopl Count'!N159=0,"",('Zoopl Analysis'!N159*LN('Zoopl Analysis'!N159)))</f>
        <v/>
      </c>
      <c r="O159" s="36" t="str">
        <f>IF('Zoopl Count'!O159=0,"",('Zoopl Analysis'!O159*LN('Zoopl Analysis'!O159)))</f>
        <v/>
      </c>
      <c r="P159" s="36" t="str">
        <f>IF('Zoopl Count'!P159=0,"",('Zoopl Analysis'!P159*LN('Zoopl Analysis'!P159)))</f>
        <v/>
      </c>
    </row>
    <row r="160" spans="1:16">
      <c r="E160" s="8" t="s">
        <v>14</v>
      </c>
      <c r="F160" s="19" t="s">
        <v>343</v>
      </c>
      <c r="G160" s="36" t="str">
        <f>IF('Zoopl Count'!G160=0,"",('Zoopl Analysis'!G160*LN('Zoopl Analysis'!G160)))</f>
        <v/>
      </c>
      <c r="H160" s="36" t="str">
        <f>IF('Zoopl Count'!H160=0,"",('Zoopl Analysis'!H160*LN('Zoopl Analysis'!H160)))</f>
        <v/>
      </c>
      <c r="I160" s="36" t="str">
        <f>IF('Zoopl Count'!I160=0,"",('Zoopl Analysis'!I160*LN('Zoopl Analysis'!I160)))</f>
        <v/>
      </c>
      <c r="J160" s="36" t="str">
        <f>IF('Zoopl Count'!J160=0,"",('Zoopl Analysis'!J160*LN('Zoopl Analysis'!J160)))</f>
        <v/>
      </c>
      <c r="K160" s="36" t="str">
        <f>IF('Zoopl Count'!K160=0,"",('Zoopl Analysis'!K160*LN('Zoopl Analysis'!K160)))</f>
        <v/>
      </c>
      <c r="L160" s="36" t="str">
        <f>IF('Zoopl Count'!L160=0,"",('Zoopl Analysis'!L160*LN('Zoopl Analysis'!L160)))</f>
        <v/>
      </c>
      <c r="M160" s="36" t="str">
        <f>IF('Zoopl Count'!M160=0,"",('Zoopl Analysis'!M160*LN('Zoopl Analysis'!M160)))</f>
        <v/>
      </c>
      <c r="N160" s="36" t="str">
        <f>IF('Zoopl Count'!N160=0,"",('Zoopl Analysis'!N160*LN('Zoopl Analysis'!N160)))</f>
        <v/>
      </c>
      <c r="O160" s="36" t="str">
        <f>IF('Zoopl Count'!O160=0,"",('Zoopl Analysis'!O160*LN('Zoopl Analysis'!O160)))</f>
        <v/>
      </c>
      <c r="P160" s="36" t="str">
        <f>IF('Zoopl Count'!P160=0,"",('Zoopl Analysis'!P160*LN('Zoopl Analysis'!P160)))</f>
        <v/>
      </c>
    </row>
    <row r="161" spans="1:16">
      <c r="D161" s="8" t="s">
        <v>12</v>
      </c>
      <c r="E161" s="11" t="s">
        <v>180</v>
      </c>
      <c r="F161" s="19"/>
      <c r="G161" s="36" t="str">
        <f>IF('Zoopl Count'!G161=0,"",('Zoopl Analysis'!G161*LN('Zoopl Analysis'!G161)))</f>
        <v/>
      </c>
      <c r="H161" s="36" t="str">
        <f>IF('Zoopl Count'!H161=0,"",('Zoopl Analysis'!H161*LN('Zoopl Analysis'!H161)))</f>
        <v/>
      </c>
      <c r="I161" s="36" t="str">
        <f>IF('Zoopl Count'!I161=0,"",('Zoopl Analysis'!I161*LN('Zoopl Analysis'!I161)))</f>
        <v/>
      </c>
      <c r="J161" s="36" t="str">
        <f>IF('Zoopl Count'!J161=0,"",('Zoopl Analysis'!J161*LN('Zoopl Analysis'!J161)))</f>
        <v/>
      </c>
      <c r="K161" s="36" t="str">
        <f>IF('Zoopl Count'!K161=0,"",('Zoopl Analysis'!K161*LN('Zoopl Analysis'!K161)))</f>
        <v/>
      </c>
      <c r="L161" s="36" t="str">
        <f>IF('Zoopl Count'!L161=0,"",('Zoopl Analysis'!L161*LN('Zoopl Analysis'!L161)))</f>
        <v/>
      </c>
      <c r="M161" s="36" t="str">
        <f>IF('Zoopl Count'!M161=0,"",('Zoopl Analysis'!M161*LN('Zoopl Analysis'!M161)))</f>
        <v/>
      </c>
      <c r="N161" s="36" t="str">
        <f>IF('Zoopl Count'!N161=0,"",('Zoopl Analysis'!N161*LN('Zoopl Analysis'!N161)))</f>
        <v/>
      </c>
      <c r="O161" s="36" t="str">
        <f>IF('Zoopl Count'!O161=0,"",('Zoopl Analysis'!O161*LN('Zoopl Analysis'!O161)))</f>
        <v/>
      </c>
      <c r="P161" s="36" t="str">
        <f>IF('Zoopl Count'!P161=0,"",('Zoopl Analysis'!P161*LN('Zoopl Analysis'!P161)))</f>
        <v/>
      </c>
    </row>
    <row r="162" spans="1:16">
      <c r="E162" s="8" t="s">
        <v>14</v>
      </c>
      <c r="F162" s="19" t="s">
        <v>181</v>
      </c>
      <c r="G162" s="36" t="str">
        <f>IF('Zoopl Count'!G162=0,"",('Zoopl Analysis'!G162*LN('Zoopl Analysis'!G162)))</f>
        <v/>
      </c>
      <c r="H162" s="36" t="str">
        <f>IF('Zoopl Count'!H162=0,"",('Zoopl Analysis'!H162*LN('Zoopl Analysis'!H162)))</f>
        <v/>
      </c>
      <c r="I162" s="36" t="str">
        <f>IF('Zoopl Count'!I162=0,"",('Zoopl Analysis'!I162*LN('Zoopl Analysis'!I162)))</f>
        <v/>
      </c>
      <c r="J162" s="36" t="str">
        <f>IF('Zoopl Count'!J162=0,"",('Zoopl Analysis'!J162*LN('Zoopl Analysis'!J162)))</f>
        <v/>
      </c>
      <c r="K162" s="36" t="str">
        <f>IF('Zoopl Count'!K162=0,"",('Zoopl Analysis'!K162*LN('Zoopl Analysis'!K162)))</f>
        <v/>
      </c>
      <c r="L162" s="36" t="str">
        <f>IF('Zoopl Count'!L162=0,"",('Zoopl Analysis'!L162*LN('Zoopl Analysis'!L162)))</f>
        <v/>
      </c>
      <c r="M162" s="36" t="str">
        <f>IF('Zoopl Count'!M162=0,"",('Zoopl Analysis'!M162*LN('Zoopl Analysis'!M162)))</f>
        <v/>
      </c>
      <c r="N162" s="36" t="str">
        <f>IF('Zoopl Count'!N162=0,"",('Zoopl Analysis'!N162*LN('Zoopl Analysis'!N162)))</f>
        <v/>
      </c>
      <c r="O162" s="36" t="str">
        <f>IF('Zoopl Count'!O162=0,"",('Zoopl Analysis'!O162*LN('Zoopl Analysis'!O162)))</f>
        <v/>
      </c>
      <c r="P162" s="36" t="str">
        <f>IF('Zoopl Count'!P162=0,"",('Zoopl Analysis'!P162*LN('Zoopl Analysis'!P162)))</f>
        <v/>
      </c>
    </row>
    <row r="163" spans="1:16">
      <c r="D163" s="8" t="s">
        <v>12</v>
      </c>
      <c r="E163" s="266" t="s">
        <v>421</v>
      </c>
      <c r="F163" s="19"/>
      <c r="G163" s="36" t="str">
        <f>IF('Zoopl Count'!G163=0,"",('Zoopl Analysis'!G163*LN('Zoopl Analysis'!G163)))</f>
        <v/>
      </c>
      <c r="H163" s="36" t="str">
        <f>IF('Zoopl Count'!H163=0,"",('Zoopl Analysis'!H163*LN('Zoopl Analysis'!H163)))</f>
        <v/>
      </c>
      <c r="I163" s="36" t="str">
        <f>IF('Zoopl Count'!I163=0,"",('Zoopl Analysis'!I163*LN('Zoopl Analysis'!I163)))</f>
        <v/>
      </c>
      <c r="J163" s="36" t="str">
        <f>IF('Zoopl Count'!J163=0,"",('Zoopl Analysis'!J163*LN('Zoopl Analysis'!J163)))</f>
        <v/>
      </c>
      <c r="K163" s="36" t="str">
        <f>IF('Zoopl Count'!K163=0,"",('Zoopl Analysis'!K163*LN('Zoopl Analysis'!K163)))</f>
        <v/>
      </c>
      <c r="L163" s="36" t="str">
        <f>IF('Zoopl Count'!L163=0,"",('Zoopl Analysis'!L163*LN('Zoopl Analysis'!L163)))</f>
        <v/>
      </c>
      <c r="M163" s="36" t="str">
        <f>IF('Zoopl Count'!M163=0,"",('Zoopl Analysis'!M163*LN('Zoopl Analysis'!M163)))</f>
        <v/>
      </c>
      <c r="N163" s="36" t="str">
        <f>IF('Zoopl Count'!N163=0,"",('Zoopl Analysis'!N163*LN('Zoopl Analysis'!N163)))</f>
        <v/>
      </c>
      <c r="O163" s="36" t="str">
        <f>IF('Zoopl Count'!O163=0,"",('Zoopl Analysis'!O163*LN('Zoopl Analysis'!O163)))</f>
        <v/>
      </c>
      <c r="P163" s="36" t="str">
        <f>IF('Zoopl Count'!P163=0,"",('Zoopl Analysis'!P163*LN('Zoopl Analysis'!P163)))</f>
        <v/>
      </c>
    </row>
    <row r="164" spans="1:16">
      <c r="E164" s="8" t="s">
        <v>14</v>
      </c>
      <c r="F164" s="19" t="s">
        <v>422</v>
      </c>
      <c r="G164" s="36" t="str">
        <f>IF('Zoopl Count'!G164=0,"",('Zoopl Analysis'!G164*LN('Zoopl Analysis'!G164)))</f>
        <v/>
      </c>
      <c r="H164" s="36" t="str">
        <f>IF('Zoopl Count'!H164=0,"",('Zoopl Analysis'!H164*LN('Zoopl Analysis'!H164)))</f>
        <v/>
      </c>
      <c r="I164" s="36" t="str">
        <f>IF('Zoopl Count'!I164=0,"",('Zoopl Analysis'!I164*LN('Zoopl Analysis'!I164)))</f>
        <v/>
      </c>
      <c r="J164" s="36" t="str">
        <f>IF('Zoopl Count'!J164=0,"",('Zoopl Analysis'!J164*LN('Zoopl Analysis'!J164)))</f>
        <v/>
      </c>
      <c r="K164" s="36" t="str">
        <f>IF('Zoopl Count'!K164=0,"",('Zoopl Analysis'!K164*LN('Zoopl Analysis'!K164)))</f>
        <v/>
      </c>
      <c r="L164" s="36" t="str">
        <f>IF('Zoopl Count'!L164=0,"",('Zoopl Analysis'!L164*LN('Zoopl Analysis'!L164)))</f>
        <v/>
      </c>
      <c r="M164" s="36">
        <f>IF('Zoopl Count'!M164=0,"",('Zoopl Analysis'!M164*LN('Zoopl Analysis'!M164)))</f>
        <v>0.18765350745411297</v>
      </c>
      <c r="N164" s="36" t="str">
        <f>IF('Zoopl Count'!N164=0,"",('Zoopl Analysis'!N164*LN('Zoopl Analysis'!N164)))</f>
        <v/>
      </c>
      <c r="O164" s="36" t="str">
        <f>IF('Zoopl Count'!O164=0,"",('Zoopl Analysis'!O164*LN('Zoopl Analysis'!O164)))</f>
        <v/>
      </c>
      <c r="P164" s="36" t="str">
        <f>IF('Zoopl Count'!P164=0,"",('Zoopl Analysis'!P164*LN('Zoopl Analysis'!P164)))</f>
        <v/>
      </c>
    </row>
    <row r="165" spans="1:16">
      <c r="A165" s="209"/>
      <c r="B165" s="209"/>
      <c r="C165" s="209"/>
      <c r="D165" s="210" t="s">
        <v>12</v>
      </c>
      <c r="E165" s="209" t="s">
        <v>16</v>
      </c>
      <c r="F165" s="209"/>
      <c r="G165" s="36" t="str">
        <f>IF('Zoopl Count'!G165=0,"",('Zoopl Analysis'!G165*LN('Zoopl Analysis'!G165)))</f>
        <v/>
      </c>
      <c r="H165" s="36" t="str">
        <f>IF('Zoopl Count'!H165=0,"",('Zoopl Analysis'!H165*LN('Zoopl Analysis'!H165)))</f>
        <v/>
      </c>
      <c r="I165" s="36" t="str">
        <f>IF('Zoopl Count'!I165=0,"",('Zoopl Analysis'!I165*LN('Zoopl Analysis'!I165)))</f>
        <v/>
      </c>
      <c r="J165" s="36" t="str">
        <f>IF('Zoopl Count'!J165=0,"",('Zoopl Analysis'!J165*LN('Zoopl Analysis'!J165)))</f>
        <v/>
      </c>
      <c r="K165" s="36" t="str">
        <f>IF('Zoopl Count'!K165=0,"",('Zoopl Analysis'!K165*LN('Zoopl Analysis'!K165)))</f>
        <v/>
      </c>
      <c r="L165" s="36" t="str">
        <f>IF('Zoopl Count'!L165=0,"",('Zoopl Analysis'!L165*LN('Zoopl Analysis'!L165)))</f>
        <v/>
      </c>
      <c r="M165" s="36" t="str">
        <f>IF('Zoopl Count'!M165=0,"",('Zoopl Analysis'!M165*LN('Zoopl Analysis'!M165)))</f>
        <v/>
      </c>
      <c r="N165" s="36" t="str">
        <f>IF('Zoopl Count'!N165=0,"",('Zoopl Analysis'!N165*LN('Zoopl Analysis'!N165)))</f>
        <v/>
      </c>
      <c r="O165" s="36" t="str">
        <f>IF('Zoopl Count'!O165=0,"",('Zoopl Analysis'!O165*LN('Zoopl Analysis'!O165)))</f>
        <v/>
      </c>
      <c r="P165" s="36" t="str">
        <f>IF('Zoopl Count'!P165=0,"",('Zoopl Analysis'!P165*LN('Zoopl Analysis'!P165)))</f>
        <v/>
      </c>
    </row>
    <row r="166" spans="1:16">
      <c r="A166" s="209"/>
      <c r="B166" s="209"/>
      <c r="C166" s="209"/>
      <c r="D166" s="209"/>
      <c r="E166" s="210" t="s">
        <v>14</v>
      </c>
      <c r="F166" s="19" t="s">
        <v>19</v>
      </c>
      <c r="G166" s="36" t="str">
        <f>IF('Zoopl Count'!G166=0,"",('Zoopl Analysis'!G166*LN('Zoopl Analysis'!G166)))</f>
        <v/>
      </c>
      <c r="H166" s="36" t="str">
        <f>IF('Zoopl Count'!H166=0,"",('Zoopl Analysis'!H166*LN('Zoopl Analysis'!H166)))</f>
        <v/>
      </c>
      <c r="I166" s="36" t="str">
        <f>IF('Zoopl Count'!I166=0,"",('Zoopl Analysis'!I166*LN('Zoopl Analysis'!I166)))</f>
        <v/>
      </c>
      <c r="J166" s="36" t="str">
        <f>IF('Zoopl Count'!J166=0,"",('Zoopl Analysis'!J166*LN('Zoopl Analysis'!J166)))</f>
        <v/>
      </c>
      <c r="K166" s="36" t="str">
        <f>IF('Zoopl Count'!K166=0,"",('Zoopl Analysis'!K166*LN('Zoopl Analysis'!K166)))</f>
        <v/>
      </c>
      <c r="L166" s="36" t="str">
        <f>IF('Zoopl Count'!L166=0,"",('Zoopl Analysis'!L166*LN('Zoopl Analysis'!L166)))</f>
        <v/>
      </c>
      <c r="M166" s="36" t="str">
        <f>IF('Zoopl Count'!M166=0,"",('Zoopl Analysis'!M166*LN('Zoopl Analysis'!M166)))</f>
        <v/>
      </c>
      <c r="N166" s="36" t="str">
        <f>IF('Zoopl Count'!N166=0,"",('Zoopl Analysis'!N166*LN('Zoopl Analysis'!N166)))</f>
        <v/>
      </c>
      <c r="O166" s="36" t="str">
        <f>IF('Zoopl Count'!O166=0,"",('Zoopl Analysis'!O166*LN('Zoopl Analysis'!O166)))</f>
        <v/>
      </c>
      <c r="P166" s="36" t="str">
        <f>IF('Zoopl Count'!P166=0,"",('Zoopl Analysis'!P166*LN('Zoopl Analysis'!P166)))</f>
        <v/>
      </c>
    </row>
    <row r="167" spans="1:16">
      <c r="A167" s="209"/>
      <c r="B167" s="209"/>
      <c r="C167" s="209"/>
      <c r="D167" s="209"/>
      <c r="E167" s="210"/>
      <c r="F167" s="19" t="s">
        <v>17</v>
      </c>
      <c r="G167" s="36" t="str">
        <f>IF('Zoopl Count'!G167=0,"",('Zoopl Analysis'!G167*LN('Zoopl Analysis'!G167)))</f>
        <v/>
      </c>
      <c r="H167" s="36" t="str">
        <f>IF('Zoopl Count'!H167=0,"",('Zoopl Analysis'!H167*LN('Zoopl Analysis'!H167)))</f>
        <v/>
      </c>
      <c r="I167" s="36" t="str">
        <f>IF('Zoopl Count'!I167=0,"",('Zoopl Analysis'!I167*LN('Zoopl Analysis'!I167)))</f>
        <v/>
      </c>
      <c r="J167" s="36" t="str">
        <f>IF('Zoopl Count'!J167=0,"",('Zoopl Analysis'!J167*LN('Zoopl Analysis'!J167)))</f>
        <v/>
      </c>
      <c r="K167" s="36" t="str">
        <f>IF('Zoopl Count'!K167=0,"",('Zoopl Analysis'!K167*LN('Zoopl Analysis'!K167)))</f>
        <v/>
      </c>
      <c r="L167" s="36" t="str">
        <f>IF('Zoopl Count'!L167=0,"",('Zoopl Analysis'!L167*LN('Zoopl Analysis'!L167)))</f>
        <v/>
      </c>
      <c r="M167" s="36" t="str">
        <f>IF('Zoopl Count'!M167=0,"",('Zoopl Analysis'!M167*LN('Zoopl Analysis'!M167)))</f>
        <v/>
      </c>
      <c r="N167" s="36" t="str">
        <f>IF('Zoopl Count'!N167=0,"",('Zoopl Analysis'!N167*LN('Zoopl Analysis'!N167)))</f>
        <v/>
      </c>
      <c r="O167" s="36" t="str">
        <f>IF('Zoopl Count'!O167=0,"",('Zoopl Analysis'!O167*LN('Zoopl Analysis'!O167)))</f>
        <v/>
      </c>
      <c r="P167" s="36" t="str">
        <f>IF('Zoopl Count'!P167=0,"",('Zoopl Analysis'!P167*LN('Zoopl Analysis'!P167)))</f>
        <v/>
      </c>
    </row>
    <row r="168" spans="1:16">
      <c r="F168" s="19" t="s">
        <v>18</v>
      </c>
      <c r="G168" s="36" t="str">
        <f>IF('Zoopl Count'!G168=0,"",('Zoopl Analysis'!G168*LN('Zoopl Analysis'!G168)))</f>
        <v/>
      </c>
      <c r="H168" s="36" t="str">
        <f>IF('Zoopl Count'!H168=0,"",('Zoopl Analysis'!H168*LN('Zoopl Analysis'!H168)))</f>
        <v/>
      </c>
      <c r="I168" s="36" t="str">
        <f>IF('Zoopl Count'!I168=0,"",('Zoopl Analysis'!I168*LN('Zoopl Analysis'!I168)))</f>
        <v/>
      </c>
      <c r="J168" s="36" t="str">
        <f>IF('Zoopl Count'!J168=0,"",('Zoopl Analysis'!J168*LN('Zoopl Analysis'!J168)))</f>
        <v/>
      </c>
      <c r="K168" s="36" t="str">
        <f>IF('Zoopl Count'!K168=0,"",('Zoopl Analysis'!K168*LN('Zoopl Analysis'!K168)))</f>
        <v/>
      </c>
      <c r="L168" s="36" t="str">
        <f>IF('Zoopl Count'!L168=0,"",('Zoopl Analysis'!L168*LN('Zoopl Analysis'!L168)))</f>
        <v/>
      </c>
      <c r="M168" s="36" t="str">
        <f>IF('Zoopl Count'!M168=0,"",('Zoopl Analysis'!M168*LN('Zoopl Analysis'!M168)))</f>
        <v/>
      </c>
      <c r="N168" s="36" t="str">
        <f>IF('Zoopl Count'!N168=0,"",('Zoopl Analysis'!N168*LN('Zoopl Analysis'!N168)))</f>
        <v/>
      </c>
      <c r="O168" s="36" t="str">
        <f>IF('Zoopl Count'!O168=0,"",('Zoopl Analysis'!O168*LN('Zoopl Analysis'!O168)))</f>
        <v/>
      </c>
      <c r="P168" s="36" t="str">
        <f>IF('Zoopl Count'!P168=0,"",('Zoopl Analysis'!P168*LN('Zoopl Analysis'!P168)))</f>
        <v/>
      </c>
    </row>
    <row r="169" spans="1:16">
      <c r="F169" s="19" t="s">
        <v>302</v>
      </c>
      <c r="G169" s="36" t="str">
        <f>IF('Zoopl Count'!G169=0,"",('Zoopl Analysis'!G169*LN('Zoopl Analysis'!G169)))</f>
        <v/>
      </c>
      <c r="H169" s="36" t="str">
        <f>IF('Zoopl Count'!H169=0,"",('Zoopl Analysis'!H169*LN('Zoopl Analysis'!H169)))</f>
        <v/>
      </c>
      <c r="I169" s="36" t="str">
        <f>IF('Zoopl Count'!I169=0,"",('Zoopl Analysis'!I169*LN('Zoopl Analysis'!I169)))</f>
        <v/>
      </c>
      <c r="J169" s="36" t="str">
        <f>IF('Zoopl Count'!J169=0,"",('Zoopl Analysis'!J169*LN('Zoopl Analysis'!J169)))</f>
        <v/>
      </c>
      <c r="K169" s="36" t="str">
        <f>IF('Zoopl Count'!K169=0,"",('Zoopl Analysis'!K169*LN('Zoopl Analysis'!K169)))</f>
        <v/>
      </c>
      <c r="L169" s="36" t="str">
        <f>IF('Zoopl Count'!L169=0,"",('Zoopl Analysis'!L169*LN('Zoopl Analysis'!L169)))</f>
        <v/>
      </c>
      <c r="M169" s="36" t="str">
        <f>IF('Zoopl Count'!M169=0,"",('Zoopl Analysis'!M169*LN('Zoopl Analysis'!M169)))</f>
        <v/>
      </c>
      <c r="N169" s="36" t="str">
        <f>IF('Zoopl Count'!N169=0,"",('Zoopl Analysis'!N169*LN('Zoopl Analysis'!N169)))</f>
        <v/>
      </c>
      <c r="O169" s="36" t="str">
        <f>IF('Zoopl Count'!O169=0,"",('Zoopl Analysis'!O169*LN('Zoopl Analysis'!O169)))</f>
        <v/>
      </c>
      <c r="P169" s="36" t="str">
        <f>IF('Zoopl Count'!P169=0,"",('Zoopl Analysis'!P169*LN('Zoopl Analysis'!P169)))</f>
        <v/>
      </c>
    </row>
    <row r="170" spans="1:16">
      <c r="F170" s="19" t="s">
        <v>169</v>
      </c>
      <c r="G170" s="36" t="str">
        <f>IF('Zoopl Count'!G170=0,"",('Zoopl Analysis'!G170*LN('Zoopl Analysis'!G170)))</f>
        <v/>
      </c>
      <c r="H170" s="36" t="str">
        <f>IF('Zoopl Count'!H170=0,"",('Zoopl Analysis'!H170*LN('Zoopl Analysis'!H170)))</f>
        <v/>
      </c>
      <c r="I170" s="36" t="str">
        <f>IF('Zoopl Count'!I170=0,"",('Zoopl Analysis'!I170*LN('Zoopl Analysis'!I170)))</f>
        <v/>
      </c>
      <c r="J170" s="36" t="str">
        <f>IF('Zoopl Count'!J170=0,"",('Zoopl Analysis'!J170*LN('Zoopl Analysis'!J170)))</f>
        <v/>
      </c>
      <c r="K170" s="36" t="str">
        <f>IF('Zoopl Count'!K170=0,"",('Zoopl Analysis'!K170*LN('Zoopl Analysis'!K170)))</f>
        <v/>
      </c>
      <c r="L170" s="36" t="str">
        <f>IF('Zoopl Count'!L170=0,"",('Zoopl Analysis'!L170*LN('Zoopl Analysis'!L170)))</f>
        <v/>
      </c>
      <c r="M170" s="36" t="str">
        <f>IF('Zoopl Count'!M170=0,"",('Zoopl Analysis'!M170*LN('Zoopl Analysis'!M170)))</f>
        <v/>
      </c>
      <c r="N170" s="36" t="str">
        <f>IF('Zoopl Count'!N170=0,"",('Zoopl Analysis'!N170*LN('Zoopl Analysis'!N170)))</f>
        <v/>
      </c>
      <c r="O170" s="36" t="str">
        <f>IF('Zoopl Count'!O170=0,"",('Zoopl Analysis'!O170*LN('Zoopl Analysis'!O170)))</f>
        <v/>
      </c>
      <c r="P170" s="36" t="str">
        <f>IF('Zoopl Count'!P170=0,"",('Zoopl Analysis'!P170*LN('Zoopl Analysis'!P170)))</f>
        <v/>
      </c>
    </row>
    <row r="171" spans="1:16">
      <c r="F171" s="19" t="s">
        <v>171</v>
      </c>
      <c r="G171" s="36" t="str">
        <f>IF('Zoopl Count'!G171=0,"",('Zoopl Analysis'!G171*LN('Zoopl Analysis'!G171)))</f>
        <v/>
      </c>
      <c r="H171" s="36" t="str">
        <f>IF('Zoopl Count'!H171=0,"",('Zoopl Analysis'!H171*LN('Zoopl Analysis'!H171)))</f>
        <v/>
      </c>
      <c r="I171" s="36" t="str">
        <f>IF('Zoopl Count'!I171=0,"",('Zoopl Analysis'!I171*LN('Zoopl Analysis'!I171)))</f>
        <v/>
      </c>
      <c r="J171" s="36" t="str">
        <f>IF('Zoopl Count'!J171=0,"",('Zoopl Analysis'!J171*LN('Zoopl Analysis'!J171)))</f>
        <v/>
      </c>
      <c r="K171" s="36" t="str">
        <f>IF('Zoopl Count'!K171=0,"",('Zoopl Analysis'!K171*LN('Zoopl Analysis'!K171)))</f>
        <v/>
      </c>
      <c r="L171" s="36" t="str">
        <f>IF('Zoopl Count'!L171=0,"",('Zoopl Analysis'!L171*LN('Zoopl Analysis'!L171)))</f>
        <v/>
      </c>
      <c r="M171" s="36" t="str">
        <f>IF('Zoopl Count'!M171=0,"",('Zoopl Analysis'!M171*LN('Zoopl Analysis'!M171)))</f>
        <v/>
      </c>
      <c r="N171" s="36" t="str">
        <f>IF('Zoopl Count'!N171=0,"",('Zoopl Analysis'!N171*LN('Zoopl Analysis'!N171)))</f>
        <v/>
      </c>
      <c r="O171" s="36" t="str">
        <f>IF('Zoopl Count'!O171=0,"",('Zoopl Analysis'!O171*LN('Zoopl Analysis'!O171)))</f>
        <v/>
      </c>
      <c r="P171" s="36" t="str">
        <f>IF('Zoopl Count'!P171=0,"",('Zoopl Analysis'!P171*LN('Zoopl Analysis'!P171)))</f>
        <v/>
      </c>
    </row>
    <row r="172" spans="1:16">
      <c r="F172" s="19" t="s">
        <v>348</v>
      </c>
      <c r="G172" s="36" t="str">
        <f>IF('Zoopl Count'!G172=0,"",('Zoopl Analysis'!G172*LN('Zoopl Analysis'!G172)))</f>
        <v/>
      </c>
      <c r="H172" s="36" t="str">
        <f>IF('Zoopl Count'!H172=0,"",('Zoopl Analysis'!H172*LN('Zoopl Analysis'!H172)))</f>
        <v/>
      </c>
      <c r="I172" s="36" t="str">
        <f>IF('Zoopl Count'!I172=0,"",('Zoopl Analysis'!I172*LN('Zoopl Analysis'!I172)))</f>
        <v/>
      </c>
      <c r="J172" s="36" t="str">
        <f>IF('Zoopl Count'!J172=0,"",('Zoopl Analysis'!J172*LN('Zoopl Analysis'!J172)))</f>
        <v/>
      </c>
      <c r="K172" s="36" t="str">
        <f>IF('Zoopl Count'!K172=0,"",('Zoopl Analysis'!K172*LN('Zoopl Analysis'!K172)))</f>
        <v/>
      </c>
      <c r="L172" s="36" t="str">
        <f>IF('Zoopl Count'!L172=0,"",('Zoopl Analysis'!L172*LN('Zoopl Analysis'!L172)))</f>
        <v/>
      </c>
      <c r="M172" s="36" t="str">
        <f>IF('Zoopl Count'!M172=0,"",('Zoopl Analysis'!M172*LN('Zoopl Analysis'!M172)))</f>
        <v/>
      </c>
      <c r="N172" s="36" t="str">
        <f>IF('Zoopl Count'!N172=0,"",('Zoopl Analysis'!N172*LN('Zoopl Analysis'!N172)))</f>
        <v/>
      </c>
      <c r="O172" s="36" t="str">
        <f>IF('Zoopl Count'!O172=0,"",('Zoopl Analysis'!O172*LN('Zoopl Analysis'!O172)))</f>
        <v/>
      </c>
      <c r="P172" s="36" t="str">
        <f>IF('Zoopl Count'!P172=0,"",('Zoopl Analysis'!P172*LN('Zoopl Analysis'!P172)))</f>
        <v/>
      </c>
    </row>
    <row r="173" spans="1:16">
      <c r="D173" s="8" t="s">
        <v>12</v>
      </c>
      <c r="E173" s="6" t="s">
        <v>23</v>
      </c>
      <c r="F173" s="19"/>
      <c r="G173" s="36" t="str">
        <f>IF('Zoopl Count'!G173=0,"",('Zoopl Analysis'!G173*LN('Zoopl Analysis'!G173)))</f>
        <v/>
      </c>
      <c r="H173" s="36" t="str">
        <f>IF('Zoopl Count'!H173=0,"",('Zoopl Analysis'!H173*LN('Zoopl Analysis'!H173)))</f>
        <v/>
      </c>
      <c r="I173" s="36" t="str">
        <f>IF('Zoopl Count'!I173=0,"",('Zoopl Analysis'!I173*LN('Zoopl Analysis'!I173)))</f>
        <v/>
      </c>
      <c r="J173" s="36" t="str">
        <f>IF('Zoopl Count'!J173=0,"",('Zoopl Analysis'!J173*LN('Zoopl Analysis'!J173)))</f>
        <v/>
      </c>
      <c r="K173" s="36" t="str">
        <f>IF('Zoopl Count'!K173=0,"",('Zoopl Analysis'!K173*LN('Zoopl Analysis'!K173)))</f>
        <v/>
      </c>
      <c r="L173" s="36" t="str">
        <f>IF('Zoopl Count'!L173=0,"",('Zoopl Analysis'!L173*LN('Zoopl Analysis'!L173)))</f>
        <v/>
      </c>
      <c r="M173" s="36" t="str">
        <f>IF('Zoopl Count'!M173=0,"",('Zoopl Analysis'!M173*LN('Zoopl Analysis'!M173)))</f>
        <v/>
      </c>
      <c r="N173" s="36" t="str">
        <f>IF('Zoopl Count'!N173=0,"",('Zoopl Analysis'!N173*LN('Zoopl Analysis'!N173)))</f>
        <v/>
      </c>
      <c r="O173" s="36" t="str">
        <f>IF('Zoopl Count'!O173=0,"",('Zoopl Analysis'!O173*LN('Zoopl Analysis'!O173)))</f>
        <v/>
      </c>
      <c r="P173" s="36" t="str">
        <f>IF('Zoopl Count'!P173=0,"",('Zoopl Analysis'!P173*LN('Zoopl Analysis'!P173)))</f>
        <v/>
      </c>
    </row>
    <row r="174" spans="1:16">
      <c r="E174" s="8" t="s">
        <v>14</v>
      </c>
      <c r="F174" s="19" t="s">
        <v>20</v>
      </c>
      <c r="G174" s="36">
        <f>IF('Zoopl Count'!G174=0,"",('Zoopl Analysis'!G174*LN('Zoopl Analysis'!G174)))</f>
        <v>-0.35050162848493283</v>
      </c>
      <c r="H174" s="36" t="str">
        <f>IF('Zoopl Count'!H174=0,"",('Zoopl Analysis'!H174*LN('Zoopl Analysis'!H174)))</f>
        <v/>
      </c>
      <c r="I174" s="36" t="str">
        <f>IF('Zoopl Count'!I174=0,"",('Zoopl Analysis'!I174*LN('Zoopl Analysis'!I174)))</f>
        <v/>
      </c>
      <c r="J174" s="36" t="str">
        <f>IF('Zoopl Count'!J174=0,"",('Zoopl Analysis'!J174*LN('Zoopl Analysis'!J174)))</f>
        <v/>
      </c>
      <c r="K174" s="36" t="str">
        <f>IF('Zoopl Count'!K174=0,"",('Zoopl Analysis'!K174*LN('Zoopl Analysis'!K174)))</f>
        <v/>
      </c>
      <c r="L174" s="36" t="str">
        <f>IF('Zoopl Count'!L174=0,"",('Zoopl Analysis'!L174*LN('Zoopl Analysis'!L174)))</f>
        <v/>
      </c>
      <c r="M174" s="36" t="str">
        <f>IF('Zoopl Count'!M174=0,"",('Zoopl Analysis'!M174*LN('Zoopl Analysis'!M174)))</f>
        <v/>
      </c>
      <c r="N174" s="36" t="str">
        <f>IF('Zoopl Count'!N174=0,"",('Zoopl Analysis'!N174*LN('Zoopl Analysis'!N174)))</f>
        <v/>
      </c>
      <c r="O174" s="36" t="str">
        <f>IF('Zoopl Count'!O174=0,"",('Zoopl Analysis'!O174*LN('Zoopl Analysis'!O174)))</f>
        <v/>
      </c>
      <c r="P174" s="36" t="str">
        <f>IF('Zoopl Count'!P174=0,"",('Zoopl Analysis'!P174*LN('Zoopl Analysis'!P174)))</f>
        <v/>
      </c>
    </row>
    <row r="175" spans="1:16">
      <c r="D175" s="8" t="s">
        <v>12</v>
      </c>
      <c r="E175" s="6" t="s">
        <v>24</v>
      </c>
      <c r="F175" s="19"/>
      <c r="G175" s="36" t="str">
        <f>IF('Zoopl Count'!G175=0,"",('Zoopl Analysis'!G175*LN('Zoopl Analysis'!G175)))</f>
        <v/>
      </c>
      <c r="H175" s="36" t="str">
        <f>IF('Zoopl Count'!H175=0,"",('Zoopl Analysis'!H175*LN('Zoopl Analysis'!H175)))</f>
        <v/>
      </c>
      <c r="I175" s="36" t="str">
        <f>IF('Zoopl Count'!I175=0,"",('Zoopl Analysis'!I175*LN('Zoopl Analysis'!I175)))</f>
        <v/>
      </c>
      <c r="J175" s="36" t="str">
        <f>IF('Zoopl Count'!J175=0,"",('Zoopl Analysis'!J175*LN('Zoopl Analysis'!J175)))</f>
        <v/>
      </c>
      <c r="K175" s="36" t="str">
        <f>IF('Zoopl Count'!K175=0,"",('Zoopl Analysis'!K175*LN('Zoopl Analysis'!K175)))</f>
        <v/>
      </c>
      <c r="L175" s="36" t="str">
        <f>IF('Zoopl Count'!L175=0,"",('Zoopl Analysis'!L175*LN('Zoopl Analysis'!L175)))</f>
        <v/>
      </c>
      <c r="M175" s="36" t="str">
        <f>IF('Zoopl Count'!M175=0,"",('Zoopl Analysis'!M175*LN('Zoopl Analysis'!M175)))</f>
        <v/>
      </c>
      <c r="N175" s="36" t="str">
        <f>IF('Zoopl Count'!N175=0,"",('Zoopl Analysis'!N175*LN('Zoopl Analysis'!N175)))</f>
        <v/>
      </c>
      <c r="O175" s="36" t="str">
        <f>IF('Zoopl Count'!O175=0,"",('Zoopl Analysis'!O175*LN('Zoopl Analysis'!O175)))</f>
        <v/>
      </c>
      <c r="P175" s="36" t="str">
        <f>IF('Zoopl Count'!P175=0,"",('Zoopl Analysis'!P175*LN('Zoopl Analysis'!P175)))</f>
        <v/>
      </c>
    </row>
    <row r="176" spans="1:16">
      <c r="E176" s="8" t="s">
        <v>14</v>
      </c>
      <c r="F176" s="19" t="s">
        <v>21</v>
      </c>
      <c r="G176" s="36">
        <f>IF('Zoopl Count'!G176=0,"",('Zoopl Analysis'!G176*LN('Zoopl Analysis'!G176)))</f>
        <v>-0.26562315606499248</v>
      </c>
      <c r="H176" s="36" t="str">
        <f>IF('Zoopl Count'!H176=0,"",('Zoopl Analysis'!H176*LN('Zoopl Analysis'!H176)))</f>
        <v/>
      </c>
      <c r="I176" s="36">
        <f>IF('Zoopl Count'!I176=0,"",('Zoopl Analysis'!I176*LN('Zoopl Analysis'!I176)))</f>
        <v>-0.1779977489437593</v>
      </c>
      <c r="J176" s="36">
        <f>IF('Zoopl Count'!J176=0,"",('Zoopl Analysis'!J176*LN('Zoopl Analysis'!J176)))</f>
        <v>-0.26562315606499248</v>
      </c>
      <c r="K176" s="36">
        <f>IF('Zoopl Count'!K176=0,"",('Zoopl Analysis'!K176*LN('Zoopl Analysis'!K176)))</f>
        <v>-0.26562315606499248</v>
      </c>
      <c r="L176" s="36" t="str">
        <f>IF('Zoopl Count'!L176=0,"",('Zoopl Analysis'!L176*LN('Zoopl Analysis'!L176)))</f>
        <v/>
      </c>
      <c r="M176" s="36">
        <f>IF('Zoopl Count'!M176=0,"",('Zoopl Analysis'!M176*LN('Zoopl Analysis'!M176)))</f>
        <v>-0.33951388967976126</v>
      </c>
      <c r="N176" s="36" t="str">
        <f>IF('Zoopl Count'!N176=0,"",('Zoopl Analysis'!N176*LN('Zoopl Analysis'!N176)))</f>
        <v/>
      </c>
      <c r="O176" s="36">
        <f>IF('Zoopl Count'!O176=0,"",('Zoopl Analysis'!O176*LN('Zoopl Analysis'!O176)))</f>
        <v>3.569535415047453</v>
      </c>
      <c r="P176" s="36" t="str">
        <f>IF('Zoopl Count'!P176=0,"",('Zoopl Analysis'!P176*LN('Zoopl Analysis'!P176)))</f>
        <v/>
      </c>
    </row>
    <row r="177" spans="1:16">
      <c r="D177" s="8" t="s">
        <v>12</v>
      </c>
      <c r="E177" s="11" t="s">
        <v>25</v>
      </c>
      <c r="F177" s="19"/>
      <c r="G177" s="36" t="str">
        <f>IF('Zoopl Count'!G177=0,"",('Zoopl Analysis'!G177*LN('Zoopl Analysis'!G177)))</f>
        <v/>
      </c>
      <c r="H177" s="36" t="str">
        <f>IF('Zoopl Count'!H177=0,"",('Zoopl Analysis'!H177*LN('Zoopl Analysis'!H177)))</f>
        <v/>
      </c>
      <c r="I177" s="36" t="str">
        <f>IF('Zoopl Count'!I177=0,"",('Zoopl Analysis'!I177*LN('Zoopl Analysis'!I177)))</f>
        <v/>
      </c>
      <c r="J177" s="36" t="str">
        <f>IF('Zoopl Count'!J177=0,"",('Zoopl Analysis'!J177*LN('Zoopl Analysis'!J177)))</f>
        <v/>
      </c>
      <c r="K177" s="36" t="str">
        <f>IF('Zoopl Count'!K177=0,"",('Zoopl Analysis'!K177*LN('Zoopl Analysis'!K177)))</f>
        <v/>
      </c>
      <c r="L177" s="36" t="str">
        <f>IF('Zoopl Count'!L177=0,"",('Zoopl Analysis'!L177*LN('Zoopl Analysis'!L177)))</f>
        <v/>
      </c>
      <c r="M177" s="36" t="str">
        <f>IF('Zoopl Count'!M177=0,"",('Zoopl Analysis'!M177*LN('Zoopl Analysis'!M177)))</f>
        <v/>
      </c>
      <c r="N177" s="36" t="str">
        <f>IF('Zoopl Count'!N177=0,"",('Zoopl Analysis'!N177*LN('Zoopl Analysis'!N177)))</f>
        <v/>
      </c>
      <c r="O177" s="36" t="str">
        <f>IF('Zoopl Count'!O177=0,"",('Zoopl Analysis'!O177*LN('Zoopl Analysis'!O177)))</f>
        <v/>
      </c>
      <c r="P177" s="36" t="str">
        <f>IF('Zoopl Count'!P177=0,"",('Zoopl Analysis'!P177*LN('Zoopl Analysis'!P177)))</f>
        <v/>
      </c>
    </row>
    <row r="178" spans="1:16">
      <c r="E178" s="8" t="s">
        <v>14</v>
      </c>
      <c r="F178" s="19" t="s">
        <v>22</v>
      </c>
      <c r="G178" s="36" t="str">
        <f>IF('Zoopl Count'!G178=0,"",('Zoopl Analysis'!G178*LN('Zoopl Analysis'!G178)))</f>
        <v/>
      </c>
      <c r="H178" s="36" t="str">
        <f>IF('Zoopl Count'!H178=0,"",('Zoopl Analysis'!H178*LN('Zoopl Analysis'!H178)))</f>
        <v/>
      </c>
      <c r="I178" s="36" t="str">
        <f>IF('Zoopl Count'!I178=0,"",('Zoopl Analysis'!I178*LN('Zoopl Analysis'!I178)))</f>
        <v/>
      </c>
      <c r="J178" s="36" t="str">
        <f>IF('Zoopl Count'!J178=0,"",('Zoopl Analysis'!J178*LN('Zoopl Analysis'!J178)))</f>
        <v/>
      </c>
      <c r="K178" s="36" t="str">
        <f>IF('Zoopl Count'!K178=0,"",('Zoopl Analysis'!K178*LN('Zoopl Analysis'!K178)))</f>
        <v/>
      </c>
      <c r="L178" s="36" t="str">
        <f>IF('Zoopl Count'!L178=0,"",('Zoopl Analysis'!L178*LN('Zoopl Analysis'!L178)))</f>
        <v/>
      </c>
      <c r="M178" s="36" t="str">
        <f>IF('Zoopl Count'!M178=0,"",('Zoopl Analysis'!M178*LN('Zoopl Analysis'!M178)))</f>
        <v/>
      </c>
      <c r="N178" s="36" t="str">
        <f>IF('Zoopl Count'!N178=0,"",('Zoopl Analysis'!N178*LN('Zoopl Analysis'!N178)))</f>
        <v/>
      </c>
      <c r="O178" s="36" t="str">
        <f>IF('Zoopl Count'!O178=0,"",('Zoopl Analysis'!O178*LN('Zoopl Analysis'!O178)))</f>
        <v/>
      </c>
      <c r="P178" s="36" t="str">
        <f>IF('Zoopl Count'!P178=0,"",('Zoopl Analysis'!P178*LN('Zoopl Analysis'!P178)))</f>
        <v/>
      </c>
    </row>
    <row r="179" spans="1:16">
      <c r="A179" s="199"/>
      <c r="B179" s="199"/>
      <c r="C179" s="199"/>
      <c r="D179" s="199"/>
      <c r="E179" s="200"/>
      <c r="F179" s="19" t="s">
        <v>338</v>
      </c>
      <c r="G179" s="36" t="str">
        <f>IF('Zoopl Count'!G179=0,"",('Zoopl Analysis'!G179*LN('Zoopl Analysis'!G179)))</f>
        <v/>
      </c>
      <c r="H179" s="36" t="str">
        <f>IF('Zoopl Count'!H179=0,"",('Zoopl Analysis'!H179*LN('Zoopl Analysis'!H179)))</f>
        <v/>
      </c>
      <c r="I179" s="36" t="str">
        <f>IF('Zoopl Count'!I179=0,"",('Zoopl Analysis'!I179*LN('Zoopl Analysis'!I179)))</f>
        <v/>
      </c>
      <c r="J179" s="36" t="str">
        <f>IF('Zoopl Count'!J179=0,"",('Zoopl Analysis'!J179*LN('Zoopl Analysis'!J179)))</f>
        <v/>
      </c>
      <c r="K179" s="36" t="str">
        <f>IF('Zoopl Count'!K179=0,"",('Zoopl Analysis'!K179*LN('Zoopl Analysis'!K179)))</f>
        <v/>
      </c>
      <c r="L179" s="36" t="str">
        <f>IF('Zoopl Count'!L179=0,"",('Zoopl Analysis'!L179*LN('Zoopl Analysis'!L179)))</f>
        <v/>
      </c>
      <c r="M179" s="36" t="str">
        <f>IF('Zoopl Count'!M179=0,"",('Zoopl Analysis'!M179*LN('Zoopl Analysis'!M179)))</f>
        <v/>
      </c>
      <c r="N179" s="36" t="str">
        <f>IF('Zoopl Count'!N179=0,"",('Zoopl Analysis'!N179*LN('Zoopl Analysis'!N179)))</f>
        <v/>
      </c>
      <c r="O179" s="36" t="str">
        <f>IF('Zoopl Count'!O179=0,"",('Zoopl Analysis'!O179*LN('Zoopl Analysis'!O179)))</f>
        <v/>
      </c>
      <c r="P179" s="36" t="str">
        <f>IF('Zoopl Count'!P179=0,"",('Zoopl Analysis'!P179*LN('Zoopl Analysis'!P179)))</f>
        <v/>
      </c>
    </row>
    <row r="180" spans="1:16">
      <c r="D180" s="8" t="s">
        <v>12</v>
      </c>
      <c r="E180" s="11" t="s">
        <v>176</v>
      </c>
      <c r="F180" s="19"/>
      <c r="G180" s="36" t="str">
        <f>IF('Zoopl Count'!G180=0,"",('Zoopl Analysis'!G180*LN('Zoopl Analysis'!G180)))</f>
        <v/>
      </c>
      <c r="H180" s="36" t="str">
        <f>IF('Zoopl Count'!H180=0,"",('Zoopl Analysis'!H180*LN('Zoopl Analysis'!H180)))</f>
        <v/>
      </c>
      <c r="I180" s="36" t="str">
        <f>IF('Zoopl Count'!I180=0,"",('Zoopl Analysis'!I180*LN('Zoopl Analysis'!I180)))</f>
        <v/>
      </c>
      <c r="J180" s="36" t="str">
        <f>IF('Zoopl Count'!J180=0,"",('Zoopl Analysis'!J180*LN('Zoopl Analysis'!J180)))</f>
        <v/>
      </c>
      <c r="K180" s="36" t="str">
        <f>IF('Zoopl Count'!K180=0,"",('Zoopl Analysis'!K180*LN('Zoopl Analysis'!K180)))</f>
        <v/>
      </c>
      <c r="L180" s="36" t="str">
        <f>IF('Zoopl Count'!L180=0,"",('Zoopl Analysis'!L180*LN('Zoopl Analysis'!L180)))</f>
        <v/>
      </c>
      <c r="M180" s="36" t="str">
        <f>IF('Zoopl Count'!M180=0,"",('Zoopl Analysis'!M180*LN('Zoopl Analysis'!M180)))</f>
        <v/>
      </c>
      <c r="N180" s="36" t="str">
        <f>IF('Zoopl Count'!N180=0,"",('Zoopl Analysis'!N180*LN('Zoopl Analysis'!N180)))</f>
        <v/>
      </c>
      <c r="O180" s="36" t="str">
        <f>IF('Zoopl Count'!O180=0,"",('Zoopl Analysis'!O180*LN('Zoopl Analysis'!O180)))</f>
        <v/>
      </c>
      <c r="P180" s="36" t="str">
        <f>IF('Zoopl Count'!P180=0,"",('Zoopl Analysis'!P180*LN('Zoopl Analysis'!P180)))</f>
        <v/>
      </c>
    </row>
    <row r="181" spans="1:16">
      <c r="E181" s="8" t="s">
        <v>14</v>
      </c>
      <c r="F181" s="19" t="s">
        <v>177</v>
      </c>
      <c r="G181" s="36" t="str">
        <f>IF('Zoopl Count'!G181=0,"",('Zoopl Analysis'!G181*LN('Zoopl Analysis'!G181)))</f>
        <v/>
      </c>
      <c r="H181" s="36" t="str">
        <f>IF('Zoopl Count'!H181=0,"",('Zoopl Analysis'!H181*LN('Zoopl Analysis'!H181)))</f>
        <v/>
      </c>
      <c r="I181" s="36" t="str">
        <f>IF('Zoopl Count'!I181=0,"",('Zoopl Analysis'!I181*LN('Zoopl Analysis'!I181)))</f>
        <v/>
      </c>
      <c r="J181" s="36" t="str">
        <f>IF('Zoopl Count'!J181=0,"",('Zoopl Analysis'!J181*LN('Zoopl Analysis'!J181)))</f>
        <v/>
      </c>
      <c r="K181" s="36" t="str">
        <f>IF('Zoopl Count'!K181=0,"",('Zoopl Analysis'!K181*LN('Zoopl Analysis'!K181)))</f>
        <v/>
      </c>
      <c r="L181" s="36" t="str">
        <f>IF('Zoopl Count'!L181=0,"",('Zoopl Analysis'!L181*LN('Zoopl Analysis'!L181)))</f>
        <v/>
      </c>
      <c r="M181" s="36" t="str">
        <f>IF('Zoopl Count'!M181=0,"",('Zoopl Analysis'!M181*LN('Zoopl Analysis'!M181)))</f>
        <v/>
      </c>
      <c r="N181" s="36" t="str">
        <f>IF('Zoopl Count'!N181=0,"",('Zoopl Analysis'!N181*LN('Zoopl Analysis'!N181)))</f>
        <v/>
      </c>
      <c r="O181" s="36" t="str">
        <f>IF('Zoopl Count'!O181=0,"",('Zoopl Analysis'!O181*LN('Zoopl Analysis'!O181)))</f>
        <v/>
      </c>
      <c r="P181" s="36" t="str">
        <f>IF('Zoopl Count'!P181=0,"",('Zoopl Analysis'!P181*LN('Zoopl Analysis'!P181)))</f>
        <v/>
      </c>
    </row>
    <row r="182" spans="1:16">
      <c r="A182" s="199"/>
      <c r="B182" s="199"/>
      <c r="C182" s="199"/>
      <c r="D182" s="200" t="s">
        <v>12</v>
      </c>
      <c r="E182" s="201" t="s">
        <v>26</v>
      </c>
      <c r="F182" s="19"/>
      <c r="G182" s="36" t="str">
        <f>IF('Zoopl Count'!G182=0,"",('Zoopl Analysis'!G182*LN('Zoopl Analysis'!G182)))</f>
        <v/>
      </c>
      <c r="H182" s="36" t="str">
        <f>IF('Zoopl Count'!H182=0,"",('Zoopl Analysis'!H182*LN('Zoopl Analysis'!H182)))</f>
        <v/>
      </c>
      <c r="I182" s="36" t="str">
        <f>IF('Zoopl Count'!I182=0,"",('Zoopl Analysis'!I182*LN('Zoopl Analysis'!I182)))</f>
        <v/>
      </c>
      <c r="J182" s="36" t="str">
        <f>IF('Zoopl Count'!J182=0,"",('Zoopl Analysis'!J182*LN('Zoopl Analysis'!J182)))</f>
        <v/>
      </c>
      <c r="K182" s="36" t="str">
        <f>IF('Zoopl Count'!K182=0,"",('Zoopl Analysis'!K182*LN('Zoopl Analysis'!K182)))</f>
        <v/>
      </c>
      <c r="L182" s="36" t="str">
        <f>IF('Zoopl Count'!L182=0,"",('Zoopl Analysis'!L182*LN('Zoopl Analysis'!L182)))</f>
        <v/>
      </c>
      <c r="M182" s="36" t="str">
        <f>IF('Zoopl Count'!M182=0,"",('Zoopl Analysis'!M182*LN('Zoopl Analysis'!M182)))</f>
        <v/>
      </c>
      <c r="N182" s="36" t="str">
        <f>IF('Zoopl Count'!N182=0,"",('Zoopl Analysis'!N182*LN('Zoopl Analysis'!N182)))</f>
        <v/>
      </c>
      <c r="O182" s="36" t="str">
        <f>IF('Zoopl Count'!O182=0,"",('Zoopl Analysis'!O182*LN('Zoopl Analysis'!O182)))</f>
        <v/>
      </c>
      <c r="P182" s="36" t="str">
        <f>IF('Zoopl Count'!P182=0,"",('Zoopl Analysis'!P182*LN('Zoopl Analysis'!P182)))</f>
        <v/>
      </c>
    </row>
    <row r="183" spans="1:16">
      <c r="A183" s="199"/>
      <c r="B183" s="199"/>
      <c r="C183" s="199"/>
      <c r="D183" s="199"/>
      <c r="E183" s="200" t="s">
        <v>14</v>
      </c>
      <c r="F183" s="19" t="s">
        <v>297</v>
      </c>
      <c r="G183" s="36" t="str">
        <f>IF('Zoopl Count'!G183=0,"",('Zoopl Analysis'!G183*LN('Zoopl Analysis'!G183)))</f>
        <v/>
      </c>
      <c r="H183" s="36" t="str">
        <f>IF('Zoopl Count'!H183=0,"",('Zoopl Analysis'!H183*LN('Zoopl Analysis'!H183)))</f>
        <v/>
      </c>
      <c r="I183" s="36" t="str">
        <f>IF('Zoopl Count'!I183=0,"",('Zoopl Analysis'!I183*LN('Zoopl Analysis'!I183)))</f>
        <v/>
      </c>
      <c r="J183" s="36" t="str">
        <f>IF('Zoopl Count'!J183=0,"",('Zoopl Analysis'!J183*LN('Zoopl Analysis'!J183)))</f>
        <v/>
      </c>
      <c r="K183" s="36" t="str">
        <f>IF('Zoopl Count'!K183=0,"",('Zoopl Analysis'!K183*LN('Zoopl Analysis'!K183)))</f>
        <v/>
      </c>
      <c r="L183" s="36" t="str">
        <f>IF('Zoopl Count'!L183=0,"",('Zoopl Analysis'!L183*LN('Zoopl Analysis'!L183)))</f>
        <v/>
      </c>
      <c r="M183" s="36" t="str">
        <f>IF('Zoopl Count'!M183=0,"",('Zoopl Analysis'!M183*LN('Zoopl Analysis'!M183)))</f>
        <v/>
      </c>
      <c r="N183" s="36" t="str">
        <f>IF('Zoopl Count'!N183=0,"",('Zoopl Analysis'!N183*LN('Zoopl Analysis'!N183)))</f>
        <v/>
      </c>
      <c r="O183" s="36" t="str">
        <f>IF('Zoopl Count'!O183=0,"",('Zoopl Analysis'!O183*LN('Zoopl Analysis'!O183)))</f>
        <v/>
      </c>
      <c r="P183" s="36" t="str">
        <f>IF('Zoopl Count'!P183=0,"",('Zoopl Analysis'!P183*LN('Zoopl Analysis'!P183)))</f>
        <v/>
      </c>
    </row>
    <row r="184" spans="1:16">
      <c r="A184" s="199"/>
      <c r="B184" s="199"/>
      <c r="C184" s="199"/>
      <c r="D184" s="199"/>
      <c r="E184" s="200"/>
      <c r="F184" s="19" t="s">
        <v>27</v>
      </c>
      <c r="G184" s="36" t="str">
        <f>IF('Zoopl Count'!G184=0,"",('Zoopl Analysis'!G184*LN('Zoopl Analysis'!G184)))</f>
        <v/>
      </c>
      <c r="H184" s="36">
        <f>IF('Zoopl Count'!H184=0,"",('Zoopl Analysis'!H184*LN('Zoopl Analysis'!H184)))</f>
        <v>-0.1779977489437593</v>
      </c>
      <c r="I184" s="36">
        <f>IF('Zoopl Count'!I184=0,"",('Zoopl Analysis'!I184*LN('Zoopl Analysis'!I184)))</f>
        <v>-0.26562315606499248</v>
      </c>
      <c r="J184" s="36">
        <f>IF('Zoopl Count'!J184=0,"",('Zoopl Analysis'!J184*LN('Zoopl Analysis'!J184)))</f>
        <v>-0.26562315606499248</v>
      </c>
      <c r="K184" s="36" t="str">
        <f>IF('Zoopl Count'!K184=0,"",('Zoopl Analysis'!K184*LN('Zoopl Analysis'!K184)))</f>
        <v/>
      </c>
      <c r="L184" s="36" t="str">
        <f>IF('Zoopl Count'!L184=0,"",('Zoopl Analysis'!L184*LN('Zoopl Analysis'!L184)))</f>
        <v/>
      </c>
      <c r="M184" s="36">
        <f>IF('Zoopl Count'!M184=0,"",('Zoopl Analysis'!M184*LN('Zoopl Analysis'!M184)))</f>
        <v>-8.3411422021561196E-2</v>
      </c>
      <c r="N184" s="36">
        <f>IF('Zoopl Count'!N184=0,"",('Zoopl Analysis'!N184*LN('Zoopl Analysis'!N184)))</f>
        <v>-0.22734830011423995</v>
      </c>
      <c r="O184" s="36">
        <f>IF('Zoopl Count'!O184=0,"",('Zoopl Analysis'!O184*LN('Zoopl Analysis'!O184)))</f>
        <v>4.3950955220686219E-2</v>
      </c>
      <c r="P184" s="36">
        <f>IF('Zoopl Count'!P184=0,"",('Zoopl Analysis'!P184*LN('Zoopl Analysis'!P184)))</f>
        <v>-0.19208424810844993</v>
      </c>
    </row>
    <row r="185" spans="1:16">
      <c r="A185" s="213"/>
      <c r="B185" s="213"/>
      <c r="C185" s="213"/>
      <c r="D185" s="214" t="s">
        <v>12</v>
      </c>
      <c r="E185" s="215" t="s">
        <v>28</v>
      </c>
      <c r="F185" s="213"/>
      <c r="G185" s="36" t="str">
        <f>IF('Zoopl Count'!G185=0,"",('Zoopl Analysis'!G185*LN('Zoopl Analysis'!G185)))</f>
        <v/>
      </c>
      <c r="H185" s="36" t="str">
        <f>IF('Zoopl Count'!H185=0,"",('Zoopl Analysis'!H185*LN('Zoopl Analysis'!H185)))</f>
        <v/>
      </c>
      <c r="I185" s="36" t="str">
        <f>IF('Zoopl Count'!I185=0,"",('Zoopl Analysis'!I185*LN('Zoopl Analysis'!I185)))</f>
        <v/>
      </c>
      <c r="J185" s="36" t="str">
        <f>IF('Zoopl Count'!J185=0,"",('Zoopl Analysis'!J185*LN('Zoopl Analysis'!J185)))</f>
        <v/>
      </c>
      <c r="K185" s="36" t="str">
        <f>IF('Zoopl Count'!K185=0,"",('Zoopl Analysis'!K185*LN('Zoopl Analysis'!K185)))</f>
        <v/>
      </c>
      <c r="L185" s="36" t="str">
        <f>IF('Zoopl Count'!L185=0,"",('Zoopl Analysis'!L185*LN('Zoopl Analysis'!L185)))</f>
        <v/>
      </c>
      <c r="M185" s="36" t="str">
        <f>IF('Zoopl Count'!M185=0,"",('Zoopl Analysis'!M185*LN('Zoopl Analysis'!M185)))</f>
        <v/>
      </c>
      <c r="N185" s="36" t="str">
        <f>IF('Zoopl Count'!N185=0,"",('Zoopl Analysis'!N185*LN('Zoopl Analysis'!N185)))</f>
        <v/>
      </c>
      <c r="O185" s="36" t="str">
        <f>IF('Zoopl Count'!O185=0,"",('Zoopl Analysis'!O185*LN('Zoopl Analysis'!O185)))</f>
        <v/>
      </c>
      <c r="P185" s="36" t="str">
        <f>IF('Zoopl Count'!P185=0,"",('Zoopl Analysis'!P185*LN('Zoopl Analysis'!P185)))</f>
        <v/>
      </c>
    </row>
    <row r="186" spans="1:16">
      <c r="E186" s="8" t="s">
        <v>14</v>
      </c>
      <c r="F186" s="19" t="s">
        <v>29</v>
      </c>
      <c r="G186" s="36">
        <f>IF('Zoopl Count'!G186=0,"",('Zoopl Analysis'!G186*LN('Zoopl Analysis'!G186)))</f>
        <v>-8.3411422021561196E-2</v>
      </c>
      <c r="H186" s="36" t="str">
        <f>IF('Zoopl Count'!H186=0,"",('Zoopl Analysis'!H186*LN('Zoopl Analysis'!H186)))</f>
        <v/>
      </c>
      <c r="I186" s="36" t="str">
        <f>IF('Zoopl Count'!I186=0,"",('Zoopl Analysis'!I186*LN('Zoopl Analysis'!I186)))</f>
        <v/>
      </c>
      <c r="J186" s="36">
        <f>IF('Zoopl Count'!J186=0,"",('Zoopl Analysis'!J186*LN('Zoopl Analysis'!J186)))</f>
        <v>-0.33951388967976126</v>
      </c>
      <c r="K186" s="36">
        <f>IF('Zoopl Count'!K186=0,"",('Zoopl Analysis'!K186*LN('Zoopl Analysis'!K186)))</f>
        <v>-0.26562315606499248</v>
      </c>
      <c r="L186" s="36" t="str">
        <f>IF('Zoopl Count'!L186=0,"",('Zoopl Analysis'!L186*LN('Zoopl Analysis'!L186)))</f>
        <v/>
      </c>
      <c r="M186" s="36" t="str">
        <f>IF('Zoopl Count'!M186=0,"",('Zoopl Analysis'!M186*LN('Zoopl Analysis'!M186)))</f>
        <v/>
      </c>
      <c r="N186" s="36">
        <f>IF('Zoopl Count'!N186=0,"",('Zoopl Analysis'!N186*LN('Zoopl Analysis'!N186)))</f>
        <v>-0.11159195992751118</v>
      </c>
      <c r="O186" s="36" t="str">
        <f>IF('Zoopl Count'!O186=0,"",('Zoopl Analysis'!O186*LN('Zoopl Analysis'!O186)))</f>
        <v/>
      </c>
      <c r="P186" s="36" t="str">
        <f>IF('Zoopl Count'!P186=0,"",('Zoopl Analysis'!P186*LN('Zoopl Analysis'!P186)))</f>
        <v/>
      </c>
    </row>
    <row r="187" spans="1:16">
      <c r="F187" s="19" t="s">
        <v>30</v>
      </c>
      <c r="G187" s="36">
        <f>IF('Zoopl Count'!G187=0,"",('Zoopl Analysis'!G187*LN('Zoopl Analysis'!G187)))</f>
        <v>5.3347211438123763</v>
      </c>
      <c r="H187" s="36">
        <f>IF('Zoopl Count'!H187=0,"",('Zoopl Analysis'!H187*LN('Zoopl Analysis'!H187)))</f>
        <v>0.99515008060635124</v>
      </c>
      <c r="I187" s="36">
        <f>IF('Zoopl Count'!I187=0,"",('Zoopl Analysis'!I187*LN('Zoopl Analysis'!I187)))</f>
        <v>1.0497240988050726E-2</v>
      </c>
      <c r="J187" s="36">
        <f>IF('Zoopl Count'!J187=0,"",('Zoopl Analysis'!J187*LN('Zoopl Analysis'!J187)))</f>
        <v>2.7577379646475362</v>
      </c>
      <c r="K187" s="36">
        <f>IF('Zoopl Count'!K187=0,"",('Zoopl Analysis'!K187*LN('Zoopl Analysis'!K187)))</f>
        <v>12.976024395441044</v>
      </c>
      <c r="L187" s="36">
        <f>IF('Zoopl Count'!L187=0,"",('Zoopl Analysis'!L187*LN('Zoopl Analysis'!L187)))</f>
        <v>275.0200255242936</v>
      </c>
      <c r="M187" s="36">
        <f>IF('Zoopl Count'!M187=0,"",('Zoopl Analysis'!M187*LN('Zoopl Analysis'!M187)))</f>
        <v>1.5338593796017899</v>
      </c>
      <c r="N187" s="36">
        <f>IF('Zoopl Count'!N187=0,"",('Zoopl Analysis'!N187*LN('Zoopl Analysis'!N187)))</f>
        <v>-0.36539354602257773</v>
      </c>
      <c r="O187" s="36">
        <f>IF('Zoopl Count'!O187=0,"",('Zoopl Analysis'!O187*LN('Zoopl Analysis'!O187)))</f>
        <v>264.23662377022936</v>
      </c>
      <c r="P187" s="36">
        <f>IF('Zoopl Count'!P187=0,"",('Zoopl Analysis'!P187*LN('Zoopl Analysis'!P187)))</f>
        <v>14.90600012417325</v>
      </c>
    </row>
    <row r="188" spans="1:16">
      <c r="F188" s="19" t="s">
        <v>173</v>
      </c>
      <c r="G188" s="36">
        <f>IF('Zoopl Count'!G188=0,"",('Zoopl Analysis'!G188*LN('Zoopl Analysis'!G188)))</f>
        <v>-0.35050162848493283</v>
      </c>
      <c r="H188" s="36">
        <f>IF('Zoopl Count'!H188=0,"",('Zoopl Analysis'!H188*LN('Zoopl Analysis'!H188)))</f>
        <v>-0.36715914952180329</v>
      </c>
      <c r="I188" s="36">
        <f>IF('Zoopl Count'!I188=0,"",('Zoopl Analysis'!I188*LN('Zoopl Analysis'!I188)))</f>
        <v>-0.34984870252687161</v>
      </c>
      <c r="J188" s="36">
        <f>IF('Zoopl Count'!J188=0,"",('Zoopl Analysis'!J188*LN('Zoopl Analysis'!J188)))</f>
        <v>0.7002996056534132</v>
      </c>
      <c r="K188" s="36">
        <f>IF('Zoopl Count'!K188=0,"",('Zoopl Analysis'!K188*LN('Zoopl Analysis'!K188)))</f>
        <v>-0.27892538293252489</v>
      </c>
      <c r="L188" s="36">
        <f>IF('Zoopl Count'!L188=0,"",('Zoopl Analysis'!L188*LN('Zoopl Analysis'!L188)))</f>
        <v>-0.33951388967976126</v>
      </c>
      <c r="M188" s="36">
        <f>IF('Zoopl Count'!M188=0,"",('Zoopl Analysis'!M188*LN('Zoopl Analysis'!M188)))</f>
        <v>-0.36715914952180329</v>
      </c>
      <c r="N188" s="36">
        <f>IF('Zoopl Count'!N188=0,"",('Zoopl Analysis'!N188*LN('Zoopl Analysis'!N188)))</f>
        <v>-0.11159195992751118</v>
      </c>
      <c r="O188" s="36">
        <f>IF('Zoopl Count'!O188=0,"",('Zoopl Analysis'!O188*LN('Zoopl Analysis'!O188)))</f>
        <v>39.152226384146715</v>
      </c>
      <c r="P188" s="36">
        <f>IF('Zoopl Count'!P188=0,"",('Zoopl Analysis'!P188*LN('Zoopl Analysis'!P188)))</f>
        <v>3.569535415047453</v>
      </c>
    </row>
    <row r="189" spans="1:16">
      <c r="F189" s="19" t="s">
        <v>222</v>
      </c>
      <c r="G189" s="36" t="str">
        <f>IF('Zoopl Count'!G189=0,"",('Zoopl Analysis'!G189*LN('Zoopl Analysis'!G189)))</f>
        <v/>
      </c>
      <c r="H189" s="36" t="str">
        <f>IF('Zoopl Count'!H189=0,"",('Zoopl Analysis'!H189*LN('Zoopl Analysis'!H189)))</f>
        <v/>
      </c>
      <c r="I189" s="36" t="str">
        <f>IF('Zoopl Count'!I189=0,"",('Zoopl Analysis'!I189*LN('Zoopl Analysis'!I189)))</f>
        <v/>
      </c>
      <c r="J189" s="36" t="str">
        <f>IF('Zoopl Count'!J189=0,"",('Zoopl Analysis'!J189*LN('Zoopl Analysis'!J189)))</f>
        <v/>
      </c>
      <c r="K189" s="36" t="str">
        <f>IF('Zoopl Count'!K189=0,"",('Zoopl Analysis'!K189*LN('Zoopl Analysis'!K189)))</f>
        <v/>
      </c>
      <c r="L189" s="36" t="str">
        <f>IF('Zoopl Count'!L189=0,"",('Zoopl Analysis'!L189*LN('Zoopl Analysis'!L189)))</f>
        <v/>
      </c>
      <c r="M189" s="36" t="str">
        <f>IF('Zoopl Count'!M189=0,"",('Zoopl Analysis'!M189*LN('Zoopl Analysis'!M189)))</f>
        <v/>
      </c>
      <c r="N189" s="36" t="str">
        <f>IF('Zoopl Count'!N189=0,"",('Zoopl Analysis'!N189*LN('Zoopl Analysis'!N189)))</f>
        <v/>
      </c>
      <c r="O189" s="36" t="str">
        <f>IF('Zoopl Count'!O189=0,"",('Zoopl Analysis'!O189*LN('Zoopl Analysis'!O189)))</f>
        <v/>
      </c>
      <c r="P189" s="36" t="str">
        <f>IF('Zoopl Count'!P189=0,"",('Zoopl Analysis'!P189*LN('Zoopl Analysis'!P189)))</f>
        <v/>
      </c>
    </row>
    <row r="190" spans="1:16">
      <c r="D190" s="12" t="s">
        <v>12</v>
      </c>
      <c r="E190" s="6" t="s">
        <v>31</v>
      </c>
      <c r="G190" s="36" t="str">
        <f>IF('Zoopl Count'!G190=0,"",('Zoopl Analysis'!G190*LN('Zoopl Analysis'!G190)))</f>
        <v/>
      </c>
      <c r="H190" s="36" t="str">
        <f>IF('Zoopl Count'!H190=0,"",('Zoopl Analysis'!H190*LN('Zoopl Analysis'!H190)))</f>
        <v/>
      </c>
      <c r="I190" s="36" t="str">
        <f>IF('Zoopl Count'!I190=0,"",('Zoopl Analysis'!I190*LN('Zoopl Analysis'!I190)))</f>
        <v/>
      </c>
      <c r="J190" s="36" t="str">
        <f>IF('Zoopl Count'!J190=0,"",('Zoopl Analysis'!J190*LN('Zoopl Analysis'!J190)))</f>
        <v/>
      </c>
      <c r="K190" s="36" t="str">
        <f>IF('Zoopl Count'!K190=0,"",('Zoopl Analysis'!K190*LN('Zoopl Analysis'!K190)))</f>
        <v/>
      </c>
      <c r="L190" s="36" t="str">
        <f>IF('Zoopl Count'!L190=0,"",('Zoopl Analysis'!L190*LN('Zoopl Analysis'!L190)))</f>
        <v/>
      </c>
      <c r="M190" s="36" t="str">
        <f>IF('Zoopl Count'!M190=0,"",('Zoopl Analysis'!M190*LN('Zoopl Analysis'!M190)))</f>
        <v/>
      </c>
      <c r="N190" s="36" t="str">
        <f>IF('Zoopl Count'!N190=0,"",('Zoopl Analysis'!N190*LN('Zoopl Analysis'!N190)))</f>
        <v/>
      </c>
      <c r="O190" s="36" t="str">
        <f>IF('Zoopl Count'!O190=0,"",('Zoopl Analysis'!O190*LN('Zoopl Analysis'!O190)))</f>
        <v/>
      </c>
      <c r="P190" s="36" t="str">
        <f>IF('Zoopl Count'!P190=0,"",('Zoopl Analysis'!P190*LN('Zoopl Analysis'!P190)))</f>
        <v/>
      </c>
    </row>
    <row r="191" spans="1:16">
      <c r="E191" s="8" t="s">
        <v>14</v>
      </c>
      <c r="F191" s="10" t="s">
        <v>170</v>
      </c>
      <c r="G191" s="36" t="str">
        <f>IF('Zoopl Count'!G191=0,"",('Zoopl Analysis'!G191*LN('Zoopl Analysis'!G191)))</f>
        <v/>
      </c>
      <c r="H191" s="36" t="str">
        <f>IF('Zoopl Count'!H191=0,"",('Zoopl Analysis'!H191*LN('Zoopl Analysis'!H191)))</f>
        <v/>
      </c>
      <c r="I191" s="36" t="str">
        <f>IF('Zoopl Count'!I191=0,"",('Zoopl Analysis'!I191*LN('Zoopl Analysis'!I191)))</f>
        <v/>
      </c>
      <c r="J191" s="36" t="str">
        <f>IF('Zoopl Count'!J191=0,"",('Zoopl Analysis'!J191*LN('Zoopl Analysis'!J191)))</f>
        <v/>
      </c>
      <c r="K191" s="36" t="str">
        <f>IF('Zoopl Count'!K191=0,"",('Zoopl Analysis'!K191*LN('Zoopl Analysis'!K191)))</f>
        <v/>
      </c>
      <c r="L191" s="36" t="str">
        <f>IF('Zoopl Count'!L191=0,"",('Zoopl Analysis'!L191*LN('Zoopl Analysis'!L191)))</f>
        <v/>
      </c>
      <c r="M191" s="36" t="str">
        <f>IF('Zoopl Count'!M191=0,"",('Zoopl Analysis'!M191*LN('Zoopl Analysis'!M191)))</f>
        <v/>
      </c>
      <c r="N191" s="36" t="str">
        <f>IF('Zoopl Count'!N191=0,"",('Zoopl Analysis'!N191*LN('Zoopl Analysis'!N191)))</f>
        <v/>
      </c>
      <c r="O191" s="36" t="str">
        <f>IF('Zoopl Count'!O191=0,"",('Zoopl Analysis'!O191*LN('Zoopl Analysis'!O191)))</f>
        <v/>
      </c>
      <c r="P191" s="36" t="str">
        <f>IF('Zoopl Count'!P191=0,"",('Zoopl Analysis'!P191*LN('Zoopl Analysis'!P191)))</f>
        <v/>
      </c>
    </row>
    <row r="192" spans="1:16">
      <c r="E192" s="8"/>
      <c r="F192" s="10" t="s">
        <v>32</v>
      </c>
      <c r="G192" s="36">
        <f>IF('Zoopl Count'!G192=0,"",('Zoopl Analysis'!G192*LN('Zoopl Analysis'!G192)))</f>
        <v>-0.26562315606499248</v>
      </c>
      <c r="H192" s="36" t="str">
        <f>IF('Zoopl Count'!H192=0,"",('Zoopl Analysis'!H192*LN('Zoopl Analysis'!H192)))</f>
        <v/>
      </c>
      <c r="I192" s="36" t="str">
        <f>IF('Zoopl Count'!I192=0,"",('Zoopl Analysis'!I192*LN('Zoopl Analysis'!I192)))</f>
        <v/>
      </c>
      <c r="J192" s="36" t="str">
        <f>IF('Zoopl Count'!J192=0,"",('Zoopl Analysis'!J192*LN('Zoopl Analysis'!J192)))</f>
        <v/>
      </c>
      <c r="K192" s="36" t="str">
        <f>IF('Zoopl Count'!K192=0,"",('Zoopl Analysis'!K192*LN('Zoopl Analysis'!K192)))</f>
        <v/>
      </c>
      <c r="L192" s="36" t="str">
        <f>IF('Zoopl Count'!L192=0,"",('Zoopl Analysis'!L192*LN('Zoopl Analysis'!L192)))</f>
        <v/>
      </c>
      <c r="M192" s="36" t="str">
        <f>IF('Zoopl Count'!M192=0,"",('Zoopl Analysis'!M192*LN('Zoopl Analysis'!M192)))</f>
        <v/>
      </c>
      <c r="N192" s="36" t="str">
        <f>IF('Zoopl Count'!N192=0,"",('Zoopl Analysis'!N192*LN('Zoopl Analysis'!N192)))</f>
        <v/>
      </c>
      <c r="O192" s="36" t="str">
        <f>IF('Zoopl Count'!O192=0,"",('Zoopl Analysis'!O192*LN('Zoopl Analysis'!O192)))</f>
        <v/>
      </c>
      <c r="P192" s="36" t="str">
        <f>IF('Zoopl Count'!P192=0,"",('Zoopl Analysis'!P192*LN('Zoopl Analysis'!P192)))</f>
        <v/>
      </c>
    </row>
    <row r="193" spans="1:16">
      <c r="E193" s="8"/>
      <c r="F193" s="19" t="s">
        <v>309</v>
      </c>
      <c r="G193" s="36" t="str">
        <f>IF('Zoopl Count'!G193=0,"",('Zoopl Analysis'!G193*LN('Zoopl Analysis'!G193)))</f>
        <v/>
      </c>
      <c r="H193" s="36" t="str">
        <f>IF('Zoopl Count'!H193=0,"",('Zoopl Analysis'!H193*LN('Zoopl Analysis'!H193)))</f>
        <v/>
      </c>
      <c r="I193" s="36" t="str">
        <f>IF('Zoopl Count'!I193=0,"",('Zoopl Analysis'!I193*LN('Zoopl Analysis'!I193)))</f>
        <v/>
      </c>
      <c r="J193" s="36" t="str">
        <f>IF('Zoopl Count'!J193=0,"",('Zoopl Analysis'!J193*LN('Zoopl Analysis'!J193)))</f>
        <v/>
      </c>
      <c r="K193" s="36" t="str">
        <f>IF('Zoopl Count'!K193=0,"",('Zoopl Analysis'!K193*LN('Zoopl Analysis'!K193)))</f>
        <v/>
      </c>
      <c r="L193" s="36" t="str">
        <f>IF('Zoopl Count'!L193=0,"",('Zoopl Analysis'!L193*LN('Zoopl Analysis'!L193)))</f>
        <v/>
      </c>
      <c r="M193" s="36" t="str">
        <f>IF('Zoopl Count'!M193=0,"",('Zoopl Analysis'!M193*LN('Zoopl Analysis'!M193)))</f>
        <v/>
      </c>
      <c r="N193" s="36" t="str">
        <f>IF('Zoopl Count'!N193=0,"",('Zoopl Analysis'!N193*LN('Zoopl Analysis'!N193)))</f>
        <v/>
      </c>
      <c r="O193" s="36" t="str">
        <f>IF('Zoopl Count'!O193=0,"",('Zoopl Analysis'!O193*LN('Zoopl Analysis'!O193)))</f>
        <v/>
      </c>
      <c r="P193" s="36" t="str">
        <f>IF('Zoopl Count'!P193=0,"",('Zoopl Analysis'!P193*LN('Zoopl Analysis'!P193)))</f>
        <v/>
      </c>
    </row>
    <row r="194" spans="1:16">
      <c r="E194" s="8"/>
      <c r="F194" s="19" t="s">
        <v>344</v>
      </c>
      <c r="G194" s="36">
        <f>IF('Zoopl Count'!G194=0,"",('Zoopl Analysis'!G194*LN('Zoopl Analysis'!G194)))</f>
        <v>-0.35050162848493283</v>
      </c>
      <c r="H194" s="36" t="str">
        <f>IF('Zoopl Count'!H194=0,"",('Zoopl Analysis'!H194*LN('Zoopl Analysis'!H194)))</f>
        <v/>
      </c>
      <c r="I194" s="36" t="str">
        <f>IF('Zoopl Count'!I194=0,"",('Zoopl Analysis'!I194*LN('Zoopl Analysis'!I194)))</f>
        <v/>
      </c>
      <c r="J194" s="36" t="str">
        <f>IF('Zoopl Count'!J194=0,"",('Zoopl Analysis'!J194*LN('Zoopl Analysis'!J194)))</f>
        <v/>
      </c>
      <c r="K194" s="36" t="str">
        <f>IF('Zoopl Count'!K194=0,"",('Zoopl Analysis'!K194*LN('Zoopl Analysis'!K194)))</f>
        <v/>
      </c>
      <c r="L194" s="36" t="str">
        <f>IF('Zoopl Count'!L194=0,"",('Zoopl Analysis'!L194*LN('Zoopl Analysis'!L194)))</f>
        <v/>
      </c>
      <c r="M194" s="36" t="str">
        <f>IF('Zoopl Count'!M194=0,"",('Zoopl Analysis'!M194*LN('Zoopl Analysis'!M194)))</f>
        <v/>
      </c>
      <c r="N194" s="36" t="str">
        <f>IF('Zoopl Count'!N194=0,"",('Zoopl Analysis'!N194*LN('Zoopl Analysis'!N194)))</f>
        <v/>
      </c>
      <c r="O194" s="36" t="str">
        <f>IF('Zoopl Count'!O194=0,"",('Zoopl Analysis'!O194*LN('Zoopl Analysis'!O194)))</f>
        <v/>
      </c>
      <c r="P194" s="36" t="str">
        <f>IF('Zoopl Count'!P194=0,"",('Zoopl Analysis'!P194*LN('Zoopl Analysis'!P194)))</f>
        <v/>
      </c>
    </row>
    <row r="195" spans="1:16">
      <c r="D195" s="8" t="s">
        <v>12</v>
      </c>
      <c r="E195" s="6" t="s">
        <v>33</v>
      </c>
      <c r="G195" s="36" t="str">
        <f>IF('Zoopl Count'!G195=0,"",('Zoopl Analysis'!G195*LN('Zoopl Analysis'!G195)))</f>
        <v/>
      </c>
      <c r="H195" s="36" t="str">
        <f>IF('Zoopl Count'!H195=0,"",('Zoopl Analysis'!H195*LN('Zoopl Analysis'!H195)))</f>
        <v/>
      </c>
      <c r="I195" s="36" t="str">
        <f>IF('Zoopl Count'!I195=0,"",('Zoopl Analysis'!I195*LN('Zoopl Analysis'!I195)))</f>
        <v/>
      </c>
      <c r="J195" s="36" t="str">
        <f>IF('Zoopl Count'!J195=0,"",('Zoopl Analysis'!J195*LN('Zoopl Analysis'!J195)))</f>
        <v/>
      </c>
      <c r="K195" s="36" t="str">
        <f>IF('Zoopl Count'!K195=0,"",('Zoopl Analysis'!K195*LN('Zoopl Analysis'!K195)))</f>
        <v/>
      </c>
      <c r="L195" s="36" t="str">
        <f>IF('Zoopl Count'!L195=0,"",('Zoopl Analysis'!L195*LN('Zoopl Analysis'!L195)))</f>
        <v/>
      </c>
      <c r="M195" s="36" t="str">
        <f>IF('Zoopl Count'!M195=0,"",('Zoopl Analysis'!M195*LN('Zoopl Analysis'!M195)))</f>
        <v/>
      </c>
      <c r="N195" s="36" t="str">
        <f>IF('Zoopl Count'!N195=0,"",('Zoopl Analysis'!N195*LN('Zoopl Analysis'!N195)))</f>
        <v/>
      </c>
      <c r="O195" s="36" t="str">
        <f>IF('Zoopl Count'!O195=0,"",('Zoopl Analysis'!O195*LN('Zoopl Analysis'!O195)))</f>
        <v/>
      </c>
      <c r="P195" s="36" t="str">
        <f>IF('Zoopl Count'!P195=0,"",('Zoopl Analysis'!P195*LN('Zoopl Analysis'!P195)))</f>
        <v/>
      </c>
    </row>
    <row r="196" spans="1:16">
      <c r="E196" s="8" t="s">
        <v>14</v>
      </c>
      <c r="F196" s="19" t="s">
        <v>34</v>
      </c>
      <c r="G196" s="36">
        <f>IF('Zoopl Count'!G196=0,"",('Zoopl Analysis'!G196*LN('Zoopl Analysis'!G196)))</f>
        <v>-0.26562315606499248</v>
      </c>
      <c r="H196" s="36">
        <f>IF('Zoopl Count'!H196=0,"",('Zoopl Analysis'!H196*LN('Zoopl Analysis'!H196)))</f>
        <v>-0.26562315606499248</v>
      </c>
      <c r="I196" s="36" t="str">
        <f>IF('Zoopl Count'!I196=0,"",('Zoopl Analysis'!I196*LN('Zoopl Analysis'!I196)))</f>
        <v/>
      </c>
      <c r="J196" s="36" t="str">
        <f>IF('Zoopl Count'!J196=0,"",('Zoopl Analysis'!J196*LN('Zoopl Analysis'!J196)))</f>
        <v/>
      </c>
      <c r="K196" s="36" t="str">
        <f>IF('Zoopl Count'!K196=0,"",('Zoopl Analysis'!K196*LN('Zoopl Analysis'!K196)))</f>
        <v/>
      </c>
      <c r="L196" s="36" t="str">
        <f>IF('Zoopl Count'!L196=0,"",('Zoopl Analysis'!L196*LN('Zoopl Analysis'!L196)))</f>
        <v/>
      </c>
      <c r="M196" s="36" t="str">
        <f>IF('Zoopl Count'!M196=0,"",('Zoopl Analysis'!M196*LN('Zoopl Analysis'!M196)))</f>
        <v/>
      </c>
      <c r="N196" s="36" t="str">
        <f>IF('Zoopl Count'!N196=0,"",('Zoopl Analysis'!N196*LN('Zoopl Analysis'!N196)))</f>
        <v/>
      </c>
      <c r="O196" s="36" t="str">
        <f>IF('Zoopl Count'!O196=0,"",('Zoopl Analysis'!O196*LN('Zoopl Analysis'!O196)))</f>
        <v/>
      </c>
      <c r="P196" s="36" t="str">
        <f>IF('Zoopl Count'!P196=0,"",('Zoopl Analysis'!P196*LN('Zoopl Analysis'!P196)))</f>
        <v/>
      </c>
    </row>
    <row r="197" spans="1:16">
      <c r="E197" s="8"/>
      <c r="F197" s="19" t="s">
        <v>341</v>
      </c>
      <c r="G197" s="36" t="str">
        <f>IF('Zoopl Count'!G197=0,"",('Zoopl Analysis'!G197*LN('Zoopl Analysis'!G197)))</f>
        <v/>
      </c>
      <c r="H197" s="36" t="str">
        <f>IF('Zoopl Count'!H197=0,"",('Zoopl Analysis'!H197*LN('Zoopl Analysis'!H197)))</f>
        <v/>
      </c>
      <c r="I197" s="36" t="str">
        <f>IF('Zoopl Count'!I197=0,"",('Zoopl Analysis'!I197*LN('Zoopl Analysis'!I197)))</f>
        <v/>
      </c>
      <c r="J197" s="36" t="str">
        <f>IF('Zoopl Count'!J197=0,"",('Zoopl Analysis'!J197*LN('Zoopl Analysis'!J197)))</f>
        <v/>
      </c>
      <c r="K197" s="36" t="str">
        <f>IF('Zoopl Count'!K197=0,"",('Zoopl Analysis'!K197*LN('Zoopl Analysis'!K197)))</f>
        <v/>
      </c>
      <c r="L197" s="36" t="str">
        <f>IF('Zoopl Count'!L197=0,"",('Zoopl Analysis'!L197*LN('Zoopl Analysis'!L197)))</f>
        <v/>
      </c>
      <c r="M197" s="36" t="str">
        <f>IF('Zoopl Count'!M197=0,"",('Zoopl Analysis'!M197*LN('Zoopl Analysis'!M197)))</f>
        <v/>
      </c>
      <c r="N197" s="36" t="str">
        <f>IF('Zoopl Count'!N197=0,"",('Zoopl Analysis'!N197*LN('Zoopl Analysis'!N197)))</f>
        <v/>
      </c>
      <c r="O197" s="36" t="str">
        <f>IF('Zoopl Count'!O197=0,"",('Zoopl Analysis'!O197*LN('Zoopl Analysis'!O197)))</f>
        <v/>
      </c>
      <c r="P197" s="36" t="str">
        <f>IF('Zoopl Count'!P197=0,"",('Zoopl Analysis'!P197*LN('Zoopl Analysis'!P197)))</f>
        <v/>
      </c>
    </row>
    <row r="198" spans="1:16">
      <c r="A198" s="199"/>
      <c r="B198" s="199"/>
      <c r="C198" s="199"/>
      <c r="D198" s="200" t="s">
        <v>12</v>
      </c>
      <c r="E198" s="199" t="s">
        <v>295</v>
      </c>
      <c r="F198" s="199"/>
      <c r="G198" s="36" t="str">
        <f>IF('Zoopl Count'!G198=0,"",('Zoopl Analysis'!G198*LN('Zoopl Analysis'!G198)))</f>
        <v/>
      </c>
      <c r="H198" s="36" t="str">
        <f>IF('Zoopl Count'!H198=0,"",('Zoopl Analysis'!H198*LN('Zoopl Analysis'!H198)))</f>
        <v/>
      </c>
      <c r="I198" s="36" t="str">
        <f>IF('Zoopl Count'!I198=0,"",('Zoopl Analysis'!I198*LN('Zoopl Analysis'!I198)))</f>
        <v/>
      </c>
      <c r="J198" s="36" t="str">
        <f>IF('Zoopl Count'!J198=0,"",('Zoopl Analysis'!J198*LN('Zoopl Analysis'!J198)))</f>
        <v/>
      </c>
      <c r="K198" s="36" t="str">
        <f>IF('Zoopl Count'!K198=0,"",('Zoopl Analysis'!K198*LN('Zoopl Analysis'!K198)))</f>
        <v/>
      </c>
      <c r="L198" s="36" t="str">
        <f>IF('Zoopl Count'!L198=0,"",('Zoopl Analysis'!L198*LN('Zoopl Analysis'!L198)))</f>
        <v/>
      </c>
      <c r="M198" s="36" t="str">
        <f>IF('Zoopl Count'!M198=0,"",('Zoopl Analysis'!M198*LN('Zoopl Analysis'!M198)))</f>
        <v/>
      </c>
      <c r="N198" s="36" t="str">
        <f>IF('Zoopl Count'!N198=0,"",('Zoopl Analysis'!N198*LN('Zoopl Analysis'!N198)))</f>
        <v/>
      </c>
      <c r="O198" s="36" t="str">
        <f>IF('Zoopl Count'!O198=0,"",('Zoopl Analysis'!O198*LN('Zoopl Analysis'!O198)))</f>
        <v/>
      </c>
      <c r="P198" s="36" t="str">
        <f>IF('Zoopl Count'!P198=0,"",('Zoopl Analysis'!P198*LN('Zoopl Analysis'!P198)))</f>
        <v/>
      </c>
    </row>
    <row r="199" spans="1:16">
      <c r="A199" s="199"/>
      <c r="B199" s="199"/>
      <c r="C199" s="199"/>
      <c r="D199" s="199"/>
      <c r="E199" s="200" t="s">
        <v>14</v>
      </c>
      <c r="F199" s="19" t="s">
        <v>296</v>
      </c>
      <c r="G199" s="36">
        <f>IF('Zoopl Count'!G199=0,"",('Zoopl Analysis'!G199*LN('Zoopl Analysis'!G199)))</f>
        <v>-0.26562315606499248</v>
      </c>
      <c r="H199" s="36" t="str">
        <f>IF('Zoopl Count'!H199=0,"",('Zoopl Analysis'!H199*LN('Zoopl Analysis'!H199)))</f>
        <v/>
      </c>
      <c r="I199" s="36">
        <f>IF('Zoopl Count'!I199=0,"",('Zoopl Analysis'!I199*LN('Zoopl Analysis'!I199)))</f>
        <v>-0.11159195992751118</v>
      </c>
      <c r="J199" s="36" t="str">
        <f>IF('Zoopl Count'!J199=0,"",('Zoopl Analysis'!J199*LN('Zoopl Analysis'!J199)))</f>
        <v/>
      </c>
      <c r="K199" s="36">
        <f>IF('Zoopl Count'!K199=0,"",('Zoopl Analysis'!K199*LN('Zoopl Analysis'!K199)))</f>
        <v>-0.26562315606499248</v>
      </c>
      <c r="L199" s="36" t="str">
        <f>IF('Zoopl Count'!L199=0,"",('Zoopl Analysis'!L199*LN('Zoopl Analysis'!L199)))</f>
        <v/>
      </c>
      <c r="M199" s="36" t="str">
        <f>IF('Zoopl Count'!M199=0,"",('Zoopl Analysis'!M199*LN('Zoopl Analysis'!M199)))</f>
        <v/>
      </c>
      <c r="N199" s="36">
        <f>IF('Zoopl Count'!N199=0,"",('Zoopl Analysis'!N199*LN('Zoopl Analysis'!N199)))</f>
        <v>-0.11159195992751118</v>
      </c>
      <c r="O199" s="36">
        <f>IF('Zoopl Count'!O199=0,"",('Zoopl Analysis'!O199*LN('Zoopl Analysis'!O199)))</f>
        <v>4.3950955220686219E-2</v>
      </c>
      <c r="P199" s="36" t="str">
        <f>IF('Zoopl Count'!P199=0,"",('Zoopl Analysis'!P199*LN('Zoopl Analysis'!P199)))</f>
        <v/>
      </c>
    </row>
    <row r="200" spans="1:16">
      <c r="A200" s="199"/>
      <c r="B200" s="199"/>
      <c r="C200" s="199"/>
      <c r="D200" s="200" t="s">
        <v>12</v>
      </c>
      <c r="E200" s="201" t="s">
        <v>160</v>
      </c>
      <c r="F200" s="19"/>
      <c r="G200" s="36" t="str">
        <f>IF('Zoopl Count'!G200=0,"",('Zoopl Analysis'!G200*LN('Zoopl Analysis'!G200)))</f>
        <v/>
      </c>
      <c r="H200" s="36" t="str">
        <f>IF('Zoopl Count'!H200=0,"",('Zoopl Analysis'!H200*LN('Zoopl Analysis'!H200)))</f>
        <v/>
      </c>
      <c r="I200" s="36" t="str">
        <f>IF('Zoopl Count'!I200=0,"",('Zoopl Analysis'!I200*LN('Zoopl Analysis'!I200)))</f>
        <v/>
      </c>
      <c r="J200" s="36" t="str">
        <f>IF('Zoopl Count'!J200=0,"",('Zoopl Analysis'!J200*LN('Zoopl Analysis'!J200)))</f>
        <v/>
      </c>
      <c r="K200" s="36" t="str">
        <f>IF('Zoopl Count'!K200=0,"",('Zoopl Analysis'!K200*LN('Zoopl Analysis'!K200)))</f>
        <v/>
      </c>
      <c r="L200" s="36" t="str">
        <f>IF('Zoopl Count'!L200=0,"",('Zoopl Analysis'!L200*LN('Zoopl Analysis'!L200)))</f>
        <v/>
      </c>
      <c r="M200" s="36" t="str">
        <f>IF('Zoopl Count'!M200=0,"",('Zoopl Analysis'!M200*LN('Zoopl Analysis'!M200)))</f>
        <v/>
      </c>
      <c r="N200" s="36" t="str">
        <f>IF('Zoopl Count'!N200=0,"",('Zoopl Analysis'!N200*LN('Zoopl Analysis'!N200)))</f>
        <v/>
      </c>
      <c r="O200" s="36" t="str">
        <f>IF('Zoopl Count'!O200=0,"",('Zoopl Analysis'!O200*LN('Zoopl Analysis'!O200)))</f>
        <v/>
      </c>
      <c r="P200" s="36" t="str">
        <f>IF('Zoopl Count'!P200=0,"",('Zoopl Analysis'!P200*LN('Zoopl Analysis'!P200)))</f>
        <v/>
      </c>
    </row>
    <row r="201" spans="1:16">
      <c r="E201" s="8" t="s">
        <v>14</v>
      </c>
      <c r="F201" s="19" t="s">
        <v>161</v>
      </c>
      <c r="G201" s="36" t="str">
        <f>IF('Zoopl Count'!G201=0,"",('Zoopl Analysis'!G201*LN('Zoopl Analysis'!G201)))</f>
        <v/>
      </c>
      <c r="H201" s="36" t="str">
        <f>IF('Zoopl Count'!H201=0,"",('Zoopl Analysis'!H201*LN('Zoopl Analysis'!H201)))</f>
        <v/>
      </c>
      <c r="I201" s="36" t="str">
        <f>IF('Zoopl Count'!I201=0,"",('Zoopl Analysis'!I201*LN('Zoopl Analysis'!I201)))</f>
        <v/>
      </c>
      <c r="J201" s="36" t="str">
        <f>IF('Zoopl Count'!J201=0,"",('Zoopl Analysis'!J201*LN('Zoopl Analysis'!J201)))</f>
        <v/>
      </c>
      <c r="K201" s="36" t="str">
        <f>IF('Zoopl Count'!K201=0,"",('Zoopl Analysis'!K201*LN('Zoopl Analysis'!K201)))</f>
        <v/>
      </c>
      <c r="L201" s="36" t="str">
        <f>IF('Zoopl Count'!L201=0,"",('Zoopl Analysis'!L201*LN('Zoopl Analysis'!L201)))</f>
        <v/>
      </c>
      <c r="M201" s="36" t="str">
        <f>IF('Zoopl Count'!M201=0,"",('Zoopl Analysis'!M201*LN('Zoopl Analysis'!M201)))</f>
        <v/>
      </c>
      <c r="N201" s="36" t="str">
        <f>IF('Zoopl Count'!N201=0,"",('Zoopl Analysis'!N201*LN('Zoopl Analysis'!N201)))</f>
        <v/>
      </c>
      <c r="O201" s="36" t="str">
        <f>IF('Zoopl Count'!O201=0,"",('Zoopl Analysis'!O201*LN('Zoopl Analysis'!O201)))</f>
        <v/>
      </c>
      <c r="P201" s="36" t="str">
        <f>IF('Zoopl Count'!P201=0,"",('Zoopl Analysis'!P201*LN('Zoopl Analysis'!P201)))</f>
        <v/>
      </c>
    </row>
    <row r="202" spans="1:16">
      <c r="G202" s="36" t="str">
        <f>IF('Zoopl Count'!G202=0,"",('Zoopl Analysis'!G202*LN('Zoopl Analysis'!G202)))</f>
        <v/>
      </c>
      <c r="H202" s="36" t="str">
        <f>IF('Zoopl Count'!H202=0,"",('Zoopl Analysis'!H202*LN('Zoopl Analysis'!H202)))</f>
        <v/>
      </c>
      <c r="I202" s="36" t="str">
        <f>IF('Zoopl Count'!I202=0,"",('Zoopl Analysis'!I202*LN('Zoopl Analysis'!I202)))</f>
        <v/>
      </c>
      <c r="J202" s="36" t="str">
        <f>IF('Zoopl Count'!J202=0,"",('Zoopl Analysis'!J202*LN('Zoopl Analysis'!J202)))</f>
        <v/>
      </c>
      <c r="K202" s="36" t="str">
        <f>IF('Zoopl Count'!K202=0,"",('Zoopl Analysis'!K202*LN('Zoopl Analysis'!K202)))</f>
        <v/>
      </c>
      <c r="L202" s="36" t="str">
        <f>IF('Zoopl Count'!L202=0,"",('Zoopl Analysis'!L202*LN('Zoopl Analysis'!L202)))</f>
        <v/>
      </c>
      <c r="M202" s="36" t="str">
        <f>IF('Zoopl Count'!M202=0,"",('Zoopl Analysis'!M202*LN('Zoopl Analysis'!M202)))</f>
        <v/>
      </c>
      <c r="N202" s="36" t="str">
        <f>IF('Zoopl Count'!N202=0,"",('Zoopl Analysis'!N202*LN('Zoopl Analysis'!N202)))</f>
        <v/>
      </c>
      <c r="O202" s="36" t="str">
        <f>IF('Zoopl Count'!O202=0,"",('Zoopl Analysis'!O202*LN('Zoopl Analysis'!O202)))</f>
        <v/>
      </c>
      <c r="P202" s="36" t="str">
        <f>IF('Zoopl Count'!P202=0,"",('Zoopl Analysis'!P202*LN('Zoopl Analysis'!P202)))</f>
        <v/>
      </c>
    </row>
    <row r="203" spans="1:16">
      <c r="C203" s="8" t="s">
        <v>10</v>
      </c>
      <c r="D203" s="2" t="s">
        <v>35</v>
      </c>
      <c r="G203" s="36" t="str">
        <f>IF('Zoopl Count'!G203=0,"",('Zoopl Analysis'!G203*LN('Zoopl Analysis'!G203)))</f>
        <v/>
      </c>
      <c r="H203" s="36" t="str">
        <f>IF('Zoopl Count'!H203=0,"",('Zoopl Analysis'!H203*LN('Zoopl Analysis'!H203)))</f>
        <v/>
      </c>
      <c r="I203" s="36" t="str">
        <f>IF('Zoopl Count'!I203=0,"",('Zoopl Analysis'!I203*LN('Zoopl Analysis'!I203)))</f>
        <v/>
      </c>
      <c r="J203" s="36" t="str">
        <f>IF('Zoopl Count'!J203=0,"",('Zoopl Analysis'!J203*LN('Zoopl Analysis'!J203)))</f>
        <v/>
      </c>
      <c r="K203" s="36" t="str">
        <f>IF('Zoopl Count'!K203=0,"",('Zoopl Analysis'!K203*LN('Zoopl Analysis'!K203)))</f>
        <v/>
      </c>
      <c r="L203" s="36" t="str">
        <f>IF('Zoopl Count'!L203=0,"",('Zoopl Analysis'!L203*LN('Zoopl Analysis'!L203)))</f>
        <v/>
      </c>
      <c r="M203" s="36" t="str">
        <f>IF('Zoopl Count'!M203=0,"",('Zoopl Analysis'!M203*LN('Zoopl Analysis'!M203)))</f>
        <v/>
      </c>
      <c r="N203" s="36" t="str">
        <f>IF('Zoopl Count'!N203=0,"",('Zoopl Analysis'!N203*LN('Zoopl Analysis'!N203)))</f>
        <v/>
      </c>
      <c r="O203" s="36" t="str">
        <f>IF('Zoopl Count'!O203=0,"",('Zoopl Analysis'!O203*LN('Zoopl Analysis'!O203)))</f>
        <v/>
      </c>
      <c r="P203" s="36" t="str">
        <f>IF('Zoopl Count'!P203=0,"",('Zoopl Analysis'!P203*LN('Zoopl Analysis'!P203)))</f>
        <v/>
      </c>
    </row>
    <row r="204" spans="1:16">
      <c r="C204" s="8"/>
      <c r="D204" s="2"/>
      <c r="F204" s="6" t="s">
        <v>158</v>
      </c>
      <c r="G204" s="36" t="str">
        <f>IF('Zoopl Count'!G204=0,"",('Zoopl Analysis'!G204*LN('Zoopl Analysis'!G204)))</f>
        <v/>
      </c>
      <c r="H204" s="36" t="str">
        <f>IF('Zoopl Count'!H204=0,"",('Zoopl Analysis'!H204*LN('Zoopl Analysis'!H204)))</f>
        <v/>
      </c>
      <c r="I204" s="36" t="str">
        <f>IF('Zoopl Count'!I204=0,"",('Zoopl Analysis'!I204*LN('Zoopl Analysis'!I204)))</f>
        <v/>
      </c>
      <c r="J204" s="36" t="str">
        <f>IF('Zoopl Count'!J204=0,"",('Zoopl Analysis'!J204*LN('Zoopl Analysis'!J204)))</f>
        <v/>
      </c>
      <c r="K204" s="36" t="str">
        <f>IF('Zoopl Count'!K204=0,"",('Zoopl Analysis'!K204*LN('Zoopl Analysis'!K204)))</f>
        <v/>
      </c>
      <c r="L204" s="36" t="str">
        <f>IF('Zoopl Count'!L204=0,"",('Zoopl Analysis'!L204*LN('Zoopl Analysis'!L204)))</f>
        <v/>
      </c>
      <c r="M204" s="36" t="str">
        <f>IF('Zoopl Count'!M204=0,"",('Zoopl Analysis'!M204*LN('Zoopl Analysis'!M204)))</f>
        <v/>
      </c>
      <c r="N204" s="36" t="str">
        <f>IF('Zoopl Count'!N204=0,"",('Zoopl Analysis'!N204*LN('Zoopl Analysis'!N204)))</f>
        <v/>
      </c>
      <c r="O204" s="36" t="str">
        <f>IF('Zoopl Count'!O204=0,"",('Zoopl Analysis'!O204*LN('Zoopl Analysis'!O204)))</f>
        <v/>
      </c>
      <c r="P204" s="36" t="str">
        <f>IF('Zoopl Count'!P204=0,"",('Zoopl Analysis'!P204*LN('Zoopl Analysis'!P204)))</f>
        <v/>
      </c>
    </row>
    <row r="205" spans="1:16">
      <c r="C205" s="8"/>
      <c r="D205" s="2"/>
      <c r="F205" s="6" t="s">
        <v>105</v>
      </c>
      <c r="G205" s="36" t="str">
        <f>IF('Zoopl Count'!G205=0,"",('Zoopl Analysis'!G205*LN('Zoopl Analysis'!G205)))</f>
        <v/>
      </c>
      <c r="H205" s="36" t="str">
        <f>IF('Zoopl Count'!H205=0,"",('Zoopl Analysis'!H205*LN('Zoopl Analysis'!H205)))</f>
        <v/>
      </c>
      <c r="I205" s="36" t="str">
        <f>IF('Zoopl Count'!I205=0,"",('Zoopl Analysis'!I205*LN('Zoopl Analysis'!I205)))</f>
        <v/>
      </c>
      <c r="J205" s="36" t="str">
        <f>IF('Zoopl Count'!J205=0,"",('Zoopl Analysis'!J205*LN('Zoopl Analysis'!J205)))</f>
        <v/>
      </c>
      <c r="K205" s="36" t="str">
        <f>IF('Zoopl Count'!K205=0,"",('Zoopl Analysis'!K205*LN('Zoopl Analysis'!K205)))</f>
        <v/>
      </c>
      <c r="L205" s="36" t="str">
        <f>IF('Zoopl Count'!L205=0,"",('Zoopl Analysis'!L205*LN('Zoopl Analysis'!L205)))</f>
        <v/>
      </c>
      <c r="M205" s="36" t="str">
        <f>IF('Zoopl Count'!M205=0,"",('Zoopl Analysis'!M205*LN('Zoopl Analysis'!M205)))</f>
        <v/>
      </c>
      <c r="N205" s="36" t="str">
        <f>IF('Zoopl Count'!N205=0,"",('Zoopl Analysis'!N205*LN('Zoopl Analysis'!N205)))</f>
        <v/>
      </c>
      <c r="O205" s="36" t="str">
        <f>IF('Zoopl Count'!O205=0,"",('Zoopl Analysis'!O205*LN('Zoopl Analysis'!O205)))</f>
        <v/>
      </c>
      <c r="P205" s="36" t="str">
        <f>IF('Zoopl Count'!P205=0,"",('Zoopl Analysis'!P205*LN('Zoopl Analysis'!P205)))</f>
        <v/>
      </c>
    </row>
    <row r="206" spans="1:16">
      <c r="D206" s="8" t="s">
        <v>12</v>
      </c>
      <c r="E206" s="6" t="s">
        <v>36</v>
      </c>
      <c r="G206" s="36" t="str">
        <f>IF('Zoopl Count'!G206=0,"",('Zoopl Analysis'!G206*LN('Zoopl Analysis'!G206)))</f>
        <v/>
      </c>
      <c r="H206" s="36" t="str">
        <f>IF('Zoopl Count'!H206=0,"",('Zoopl Analysis'!H206*LN('Zoopl Analysis'!H206)))</f>
        <v/>
      </c>
      <c r="I206" s="36" t="str">
        <f>IF('Zoopl Count'!I206=0,"",('Zoopl Analysis'!I206*LN('Zoopl Analysis'!I206)))</f>
        <v/>
      </c>
      <c r="J206" s="36" t="str">
        <f>IF('Zoopl Count'!J206=0,"",('Zoopl Analysis'!J206*LN('Zoopl Analysis'!J206)))</f>
        <v/>
      </c>
      <c r="K206" s="36" t="str">
        <f>IF('Zoopl Count'!K206=0,"",('Zoopl Analysis'!K206*LN('Zoopl Analysis'!K206)))</f>
        <v/>
      </c>
      <c r="L206" s="36" t="str">
        <f>IF('Zoopl Count'!L206=0,"",('Zoopl Analysis'!L206*LN('Zoopl Analysis'!L206)))</f>
        <v/>
      </c>
      <c r="M206" s="36" t="str">
        <f>IF('Zoopl Count'!M206=0,"",('Zoopl Analysis'!M206*LN('Zoopl Analysis'!M206)))</f>
        <v/>
      </c>
      <c r="N206" s="36" t="str">
        <f>IF('Zoopl Count'!N206=0,"",('Zoopl Analysis'!N206*LN('Zoopl Analysis'!N206)))</f>
        <v/>
      </c>
      <c r="O206" s="36" t="str">
        <f>IF('Zoopl Count'!O206=0,"",('Zoopl Analysis'!O206*LN('Zoopl Analysis'!O206)))</f>
        <v/>
      </c>
      <c r="P206" s="36" t="str">
        <f>IF('Zoopl Count'!P206=0,"",('Zoopl Analysis'!P206*LN('Zoopl Analysis'!P206)))</f>
        <v/>
      </c>
    </row>
    <row r="207" spans="1:16">
      <c r="E207" s="8" t="s">
        <v>14</v>
      </c>
      <c r="F207" s="19" t="s">
        <v>37</v>
      </c>
      <c r="G207" s="36">
        <f>IF('Zoopl Count'!G207=0,"",('Zoopl Analysis'!G207*LN('Zoopl Analysis'!G207)))</f>
        <v>-0.27892538293252489</v>
      </c>
      <c r="H207" s="36">
        <f>IF('Zoopl Count'!H207=0,"",('Zoopl Analysis'!H207*LN('Zoopl Analysis'!H207)))</f>
        <v>-0.36539354602257773</v>
      </c>
      <c r="I207" s="36">
        <f>IF('Zoopl Count'!I207=0,"",('Zoopl Analysis'!I207*LN('Zoopl Analysis'!I207)))</f>
        <v>-0.25947509797463991</v>
      </c>
      <c r="J207" s="36">
        <f>IF('Zoopl Count'!J207=0,"",('Zoopl Analysis'!J207*LN('Zoopl Analysis'!J207)))</f>
        <v>2.7577379646475362</v>
      </c>
      <c r="K207" s="36">
        <f>IF('Zoopl Count'!K207=0,"",('Zoopl Analysis'!K207*LN('Zoopl Analysis'!K207)))</f>
        <v>0.7002996056534132</v>
      </c>
      <c r="L207" s="36" t="str">
        <f>IF('Zoopl Count'!L207=0,"",('Zoopl Analysis'!L207*LN('Zoopl Analysis'!L207)))</f>
        <v/>
      </c>
      <c r="M207" s="36">
        <f>IF('Zoopl Count'!M207=0,"",('Zoopl Analysis'!M207*LN('Zoopl Analysis'!M207)))</f>
        <v>3.8513250722995629</v>
      </c>
      <c r="N207" s="36">
        <f>IF('Zoopl Count'!N207=0,"",('Zoopl Analysis'!N207*LN('Zoopl Analysis'!N207)))</f>
        <v>-0.36539354602257773</v>
      </c>
      <c r="O207" s="36">
        <f>IF('Zoopl Count'!O207=0,"",('Zoopl Analysis'!O207*LN('Zoopl Analysis'!O207)))</f>
        <v>3.569535415047453</v>
      </c>
      <c r="P207" s="36">
        <f>IF('Zoopl Count'!P207=0,"",('Zoopl Analysis'!P207*LN('Zoopl Analysis'!P207)))</f>
        <v>-0.33951388967976126</v>
      </c>
    </row>
    <row r="208" spans="1:16">
      <c r="D208" s="8" t="s">
        <v>12</v>
      </c>
      <c r="E208" s="6" t="s">
        <v>38</v>
      </c>
      <c r="G208" s="36" t="str">
        <f>IF('Zoopl Count'!G208=0,"",('Zoopl Analysis'!G208*LN('Zoopl Analysis'!G208)))</f>
        <v/>
      </c>
      <c r="H208" s="36" t="str">
        <f>IF('Zoopl Count'!H208=0,"",('Zoopl Analysis'!H208*LN('Zoopl Analysis'!H208)))</f>
        <v/>
      </c>
      <c r="I208" s="36" t="str">
        <f>IF('Zoopl Count'!I208=0,"",('Zoopl Analysis'!I208*LN('Zoopl Analysis'!I208)))</f>
        <v/>
      </c>
      <c r="J208" s="36" t="str">
        <f>IF('Zoopl Count'!J208=0,"",('Zoopl Analysis'!J208*LN('Zoopl Analysis'!J208)))</f>
        <v/>
      </c>
      <c r="K208" s="36" t="str">
        <f>IF('Zoopl Count'!K208=0,"",('Zoopl Analysis'!K208*LN('Zoopl Analysis'!K208)))</f>
        <v/>
      </c>
      <c r="L208" s="36" t="str">
        <f>IF('Zoopl Count'!L208=0,"",('Zoopl Analysis'!L208*LN('Zoopl Analysis'!L208)))</f>
        <v/>
      </c>
      <c r="M208" s="36" t="str">
        <f>IF('Zoopl Count'!M208=0,"",('Zoopl Analysis'!M208*LN('Zoopl Analysis'!M208)))</f>
        <v/>
      </c>
      <c r="N208" s="36" t="str">
        <f>IF('Zoopl Count'!N208=0,"",('Zoopl Analysis'!N208*LN('Zoopl Analysis'!N208)))</f>
        <v/>
      </c>
      <c r="O208" s="36" t="str">
        <f>IF('Zoopl Count'!O208=0,"",('Zoopl Analysis'!O208*LN('Zoopl Analysis'!O208)))</f>
        <v/>
      </c>
      <c r="P208" s="36" t="str">
        <f>IF('Zoopl Count'!P208=0,"",('Zoopl Analysis'!P208*LN('Zoopl Analysis'!P208)))</f>
        <v/>
      </c>
    </row>
    <row r="209" spans="1:16">
      <c r="E209" s="8" t="s">
        <v>14</v>
      </c>
      <c r="F209" s="19" t="s">
        <v>39</v>
      </c>
      <c r="G209" s="36">
        <f>IF('Zoopl Count'!G209=0,"",('Zoopl Analysis'!G209*LN('Zoopl Analysis'!G209)))</f>
        <v>38.194662218588221</v>
      </c>
      <c r="H209" s="36">
        <f>IF('Zoopl Count'!H209=0,"",('Zoopl Analysis'!H209*LN('Zoopl Analysis'!H209)))</f>
        <v>7.9284850355112821</v>
      </c>
      <c r="I209" s="36">
        <f>IF('Zoopl Count'!I209=0,"",('Zoopl Analysis'!I209*LN('Zoopl Analysis'!I209)))</f>
        <v>-0.33951388967976126</v>
      </c>
      <c r="J209" s="36">
        <f>IF('Zoopl Count'!J209=0,"",('Zoopl Analysis'!J209*LN('Zoopl Analysis'!J209)))</f>
        <v>3.2931798195128321</v>
      </c>
      <c r="K209" s="36">
        <f>IF('Zoopl Count'!K209=0,"",('Zoopl Analysis'!K209*LN('Zoopl Analysis'!K209)))</f>
        <v>7.25742264103833</v>
      </c>
      <c r="L209" s="36">
        <f>IF('Zoopl Count'!L209=0,"",('Zoopl Analysis'!L209*LN('Zoopl Analysis'!L209)))</f>
        <v>11.476943237576158</v>
      </c>
      <c r="M209" s="36">
        <f>IF('Zoopl Count'!M209=0,"",('Zoopl Analysis'!M209*LN('Zoopl Analysis'!M209)))</f>
        <v>13.740813239258223</v>
      </c>
      <c r="N209" s="36">
        <f>IF('Zoopl Count'!N209=0,"",('Zoopl Analysis'!N209*LN('Zoopl Analysis'!N209)))</f>
        <v>0.42995939318724419</v>
      </c>
      <c r="O209" s="36">
        <f>IF('Zoopl Count'!O209=0,"",('Zoopl Analysis'!O209*LN('Zoopl Analysis'!O209)))</f>
        <v>160.61123208265229</v>
      </c>
      <c r="P209" s="36">
        <f>IF('Zoopl Count'!P209=0,"",('Zoopl Analysis'!P209*LN('Zoopl Analysis'!P209)))</f>
        <v>1.0983899414722431</v>
      </c>
    </row>
    <row r="210" spans="1:16">
      <c r="D210" s="8" t="s">
        <v>12</v>
      </c>
      <c r="E210" s="6" t="s">
        <v>41</v>
      </c>
      <c r="G210" s="36" t="str">
        <f>IF('Zoopl Count'!G210=0,"",('Zoopl Analysis'!G210*LN('Zoopl Analysis'!G210)))</f>
        <v/>
      </c>
      <c r="H210" s="36" t="str">
        <f>IF('Zoopl Count'!H210=0,"",('Zoopl Analysis'!H210*LN('Zoopl Analysis'!H210)))</f>
        <v/>
      </c>
      <c r="I210" s="36" t="str">
        <f>IF('Zoopl Count'!I210=0,"",('Zoopl Analysis'!I210*LN('Zoopl Analysis'!I210)))</f>
        <v/>
      </c>
      <c r="J210" s="36" t="str">
        <f>IF('Zoopl Count'!J210=0,"",('Zoopl Analysis'!J210*LN('Zoopl Analysis'!J210)))</f>
        <v/>
      </c>
      <c r="K210" s="36" t="str">
        <f>IF('Zoopl Count'!K210=0,"",('Zoopl Analysis'!K210*LN('Zoopl Analysis'!K210)))</f>
        <v/>
      </c>
      <c r="L210" s="36" t="str">
        <f>IF('Zoopl Count'!L210=0,"",('Zoopl Analysis'!L210*LN('Zoopl Analysis'!L210)))</f>
        <v/>
      </c>
      <c r="M210" s="36" t="str">
        <f>IF('Zoopl Count'!M210=0,"",('Zoopl Analysis'!M210*LN('Zoopl Analysis'!M210)))</f>
        <v/>
      </c>
      <c r="N210" s="36" t="str">
        <f>IF('Zoopl Count'!N210=0,"",('Zoopl Analysis'!N210*LN('Zoopl Analysis'!N210)))</f>
        <v/>
      </c>
      <c r="O210" s="36" t="str">
        <f>IF('Zoopl Count'!O210=0,"",('Zoopl Analysis'!O210*LN('Zoopl Analysis'!O210)))</f>
        <v/>
      </c>
      <c r="P210" s="36" t="str">
        <f>IF('Zoopl Count'!P210=0,"",('Zoopl Analysis'!P210*LN('Zoopl Analysis'!P210)))</f>
        <v/>
      </c>
    </row>
    <row r="211" spans="1:16">
      <c r="A211" s="75"/>
      <c r="B211" s="75"/>
      <c r="C211" s="75"/>
      <c r="D211" s="75"/>
      <c r="E211" s="138" t="s">
        <v>14</v>
      </c>
      <c r="F211" s="139" t="s">
        <v>42</v>
      </c>
      <c r="G211" s="36" t="str">
        <f>IF('Zoopl Count'!G211=0,"",('Zoopl Analysis'!G211*LN('Zoopl Analysis'!G211)))</f>
        <v/>
      </c>
      <c r="H211" s="36">
        <f>IF('Zoopl Count'!H211=0,"",('Zoopl Analysis'!H211*LN('Zoopl Analysis'!H211)))</f>
        <v>-0.35050162848493283</v>
      </c>
      <c r="I211" s="36" t="str">
        <f>IF('Zoopl Count'!I211=0,"",('Zoopl Analysis'!I211*LN('Zoopl Analysis'!I211)))</f>
        <v/>
      </c>
      <c r="J211" s="36">
        <f>IF('Zoopl Count'!J211=0,"",('Zoopl Analysis'!J211*LN('Zoopl Analysis'!J211)))</f>
        <v>-0.27892538293252489</v>
      </c>
      <c r="K211" s="36">
        <f>IF('Zoopl Count'!K211=0,"",('Zoopl Analysis'!K211*LN('Zoopl Analysis'!K211)))</f>
        <v>-0.26562315606499248</v>
      </c>
      <c r="L211" s="36" t="str">
        <f>IF('Zoopl Count'!L211=0,"",('Zoopl Analysis'!L211*LN('Zoopl Analysis'!L211)))</f>
        <v/>
      </c>
      <c r="M211" s="36" t="str">
        <f>IF('Zoopl Count'!M211=0,"",('Zoopl Analysis'!M211*LN('Zoopl Analysis'!M211)))</f>
        <v/>
      </c>
      <c r="N211" s="36" t="str">
        <f>IF('Zoopl Count'!N211=0,"",('Zoopl Analysis'!N211*LN('Zoopl Analysis'!N211)))</f>
        <v/>
      </c>
      <c r="O211" s="36" t="str">
        <f>IF('Zoopl Count'!O211=0,"",('Zoopl Analysis'!O211*LN('Zoopl Analysis'!O211)))</f>
        <v/>
      </c>
      <c r="P211" s="36">
        <f>IF('Zoopl Count'!P211=0,"",('Zoopl Analysis'!P211*LN('Zoopl Analysis'!P211)))</f>
        <v>-0.26562315606499248</v>
      </c>
    </row>
    <row r="212" spans="1:16">
      <c r="A212" s="206"/>
      <c r="B212" s="206"/>
      <c r="C212" s="206"/>
      <c r="D212" s="207"/>
      <c r="E212" s="206"/>
      <c r="F212" s="19" t="s">
        <v>183</v>
      </c>
      <c r="G212" s="36" t="str">
        <f>IF('Zoopl Count'!G212=0,"",('Zoopl Analysis'!G212*LN('Zoopl Analysis'!G212)))</f>
        <v/>
      </c>
      <c r="H212" s="36" t="str">
        <f>IF('Zoopl Count'!H212=0,"",('Zoopl Analysis'!H212*LN('Zoopl Analysis'!H212)))</f>
        <v/>
      </c>
      <c r="I212" s="36" t="str">
        <f>IF('Zoopl Count'!I212=0,"",('Zoopl Analysis'!I212*LN('Zoopl Analysis'!I212)))</f>
        <v/>
      </c>
      <c r="J212" s="36" t="str">
        <f>IF('Zoopl Count'!J212=0,"",('Zoopl Analysis'!J212*LN('Zoopl Analysis'!J212)))</f>
        <v/>
      </c>
      <c r="K212" s="36" t="str">
        <f>IF('Zoopl Count'!K212=0,"",('Zoopl Analysis'!K212*LN('Zoopl Analysis'!K212)))</f>
        <v/>
      </c>
      <c r="L212" s="36" t="str">
        <f>IF('Zoopl Count'!L212=0,"",('Zoopl Analysis'!L212*LN('Zoopl Analysis'!L212)))</f>
        <v/>
      </c>
      <c r="M212" s="36" t="str">
        <f>IF('Zoopl Count'!M212=0,"",('Zoopl Analysis'!M212*LN('Zoopl Analysis'!M212)))</f>
        <v/>
      </c>
      <c r="N212" s="36" t="str">
        <f>IF('Zoopl Count'!N212=0,"",('Zoopl Analysis'!N212*LN('Zoopl Analysis'!N212)))</f>
        <v/>
      </c>
      <c r="O212" s="36" t="str">
        <f>IF('Zoopl Count'!O212=0,"",('Zoopl Analysis'!O212*LN('Zoopl Analysis'!O212)))</f>
        <v/>
      </c>
      <c r="P212" s="36" t="str">
        <f>IF('Zoopl Count'!P212=0,"",('Zoopl Analysis'!P212*LN('Zoopl Analysis'!P212)))</f>
        <v/>
      </c>
    </row>
    <row r="213" spans="1:16">
      <c r="A213" s="206"/>
      <c r="B213" s="206"/>
      <c r="C213" s="206"/>
      <c r="D213" s="207" t="s">
        <v>12</v>
      </c>
      <c r="E213" s="206" t="s">
        <v>287</v>
      </c>
      <c r="F213" s="206"/>
      <c r="G213" s="36" t="str">
        <f>IF('Zoopl Count'!G213=0,"",('Zoopl Analysis'!G213*LN('Zoopl Analysis'!G213)))</f>
        <v/>
      </c>
      <c r="H213" s="36" t="str">
        <f>IF('Zoopl Count'!H213=0,"",('Zoopl Analysis'!H213*LN('Zoopl Analysis'!H213)))</f>
        <v/>
      </c>
      <c r="I213" s="36" t="str">
        <f>IF('Zoopl Count'!I213=0,"",('Zoopl Analysis'!I213*LN('Zoopl Analysis'!I213)))</f>
        <v/>
      </c>
      <c r="J213" s="36" t="str">
        <f>IF('Zoopl Count'!J213=0,"",('Zoopl Analysis'!J213*LN('Zoopl Analysis'!J213)))</f>
        <v/>
      </c>
      <c r="K213" s="36" t="str">
        <f>IF('Zoopl Count'!K213=0,"",('Zoopl Analysis'!K213*LN('Zoopl Analysis'!K213)))</f>
        <v/>
      </c>
      <c r="L213" s="36" t="str">
        <f>IF('Zoopl Count'!L213=0,"",('Zoopl Analysis'!L213*LN('Zoopl Analysis'!L213)))</f>
        <v/>
      </c>
      <c r="M213" s="36" t="str">
        <f>IF('Zoopl Count'!M213=0,"",('Zoopl Analysis'!M213*LN('Zoopl Analysis'!M213)))</f>
        <v/>
      </c>
      <c r="N213" s="36" t="str">
        <f>IF('Zoopl Count'!N213=0,"",('Zoopl Analysis'!N213*LN('Zoopl Analysis'!N213)))</f>
        <v/>
      </c>
      <c r="O213" s="36" t="str">
        <f>IF('Zoopl Count'!O213=0,"",('Zoopl Analysis'!O213*LN('Zoopl Analysis'!O213)))</f>
        <v/>
      </c>
      <c r="P213" s="36" t="str">
        <f>IF('Zoopl Count'!P213=0,"",('Zoopl Analysis'!P213*LN('Zoopl Analysis'!P213)))</f>
        <v/>
      </c>
    </row>
    <row r="214" spans="1:16">
      <c r="A214" s="206"/>
      <c r="B214" s="206"/>
      <c r="C214" s="206"/>
      <c r="D214" s="206"/>
      <c r="E214" s="207" t="s">
        <v>14</v>
      </c>
      <c r="F214" s="19" t="s">
        <v>300</v>
      </c>
      <c r="G214" s="36" t="str">
        <f>IF('Zoopl Count'!G214=0,"",('Zoopl Analysis'!G214*LN('Zoopl Analysis'!G214)))</f>
        <v/>
      </c>
      <c r="H214" s="36" t="str">
        <f>IF('Zoopl Count'!H214=0,"",('Zoopl Analysis'!H214*LN('Zoopl Analysis'!H214)))</f>
        <v/>
      </c>
      <c r="I214" s="36" t="str">
        <f>IF('Zoopl Count'!I214=0,"",('Zoopl Analysis'!I214*LN('Zoopl Analysis'!I214)))</f>
        <v/>
      </c>
      <c r="J214" s="36" t="str">
        <f>IF('Zoopl Count'!J214=0,"",('Zoopl Analysis'!J214*LN('Zoopl Analysis'!J214)))</f>
        <v/>
      </c>
      <c r="K214" s="36" t="str">
        <f>IF('Zoopl Count'!K214=0,"",('Zoopl Analysis'!K214*LN('Zoopl Analysis'!K214)))</f>
        <v/>
      </c>
      <c r="L214" s="36" t="str">
        <f>IF('Zoopl Count'!L214=0,"",('Zoopl Analysis'!L214*LN('Zoopl Analysis'!L214)))</f>
        <v/>
      </c>
      <c r="M214" s="36" t="str">
        <f>IF('Zoopl Count'!M214=0,"",('Zoopl Analysis'!M214*LN('Zoopl Analysis'!M214)))</f>
        <v/>
      </c>
      <c r="N214" s="36" t="str">
        <f>IF('Zoopl Count'!N214=0,"",('Zoopl Analysis'!N214*LN('Zoopl Analysis'!N214)))</f>
        <v/>
      </c>
      <c r="O214" s="36" t="str">
        <f>IF('Zoopl Count'!O214=0,"",('Zoopl Analysis'!O214*LN('Zoopl Analysis'!O214)))</f>
        <v/>
      </c>
      <c r="P214" s="36" t="str">
        <f>IF('Zoopl Count'!P214=0,"",('Zoopl Analysis'!P214*LN('Zoopl Analysis'!P214)))</f>
        <v/>
      </c>
    </row>
    <row r="215" spans="1:16">
      <c r="A215" s="206"/>
      <c r="B215" s="206"/>
      <c r="C215" s="206"/>
      <c r="D215" s="206"/>
      <c r="E215" s="207"/>
      <c r="F215" s="19" t="s">
        <v>286</v>
      </c>
      <c r="G215" s="36" t="str">
        <f>IF('Zoopl Count'!G215=0,"",('Zoopl Analysis'!G215*LN('Zoopl Analysis'!G215)))</f>
        <v/>
      </c>
      <c r="H215" s="36" t="str">
        <f>IF('Zoopl Count'!H215=0,"",('Zoopl Analysis'!H215*LN('Zoopl Analysis'!H215)))</f>
        <v/>
      </c>
      <c r="I215" s="36" t="str">
        <f>IF('Zoopl Count'!I215=0,"",('Zoopl Analysis'!I215*LN('Zoopl Analysis'!I215)))</f>
        <v/>
      </c>
      <c r="J215" s="36" t="str">
        <f>IF('Zoopl Count'!J215=0,"",('Zoopl Analysis'!J215*LN('Zoopl Analysis'!J215)))</f>
        <v/>
      </c>
      <c r="K215" s="36" t="str">
        <f>IF('Zoopl Count'!K215=0,"",('Zoopl Analysis'!K215*LN('Zoopl Analysis'!K215)))</f>
        <v/>
      </c>
      <c r="L215" s="36" t="str">
        <f>IF('Zoopl Count'!L215=0,"",('Zoopl Analysis'!L215*LN('Zoopl Analysis'!L215)))</f>
        <v/>
      </c>
      <c r="M215" s="36" t="str">
        <f>IF('Zoopl Count'!M215=0,"",('Zoopl Analysis'!M215*LN('Zoopl Analysis'!M215)))</f>
        <v/>
      </c>
      <c r="N215" s="36" t="str">
        <f>IF('Zoopl Count'!N215=0,"",('Zoopl Analysis'!N215*LN('Zoopl Analysis'!N215)))</f>
        <v/>
      </c>
      <c r="O215" s="36" t="str">
        <f>IF('Zoopl Count'!O215=0,"",('Zoopl Analysis'!O215*LN('Zoopl Analysis'!O215)))</f>
        <v/>
      </c>
      <c r="P215" s="36" t="str">
        <f>IF('Zoopl Count'!P215=0,"",('Zoopl Analysis'!P215*LN('Zoopl Analysis'!P215)))</f>
        <v/>
      </c>
    </row>
    <row r="216" spans="1:16">
      <c r="A216" s="206"/>
      <c r="B216" s="206"/>
      <c r="C216" s="206"/>
      <c r="D216" s="207" t="s">
        <v>12</v>
      </c>
      <c r="E216" s="239" t="s">
        <v>397</v>
      </c>
      <c r="F216" s="206"/>
      <c r="G216" s="36" t="str">
        <f>IF('Zoopl Count'!G216=0,"",('Zoopl Analysis'!G216*LN('Zoopl Analysis'!G216)))</f>
        <v/>
      </c>
      <c r="H216" s="36" t="str">
        <f>IF('Zoopl Count'!H216=0,"",('Zoopl Analysis'!H216*LN('Zoopl Analysis'!H216)))</f>
        <v/>
      </c>
      <c r="I216" s="36" t="str">
        <f>IF('Zoopl Count'!I216=0,"",('Zoopl Analysis'!I216*LN('Zoopl Analysis'!I216)))</f>
        <v/>
      </c>
      <c r="J216" s="36" t="str">
        <f>IF('Zoopl Count'!J216=0,"",('Zoopl Analysis'!J216*LN('Zoopl Analysis'!J216)))</f>
        <v/>
      </c>
      <c r="K216" s="36" t="str">
        <f>IF('Zoopl Count'!K216=0,"",('Zoopl Analysis'!K216*LN('Zoopl Analysis'!K216)))</f>
        <v/>
      </c>
      <c r="L216" s="36" t="str">
        <f>IF('Zoopl Count'!L216=0,"",('Zoopl Analysis'!L216*LN('Zoopl Analysis'!L216)))</f>
        <v/>
      </c>
      <c r="M216" s="36" t="str">
        <f>IF('Zoopl Count'!M216=0,"",('Zoopl Analysis'!M216*LN('Zoopl Analysis'!M216)))</f>
        <v/>
      </c>
      <c r="N216" s="36" t="str">
        <f>IF('Zoopl Count'!N216=0,"",('Zoopl Analysis'!N216*LN('Zoopl Analysis'!N216)))</f>
        <v/>
      </c>
      <c r="O216" s="36" t="str">
        <f>IF('Zoopl Count'!O216=0,"",('Zoopl Analysis'!O216*LN('Zoopl Analysis'!O216)))</f>
        <v/>
      </c>
      <c r="P216" s="36" t="str">
        <f>IF('Zoopl Count'!P216=0,"",('Zoopl Analysis'!P216*LN('Zoopl Analysis'!P216)))</f>
        <v/>
      </c>
    </row>
    <row r="217" spans="1:16">
      <c r="A217" s="206"/>
      <c r="B217" s="206"/>
      <c r="C217" s="206"/>
      <c r="D217" s="206"/>
      <c r="E217" s="207" t="s">
        <v>14</v>
      </c>
      <c r="F217" s="19" t="s">
        <v>398</v>
      </c>
      <c r="G217" s="36" t="str">
        <f>IF('Zoopl Count'!G217=0,"",('Zoopl Analysis'!G217*LN('Zoopl Analysis'!G217)))</f>
        <v/>
      </c>
      <c r="H217" s="36" t="str">
        <f>IF('Zoopl Count'!H217=0,"",('Zoopl Analysis'!H217*LN('Zoopl Analysis'!H217)))</f>
        <v/>
      </c>
      <c r="I217" s="36" t="str">
        <f>IF('Zoopl Count'!I217=0,"",('Zoopl Analysis'!I217*LN('Zoopl Analysis'!I217)))</f>
        <v/>
      </c>
      <c r="J217" s="36" t="str">
        <f>IF('Zoopl Count'!J217=0,"",('Zoopl Analysis'!J217*LN('Zoopl Analysis'!J217)))</f>
        <v/>
      </c>
      <c r="K217" s="36" t="str">
        <f>IF('Zoopl Count'!K217=0,"",('Zoopl Analysis'!K217*LN('Zoopl Analysis'!K217)))</f>
        <v/>
      </c>
      <c r="L217" s="36" t="str">
        <f>IF('Zoopl Count'!L217=0,"",('Zoopl Analysis'!L217*LN('Zoopl Analysis'!L217)))</f>
        <v/>
      </c>
      <c r="M217" s="36" t="str">
        <f>IF('Zoopl Count'!M217=0,"",('Zoopl Analysis'!M217*LN('Zoopl Analysis'!M217)))</f>
        <v/>
      </c>
      <c r="N217" s="36" t="str">
        <f>IF('Zoopl Count'!N217=0,"",('Zoopl Analysis'!N217*LN('Zoopl Analysis'!N217)))</f>
        <v/>
      </c>
      <c r="O217" s="36" t="str">
        <f>IF('Zoopl Count'!O217=0,"",('Zoopl Analysis'!O217*LN('Zoopl Analysis'!O217)))</f>
        <v/>
      </c>
      <c r="P217" s="36" t="str">
        <f>IF('Zoopl Count'!P217=0,"",('Zoopl Analysis'!P217*LN('Zoopl Analysis'!P217)))</f>
        <v/>
      </c>
    </row>
    <row r="218" spans="1:16">
      <c r="G218" s="36" t="str">
        <f>IF('Zoopl Count'!G218=0,"",('Zoopl Analysis'!G218*LN('Zoopl Analysis'!G218)))</f>
        <v/>
      </c>
      <c r="H218" s="36" t="str">
        <f>IF('Zoopl Count'!H218=0,"",('Zoopl Analysis'!H218*LN('Zoopl Analysis'!H218)))</f>
        <v/>
      </c>
      <c r="I218" s="36" t="str">
        <f>IF('Zoopl Count'!I218=0,"",('Zoopl Analysis'!I218*LN('Zoopl Analysis'!I218)))</f>
        <v/>
      </c>
      <c r="J218" s="36" t="str">
        <f>IF('Zoopl Count'!J218=0,"",('Zoopl Analysis'!J218*LN('Zoopl Analysis'!J218)))</f>
        <v/>
      </c>
      <c r="K218" s="36" t="str">
        <f>IF('Zoopl Count'!K218=0,"",('Zoopl Analysis'!K218*LN('Zoopl Analysis'!K218)))</f>
        <v/>
      </c>
      <c r="L218" s="36" t="str">
        <f>IF('Zoopl Count'!L218=0,"",('Zoopl Analysis'!L218*LN('Zoopl Analysis'!L218)))</f>
        <v/>
      </c>
      <c r="M218" s="36" t="str">
        <f>IF('Zoopl Count'!M218=0,"",('Zoopl Analysis'!M218*LN('Zoopl Analysis'!M218)))</f>
        <v/>
      </c>
      <c r="N218" s="36" t="str">
        <f>IF('Zoopl Count'!N218=0,"",('Zoopl Analysis'!N218*LN('Zoopl Analysis'!N218)))</f>
        <v/>
      </c>
      <c r="O218" s="36" t="str">
        <f>IF('Zoopl Count'!O218=0,"",('Zoopl Analysis'!O218*LN('Zoopl Analysis'!O218)))</f>
        <v/>
      </c>
      <c r="P218" s="36" t="str">
        <f>IF('Zoopl Count'!P218=0,"",('Zoopl Analysis'!P218*LN('Zoopl Analysis'!P218)))</f>
        <v/>
      </c>
    </row>
    <row r="219" spans="1:16">
      <c r="C219" s="8" t="s">
        <v>10</v>
      </c>
      <c r="D219" s="2" t="s">
        <v>43</v>
      </c>
      <c r="G219" s="36" t="str">
        <f>IF('Zoopl Count'!G219=0,"",('Zoopl Analysis'!G219*LN('Zoopl Analysis'!G219)))</f>
        <v/>
      </c>
      <c r="H219" s="36" t="str">
        <f>IF('Zoopl Count'!H219=0,"",('Zoopl Analysis'!H219*LN('Zoopl Analysis'!H219)))</f>
        <v/>
      </c>
      <c r="I219" s="36" t="str">
        <f>IF('Zoopl Count'!I219=0,"",('Zoopl Analysis'!I219*LN('Zoopl Analysis'!I219)))</f>
        <v/>
      </c>
      <c r="J219" s="36" t="str">
        <f>IF('Zoopl Count'!J219=0,"",('Zoopl Analysis'!J219*LN('Zoopl Analysis'!J219)))</f>
        <v/>
      </c>
      <c r="K219" s="36" t="str">
        <f>IF('Zoopl Count'!K219=0,"",('Zoopl Analysis'!K219*LN('Zoopl Analysis'!K219)))</f>
        <v/>
      </c>
      <c r="L219" s="36" t="str">
        <f>IF('Zoopl Count'!L219=0,"",('Zoopl Analysis'!L219*LN('Zoopl Analysis'!L219)))</f>
        <v/>
      </c>
      <c r="M219" s="36" t="str">
        <f>IF('Zoopl Count'!M219=0,"",('Zoopl Analysis'!M219*LN('Zoopl Analysis'!M219)))</f>
        <v/>
      </c>
      <c r="N219" s="36" t="str">
        <f>IF('Zoopl Count'!N219=0,"",('Zoopl Analysis'!N219*LN('Zoopl Analysis'!N219)))</f>
        <v/>
      </c>
      <c r="O219" s="36" t="str">
        <f>IF('Zoopl Count'!O219=0,"",('Zoopl Analysis'!O219*LN('Zoopl Analysis'!O219)))</f>
        <v/>
      </c>
      <c r="P219" s="36" t="str">
        <f>IF('Zoopl Count'!P219=0,"",('Zoopl Analysis'!P219*LN('Zoopl Analysis'!P219)))</f>
        <v/>
      </c>
    </row>
    <row r="220" spans="1:16">
      <c r="C220" s="8"/>
      <c r="D220" s="2"/>
      <c r="F220" s="6" t="s">
        <v>107</v>
      </c>
      <c r="G220" s="36" t="str">
        <f>IF('Zoopl Count'!G220=0,"",('Zoopl Analysis'!G220*LN('Zoopl Analysis'!G220)))</f>
        <v/>
      </c>
      <c r="H220" s="36" t="str">
        <f>IF('Zoopl Count'!H220=0,"",('Zoopl Analysis'!H220*LN('Zoopl Analysis'!H220)))</f>
        <v/>
      </c>
      <c r="I220" s="36" t="str">
        <f>IF('Zoopl Count'!I220=0,"",('Zoopl Analysis'!I220*LN('Zoopl Analysis'!I220)))</f>
        <v/>
      </c>
      <c r="J220" s="36" t="str">
        <f>IF('Zoopl Count'!J220=0,"",('Zoopl Analysis'!J220*LN('Zoopl Analysis'!J220)))</f>
        <v/>
      </c>
      <c r="K220" s="36" t="str">
        <f>IF('Zoopl Count'!K220=0,"",('Zoopl Analysis'!K220*LN('Zoopl Analysis'!K220)))</f>
        <v/>
      </c>
      <c r="L220" s="36" t="str">
        <f>IF('Zoopl Count'!L220=0,"",('Zoopl Analysis'!L220*LN('Zoopl Analysis'!L220)))</f>
        <v/>
      </c>
      <c r="M220" s="36" t="str">
        <f>IF('Zoopl Count'!M220=0,"",('Zoopl Analysis'!M220*LN('Zoopl Analysis'!M220)))</f>
        <v/>
      </c>
      <c r="N220" s="36" t="str">
        <f>IF('Zoopl Count'!N220=0,"",('Zoopl Analysis'!N220*LN('Zoopl Analysis'!N220)))</f>
        <v/>
      </c>
      <c r="O220" s="36" t="str">
        <f>IF('Zoopl Count'!O220=0,"",('Zoopl Analysis'!O220*LN('Zoopl Analysis'!O220)))</f>
        <v/>
      </c>
      <c r="P220" s="36" t="str">
        <f>IF('Zoopl Count'!P220=0,"",('Zoopl Analysis'!P220*LN('Zoopl Analysis'!P220)))</f>
        <v/>
      </c>
    </row>
    <row r="221" spans="1:16">
      <c r="D221" s="8" t="s">
        <v>12</v>
      </c>
      <c r="E221" s="6" t="s">
        <v>44</v>
      </c>
      <c r="G221" s="36" t="str">
        <f>IF('Zoopl Count'!G221=0,"",('Zoopl Analysis'!G221*LN('Zoopl Analysis'!G221)))</f>
        <v/>
      </c>
      <c r="H221" s="36" t="str">
        <f>IF('Zoopl Count'!H221=0,"",('Zoopl Analysis'!H221*LN('Zoopl Analysis'!H221)))</f>
        <v/>
      </c>
      <c r="I221" s="36" t="str">
        <f>IF('Zoopl Count'!I221=0,"",('Zoopl Analysis'!I221*LN('Zoopl Analysis'!I221)))</f>
        <v/>
      </c>
      <c r="J221" s="36" t="str">
        <f>IF('Zoopl Count'!J221=0,"",('Zoopl Analysis'!J221*LN('Zoopl Analysis'!J221)))</f>
        <v/>
      </c>
      <c r="K221" s="36" t="str">
        <f>IF('Zoopl Count'!K221=0,"",('Zoopl Analysis'!K221*LN('Zoopl Analysis'!K221)))</f>
        <v/>
      </c>
      <c r="L221" s="36" t="str">
        <f>IF('Zoopl Count'!L221=0,"",('Zoopl Analysis'!L221*LN('Zoopl Analysis'!L221)))</f>
        <v/>
      </c>
      <c r="M221" s="36" t="str">
        <f>IF('Zoopl Count'!M221=0,"",('Zoopl Analysis'!M221*LN('Zoopl Analysis'!M221)))</f>
        <v/>
      </c>
      <c r="N221" s="36" t="str">
        <f>IF('Zoopl Count'!N221=0,"",('Zoopl Analysis'!N221*LN('Zoopl Analysis'!N221)))</f>
        <v/>
      </c>
      <c r="O221" s="36" t="str">
        <f>IF('Zoopl Count'!O221=0,"",('Zoopl Analysis'!O221*LN('Zoopl Analysis'!O221)))</f>
        <v/>
      </c>
      <c r="P221" s="36" t="str">
        <f>IF('Zoopl Count'!P221=0,"",('Zoopl Analysis'!P221*LN('Zoopl Analysis'!P221)))</f>
        <v/>
      </c>
    </row>
    <row r="222" spans="1:16">
      <c r="E222" s="8" t="s">
        <v>14</v>
      </c>
      <c r="F222" s="19" t="s">
        <v>45</v>
      </c>
      <c r="G222" s="36" t="str">
        <f>IF('Zoopl Count'!G222=0,"",('Zoopl Analysis'!G222*LN('Zoopl Analysis'!G222)))</f>
        <v/>
      </c>
      <c r="H222" s="36" t="str">
        <f>IF('Zoopl Count'!H222=0,"",('Zoopl Analysis'!H222*LN('Zoopl Analysis'!H222)))</f>
        <v/>
      </c>
      <c r="I222" s="36">
        <f>IF('Zoopl Count'!I222=0,"",('Zoopl Analysis'!I222*LN('Zoopl Analysis'!I222)))</f>
        <v>-0.11159195992751118</v>
      </c>
      <c r="J222" s="36" t="str">
        <f>IF('Zoopl Count'!J222=0,"",('Zoopl Analysis'!J222*LN('Zoopl Analysis'!J222)))</f>
        <v/>
      </c>
      <c r="K222" s="36" t="str">
        <f>IF('Zoopl Count'!K222=0,"",('Zoopl Analysis'!K222*LN('Zoopl Analysis'!K222)))</f>
        <v/>
      </c>
      <c r="L222" s="36" t="str">
        <f>IF('Zoopl Count'!L222=0,"",('Zoopl Analysis'!L222*LN('Zoopl Analysis'!L222)))</f>
        <v/>
      </c>
      <c r="M222" s="36" t="str">
        <f>IF('Zoopl Count'!M222=0,"",('Zoopl Analysis'!M222*LN('Zoopl Analysis'!M222)))</f>
        <v/>
      </c>
      <c r="N222" s="36" t="str">
        <f>IF('Zoopl Count'!N222=0,"",('Zoopl Analysis'!N222*LN('Zoopl Analysis'!N222)))</f>
        <v/>
      </c>
      <c r="O222" s="36" t="str">
        <f>IF('Zoopl Count'!O222=0,"",('Zoopl Analysis'!O222*LN('Zoopl Analysis'!O222)))</f>
        <v/>
      </c>
      <c r="P222" s="36" t="str">
        <f>IF('Zoopl Count'!P222=0,"",('Zoopl Analysis'!P222*LN('Zoopl Analysis'!P222)))</f>
        <v/>
      </c>
    </row>
    <row r="223" spans="1:16">
      <c r="D223" s="8" t="s">
        <v>12</v>
      </c>
      <c r="E223" s="6" t="s">
        <v>328</v>
      </c>
      <c r="G223" s="36" t="str">
        <f>IF('Zoopl Count'!G223=0,"",('Zoopl Analysis'!G223*LN('Zoopl Analysis'!G223)))</f>
        <v/>
      </c>
      <c r="H223" s="36" t="str">
        <f>IF('Zoopl Count'!H223=0,"",('Zoopl Analysis'!H223*LN('Zoopl Analysis'!H223)))</f>
        <v/>
      </c>
      <c r="I223" s="36" t="str">
        <f>IF('Zoopl Count'!I223=0,"",('Zoopl Analysis'!I223*LN('Zoopl Analysis'!I223)))</f>
        <v/>
      </c>
      <c r="J223" s="36" t="str">
        <f>IF('Zoopl Count'!J223=0,"",('Zoopl Analysis'!J223*LN('Zoopl Analysis'!J223)))</f>
        <v/>
      </c>
      <c r="K223" s="36" t="str">
        <f>IF('Zoopl Count'!K223=0,"",('Zoopl Analysis'!K223*LN('Zoopl Analysis'!K223)))</f>
        <v/>
      </c>
      <c r="L223" s="36" t="str">
        <f>IF('Zoopl Count'!L223=0,"",('Zoopl Analysis'!L223*LN('Zoopl Analysis'!L223)))</f>
        <v/>
      </c>
      <c r="M223" s="36" t="str">
        <f>IF('Zoopl Count'!M223=0,"",('Zoopl Analysis'!M223*LN('Zoopl Analysis'!M223)))</f>
        <v/>
      </c>
      <c r="N223" s="36" t="str">
        <f>IF('Zoopl Count'!N223=0,"",('Zoopl Analysis'!N223*LN('Zoopl Analysis'!N223)))</f>
        <v/>
      </c>
      <c r="O223" s="36" t="str">
        <f>IF('Zoopl Count'!O223=0,"",('Zoopl Analysis'!O223*LN('Zoopl Analysis'!O223)))</f>
        <v/>
      </c>
      <c r="P223" s="36" t="str">
        <f>IF('Zoopl Count'!P223=0,"",('Zoopl Analysis'!P223*LN('Zoopl Analysis'!P223)))</f>
        <v/>
      </c>
    </row>
    <row r="224" spans="1:16">
      <c r="E224" s="8" t="s">
        <v>14</v>
      </c>
      <c r="F224" s="19" t="s">
        <v>47</v>
      </c>
      <c r="G224" s="36">
        <f>IF('Zoopl Count'!G224=0,"",('Zoopl Analysis'!G224*LN('Zoopl Analysis'!G224)))</f>
        <v>-0.36715914952180329</v>
      </c>
      <c r="H224" s="36">
        <f>IF('Zoopl Count'!H224=0,"",('Zoopl Analysis'!H224*LN('Zoopl Analysis'!H224)))</f>
        <v>-0.35800890738962193</v>
      </c>
      <c r="I224" s="36">
        <f>IF('Zoopl Count'!I224=0,"",('Zoopl Analysis'!I224*LN('Zoopl Analysis'!I224)))</f>
        <v>-0.1779977489437593</v>
      </c>
      <c r="J224" s="36">
        <f>IF('Zoopl Count'!J224=0,"",('Zoopl Analysis'!J224*LN('Zoopl Analysis'!J224)))</f>
        <v>-0.27892538293252489</v>
      </c>
      <c r="K224" s="36">
        <f>IF('Zoopl Count'!K224=0,"",('Zoopl Analysis'!K224*LN('Zoopl Analysis'!K224)))</f>
        <v>-8.3411422021561196E-2</v>
      </c>
      <c r="L224" s="36">
        <f>IF('Zoopl Count'!L224=0,"",('Zoopl Analysis'!L224*LN('Zoopl Analysis'!L224)))</f>
        <v>-0.33951388967976126</v>
      </c>
      <c r="M224" s="36">
        <f>IF('Zoopl Count'!M224=0,"",('Zoopl Analysis'!M224*LN('Zoopl Analysis'!M224)))</f>
        <v>-0.36715914952180329</v>
      </c>
      <c r="N224" s="36">
        <f>IF('Zoopl Count'!N224=0,"",('Zoopl Analysis'!N224*LN('Zoopl Analysis'!N224)))</f>
        <v>-0.1779977489437593</v>
      </c>
      <c r="O224" s="36">
        <f>IF('Zoopl Count'!O224=0,"",('Zoopl Analysis'!O224*LN('Zoopl Analysis'!O224)))</f>
        <v>4.3950955220686219E-2</v>
      </c>
      <c r="P224" s="36">
        <f>IF('Zoopl Count'!P224=0,"",('Zoopl Analysis'!P224*LN('Zoopl Analysis'!P224)))</f>
        <v>-0.26562315606499248</v>
      </c>
    </row>
    <row r="225" spans="1:16">
      <c r="B225" s="45" t="s">
        <v>329</v>
      </c>
      <c r="E225" s="8"/>
      <c r="F225" s="19"/>
      <c r="G225" s="36" t="str">
        <f>IF('Zoopl Count'!G225=0,"",('Zoopl Analysis'!G225*LN('Zoopl Analysis'!G225)))</f>
        <v/>
      </c>
      <c r="H225" s="36" t="str">
        <f>IF('Zoopl Count'!H225=0,"",('Zoopl Analysis'!H225*LN('Zoopl Analysis'!H225)))</f>
        <v/>
      </c>
      <c r="I225" s="36" t="str">
        <f>IF('Zoopl Count'!I225=0,"",('Zoopl Analysis'!I225*LN('Zoopl Analysis'!I225)))</f>
        <v/>
      </c>
      <c r="J225" s="36" t="str">
        <f>IF('Zoopl Count'!J225=0,"",('Zoopl Analysis'!J225*LN('Zoopl Analysis'!J225)))</f>
        <v/>
      </c>
      <c r="K225" s="36" t="str">
        <f>IF('Zoopl Count'!K225=0,"",('Zoopl Analysis'!K225*LN('Zoopl Analysis'!K225)))</f>
        <v/>
      </c>
      <c r="L225" s="36" t="str">
        <f>IF('Zoopl Count'!L225=0,"",('Zoopl Analysis'!L225*LN('Zoopl Analysis'!L225)))</f>
        <v/>
      </c>
      <c r="M225" s="36" t="str">
        <f>IF('Zoopl Count'!M225=0,"",('Zoopl Analysis'!M225*LN('Zoopl Analysis'!M225)))</f>
        <v/>
      </c>
      <c r="N225" s="36" t="str">
        <f>IF('Zoopl Count'!N225=0,"",('Zoopl Analysis'!N225*LN('Zoopl Analysis'!N225)))</f>
        <v/>
      </c>
      <c r="O225" s="36" t="str">
        <f>IF('Zoopl Count'!O225=0,"",('Zoopl Analysis'!O225*LN('Zoopl Analysis'!O225)))</f>
        <v/>
      </c>
      <c r="P225" s="36" t="str">
        <f>IF('Zoopl Count'!P225=0,"",('Zoopl Analysis'!P225*LN('Zoopl Analysis'!P225)))</f>
        <v/>
      </c>
    </row>
    <row r="226" spans="1:16">
      <c r="C226" s="45" t="s">
        <v>195</v>
      </c>
      <c r="E226" s="8"/>
      <c r="F226" s="19"/>
      <c r="G226" s="36" t="str">
        <f>IF('Zoopl Count'!G226=0,"",('Zoopl Analysis'!G226*LN('Zoopl Analysis'!G226)))</f>
        <v/>
      </c>
      <c r="H226" s="36" t="str">
        <f>IF('Zoopl Count'!H226=0,"",('Zoopl Analysis'!H226*LN('Zoopl Analysis'!H226)))</f>
        <v/>
      </c>
      <c r="I226" s="36" t="str">
        <f>IF('Zoopl Count'!I226=0,"",('Zoopl Analysis'!I226*LN('Zoopl Analysis'!I226)))</f>
        <v/>
      </c>
      <c r="J226" s="36" t="str">
        <f>IF('Zoopl Count'!J226=0,"",('Zoopl Analysis'!J226*LN('Zoopl Analysis'!J226)))</f>
        <v/>
      </c>
      <c r="K226" s="36" t="str">
        <f>IF('Zoopl Count'!K226=0,"",('Zoopl Analysis'!K226*LN('Zoopl Analysis'!K226)))</f>
        <v/>
      </c>
      <c r="L226" s="36" t="str">
        <f>IF('Zoopl Count'!L226=0,"",('Zoopl Analysis'!L226*LN('Zoopl Analysis'!L226)))</f>
        <v/>
      </c>
      <c r="M226" s="36" t="str">
        <f>IF('Zoopl Count'!M226=0,"",('Zoopl Analysis'!M226*LN('Zoopl Analysis'!M226)))</f>
        <v/>
      </c>
      <c r="N226" s="36" t="str">
        <f>IF('Zoopl Count'!N226=0,"",('Zoopl Analysis'!N226*LN('Zoopl Analysis'!N226)))</f>
        <v/>
      </c>
      <c r="O226" s="36" t="str">
        <f>IF('Zoopl Count'!O226=0,"",('Zoopl Analysis'!O226*LN('Zoopl Analysis'!O226)))</f>
        <v/>
      </c>
      <c r="P226" s="36" t="str">
        <f>IF('Zoopl Count'!P226=0,"",('Zoopl Analysis'!P226*LN('Zoopl Analysis'!P226)))</f>
        <v/>
      </c>
    </row>
    <row r="227" spans="1:16">
      <c r="A227" s="206"/>
      <c r="B227" s="206" t="s">
        <v>299</v>
      </c>
      <c r="C227" s="206"/>
      <c r="D227" s="206"/>
      <c r="E227" s="207"/>
      <c r="F227" s="19"/>
      <c r="G227" s="36" t="str">
        <f>IF('Zoopl Count'!G227=0,"",('Zoopl Analysis'!G227*LN('Zoopl Analysis'!G227)))</f>
        <v/>
      </c>
      <c r="H227" s="36" t="str">
        <f>IF('Zoopl Count'!H227=0,"",('Zoopl Analysis'!H227*LN('Zoopl Analysis'!H227)))</f>
        <v/>
      </c>
      <c r="I227" s="36" t="str">
        <f>IF('Zoopl Count'!I227=0,"",('Zoopl Analysis'!I227*LN('Zoopl Analysis'!I227)))</f>
        <v/>
      </c>
      <c r="J227" s="36" t="str">
        <f>IF('Zoopl Count'!J227=0,"",('Zoopl Analysis'!J227*LN('Zoopl Analysis'!J227)))</f>
        <v/>
      </c>
      <c r="K227" s="36" t="str">
        <f>IF('Zoopl Count'!K227=0,"",('Zoopl Analysis'!K227*LN('Zoopl Analysis'!K227)))</f>
        <v/>
      </c>
      <c r="L227" s="36" t="str">
        <f>IF('Zoopl Count'!L227=0,"",('Zoopl Analysis'!L227*LN('Zoopl Analysis'!L227)))</f>
        <v/>
      </c>
      <c r="M227" s="36" t="str">
        <f>IF('Zoopl Count'!M227=0,"",('Zoopl Analysis'!M227*LN('Zoopl Analysis'!M227)))</f>
        <v/>
      </c>
      <c r="N227" s="36" t="str">
        <f>IF('Zoopl Count'!N227=0,"",('Zoopl Analysis'!N227*LN('Zoopl Analysis'!N227)))</f>
        <v/>
      </c>
      <c r="O227" s="36" t="str">
        <f>IF('Zoopl Count'!O227=0,"",('Zoopl Analysis'!O227*LN('Zoopl Analysis'!O227)))</f>
        <v/>
      </c>
      <c r="P227" s="36" t="str">
        <f>IF('Zoopl Count'!P227=0,"",('Zoopl Analysis'!P227*LN('Zoopl Analysis'!P227)))</f>
        <v/>
      </c>
    </row>
    <row r="228" spans="1:16">
      <c r="A228" s="206"/>
      <c r="B228" s="206"/>
      <c r="C228" s="206" t="s">
        <v>330</v>
      </c>
      <c r="D228" s="206"/>
      <c r="E228" s="207"/>
      <c r="F228" s="19" t="s">
        <v>331</v>
      </c>
      <c r="G228" s="36" t="str">
        <f>IF('Zoopl Count'!G228=0,"",('Zoopl Analysis'!G228*LN('Zoopl Analysis'!G228)))</f>
        <v/>
      </c>
      <c r="H228" s="36" t="str">
        <f>IF('Zoopl Count'!H228=0,"",('Zoopl Analysis'!H228*LN('Zoopl Analysis'!H228)))</f>
        <v/>
      </c>
      <c r="I228" s="36" t="str">
        <f>IF('Zoopl Count'!I228=0,"",('Zoopl Analysis'!I228*LN('Zoopl Analysis'!I228)))</f>
        <v/>
      </c>
      <c r="J228" s="36" t="str">
        <f>IF('Zoopl Count'!J228=0,"",('Zoopl Analysis'!J228*LN('Zoopl Analysis'!J228)))</f>
        <v/>
      </c>
      <c r="K228" s="36" t="str">
        <f>IF('Zoopl Count'!K228=0,"",('Zoopl Analysis'!K228*LN('Zoopl Analysis'!K228)))</f>
        <v/>
      </c>
      <c r="L228" s="36" t="str">
        <f>IF('Zoopl Count'!L228=0,"",('Zoopl Analysis'!L228*LN('Zoopl Analysis'!L228)))</f>
        <v/>
      </c>
      <c r="M228" s="36" t="str">
        <f>IF('Zoopl Count'!M228=0,"",('Zoopl Analysis'!M228*LN('Zoopl Analysis'!M228)))</f>
        <v/>
      </c>
      <c r="N228" s="36" t="str">
        <f>IF('Zoopl Count'!N228=0,"",('Zoopl Analysis'!N228*LN('Zoopl Analysis'!N228)))</f>
        <v/>
      </c>
      <c r="O228" s="36" t="str">
        <f>IF('Zoopl Count'!O228=0,"",('Zoopl Analysis'!O228*LN('Zoopl Analysis'!O228)))</f>
        <v/>
      </c>
      <c r="P228" s="36" t="str">
        <f>IF('Zoopl Count'!P228=0,"",('Zoopl Analysis'!P228*LN('Zoopl Analysis'!P228)))</f>
        <v/>
      </c>
    </row>
    <row r="229" spans="1:16">
      <c r="A229" s="165"/>
      <c r="B229" s="175" t="s">
        <v>269</v>
      </c>
      <c r="C229" s="165"/>
      <c r="D229" s="165"/>
      <c r="E229" s="166"/>
      <c r="F229" s="10"/>
      <c r="G229" s="36" t="str">
        <f>IF('Zoopl Count'!G229=0,"",('Zoopl Analysis'!G229*LN('Zoopl Analysis'!G229)))</f>
        <v/>
      </c>
      <c r="H229" s="36" t="str">
        <f>IF('Zoopl Count'!H229=0,"",('Zoopl Analysis'!H229*LN('Zoopl Analysis'!H229)))</f>
        <v/>
      </c>
      <c r="I229" s="36" t="str">
        <f>IF('Zoopl Count'!I229=0,"",('Zoopl Analysis'!I229*LN('Zoopl Analysis'!I229)))</f>
        <v/>
      </c>
      <c r="J229" s="36" t="str">
        <f>IF('Zoopl Count'!J229=0,"",('Zoopl Analysis'!J229*LN('Zoopl Analysis'!J229)))</f>
        <v/>
      </c>
      <c r="K229" s="36" t="str">
        <f>IF('Zoopl Count'!K229=0,"",('Zoopl Analysis'!K229*LN('Zoopl Analysis'!K229)))</f>
        <v/>
      </c>
      <c r="L229" s="36" t="str">
        <f>IF('Zoopl Count'!L229=0,"",('Zoopl Analysis'!L229*LN('Zoopl Analysis'!L229)))</f>
        <v/>
      </c>
      <c r="M229" s="36" t="str">
        <f>IF('Zoopl Count'!M229=0,"",('Zoopl Analysis'!M229*LN('Zoopl Analysis'!M229)))</f>
        <v/>
      </c>
      <c r="N229" s="36" t="str">
        <f>IF('Zoopl Count'!N229=0,"",('Zoopl Analysis'!N229*LN('Zoopl Analysis'!N229)))</f>
        <v/>
      </c>
      <c r="O229" s="36" t="str">
        <f>IF('Zoopl Count'!O229=0,"",('Zoopl Analysis'!O229*LN('Zoopl Analysis'!O229)))</f>
        <v/>
      </c>
      <c r="P229" s="36" t="str">
        <f>IF('Zoopl Count'!P229=0,"",('Zoopl Analysis'!P229*LN('Zoopl Analysis'!P229)))</f>
        <v/>
      </c>
    </row>
    <row r="230" spans="1:16">
      <c r="A230" s="165"/>
      <c r="B230" s="165"/>
      <c r="C230" s="165"/>
      <c r="D230" s="165"/>
      <c r="E230" s="166" t="s">
        <v>14</v>
      </c>
      <c r="F230" s="10" t="s">
        <v>271</v>
      </c>
      <c r="G230" s="36" t="str">
        <f>IF('Zoopl Count'!G230=0,"",('Zoopl Analysis'!G230*LN('Zoopl Analysis'!G230)))</f>
        <v/>
      </c>
      <c r="H230" s="36" t="str">
        <f>IF('Zoopl Count'!H230=0,"",('Zoopl Analysis'!H230*LN('Zoopl Analysis'!H230)))</f>
        <v/>
      </c>
      <c r="I230" s="36" t="str">
        <f>IF('Zoopl Count'!I230=0,"",('Zoopl Analysis'!I230*LN('Zoopl Analysis'!I230)))</f>
        <v/>
      </c>
      <c r="J230" s="36" t="str">
        <f>IF('Zoopl Count'!J230=0,"",('Zoopl Analysis'!J230*LN('Zoopl Analysis'!J230)))</f>
        <v/>
      </c>
      <c r="K230" s="36" t="str">
        <f>IF('Zoopl Count'!K230=0,"",('Zoopl Analysis'!K230*LN('Zoopl Analysis'!K230)))</f>
        <v/>
      </c>
      <c r="L230" s="36" t="str">
        <f>IF('Zoopl Count'!L230=0,"",('Zoopl Analysis'!L230*LN('Zoopl Analysis'!L230)))</f>
        <v/>
      </c>
      <c r="M230" s="36" t="str">
        <f>IF('Zoopl Count'!M230=0,"",('Zoopl Analysis'!M230*LN('Zoopl Analysis'!M230)))</f>
        <v/>
      </c>
      <c r="N230" s="36" t="str">
        <f>IF('Zoopl Count'!N230=0,"",('Zoopl Analysis'!N230*LN('Zoopl Analysis'!N230)))</f>
        <v/>
      </c>
      <c r="O230" s="36" t="str">
        <f>IF('Zoopl Count'!O230=0,"",('Zoopl Analysis'!O230*LN('Zoopl Analysis'!O230)))</f>
        <v/>
      </c>
      <c r="P230" s="36" t="str">
        <f>IF('Zoopl Count'!P230=0,"",('Zoopl Analysis'!P230*LN('Zoopl Analysis'!P230)))</f>
        <v/>
      </c>
    </row>
    <row r="231" spans="1:16">
      <c r="E231" s="8"/>
      <c r="F231" s="19" t="s">
        <v>301</v>
      </c>
      <c r="G231" s="36" t="str">
        <f>IF('Zoopl Count'!G231=0,"",('Zoopl Analysis'!G231*LN('Zoopl Analysis'!G231)))</f>
        <v/>
      </c>
      <c r="H231" s="36" t="str">
        <f>IF('Zoopl Count'!H231=0,"",('Zoopl Analysis'!H231*LN('Zoopl Analysis'!H231)))</f>
        <v/>
      </c>
      <c r="I231" s="36" t="str">
        <f>IF('Zoopl Count'!I231=0,"",('Zoopl Analysis'!I231*LN('Zoopl Analysis'!I231)))</f>
        <v/>
      </c>
      <c r="J231" s="36" t="str">
        <f>IF('Zoopl Count'!J231=0,"",('Zoopl Analysis'!J231*LN('Zoopl Analysis'!J231)))</f>
        <v/>
      </c>
      <c r="K231" s="36" t="str">
        <f>IF('Zoopl Count'!K231=0,"",('Zoopl Analysis'!K231*LN('Zoopl Analysis'!K231)))</f>
        <v/>
      </c>
      <c r="L231" s="36" t="str">
        <f>IF('Zoopl Count'!L231=0,"",('Zoopl Analysis'!L231*LN('Zoopl Analysis'!L231)))</f>
        <v/>
      </c>
      <c r="M231" s="36" t="str">
        <f>IF('Zoopl Count'!M231=0,"",('Zoopl Analysis'!M231*LN('Zoopl Analysis'!M231)))</f>
        <v/>
      </c>
      <c r="N231" s="36" t="str">
        <f>IF('Zoopl Count'!N231=0,"",('Zoopl Analysis'!N231*LN('Zoopl Analysis'!N231)))</f>
        <v/>
      </c>
      <c r="O231" s="36" t="str">
        <f>IF('Zoopl Count'!O231=0,"",('Zoopl Analysis'!O231*LN('Zoopl Analysis'!O231)))</f>
        <v/>
      </c>
      <c r="P231" s="36" t="str">
        <f>IF('Zoopl Count'!P231=0,"",('Zoopl Analysis'!P231*LN('Zoopl Analysis'!P231)))</f>
        <v/>
      </c>
    </row>
    <row r="232" spans="1:16">
      <c r="A232" s="165"/>
      <c r="B232" s="268" t="s">
        <v>425</v>
      </c>
      <c r="C232" s="165"/>
      <c r="D232" s="165"/>
      <c r="E232" s="166"/>
      <c r="F232" s="10"/>
      <c r="G232" s="36" t="str">
        <f>IF('Zoopl Count'!G232=0,"",('Zoopl Analysis'!G232*LN('Zoopl Analysis'!G232)))</f>
        <v/>
      </c>
      <c r="H232" s="36" t="str">
        <f>IF('Zoopl Count'!H232=0,"",('Zoopl Analysis'!H232*LN('Zoopl Analysis'!H232)))</f>
        <v/>
      </c>
      <c r="I232" s="36" t="str">
        <f>IF('Zoopl Count'!I232=0,"",('Zoopl Analysis'!I232*LN('Zoopl Analysis'!I232)))</f>
        <v/>
      </c>
      <c r="J232" s="36" t="str">
        <f>IF('Zoopl Count'!J232=0,"",('Zoopl Analysis'!J232*LN('Zoopl Analysis'!J232)))</f>
        <v/>
      </c>
      <c r="K232" s="36" t="str">
        <f>IF('Zoopl Count'!K232=0,"",('Zoopl Analysis'!K232*LN('Zoopl Analysis'!K232)))</f>
        <v/>
      </c>
      <c r="L232" s="36" t="str">
        <f>IF('Zoopl Count'!L232=0,"",('Zoopl Analysis'!L232*LN('Zoopl Analysis'!L232)))</f>
        <v/>
      </c>
      <c r="M232" s="36" t="str">
        <f>IF('Zoopl Count'!M232=0,"",('Zoopl Analysis'!M232*LN('Zoopl Analysis'!M232)))</f>
        <v/>
      </c>
      <c r="N232" s="36" t="str">
        <f>IF('Zoopl Count'!N232=0,"",('Zoopl Analysis'!N232*LN('Zoopl Analysis'!N232)))</f>
        <v/>
      </c>
      <c r="O232" s="36" t="str">
        <f>IF('Zoopl Count'!O232=0,"",('Zoopl Analysis'!O232*LN('Zoopl Analysis'!O232)))</f>
        <v/>
      </c>
      <c r="P232" s="36" t="str">
        <f>IF('Zoopl Count'!P232=0,"",('Zoopl Analysis'!P232*LN('Zoopl Analysis'!P232)))</f>
        <v/>
      </c>
    </row>
    <row r="233" spans="1:16">
      <c r="A233" s="165"/>
      <c r="B233" s="165"/>
      <c r="C233" s="165"/>
      <c r="D233" s="165"/>
      <c r="E233" s="166" t="s">
        <v>14</v>
      </c>
      <c r="F233" s="10" t="s">
        <v>424</v>
      </c>
      <c r="G233" s="36" t="str">
        <f>IF('Zoopl Count'!G233=0,"",('Zoopl Analysis'!G233*LN('Zoopl Analysis'!G233)))</f>
        <v/>
      </c>
      <c r="H233" s="36" t="str">
        <f>IF('Zoopl Count'!H233=0,"",('Zoopl Analysis'!H233*LN('Zoopl Analysis'!H233)))</f>
        <v/>
      </c>
      <c r="I233" s="36" t="str">
        <f>IF('Zoopl Count'!I233=0,"",('Zoopl Analysis'!I233*LN('Zoopl Analysis'!I233)))</f>
        <v/>
      </c>
      <c r="J233" s="36" t="str">
        <f>IF('Zoopl Count'!J233=0,"",('Zoopl Analysis'!J233*LN('Zoopl Analysis'!J233)))</f>
        <v/>
      </c>
      <c r="K233" s="36" t="str">
        <f>IF('Zoopl Count'!K233=0,"",('Zoopl Analysis'!K233*LN('Zoopl Analysis'!K233)))</f>
        <v/>
      </c>
      <c r="L233" s="36" t="str">
        <f>IF('Zoopl Count'!L233=0,"",('Zoopl Analysis'!L233*LN('Zoopl Analysis'!L233)))</f>
        <v/>
      </c>
      <c r="M233" s="36" t="str">
        <f>IF('Zoopl Count'!M233=0,"",('Zoopl Analysis'!M233*LN('Zoopl Analysis'!M233)))</f>
        <v/>
      </c>
      <c r="N233" s="36" t="str">
        <f>IF('Zoopl Count'!N233=0,"",('Zoopl Analysis'!N233*LN('Zoopl Analysis'!N233)))</f>
        <v/>
      </c>
      <c r="O233" s="36" t="str">
        <f>IF('Zoopl Count'!O233=0,"",('Zoopl Analysis'!O233*LN('Zoopl Analysis'!O233)))</f>
        <v/>
      </c>
      <c r="P233" s="36" t="str">
        <f>IF('Zoopl Count'!P233=0,"",('Zoopl Analysis'!P233*LN('Zoopl Analysis'!P233)))</f>
        <v/>
      </c>
    </row>
    <row r="234" spans="1:16">
      <c r="A234" s="165"/>
      <c r="B234" s="239" t="s">
        <v>413</v>
      </c>
      <c r="C234" s="165"/>
      <c r="D234" s="165"/>
      <c r="E234" s="166"/>
      <c r="F234" s="10"/>
      <c r="G234" s="36" t="str">
        <f>IF('Zoopl Count'!G234=0,"",('Zoopl Analysis'!G234*LN('Zoopl Analysis'!G234)))</f>
        <v/>
      </c>
      <c r="H234" s="36" t="str">
        <f>IF('Zoopl Count'!H234=0,"",('Zoopl Analysis'!H234*LN('Zoopl Analysis'!H234)))</f>
        <v/>
      </c>
      <c r="I234" s="36" t="str">
        <f>IF('Zoopl Count'!I234=0,"",('Zoopl Analysis'!I234*LN('Zoopl Analysis'!I234)))</f>
        <v/>
      </c>
      <c r="J234" s="36" t="str">
        <f>IF('Zoopl Count'!J234=0,"",('Zoopl Analysis'!J234*LN('Zoopl Analysis'!J234)))</f>
        <v/>
      </c>
      <c r="K234" s="36" t="str">
        <f>IF('Zoopl Count'!K234=0,"",('Zoopl Analysis'!K234*LN('Zoopl Analysis'!K234)))</f>
        <v/>
      </c>
      <c r="L234" s="36" t="str">
        <f>IF('Zoopl Count'!L234=0,"",('Zoopl Analysis'!L234*LN('Zoopl Analysis'!L234)))</f>
        <v/>
      </c>
      <c r="M234" s="36" t="str">
        <f>IF('Zoopl Count'!M234=0,"",('Zoopl Analysis'!M234*LN('Zoopl Analysis'!M234)))</f>
        <v/>
      </c>
      <c r="N234" s="36" t="str">
        <f>IF('Zoopl Count'!N234=0,"",('Zoopl Analysis'!N234*LN('Zoopl Analysis'!N234)))</f>
        <v/>
      </c>
      <c r="O234" s="36" t="str">
        <f>IF('Zoopl Count'!O234=0,"",('Zoopl Analysis'!O234*LN('Zoopl Analysis'!O234)))</f>
        <v/>
      </c>
      <c r="P234" s="36" t="str">
        <f>IF('Zoopl Count'!P234=0,"",('Zoopl Analysis'!P234*LN('Zoopl Analysis'!P234)))</f>
        <v/>
      </c>
    </row>
    <row r="235" spans="1:16">
      <c r="A235" s="165"/>
      <c r="B235" s="165"/>
      <c r="C235" s="165"/>
      <c r="D235" s="165"/>
      <c r="E235" s="166" t="s">
        <v>14</v>
      </c>
      <c r="F235" s="10" t="s">
        <v>403</v>
      </c>
      <c r="G235" s="36" t="str">
        <f>IF('Zoopl Count'!G235=0,"",('Zoopl Analysis'!G235*LN('Zoopl Analysis'!G235)))</f>
        <v/>
      </c>
      <c r="H235" s="36" t="str">
        <f>IF('Zoopl Count'!H235=0,"",('Zoopl Analysis'!H235*LN('Zoopl Analysis'!H235)))</f>
        <v/>
      </c>
      <c r="I235" s="36" t="str">
        <f>IF('Zoopl Count'!I235=0,"",('Zoopl Analysis'!I235*LN('Zoopl Analysis'!I235)))</f>
        <v/>
      </c>
      <c r="J235" s="36" t="str">
        <f>IF('Zoopl Count'!J235=0,"",('Zoopl Analysis'!J235*LN('Zoopl Analysis'!J235)))</f>
        <v/>
      </c>
      <c r="K235" s="36" t="str">
        <f>IF('Zoopl Count'!K235=0,"",('Zoopl Analysis'!K235*LN('Zoopl Analysis'!K235)))</f>
        <v/>
      </c>
      <c r="L235" s="36" t="str">
        <f>IF('Zoopl Count'!L235=0,"",('Zoopl Analysis'!L235*LN('Zoopl Analysis'!L235)))</f>
        <v/>
      </c>
      <c r="M235" s="36" t="str">
        <f>IF('Zoopl Count'!M235=0,"",('Zoopl Analysis'!M235*LN('Zoopl Analysis'!M235)))</f>
        <v/>
      </c>
      <c r="N235" s="36" t="str">
        <f>IF('Zoopl Count'!N235=0,"",('Zoopl Analysis'!N235*LN('Zoopl Analysis'!N235)))</f>
        <v/>
      </c>
      <c r="O235" s="36" t="str">
        <f>IF('Zoopl Count'!O235=0,"",('Zoopl Analysis'!O235*LN('Zoopl Analysis'!O235)))</f>
        <v/>
      </c>
      <c r="P235" s="36" t="str">
        <f>IF('Zoopl Count'!P235=0,"",('Zoopl Analysis'!P235*LN('Zoopl Analysis'!P235)))</f>
        <v/>
      </c>
    </row>
    <row r="236" spans="1:16">
      <c r="E236" s="8"/>
      <c r="F236" s="19" t="s">
        <v>404</v>
      </c>
      <c r="G236" s="36" t="str">
        <f>IF('Zoopl Count'!G236=0,"",('Zoopl Analysis'!G236*LN('Zoopl Analysis'!G236)))</f>
        <v/>
      </c>
      <c r="H236" s="36" t="str">
        <f>IF('Zoopl Count'!H236=0,"",('Zoopl Analysis'!H236*LN('Zoopl Analysis'!H236)))</f>
        <v/>
      </c>
      <c r="I236" s="36" t="str">
        <f>IF('Zoopl Count'!I236=0,"",('Zoopl Analysis'!I236*LN('Zoopl Analysis'!I236)))</f>
        <v/>
      </c>
      <c r="J236" s="36" t="str">
        <f>IF('Zoopl Count'!J236=0,"",('Zoopl Analysis'!J236*LN('Zoopl Analysis'!J236)))</f>
        <v/>
      </c>
      <c r="K236" s="36" t="str">
        <f>IF('Zoopl Count'!K236=0,"",('Zoopl Analysis'!K236*LN('Zoopl Analysis'!K236)))</f>
        <v/>
      </c>
      <c r="L236" s="36" t="str">
        <f>IF('Zoopl Count'!L236=0,"",('Zoopl Analysis'!L236*LN('Zoopl Analysis'!L236)))</f>
        <v/>
      </c>
      <c r="M236" s="36" t="str">
        <f>IF('Zoopl Count'!M236=0,"",('Zoopl Analysis'!M236*LN('Zoopl Analysis'!M236)))</f>
        <v/>
      </c>
      <c r="N236" s="36" t="str">
        <f>IF('Zoopl Count'!N236=0,"",('Zoopl Analysis'!N236*LN('Zoopl Analysis'!N236)))</f>
        <v/>
      </c>
      <c r="O236" s="36" t="str">
        <f>IF('Zoopl Count'!O236=0,"",('Zoopl Analysis'!O236*LN('Zoopl Analysis'!O236)))</f>
        <v/>
      </c>
      <c r="P236" s="36" t="str">
        <f>IF('Zoopl Count'!P236=0,"",('Zoopl Analysis'!P236*LN('Zoopl Analysis'!P236)))</f>
        <v/>
      </c>
    </row>
    <row r="237" spans="1:16">
      <c r="E237" s="8"/>
      <c r="F237" s="19" t="s">
        <v>405</v>
      </c>
      <c r="G237" s="36" t="str">
        <f>IF('Zoopl Count'!G237=0,"",('Zoopl Analysis'!G237*LN('Zoopl Analysis'!G237)))</f>
        <v/>
      </c>
      <c r="H237" s="36" t="str">
        <f>IF('Zoopl Count'!H237=0,"",('Zoopl Analysis'!H237*LN('Zoopl Analysis'!H237)))</f>
        <v/>
      </c>
      <c r="I237" s="36" t="str">
        <f>IF('Zoopl Count'!I237=0,"",('Zoopl Analysis'!I237*LN('Zoopl Analysis'!I237)))</f>
        <v/>
      </c>
      <c r="J237" s="36" t="str">
        <f>IF('Zoopl Count'!J237=0,"",('Zoopl Analysis'!J237*LN('Zoopl Analysis'!J237)))</f>
        <v/>
      </c>
      <c r="K237" s="36" t="str">
        <f>IF('Zoopl Count'!K237=0,"",('Zoopl Analysis'!K237*LN('Zoopl Analysis'!K237)))</f>
        <v/>
      </c>
      <c r="L237" s="36" t="str">
        <f>IF('Zoopl Count'!L237=0,"",('Zoopl Analysis'!L237*LN('Zoopl Analysis'!L237)))</f>
        <v/>
      </c>
      <c r="M237" s="36" t="str">
        <f>IF('Zoopl Count'!M237=0,"",('Zoopl Analysis'!M237*LN('Zoopl Analysis'!M237)))</f>
        <v/>
      </c>
      <c r="N237" s="36" t="str">
        <f>IF('Zoopl Count'!N237=0,"",('Zoopl Analysis'!N237*LN('Zoopl Analysis'!N237)))</f>
        <v/>
      </c>
      <c r="O237" s="36" t="str">
        <f>IF('Zoopl Count'!O237=0,"",('Zoopl Analysis'!O237*LN('Zoopl Analysis'!O237)))</f>
        <v/>
      </c>
      <c r="P237" s="36" t="str">
        <f>IF('Zoopl Count'!P237=0,"",('Zoopl Analysis'!P237*LN('Zoopl Analysis'!P237)))</f>
        <v/>
      </c>
    </row>
    <row r="238" spans="1:16">
      <c r="E238" s="8"/>
      <c r="G238" s="36" t="str">
        <f>IF('Zoopl Count'!G238=0,"",('Zoopl Analysis'!G238*LN('Zoopl Analysis'!G238)))</f>
        <v/>
      </c>
      <c r="H238" s="36" t="str">
        <f>IF('Zoopl Count'!H238=0,"",('Zoopl Analysis'!H238*LN('Zoopl Analysis'!H238)))</f>
        <v/>
      </c>
      <c r="I238" s="36" t="str">
        <f>IF('Zoopl Count'!I238=0,"",('Zoopl Analysis'!I238*LN('Zoopl Analysis'!I238)))</f>
        <v/>
      </c>
      <c r="J238" s="36" t="str">
        <f>IF('Zoopl Count'!J238=0,"",('Zoopl Analysis'!J238*LN('Zoopl Analysis'!J238)))</f>
        <v/>
      </c>
      <c r="K238" s="36" t="str">
        <f>IF('Zoopl Count'!K238=0,"",('Zoopl Analysis'!K238*LN('Zoopl Analysis'!K238)))</f>
        <v/>
      </c>
      <c r="L238" s="36" t="str">
        <f>IF('Zoopl Count'!L238=0,"",('Zoopl Analysis'!L238*LN('Zoopl Analysis'!L238)))</f>
        <v/>
      </c>
      <c r="M238" s="36" t="str">
        <f>IF('Zoopl Count'!M238=0,"",('Zoopl Analysis'!M238*LN('Zoopl Analysis'!M238)))</f>
        <v/>
      </c>
      <c r="N238" s="36" t="str">
        <f>IF('Zoopl Count'!N238=0,"",('Zoopl Analysis'!N238*LN('Zoopl Analysis'!N238)))</f>
        <v/>
      </c>
      <c r="O238" s="36" t="str">
        <f>IF('Zoopl Count'!O238=0,"",('Zoopl Analysis'!O238*LN('Zoopl Analysis'!O238)))</f>
        <v/>
      </c>
      <c r="P238" s="36" t="str">
        <f>IF('Zoopl Count'!P238=0,"",('Zoopl Analysis'!P238*LN('Zoopl Analysis'!P238)))</f>
        <v/>
      </c>
    </row>
    <row r="239" spans="1:16">
      <c r="C239" s="8" t="s">
        <v>10</v>
      </c>
      <c r="D239" s="2" t="s">
        <v>406</v>
      </c>
      <c r="G239" s="36" t="str">
        <f>IF('Zoopl Count'!G239=0,"",('Zoopl Analysis'!G239*LN('Zoopl Analysis'!G239)))</f>
        <v/>
      </c>
      <c r="H239" s="36" t="str">
        <f>IF('Zoopl Count'!H239=0,"",('Zoopl Analysis'!H239*LN('Zoopl Analysis'!H239)))</f>
        <v/>
      </c>
      <c r="I239" s="36" t="str">
        <f>IF('Zoopl Count'!I239=0,"",('Zoopl Analysis'!I239*LN('Zoopl Analysis'!I239)))</f>
        <v/>
      </c>
      <c r="J239" s="36" t="str">
        <f>IF('Zoopl Count'!J239=0,"",('Zoopl Analysis'!J239*LN('Zoopl Analysis'!J239)))</f>
        <v/>
      </c>
      <c r="K239" s="36" t="str">
        <f>IF('Zoopl Count'!K239=0,"",('Zoopl Analysis'!K239*LN('Zoopl Analysis'!K239)))</f>
        <v/>
      </c>
      <c r="L239" s="36" t="str">
        <f>IF('Zoopl Count'!L239=0,"",('Zoopl Analysis'!L239*LN('Zoopl Analysis'!L239)))</f>
        <v/>
      </c>
      <c r="M239" s="36" t="str">
        <f>IF('Zoopl Count'!M239=0,"",('Zoopl Analysis'!M239*LN('Zoopl Analysis'!M239)))</f>
        <v/>
      </c>
      <c r="N239" s="36" t="str">
        <f>IF('Zoopl Count'!N239=0,"",('Zoopl Analysis'!N239*LN('Zoopl Analysis'!N239)))</f>
        <v/>
      </c>
      <c r="O239" s="36" t="str">
        <f>IF('Zoopl Count'!O239=0,"",('Zoopl Analysis'!O239*LN('Zoopl Analysis'!O239)))</f>
        <v/>
      </c>
      <c r="P239" s="36" t="str">
        <f>IF('Zoopl Count'!P239=0,"",('Zoopl Analysis'!P239*LN('Zoopl Analysis'!P239)))</f>
        <v/>
      </c>
    </row>
    <row r="240" spans="1:16">
      <c r="A240" s="165"/>
      <c r="C240" s="165"/>
      <c r="D240" s="243" t="s">
        <v>417</v>
      </c>
      <c r="E240" s="242" t="s">
        <v>407</v>
      </c>
      <c r="F240" s="10"/>
      <c r="G240" s="36" t="str">
        <f>IF('Zoopl Count'!G240=0,"",('Zoopl Analysis'!G240*LN('Zoopl Analysis'!G240)))</f>
        <v/>
      </c>
      <c r="H240" s="36" t="str">
        <f>IF('Zoopl Count'!H240=0,"",('Zoopl Analysis'!H240*LN('Zoopl Analysis'!H240)))</f>
        <v/>
      </c>
      <c r="I240" s="36" t="str">
        <f>IF('Zoopl Count'!I240=0,"",('Zoopl Analysis'!I240*LN('Zoopl Analysis'!I240)))</f>
        <v/>
      </c>
      <c r="J240" s="36" t="str">
        <f>IF('Zoopl Count'!J240=0,"",('Zoopl Analysis'!J240*LN('Zoopl Analysis'!J240)))</f>
        <v/>
      </c>
      <c r="K240" s="36" t="str">
        <f>IF('Zoopl Count'!K240=0,"",('Zoopl Analysis'!K240*LN('Zoopl Analysis'!K240)))</f>
        <v/>
      </c>
      <c r="L240" s="36" t="str">
        <f>IF('Zoopl Count'!L240=0,"",('Zoopl Analysis'!L240*LN('Zoopl Analysis'!L240)))</f>
        <v/>
      </c>
      <c r="M240" s="36" t="str">
        <f>IF('Zoopl Count'!M240=0,"",('Zoopl Analysis'!M240*LN('Zoopl Analysis'!M240)))</f>
        <v/>
      </c>
      <c r="N240" s="36" t="str">
        <f>IF('Zoopl Count'!N240=0,"",('Zoopl Analysis'!N240*LN('Zoopl Analysis'!N240)))</f>
        <v/>
      </c>
      <c r="O240" s="36" t="str">
        <f>IF('Zoopl Count'!O240=0,"",('Zoopl Analysis'!O240*LN('Zoopl Analysis'!O240)))</f>
        <v/>
      </c>
      <c r="P240" s="36" t="str">
        <f>IF('Zoopl Count'!P240=0,"",('Zoopl Analysis'!P240*LN('Zoopl Analysis'!P240)))</f>
        <v/>
      </c>
    </row>
    <row r="241" spans="1:16">
      <c r="A241" s="165"/>
      <c r="B241" s="165"/>
      <c r="C241" s="165"/>
      <c r="D241" s="165"/>
      <c r="E241" s="166" t="s">
        <v>14</v>
      </c>
      <c r="F241" s="10" t="s">
        <v>408</v>
      </c>
      <c r="G241" s="36" t="str">
        <f>IF('Zoopl Count'!G241=0,"",('Zoopl Analysis'!G241*LN('Zoopl Analysis'!G241)))</f>
        <v/>
      </c>
      <c r="H241" s="36" t="str">
        <f>IF('Zoopl Count'!H241=0,"",('Zoopl Analysis'!H241*LN('Zoopl Analysis'!H241)))</f>
        <v/>
      </c>
      <c r="I241" s="36" t="str">
        <f>IF('Zoopl Count'!I241=0,"",('Zoopl Analysis'!I241*LN('Zoopl Analysis'!I241)))</f>
        <v/>
      </c>
      <c r="J241" s="36" t="str">
        <f>IF('Zoopl Count'!J241=0,"",('Zoopl Analysis'!J241*LN('Zoopl Analysis'!J241)))</f>
        <v/>
      </c>
      <c r="K241" s="36" t="str">
        <f>IF('Zoopl Count'!K241=0,"",('Zoopl Analysis'!K241*LN('Zoopl Analysis'!K241)))</f>
        <v/>
      </c>
      <c r="L241" s="36" t="str">
        <f>IF('Zoopl Count'!L241=0,"",('Zoopl Analysis'!L241*LN('Zoopl Analysis'!L241)))</f>
        <v/>
      </c>
      <c r="M241" s="36" t="str">
        <f>IF('Zoopl Count'!M241=0,"",('Zoopl Analysis'!M241*LN('Zoopl Analysis'!M241)))</f>
        <v/>
      </c>
      <c r="N241" s="36" t="str">
        <f>IF('Zoopl Count'!N241=0,"",('Zoopl Analysis'!N241*LN('Zoopl Analysis'!N241)))</f>
        <v/>
      </c>
      <c r="O241" s="36" t="str">
        <f>IF('Zoopl Count'!O241=0,"",('Zoopl Analysis'!O241*LN('Zoopl Analysis'!O241)))</f>
        <v/>
      </c>
      <c r="P241" s="36" t="str">
        <f>IF('Zoopl Count'!P241=0,"",('Zoopl Analysis'!P241*LN('Zoopl Analysis'!P241)))</f>
        <v/>
      </c>
    </row>
    <row r="242" spans="1:16">
      <c r="E242" s="8"/>
      <c r="F242" s="19" t="s">
        <v>409</v>
      </c>
      <c r="G242" s="36" t="str">
        <f>IF('Zoopl Count'!G242=0,"",('Zoopl Analysis'!G242*LN('Zoopl Analysis'!G242)))</f>
        <v/>
      </c>
      <c r="H242" s="36" t="str">
        <f>IF('Zoopl Count'!H242=0,"",('Zoopl Analysis'!H242*LN('Zoopl Analysis'!H242)))</f>
        <v/>
      </c>
      <c r="I242" s="36" t="str">
        <f>IF('Zoopl Count'!I242=0,"",('Zoopl Analysis'!I242*LN('Zoopl Analysis'!I242)))</f>
        <v/>
      </c>
      <c r="J242" s="36" t="str">
        <f>IF('Zoopl Count'!J242=0,"",('Zoopl Analysis'!J242*LN('Zoopl Analysis'!J242)))</f>
        <v/>
      </c>
      <c r="K242" s="36" t="str">
        <f>IF('Zoopl Count'!K242=0,"",('Zoopl Analysis'!K242*LN('Zoopl Analysis'!K242)))</f>
        <v/>
      </c>
      <c r="L242" s="36" t="str">
        <f>IF('Zoopl Count'!L242=0,"",('Zoopl Analysis'!L242*LN('Zoopl Analysis'!L242)))</f>
        <v/>
      </c>
      <c r="M242" s="36" t="str">
        <f>IF('Zoopl Count'!M242=0,"",('Zoopl Analysis'!M242*LN('Zoopl Analysis'!M242)))</f>
        <v/>
      </c>
      <c r="N242" s="36" t="str">
        <f>IF('Zoopl Count'!N242=0,"",('Zoopl Analysis'!N242*LN('Zoopl Analysis'!N242)))</f>
        <v/>
      </c>
      <c r="O242" s="36" t="str">
        <f>IF('Zoopl Count'!O242=0,"",('Zoopl Analysis'!O242*LN('Zoopl Analysis'!O242)))</f>
        <v/>
      </c>
      <c r="P242" s="36" t="str">
        <f>IF('Zoopl Count'!P242=0,"",('Zoopl Analysis'!P242*LN('Zoopl Analysis'!P242)))</f>
        <v/>
      </c>
    </row>
    <row r="243" spans="1:16">
      <c r="E243" s="8"/>
      <c r="G243" s="36" t="str">
        <f>IF('Zoopl Count'!G243=0,"",('Zoopl Analysis'!G243*LN('Zoopl Analysis'!G243)))</f>
        <v/>
      </c>
      <c r="H243" s="36" t="str">
        <f>IF('Zoopl Count'!H243=0,"",('Zoopl Analysis'!H243*LN('Zoopl Analysis'!H243)))</f>
        <v/>
      </c>
      <c r="I243" s="36" t="str">
        <f>IF('Zoopl Count'!I243=0,"",('Zoopl Analysis'!I243*LN('Zoopl Analysis'!I243)))</f>
        <v/>
      </c>
      <c r="J243" s="36" t="str">
        <f>IF('Zoopl Count'!J243=0,"",('Zoopl Analysis'!J243*LN('Zoopl Analysis'!J243)))</f>
        <v/>
      </c>
      <c r="K243" s="36" t="str">
        <f>IF('Zoopl Count'!K243=0,"",('Zoopl Analysis'!K243*LN('Zoopl Analysis'!K243)))</f>
        <v/>
      </c>
      <c r="L243" s="36" t="str">
        <f>IF('Zoopl Count'!L243=0,"",('Zoopl Analysis'!L243*LN('Zoopl Analysis'!L243)))</f>
        <v/>
      </c>
      <c r="M243" s="36" t="str">
        <f>IF('Zoopl Count'!M243=0,"",('Zoopl Analysis'!M243*LN('Zoopl Analysis'!M243)))</f>
        <v/>
      </c>
      <c r="N243" s="36" t="str">
        <f>IF('Zoopl Count'!N243=0,"",('Zoopl Analysis'!N243*LN('Zoopl Analysis'!N243)))</f>
        <v/>
      </c>
      <c r="O243" s="36" t="str">
        <f>IF('Zoopl Count'!O243=0,"",('Zoopl Analysis'!O243*LN('Zoopl Analysis'!O243)))</f>
        <v/>
      </c>
      <c r="P243" s="36" t="str">
        <f>IF('Zoopl Count'!P243=0,"",('Zoopl Analysis'!P243*LN('Zoopl Analysis'!P243)))</f>
        <v/>
      </c>
    </row>
    <row r="244" spans="1:16">
      <c r="B244" s="8" t="s">
        <v>79</v>
      </c>
      <c r="C244" s="2" t="s">
        <v>92</v>
      </c>
      <c r="E244" s="8"/>
      <c r="F244" s="19"/>
      <c r="G244" s="36" t="str">
        <f>IF('Zoopl Count'!G244=0,"",('Zoopl Analysis'!G244*LN('Zoopl Analysis'!G244)))</f>
        <v/>
      </c>
      <c r="H244" s="36" t="str">
        <f>IF('Zoopl Count'!H244=0,"",('Zoopl Analysis'!H244*LN('Zoopl Analysis'!H244)))</f>
        <v/>
      </c>
      <c r="I244" s="36" t="str">
        <f>IF('Zoopl Count'!I244=0,"",('Zoopl Analysis'!I244*LN('Zoopl Analysis'!I244)))</f>
        <v/>
      </c>
      <c r="J244" s="36" t="str">
        <f>IF('Zoopl Count'!J244=0,"",('Zoopl Analysis'!J244*LN('Zoopl Analysis'!J244)))</f>
        <v/>
      </c>
      <c r="K244" s="36" t="str">
        <f>IF('Zoopl Count'!K244=0,"",('Zoopl Analysis'!K244*LN('Zoopl Analysis'!K244)))</f>
        <v/>
      </c>
      <c r="L244" s="36" t="str">
        <f>IF('Zoopl Count'!L244=0,"",('Zoopl Analysis'!L244*LN('Zoopl Analysis'!L244)))</f>
        <v/>
      </c>
      <c r="M244" s="36" t="str">
        <f>IF('Zoopl Count'!M244=0,"",('Zoopl Analysis'!M244*LN('Zoopl Analysis'!M244)))</f>
        <v/>
      </c>
      <c r="N244" s="36" t="str">
        <f>IF('Zoopl Count'!N244=0,"",('Zoopl Analysis'!N244*LN('Zoopl Analysis'!N244)))</f>
        <v/>
      </c>
      <c r="O244" s="36" t="str">
        <f>IF('Zoopl Count'!O244=0,"",('Zoopl Analysis'!O244*LN('Zoopl Analysis'!O244)))</f>
        <v/>
      </c>
      <c r="P244" s="36" t="str">
        <f>IF('Zoopl Count'!P244=0,"",('Zoopl Analysis'!P244*LN('Zoopl Analysis'!P244)))</f>
        <v/>
      </c>
    </row>
    <row r="245" spans="1:16">
      <c r="E245" s="8"/>
      <c r="F245" s="6" t="s">
        <v>93</v>
      </c>
      <c r="G245" s="36" t="str">
        <f>IF('Zoopl Count'!G245=0,"",('Zoopl Analysis'!G245*LN('Zoopl Analysis'!G245)))</f>
        <v/>
      </c>
      <c r="H245" s="36" t="str">
        <f>IF('Zoopl Count'!H245=0,"",('Zoopl Analysis'!H245*LN('Zoopl Analysis'!H245)))</f>
        <v/>
      </c>
      <c r="I245" s="36" t="str">
        <f>IF('Zoopl Count'!I245=0,"",('Zoopl Analysis'!I245*LN('Zoopl Analysis'!I245)))</f>
        <v/>
      </c>
      <c r="J245" s="36" t="str">
        <f>IF('Zoopl Count'!J245=0,"",('Zoopl Analysis'!J245*LN('Zoopl Analysis'!J245)))</f>
        <v/>
      </c>
      <c r="K245" s="36" t="str">
        <f>IF('Zoopl Count'!K245=0,"",('Zoopl Analysis'!K245*LN('Zoopl Analysis'!K245)))</f>
        <v/>
      </c>
      <c r="L245" s="36" t="str">
        <f>IF('Zoopl Count'!L245=0,"",('Zoopl Analysis'!L245*LN('Zoopl Analysis'!L245)))</f>
        <v/>
      </c>
      <c r="M245" s="36" t="str">
        <f>IF('Zoopl Count'!M245=0,"",('Zoopl Analysis'!M245*LN('Zoopl Analysis'!M245)))</f>
        <v/>
      </c>
      <c r="N245" s="36" t="str">
        <f>IF('Zoopl Count'!N245=0,"",('Zoopl Analysis'!N245*LN('Zoopl Analysis'!N245)))</f>
        <v/>
      </c>
      <c r="O245" s="36" t="str">
        <f>IF('Zoopl Count'!O245=0,"",('Zoopl Analysis'!O245*LN('Zoopl Analysis'!O245)))</f>
        <v/>
      </c>
      <c r="P245" s="36" t="str">
        <f>IF('Zoopl Count'!P245=0,"",('Zoopl Analysis'!P245*LN('Zoopl Analysis'!P245)))</f>
        <v/>
      </c>
    </row>
    <row r="246" spans="1:16">
      <c r="E246" s="8"/>
      <c r="F246" s="19"/>
      <c r="G246" s="36" t="str">
        <f>IF('Zoopl Count'!G246=0,"",('Zoopl Analysis'!G246*LN('Zoopl Analysis'!G246)))</f>
        <v/>
      </c>
      <c r="H246" s="36" t="str">
        <f>IF('Zoopl Count'!H246=0,"",('Zoopl Analysis'!H246*LN('Zoopl Analysis'!H246)))</f>
        <v/>
      </c>
      <c r="I246" s="36" t="str">
        <f>IF('Zoopl Count'!I246=0,"",('Zoopl Analysis'!I246*LN('Zoopl Analysis'!I246)))</f>
        <v/>
      </c>
      <c r="J246" s="36" t="str">
        <f>IF('Zoopl Count'!J246=0,"",('Zoopl Analysis'!J246*LN('Zoopl Analysis'!J246)))</f>
        <v/>
      </c>
      <c r="K246" s="36" t="str">
        <f>IF('Zoopl Count'!K246=0,"",('Zoopl Analysis'!K246*LN('Zoopl Analysis'!K246)))</f>
        <v/>
      </c>
      <c r="L246" s="36" t="str">
        <f>IF('Zoopl Count'!L246=0,"",('Zoopl Analysis'!L246*LN('Zoopl Analysis'!L246)))</f>
        <v/>
      </c>
      <c r="M246" s="36" t="str">
        <f>IF('Zoopl Count'!M246=0,"",('Zoopl Analysis'!M246*LN('Zoopl Analysis'!M246)))</f>
        <v/>
      </c>
      <c r="N246" s="36" t="str">
        <f>IF('Zoopl Count'!N246=0,"",('Zoopl Analysis'!N246*LN('Zoopl Analysis'!N246)))</f>
        <v/>
      </c>
      <c r="O246" s="36" t="str">
        <f>IF('Zoopl Count'!O246=0,"",('Zoopl Analysis'!O246*LN('Zoopl Analysis'!O246)))</f>
        <v/>
      </c>
      <c r="P246" s="36" t="str">
        <f>IF('Zoopl Count'!P246=0,"",('Zoopl Analysis'!P246*LN('Zoopl Analysis'!P246)))</f>
        <v/>
      </c>
    </row>
    <row r="247" spans="1:16">
      <c r="B247" s="8" t="s">
        <v>79</v>
      </c>
      <c r="C247" s="2" t="s">
        <v>94</v>
      </c>
      <c r="E247" s="8"/>
      <c r="F247" s="19"/>
      <c r="G247" s="36" t="str">
        <f>IF('Zoopl Count'!G247=0,"",('Zoopl Analysis'!G247*LN('Zoopl Analysis'!G247)))</f>
        <v/>
      </c>
      <c r="H247" s="36" t="str">
        <f>IF('Zoopl Count'!H247=0,"",('Zoopl Analysis'!H247*LN('Zoopl Analysis'!H247)))</f>
        <v/>
      </c>
      <c r="I247" s="36" t="str">
        <f>IF('Zoopl Count'!I247=0,"",('Zoopl Analysis'!I247*LN('Zoopl Analysis'!I247)))</f>
        <v/>
      </c>
      <c r="J247" s="36" t="str">
        <f>IF('Zoopl Count'!J247=0,"",('Zoopl Analysis'!J247*LN('Zoopl Analysis'!J247)))</f>
        <v/>
      </c>
      <c r="K247" s="36" t="str">
        <f>IF('Zoopl Count'!K247=0,"",('Zoopl Analysis'!K247*LN('Zoopl Analysis'!K247)))</f>
        <v/>
      </c>
      <c r="L247" s="36" t="str">
        <f>IF('Zoopl Count'!L247=0,"",('Zoopl Analysis'!L247*LN('Zoopl Analysis'!L247)))</f>
        <v/>
      </c>
      <c r="M247" s="36" t="str">
        <f>IF('Zoopl Count'!M247=0,"",('Zoopl Analysis'!M247*LN('Zoopl Analysis'!M247)))</f>
        <v/>
      </c>
      <c r="N247" s="36" t="str">
        <f>IF('Zoopl Count'!N247=0,"",('Zoopl Analysis'!N247*LN('Zoopl Analysis'!N247)))</f>
        <v/>
      </c>
      <c r="O247" s="36" t="str">
        <f>IF('Zoopl Count'!O247=0,"",('Zoopl Analysis'!O247*LN('Zoopl Analysis'!O247)))</f>
        <v/>
      </c>
      <c r="P247" s="36" t="str">
        <f>IF('Zoopl Count'!P247=0,"",('Zoopl Analysis'!P247*LN('Zoopl Analysis'!P247)))</f>
        <v/>
      </c>
    </row>
    <row r="248" spans="1:16">
      <c r="B248" s="8"/>
      <c r="C248" s="2"/>
      <c r="E248" s="8"/>
      <c r="F248" s="19" t="str">
        <f>'Zoopl Count'!F248</f>
        <v>Malacostracan larvae</v>
      </c>
      <c r="G248" s="36" t="str">
        <f>IF('Zoopl Count'!G248=0,"",('Zoopl Analysis'!G248*LN('Zoopl Analysis'!G248)))</f>
        <v/>
      </c>
      <c r="H248" s="36" t="str">
        <f>IF('Zoopl Count'!H248=0,"",('Zoopl Analysis'!H248*LN('Zoopl Analysis'!H248)))</f>
        <v/>
      </c>
      <c r="I248" s="36" t="str">
        <f>IF('Zoopl Count'!I248=0,"",('Zoopl Analysis'!I248*LN('Zoopl Analysis'!I248)))</f>
        <v/>
      </c>
      <c r="J248" s="36" t="str">
        <f>IF('Zoopl Count'!J248=0,"",('Zoopl Analysis'!J248*LN('Zoopl Analysis'!J248)))</f>
        <v/>
      </c>
      <c r="K248" s="36" t="str">
        <f>IF('Zoopl Count'!K248=0,"",('Zoopl Analysis'!K248*LN('Zoopl Analysis'!K248)))</f>
        <v/>
      </c>
      <c r="L248" s="36" t="str">
        <f>IF('Zoopl Count'!L248=0,"",('Zoopl Analysis'!L248*LN('Zoopl Analysis'!L248)))</f>
        <v/>
      </c>
      <c r="M248" s="36" t="str">
        <f>IF('Zoopl Count'!M248=0,"",('Zoopl Analysis'!M248*LN('Zoopl Analysis'!M248)))</f>
        <v/>
      </c>
      <c r="N248" s="36" t="str">
        <f>IF('Zoopl Count'!N248=0,"",('Zoopl Analysis'!N248*LN('Zoopl Analysis'!N248)))</f>
        <v/>
      </c>
      <c r="O248" s="36" t="str">
        <f>IF('Zoopl Count'!O248=0,"",('Zoopl Analysis'!O248*LN('Zoopl Analysis'!O248)))</f>
        <v/>
      </c>
      <c r="P248" s="36" t="str">
        <f>IF('Zoopl Count'!P248=0,"",('Zoopl Analysis'!P248*LN('Zoopl Analysis'!P248)))</f>
        <v/>
      </c>
    </row>
    <row r="249" spans="1:16">
      <c r="C249" s="8" t="s">
        <v>10</v>
      </c>
      <c r="D249" s="2" t="s">
        <v>95</v>
      </c>
      <c r="E249" s="8"/>
      <c r="F249" s="19"/>
      <c r="G249" s="36" t="str">
        <f>IF('Zoopl Count'!G249=0,"",('Zoopl Analysis'!G249*LN('Zoopl Analysis'!G249)))</f>
        <v/>
      </c>
      <c r="H249" s="36" t="str">
        <f>IF('Zoopl Count'!H249=0,"",('Zoopl Analysis'!H249*LN('Zoopl Analysis'!H249)))</f>
        <v/>
      </c>
      <c r="I249" s="36" t="str">
        <f>IF('Zoopl Count'!I249=0,"",('Zoopl Analysis'!I249*LN('Zoopl Analysis'!I249)))</f>
        <v/>
      </c>
      <c r="J249" s="36" t="str">
        <f>IF('Zoopl Count'!J249=0,"",('Zoopl Analysis'!J249*LN('Zoopl Analysis'!J249)))</f>
        <v/>
      </c>
      <c r="K249" s="36" t="str">
        <f>IF('Zoopl Count'!K249=0,"",('Zoopl Analysis'!K249*LN('Zoopl Analysis'!K249)))</f>
        <v/>
      </c>
      <c r="L249" s="36" t="str">
        <f>IF('Zoopl Count'!L249=0,"",('Zoopl Analysis'!L249*LN('Zoopl Analysis'!L249)))</f>
        <v/>
      </c>
      <c r="M249" s="36" t="str">
        <f>IF('Zoopl Count'!M249=0,"",('Zoopl Analysis'!M249*LN('Zoopl Analysis'!M249)))</f>
        <v/>
      </c>
      <c r="N249" s="36" t="str">
        <f>IF('Zoopl Count'!N249=0,"",('Zoopl Analysis'!N249*LN('Zoopl Analysis'!N249)))</f>
        <v/>
      </c>
      <c r="O249" s="36" t="str">
        <f>IF('Zoopl Count'!O249=0,"",('Zoopl Analysis'!O249*LN('Zoopl Analysis'!O249)))</f>
        <v/>
      </c>
      <c r="P249" s="36" t="str">
        <f>IF('Zoopl Count'!P249=0,"",('Zoopl Analysis'!P249*LN('Zoopl Analysis'!P249)))</f>
        <v/>
      </c>
    </row>
    <row r="250" spans="1:16">
      <c r="E250" s="8"/>
      <c r="F250" s="6" t="s">
        <v>96</v>
      </c>
      <c r="G250" s="36" t="str">
        <f>IF('Zoopl Count'!G250=0,"",('Zoopl Analysis'!G250*LN('Zoopl Analysis'!G250)))</f>
        <v/>
      </c>
      <c r="H250" s="36" t="str">
        <f>IF('Zoopl Count'!H250=0,"",('Zoopl Analysis'!H250*LN('Zoopl Analysis'!H250)))</f>
        <v/>
      </c>
      <c r="I250" s="36" t="str">
        <f>IF('Zoopl Count'!I250=0,"",('Zoopl Analysis'!I250*LN('Zoopl Analysis'!I250)))</f>
        <v/>
      </c>
      <c r="J250" s="36">
        <f>IF('Zoopl Count'!J250=0,"",('Zoopl Analysis'!J250*LN('Zoopl Analysis'!J250)))</f>
        <v>-0.26562315606499248</v>
      </c>
      <c r="K250" s="36" t="str">
        <f>IF('Zoopl Count'!K250=0,"",('Zoopl Analysis'!K250*LN('Zoopl Analysis'!K250)))</f>
        <v/>
      </c>
      <c r="L250" s="36" t="str">
        <f>IF('Zoopl Count'!L250=0,"",('Zoopl Analysis'!L250*LN('Zoopl Analysis'!L250)))</f>
        <v/>
      </c>
      <c r="M250" s="36" t="str">
        <f>IF('Zoopl Count'!M250=0,"",('Zoopl Analysis'!M250*LN('Zoopl Analysis'!M250)))</f>
        <v/>
      </c>
      <c r="N250" s="36" t="str">
        <f>IF('Zoopl Count'!N250=0,"",('Zoopl Analysis'!N250*LN('Zoopl Analysis'!N250)))</f>
        <v/>
      </c>
      <c r="O250" s="36" t="str">
        <f>IF('Zoopl Count'!O250=0,"",('Zoopl Analysis'!O250*LN('Zoopl Analysis'!O250)))</f>
        <v/>
      </c>
      <c r="P250" s="36" t="str">
        <f>IF('Zoopl Count'!P250=0,"",('Zoopl Analysis'!P250*LN('Zoopl Analysis'!P250)))</f>
        <v/>
      </c>
    </row>
    <row r="251" spans="1:16">
      <c r="C251" s="8" t="s">
        <v>10</v>
      </c>
      <c r="D251" s="2" t="s">
        <v>97</v>
      </c>
      <c r="E251" s="8"/>
      <c r="F251" s="19"/>
      <c r="G251" s="36" t="str">
        <f>IF('Zoopl Count'!G251=0,"",('Zoopl Analysis'!G251*LN('Zoopl Analysis'!G251)))</f>
        <v/>
      </c>
      <c r="H251" s="36" t="str">
        <f>IF('Zoopl Count'!H251=0,"",('Zoopl Analysis'!H251*LN('Zoopl Analysis'!H251)))</f>
        <v/>
      </c>
      <c r="I251" s="36" t="str">
        <f>IF('Zoopl Count'!I251=0,"",('Zoopl Analysis'!I251*LN('Zoopl Analysis'!I251)))</f>
        <v/>
      </c>
      <c r="J251" s="36" t="str">
        <f>IF('Zoopl Count'!J251=0,"",('Zoopl Analysis'!J251*LN('Zoopl Analysis'!J251)))</f>
        <v/>
      </c>
      <c r="K251" s="36" t="str">
        <f>IF('Zoopl Count'!K251=0,"",('Zoopl Analysis'!K251*LN('Zoopl Analysis'!K251)))</f>
        <v/>
      </c>
      <c r="L251" s="36" t="str">
        <f>IF('Zoopl Count'!L251=0,"",('Zoopl Analysis'!L251*LN('Zoopl Analysis'!L251)))</f>
        <v/>
      </c>
      <c r="M251" s="36" t="str">
        <f>IF('Zoopl Count'!M251=0,"",('Zoopl Analysis'!M251*LN('Zoopl Analysis'!M251)))</f>
        <v/>
      </c>
      <c r="N251" s="36" t="str">
        <f>IF('Zoopl Count'!N251=0,"",('Zoopl Analysis'!N251*LN('Zoopl Analysis'!N251)))</f>
        <v/>
      </c>
      <c r="O251" s="36" t="str">
        <f>IF('Zoopl Count'!O251=0,"",('Zoopl Analysis'!O251*LN('Zoopl Analysis'!O251)))</f>
        <v/>
      </c>
      <c r="P251" s="36" t="str">
        <f>IF('Zoopl Count'!P251=0,"",('Zoopl Analysis'!P251*LN('Zoopl Analysis'!P251)))</f>
        <v/>
      </c>
    </row>
    <row r="252" spans="1:16">
      <c r="A252" s="272" t="s">
        <v>12</v>
      </c>
      <c r="B252" s="272"/>
      <c r="C252" s="272"/>
      <c r="D252" s="272"/>
      <c r="E252" s="273" t="s">
        <v>332</v>
      </c>
      <c r="F252" s="274"/>
      <c r="G252" s="36" t="str">
        <f>IF('Zoopl Count'!G252=0,"",('Zoopl Analysis'!G252*LN('Zoopl Analysis'!G252)))</f>
        <v/>
      </c>
      <c r="H252" s="36" t="str">
        <f>IF('Zoopl Count'!H252=0,"",('Zoopl Analysis'!H252*LN('Zoopl Analysis'!H252)))</f>
        <v/>
      </c>
      <c r="I252" s="36" t="str">
        <f>IF('Zoopl Count'!I252=0,"",('Zoopl Analysis'!I252*LN('Zoopl Analysis'!I252)))</f>
        <v/>
      </c>
      <c r="J252" s="36" t="str">
        <f>IF('Zoopl Count'!J252=0,"",('Zoopl Analysis'!J252*LN('Zoopl Analysis'!J252)))</f>
        <v/>
      </c>
      <c r="K252" s="36" t="str">
        <f>IF('Zoopl Count'!K252=0,"",('Zoopl Analysis'!K252*LN('Zoopl Analysis'!K252)))</f>
        <v/>
      </c>
      <c r="L252" s="36" t="str">
        <f>IF('Zoopl Count'!L252=0,"",('Zoopl Analysis'!L252*LN('Zoopl Analysis'!L252)))</f>
        <v/>
      </c>
      <c r="M252" s="36" t="str">
        <f>IF('Zoopl Count'!M252=0,"",('Zoopl Analysis'!M252*LN('Zoopl Analysis'!M252)))</f>
        <v/>
      </c>
      <c r="N252" s="36" t="str">
        <f>IF('Zoopl Count'!N252=0,"",('Zoopl Analysis'!N252*LN('Zoopl Analysis'!N252)))</f>
        <v/>
      </c>
      <c r="O252" s="36" t="str">
        <f>IF('Zoopl Count'!O252=0,"",('Zoopl Analysis'!O252*LN('Zoopl Analysis'!O252)))</f>
        <v/>
      </c>
      <c r="P252" s="36" t="str">
        <f>IF('Zoopl Count'!P252=0,"",('Zoopl Analysis'!P252*LN('Zoopl Analysis'!P252)))</f>
        <v/>
      </c>
    </row>
    <row r="253" spans="1:16">
      <c r="E253" s="242" t="s">
        <v>410</v>
      </c>
      <c r="G253" s="36" t="str">
        <f>IF('Zoopl Count'!G253=0,"",('Zoopl Analysis'!G253*LN('Zoopl Analysis'!G253)))</f>
        <v/>
      </c>
      <c r="H253" s="36" t="str">
        <f>IF('Zoopl Count'!H253=0,"",('Zoopl Analysis'!H253*LN('Zoopl Analysis'!H253)))</f>
        <v/>
      </c>
      <c r="I253" s="36" t="str">
        <f>IF('Zoopl Count'!I253=0,"",('Zoopl Analysis'!I253*LN('Zoopl Analysis'!I253)))</f>
        <v/>
      </c>
      <c r="J253" s="36" t="str">
        <f>IF('Zoopl Count'!J253=0,"",('Zoopl Analysis'!J253*LN('Zoopl Analysis'!J253)))</f>
        <v/>
      </c>
      <c r="K253" s="36" t="str">
        <f>IF('Zoopl Count'!K253=0,"",('Zoopl Analysis'!K253*LN('Zoopl Analysis'!K253)))</f>
        <v/>
      </c>
      <c r="L253" s="36" t="str">
        <f>IF('Zoopl Count'!L253=0,"",('Zoopl Analysis'!L253*LN('Zoopl Analysis'!L253)))</f>
        <v/>
      </c>
      <c r="M253" s="36" t="str">
        <f>IF('Zoopl Count'!M253=0,"",('Zoopl Analysis'!M253*LN('Zoopl Analysis'!M253)))</f>
        <v/>
      </c>
      <c r="N253" s="36" t="str">
        <f>IF('Zoopl Count'!N253=0,"",('Zoopl Analysis'!N253*LN('Zoopl Analysis'!N253)))</f>
        <v/>
      </c>
      <c r="O253" s="36" t="str">
        <f>IF('Zoopl Count'!O253=0,"",('Zoopl Analysis'!O253*LN('Zoopl Analysis'!O253)))</f>
        <v/>
      </c>
      <c r="P253" s="36" t="str">
        <f>IF('Zoopl Count'!P253=0,"",('Zoopl Analysis'!P253*LN('Zoopl Analysis'!P253)))</f>
        <v/>
      </c>
    </row>
    <row r="254" spans="1:16">
      <c r="C254" s="8" t="s">
        <v>10</v>
      </c>
      <c r="D254" s="2" t="s">
        <v>186</v>
      </c>
      <c r="E254" s="8"/>
      <c r="G254" s="36" t="str">
        <f>IF('Zoopl Count'!G254=0,"",('Zoopl Analysis'!G254*LN('Zoopl Analysis'!G254)))</f>
        <v/>
      </c>
      <c r="H254" s="36" t="str">
        <f>IF('Zoopl Count'!H254=0,"",('Zoopl Analysis'!H254*LN('Zoopl Analysis'!H254)))</f>
        <v/>
      </c>
      <c r="I254" s="36" t="str">
        <f>IF('Zoopl Count'!I254=0,"",('Zoopl Analysis'!I254*LN('Zoopl Analysis'!I254)))</f>
        <v/>
      </c>
      <c r="J254" s="36" t="str">
        <f>IF('Zoopl Count'!J254=0,"",('Zoopl Analysis'!J254*LN('Zoopl Analysis'!J254)))</f>
        <v/>
      </c>
      <c r="K254" s="36" t="str">
        <f>IF('Zoopl Count'!K254=0,"",('Zoopl Analysis'!K254*LN('Zoopl Analysis'!K254)))</f>
        <v/>
      </c>
      <c r="L254" s="36" t="str">
        <f>IF('Zoopl Count'!L254=0,"",('Zoopl Analysis'!L254*LN('Zoopl Analysis'!L254)))</f>
        <v/>
      </c>
      <c r="M254" s="36" t="str">
        <f>IF('Zoopl Count'!M254=0,"",('Zoopl Analysis'!M254*LN('Zoopl Analysis'!M254)))</f>
        <v/>
      </c>
      <c r="N254" s="36" t="str">
        <f>IF('Zoopl Count'!N254=0,"",('Zoopl Analysis'!N254*LN('Zoopl Analysis'!N254)))</f>
        <v/>
      </c>
      <c r="O254" s="36" t="str">
        <f>IF('Zoopl Count'!O254=0,"",('Zoopl Analysis'!O254*LN('Zoopl Analysis'!O254)))</f>
        <v/>
      </c>
      <c r="P254" s="36" t="str">
        <f>IF('Zoopl Count'!P254=0,"",('Zoopl Analysis'!P254*LN('Zoopl Analysis'!P254)))</f>
        <v/>
      </c>
    </row>
    <row r="255" spans="1:16">
      <c r="E255" s="8"/>
      <c r="F255" s="42" t="s">
        <v>187</v>
      </c>
      <c r="G255" s="36" t="str">
        <f>IF('Zoopl Count'!G255=0,"",('Zoopl Analysis'!G255*LN('Zoopl Analysis'!G255)))</f>
        <v/>
      </c>
      <c r="H255" s="36" t="str">
        <f>IF('Zoopl Count'!H255=0,"",('Zoopl Analysis'!H255*LN('Zoopl Analysis'!H255)))</f>
        <v/>
      </c>
      <c r="I255" s="36" t="str">
        <f>IF('Zoopl Count'!I255=0,"",('Zoopl Analysis'!I255*LN('Zoopl Analysis'!I255)))</f>
        <v/>
      </c>
      <c r="J255" s="36" t="str">
        <f>IF('Zoopl Count'!J255=0,"",('Zoopl Analysis'!J255*LN('Zoopl Analysis'!J255)))</f>
        <v/>
      </c>
      <c r="K255" s="36" t="str">
        <f>IF('Zoopl Count'!K255=0,"",('Zoopl Analysis'!K255*LN('Zoopl Analysis'!K255)))</f>
        <v/>
      </c>
      <c r="L255" s="36" t="str">
        <f>IF('Zoopl Count'!L255=0,"",('Zoopl Analysis'!L255*LN('Zoopl Analysis'!L255)))</f>
        <v/>
      </c>
      <c r="M255" s="36" t="str">
        <f>IF('Zoopl Count'!M255=0,"",('Zoopl Analysis'!M255*LN('Zoopl Analysis'!M255)))</f>
        <v/>
      </c>
      <c r="N255" s="36" t="str">
        <f>IF('Zoopl Count'!N255=0,"",('Zoopl Analysis'!N255*LN('Zoopl Analysis'!N255)))</f>
        <v/>
      </c>
      <c r="O255" s="36" t="str">
        <f>IF('Zoopl Count'!O255=0,"",('Zoopl Analysis'!O255*LN('Zoopl Analysis'!O255)))</f>
        <v/>
      </c>
      <c r="P255" s="36" t="str">
        <f>IF('Zoopl Count'!P255=0,"",('Zoopl Analysis'!P255*LN('Zoopl Analysis'!P255)))</f>
        <v/>
      </c>
    </row>
    <row r="256" spans="1:16">
      <c r="C256" s="8" t="s">
        <v>10</v>
      </c>
      <c r="D256" s="2" t="s">
        <v>99</v>
      </c>
      <c r="E256" s="8"/>
      <c r="F256" s="19"/>
      <c r="G256" s="36" t="str">
        <f>IF('Zoopl Count'!G256=0,"",('Zoopl Analysis'!G256*LN('Zoopl Analysis'!G256)))</f>
        <v/>
      </c>
      <c r="H256" s="36" t="str">
        <f>IF('Zoopl Count'!H256=0,"",('Zoopl Analysis'!H256*LN('Zoopl Analysis'!H256)))</f>
        <v/>
      </c>
      <c r="I256" s="36" t="str">
        <f>IF('Zoopl Count'!I256=0,"",('Zoopl Analysis'!I256*LN('Zoopl Analysis'!I256)))</f>
        <v/>
      </c>
      <c r="J256" s="36" t="str">
        <f>IF('Zoopl Count'!J256=0,"",('Zoopl Analysis'!J256*LN('Zoopl Analysis'!J256)))</f>
        <v/>
      </c>
      <c r="K256" s="36" t="str">
        <f>IF('Zoopl Count'!K256=0,"",('Zoopl Analysis'!K256*LN('Zoopl Analysis'!K256)))</f>
        <v/>
      </c>
      <c r="L256" s="36" t="str">
        <f>IF('Zoopl Count'!L256=0,"",('Zoopl Analysis'!L256*LN('Zoopl Analysis'!L256)))</f>
        <v/>
      </c>
      <c r="M256" s="36" t="str">
        <f>IF('Zoopl Count'!M256=0,"",('Zoopl Analysis'!M256*LN('Zoopl Analysis'!M256)))</f>
        <v/>
      </c>
      <c r="N256" s="36" t="str">
        <f>IF('Zoopl Count'!N256=0,"",('Zoopl Analysis'!N256*LN('Zoopl Analysis'!N256)))</f>
        <v/>
      </c>
      <c r="O256" s="36" t="str">
        <f>IF('Zoopl Count'!O256=0,"",('Zoopl Analysis'!O256*LN('Zoopl Analysis'!O256)))</f>
        <v/>
      </c>
      <c r="P256" s="36" t="str">
        <f>IF('Zoopl Count'!P256=0,"",('Zoopl Analysis'!P256*LN('Zoopl Analysis'!P256)))</f>
        <v/>
      </c>
    </row>
    <row r="257" spans="1:16">
      <c r="E257" s="8"/>
      <c r="F257" s="6" t="s">
        <v>110</v>
      </c>
      <c r="G257" s="36" t="str">
        <f>IF('Zoopl Count'!G257=0,"",('Zoopl Analysis'!G257*LN('Zoopl Analysis'!G257)))</f>
        <v/>
      </c>
      <c r="H257" s="36" t="str">
        <f>IF('Zoopl Count'!H257=0,"",('Zoopl Analysis'!H257*LN('Zoopl Analysis'!H257)))</f>
        <v/>
      </c>
      <c r="I257" s="36" t="str">
        <f>IF('Zoopl Count'!I257=0,"",('Zoopl Analysis'!I257*LN('Zoopl Analysis'!I257)))</f>
        <v/>
      </c>
      <c r="J257" s="36" t="str">
        <f>IF('Zoopl Count'!J257=0,"",('Zoopl Analysis'!J257*LN('Zoopl Analysis'!J257)))</f>
        <v/>
      </c>
      <c r="K257" s="36">
        <f>IF('Zoopl Count'!K257=0,"",('Zoopl Analysis'!K257*LN('Zoopl Analysis'!K257)))</f>
        <v>-0.26562315606499248</v>
      </c>
      <c r="L257" s="36" t="str">
        <f>IF('Zoopl Count'!L257=0,"",('Zoopl Analysis'!L257*LN('Zoopl Analysis'!L257)))</f>
        <v/>
      </c>
      <c r="M257" s="36">
        <f>IF('Zoopl Count'!M257=0,"",('Zoopl Analysis'!M257*LN('Zoopl Analysis'!M257)))</f>
        <v>-0.36715914952180329</v>
      </c>
      <c r="N257" s="36">
        <f>IF('Zoopl Count'!N257=0,"",('Zoopl Analysis'!N257*LN('Zoopl Analysis'!N257)))</f>
        <v>-0.35050162848493283</v>
      </c>
      <c r="O257" s="36" t="str">
        <f>IF('Zoopl Count'!O257=0,"",('Zoopl Analysis'!O257*LN('Zoopl Analysis'!O257)))</f>
        <v/>
      </c>
      <c r="P257" s="36" t="str">
        <f>IF('Zoopl Count'!P257=0,"",('Zoopl Analysis'!P257*LN('Zoopl Analysis'!P257)))</f>
        <v/>
      </c>
    </row>
    <row r="258" spans="1:16">
      <c r="E258" s="8"/>
      <c r="F258" s="6" t="s">
        <v>109</v>
      </c>
      <c r="G258" s="36" t="str">
        <f>IF('Zoopl Count'!G258=0,"",('Zoopl Analysis'!G258*LN('Zoopl Analysis'!G258)))</f>
        <v/>
      </c>
      <c r="H258" s="36" t="str">
        <f>IF('Zoopl Count'!H258=0,"",('Zoopl Analysis'!H258*LN('Zoopl Analysis'!H258)))</f>
        <v/>
      </c>
      <c r="I258" s="36" t="str">
        <f>IF('Zoopl Count'!I258=0,"",('Zoopl Analysis'!I258*LN('Zoopl Analysis'!I258)))</f>
        <v/>
      </c>
      <c r="J258" s="36" t="str">
        <f>IF('Zoopl Count'!J258=0,"",('Zoopl Analysis'!J258*LN('Zoopl Analysis'!J258)))</f>
        <v/>
      </c>
      <c r="K258" s="36" t="str">
        <f>IF('Zoopl Count'!K258=0,"",('Zoopl Analysis'!K258*LN('Zoopl Analysis'!K258)))</f>
        <v/>
      </c>
      <c r="L258" s="36" t="str">
        <f>IF('Zoopl Count'!L258=0,"",('Zoopl Analysis'!L258*LN('Zoopl Analysis'!L258)))</f>
        <v/>
      </c>
      <c r="M258" s="36" t="str">
        <f>IF('Zoopl Count'!M258=0,"",('Zoopl Analysis'!M258*LN('Zoopl Analysis'!M258)))</f>
        <v/>
      </c>
      <c r="N258" s="36" t="str">
        <f>IF('Zoopl Count'!N258=0,"",('Zoopl Analysis'!N258*LN('Zoopl Analysis'!N258)))</f>
        <v/>
      </c>
      <c r="O258" s="36" t="str">
        <f>IF('Zoopl Count'!O258=0,"",('Zoopl Analysis'!O258*LN('Zoopl Analysis'!O258)))</f>
        <v/>
      </c>
      <c r="P258" s="36" t="str">
        <f>IF('Zoopl Count'!P258=0,"",('Zoopl Analysis'!P258*LN('Zoopl Analysis'!P258)))</f>
        <v/>
      </c>
    </row>
    <row r="259" spans="1:16">
      <c r="E259" s="8"/>
      <c r="F259" s="6" t="s">
        <v>108</v>
      </c>
      <c r="G259" s="36" t="str">
        <f>IF('Zoopl Count'!G259=0,"",('Zoopl Analysis'!G259*LN('Zoopl Analysis'!G259)))</f>
        <v/>
      </c>
      <c r="H259" s="36" t="str">
        <f>IF('Zoopl Count'!H259=0,"",('Zoopl Analysis'!H259*LN('Zoopl Analysis'!H259)))</f>
        <v/>
      </c>
      <c r="I259" s="36" t="str">
        <f>IF('Zoopl Count'!I259=0,"",('Zoopl Analysis'!I259*LN('Zoopl Analysis'!I259)))</f>
        <v/>
      </c>
      <c r="J259" s="36" t="str">
        <f>IF('Zoopl Count'!J259=0,"",('Zoopl Analysis'!J259*LN('Zoopl Analysis'!J259)))</f>
        <v/>
      </c>
      <c r="K259" s="36" t="str">
        <f>IF('Zoopl Count'!K259=0,"",('Zoopl Analysis'!K259*LN('Zoopl Analysis'!K259)))</f>
        <v/>
      </c>
      <c r="L259" s="36" t="str">
        <f>IF('Zoopl Count'!L259=0,"",('Zoopl Analysis'!L259*LN('Zoopl Analysis'!L259)))</f>
        <v/>
      </c>
      <c r="M259" s="36" t="str">
        <f>IF('Zoopl Count'!M259=0,"",('Zoopl Analysis'!M259*LN('Zoopl Analysis'!M259)))</f>
        <v/>
      </c>
      <c r="N259" s="36" t="str">
        <f>IF('Zoopl Count'!N259=0,"",('Zoopl Analysis'!N259*LN('Zoopl Analysis'!N259)))</f>
        <v/>
      </c>
      <c r="O259" s="36" t="str">
        <f>IF('Zoopl Count'!O259=0,"",('Zoopl Analysis'!O259*LN('Zoopl Analysis'!O259)))</f>
        <v/>
      </c>
      <c r="P259" s="36" t="str">
        <f>IF('Zoopl Count'!P259=0,"",('Zoopl Analysis'!P259*LN('Zoopl Analysis'!P259)))</f>
        <v/>
      </c>
    </row>
    <row r="260" spans="1:16">
      <c r="E260" s="8"/>
      <c r="F260" s="6" t="s">
        <v>121</v>
      </c>
      <c r="G260" s="36" t="str">
        <f>IF('Zoopl Count'!G260=0,"",('Zoopl Analysis'!G260*LN('Zoopl Analysis'!G260)))</f>
        <v/>
      </c>
      <c r="H260" s="36" t="str">
        <f>IF('Zoopl Count'!H260=0,"",('Zoopl Analysis'!H260*LN('Zoopl Analysis'!H260)))</f>
        <v/>
      </c>
      <c r="I260" s="36" t="str">
        <f>IF('Zoopl Count'!I260=0,"",('Zoopl Analysis'!I260*LN('Zoopl Analysis'!I260)))</f>
        <v/>
      </c>
      <c r="J260" s="36" t="str">
        <f>IF('Zoopl Count'!J260=0,"",('Zoopl Analysis'!J260*LN('Zoopl Analysis'!J260)))</f>
        <v/>
      </c>
      <c r="K260" s="36" t="str">
        <f>IF('Zoopl Count'!K260=0,"",('Zoopl Analysis'!K260*LN('Zoopl Analysis'!K260)))</f>
        <v/>
      </c>
      <c r="L260" s="36" t="str">
        <f>IF('Zoopl Count'!L260=0,"",('Zoopl Analysis'!L260*LN('Zoopl Analysis'!L260)))</f>
        <v/>
      </c>
      <c r="M260" s="36" t="str">
        <f>IF('Zoopl Count'!M260=0,"",('Zoopl Analysis'!M260*LN('Zoopl Analysis'!M260)))</f>
        <v/>
      </c>
      <c r="N260" s="36" t="str">
        <f>IF('Zoopl Count'!N260=0,"",('Zoopl Analysis'!N260*LN('Zoopl Analysis'!N260)))</f>
        <v/>
      </c>
      <c r="O260" s="36" t="str">
        <f>IF('Zoopl Count'!O260=0,"",('Zoopl Analysis'!O260*LN('Zoopl Analysis'!O260)))</f>
        <v/>
      </c>
      <c r="P260" s="36" t="str">
        <f>IF('Zoopl Count'!P260=0,"",('Zoopl Analysis'!P260*LN('Zoopl Analysis'!P260)))</f>
        <v/>
      </c>
    </row>
    <row r="261" spans="1:16">
      <c r="E261" s="8"/>
      <c r="F261" s="6" t="s">
        <v>111</v>
      </c>
      <c r="G261" s="36" t="str">
        <f>IF('Zoopl Count'!G261=0,"",('Zoopl Analysis'!G261*LN('Zoopl Analysis'!G261)))</f>
        <v/>
      </c>
      <c r="H261" s="36" t="str">
        <f>IF('Zoopl Count'!H261=0,"",('Zoopl Analysis'!H261*LN('Zoopl Analysis'!H261)))</f>
        <v/>
      </c>
      <c r="I261" s="36" t="str">
        <f>IF('Zoopl Count'!I261=0,"",('Zoopl Analysis'!I261*LN('Zoopl Analysis'!I261)))</f>
        <v/>
      </c>
      <c r="J261" s="36" t="str">
        <f>IF('Zoopl Count'!J261=0,"",('Zoopl Analysis'!J261*LN('Zoopl Analysis'!J261)))</f>
        <v/>
      </c>
      <c r="K261" s="36" t="str">
        <f>IF('Zoopl Count'!K261=0,"",('Zoopl Analysis'!K261*LN('Zoopl Analysis'!K261)))</f>
        <v/>
      </c>
      <c r="L261" s="36" t="str">
        <f>IF('Zoopl Count'!L261=0,"",('Zoopl Analysis'!L261*LN('Zoopl Analysis'!L261)))</f>
        <v/>
      </c>
      <c r="M261" s="36" t="str">
        <f>IF('Zoopl Count'!M261=0,"",('Zoopl Analysis'!M261*LN('Zoopl Analysis'!M261)))</f>
        <v/>
      </c>
      <c r="N261" s="36" t="str">
        <f>IF('Zoopl Count'!N261=0,"",('Zoopl Analysis'!N261*LN('Zoopl Analysis'!N261)))</f>
        <v/>
      </c>
      <c r="O261" s="36" t="str">
        <f>IF('Zoopl Count'!O261=0,"",('Zoopl Analysis'!O261*LN('Zoopl Analysis'!O261)))</f>
        <v/>
      </c>
      <c r="P261" s="36" t="str">
        <f>IF('Zoopl Count'!P261=0,"",('Zoopl Analysis'!P261*LN('Zoopl Analysis'!P261)))</f>
        <v/>
      </c>
    </row>
    <row r="262" spans="1:16">
      <c r="E262" s="8"/>
      <c r="F262" s="6" t="s">
        <v>175</v>
      </c>
      <c r="G262" s="36" t="str">
        <f>IF('Zoopl Count'!G262=0,"",('Zoopl Analysis'!G262*LN('Zoopl Analysis'!G262)))</f>
        <v/>
      </c>
      <c r="H262" s="36" t="str">
        <f>IF('Zoopl Count'!H262=0,"",('Zoopl Analysis'!H262*LN('Zoopl Analysis'!H262)))</f>
        <v/>
      </c>
      <c r="I262" s="36" t="str">
        <f>IF('Zoopl Count'!I262=0,"",('Zoopl Analysis'!I262*LN('Zoopl Analysis'!I262)))</f>
        <v/>
      </c>
      <c r="J262" s="36" t="str">
        <f>IF('Zoopl Count'!J262=0,"",('Zoopl Analysis'!J262*LN('Zoopl Analysis'!J262)))</f>
        <v/>
      </c>
      <c r="K262" s="36" t="str">
        <f>IF('Zoopl Count'!K262=0,"",('Zoopl Analysis'!K262*LN('Zoopl Analysis'!K262)))</f>
        <v/>
      </c>
      <c r="L262" s="36" t="str">
        <f>IF('Zoopl Count'!L262=0,"",('Zoopl Analysis'!L262*LN('Zoopl Analysis'!L262)))</f>
        <v/>
      </c>
      <c r="M262" s="36" t="str">
        <f>IF('Zoopl Count'!M262=0,"",('Zoopl Analysis'!M262*LN('Zoopl Analysis'!M262)))</f>
        <v/>
      </c>
      <c r="N262" s="36" t="str">
        <f>IF('Zoopl Count'!N262=0,"",('Zoopl Analysis'!N262*LN('Zoopl Analysis'!N262)))</f>
        <v/>
      </c>
      <c r="O262" s="36" t="str">
        <f>IF('Zoopl Count'!O262=0,"",('Zoopl Analysis'!O262*LN('Zoopl Analysis'!O262)))</f>
        <v/>
      </c>
      <c r="P262" s="36" t="str">
        <f>IF('Zoopl Count'!P262=0,"",('Zoopl Analysis'!P262*LN('Zoopl Analysis'!P262)))</f>
        <v/>
      </c>
    </row>
    <row r="263" spans="1:16">
      <c r="E263" s="8"/>
      <c r="F263" s="6" t="s">
        <v>113</v>
      </c>
      <c r="G263" s="36" t="str">
        <f>IF('Zoopl Count'!G263=0,"",('Zoopl Analysis'!G263*LN('Zoopl Analysis'!G263)))</f>
        <v/>
      </c>
      <c r="H263" s="36" t="str">
        <f>IF('Zoopl Count'!H263=0,"",('Zoopl Analysis'!H263*LN('Zoopl Analysis'!H263)))</f>
        <v/>
      </c>
      <c r="I263" s="36" t="str">
        <f>IF('Zoopl Count'!I263=0,"",('Zoopl Analysis'!I263*LN('Zoopl Analysis'!I263)))</f>
        <v/>
      </c>
      <c r="J263" s="36" t="str">
        <f>IF('Zoopl Count'!J263=0,"",('Zoopl Analysis'!J263*LN('Zoopl Analysis'!J263)))</f>
        <v/>
      </c>
      <c r="K263" s="36" t="str">
        <f>IF('Zoopl Count'!K263=0,"",('Zoopl Analysis'!K263*LN('Zoopl Analysis'!K263)))</f>
        <v/>
      </c>
      <c r="L263" s="36" t="str">
        <f>IF('Zoopl Count'!L263=0,"",('Zoopl Analysis'!L263*LN('Zoopl Analysis'!L263)))</f>
        <v/>
      </c>
      <c r="M263" s="36" t="str">
        <f>IF('Zoopl Count'!M263=0,"",('Zoopl Analysis'!M263*LN('Zoopl Analysis'!M263)))</f>
        <v/>
      </c>
      <c r="N263" s="36" t="str">
        <f>IF('Zoopl Count'!N263=0,"",('Zoopl Analysis'!N263*LN('Zoopl Analysis'!N263)))</f>
        <v/>
      </c>
      <c r="O263" s="36" t="str">
        <f>IF('Zoopl Count'!O263=0,"",('Zoopl Analysis'!O263*LN('Zoopl Analysis'!O263)))</f>
        <v/>
      </c>
      <c r="P263" s="36" t="str">
        <f>IF('Zoopl Count'!P263=0,"",('Zoopl Analysis'!P263*LN('Zoopl Analysis'!P263)))</f>
        <v/>
      </c>
    </row>
    <row r="264" spans="1:16">
      <c r="E264" s="8"/>
      <c r="F264" s="19" t="s">
        <v>184</v>
      </c>
      <c r="G264" s="36">
        <f>IF('Zoopl Count'!G264=0,"",('Zoopl Analysis'!G264*LN('Zoopl Analysis'!G264)))</f>
        <v>-0.35050162848493283</v>
      </c>
      <c r="H264" s="36">
        <f>IF('Zoopl Count'!H264=0,"",('Zoopl Analysis'!H264*LN('Zoopl Analysis'!H264)))</f>
        <v>-0.26562315606499248</v>
      </c>
      <c r="I264" s="36">
        <f>IF('Zoopl Count'!I264=0,"",('Zoopl Analysis'!I264*LN('Zoopl Analysis'!I264)))</f>
        <v>-0.1779977489437593</v>
      </c>
      <c r="J264" s="36">
        <f>IF('Zoopl Count'!J264=0,"",('Zoopl Analysis'!J264*LN('Zoopl Analysis'!J264)))</f>
        <v>-0.26562315606499248</v>
      </c>
      <c r="K264" s="36" t="str">
        <f>IF('Zoopl Count'!K264=0,"",('Zoopl Analysis'!K264*LN('Zoopl Analysis'!K264)))</f>
        <v/>
      </c>
      <c r="L264" s="36">
        <f>IF('Zoopl Count'!L264=0,"",('Zoopl Analysis'!L264*LN('Zoopl Analysis'!L264)))</f>
        <v>2.4991921411709441</v>
      </c>
      <c r="M264" s="36" t="str">
        <f>IF('Zoopl Count'!M264=0,"",('Zoopl Analysis'!M264*LN('Zoopl Analysis'!M264)))</f>
        <v/>
      </c>
      <c r="N264" s="36" t="str">
        <f>IF('Zoopl Count'!N264=0,"",('Zoopl Analysis'!N264*LN('Zoopl Analysis'!N264)))</f>
        <v/>
      </c>
      <c r="O264" s="36" t="str">
        <f>IF('Zoopl Count'!O264=0,"",('Zoopl Analysis'!O264*LN('Zoopl Analysis'!O264)))</f>
        <v/>
      </c>
      <c r="P264" s="36">
        <f>IF('Zoopl Count'!P264=0,"",('Zoopl Analysis'!P264*LN('Zoopl Analysis'!P264)))</f>
        <v>-0.35050162848493283</v>
      </c>
    </row>
    <row r="265" spans="1:16">
      <c r="E265" s="8"/>
      <c r="F265" s="19" t="s">
        <v>193</v>
      </c>
      <c r="G265" s="36" t="str">
        <f>IF('Zoopl Count'!G265=0,"",('Zoopl Analysis'!G265*LN('Zoopl Analysis'!G265)))</f>
        <v/>
      </c>
      <c r="H265" s="36" t="str">
        <f>IF('Zoopl Count'!H265=0,"",('Zoopl Analysis'!H265*LN('Zoopl Analysis'!H265)))</f>
        <v/>
      </c>
      <c r="I265" s="36" t="str">
        <f>IF('Zoopl Count'!I265=0,"",('Zoopl Analysis'!I265*LN('Zoopl Analysis'!I265)))</f>
        <v/>
      </c>
      <c r="J265" s="36" t="str">
        <f>IF('Zoopl Count'!J265=0,"",('Zoopl Analysis'!J265*LN('Zoopl Analysis'!J265)))</f>
        <v/>
      </c>
      <c r="K265" s="36" t="str">
        <f>IF('Zoopl Count'!K265=0,"",('Zoopl Analysis'!K265*LN('Zoopl Analysis'!K265)))</f>
        <v/>
      </c>
      <c r="L265" s="36" t="str">
        <f>IF('Zoopl Count'!L265=0,"",('Zoopl Analysis'!L265*LN('Zoopl Analysis'!L265)))</f>
        <v/>
      </c>
      <c r="M265" s="36" t="str">
        <f>IF('Zoopl Count'!M265=0,"",('Zoopl Analysis'!M265*LN('Zoopl Analysis'!M265)))</f>
        <v/>
      </c>
      <c r="N265" s="36" t="str">
        <f>IF('Zoopl Count'!N265=0,"",('Zoopl Analysis'!N265*LN('Zoopl Analysis'!N265)))</f>
        <v/>
      </c>
      <c r="O265" s="36" t="str">
        <f>IF('Zoopl Count'!O265=0,"",('Zoopl Analysis'!O265*LN('Zoopl Analysis'!O265)))</f>
        <v/>
      </c>
      <c r="P265" s="36" t="str">
        <f>IF('Zoopl Count'!P265=0,"",('Zoopl Analysis'!P265*LN('Zoopl Analysis'!P265)))</f>
        <v/>
      </c>
    </row>
    <row r="266" spans="1:16">
      <c r="E266" s="8"/>
      <c r="F266" s="19" t="s">
        <v>225</v>
      </c>
      <c r="G266" s="36" t="str">
        <f>IF('Zoopl Count'!G266=0,"",('Zoopl Analysis'!G266*LN('Zoopl Analysis'!G266)))</f>
        <v/>
      </c>
      <c r="H266" s="36" t="str">
        <f>IF('Zoopl Count'!H266=0,"",('Zoopl Analysis'!H266*LN('Zoopl Analysis'!H266)))</f>
        <v/>
      </c>
      <c r="I266" s="36" t="str">
        <f>IF('Zoopl Count'!I266=0,"",('Zoopl Analysis'!I266*LN('Zoopl Analysis'!I266)))</f>
        <v/>
      </c>
      <c r="J266" s="36" t="str">
        <f>IF('Zoopl Count'!J266=0,"",('Zoopl Analysis'!J266*LN('Zoopl Analysis'!J266)))</f>
        <v/>
      </c>
      <c r="K266" s="36" t="str">
        <f>IF('Zoopl Count'!K266=0,"",('Zoopl Analysis'!K266*LN('Zoopl Analysis'!K266)))</f>
        <v/>
      </c>
      <c r="L266" s="36" t="str">
        <f>IF('Zoopl Count'!L266=0,"",('Zoopl Analysis'!L266*LN('Zoopl Analysis'!L266)))</f>
        <v/>
      </c>
      <c r="M266" s="36" t="str">
        <f>IF('Zoopl Count'!M266=0,"",('Zoopl Analysis'!M266*LN('Zoopl Analysis'!M266)))</f>
        <v/>
      </c>
      <c r="N266" s="36" t="str">
        <f>IF('Zoopl Count'!N266=0,"",('Zoopl Analysis'!N266*LN('Zoopl Analysis'!N266)))</f>
        <v/>
      </c>
      <c r="O266" s="36" t="str">
        <f>IF('Zoopl Count'!O266=0,"",('Zoopl Analysis'!O266*LN('Zoopl Analysis'!O266)))</f>
        <v/>
      </c>
      <c r="P266" s="36" t="str">
        <f>IF('Zoopl Count'!P266=0,"",('Zoopl Analysis'!P266*LN('Zoopl Analysis'!P266)))</f>
        <v/>
      </c>
    </row>
    <row r="267" spans="1:16">
      <c r="E267" s="8"/>
      <c r="F267" s="19"/>
      <c r="G267" s="36" t="str">
        <f>IF('Zoopl Count'!G267=0,"",('Zoopl Analysis'!G267*LN('Zoopl Analysis'!G267)))</f>
        <v/>
      </c>
      <c r="H267" s="36" t="str">
        <f>IF('Zoopl Count'!H267=0,"",('Zoopl Analysis'!H267*LN('Zoopl Analysis'!H267)))</f>
        <v/>
      </c>
      <c r="I267" s="36" t="str">
        <f>IF('Zoopl Count'!I267=0,"",('Zoopl Analysis'!I267*LN('Zoopl Analysis'!I267)))</f>
        <v/>
      </c>
      <c r="J267" s="36" t="str">
        <f>IF('Zoopl Count'!J267=0,"",('Zoopl Analysis'!J267*LN('Zoopl Analysis'!J267)))</f>
        <v/>
      </c>
      <c r="K267" s="36" t="str">
        <f>IF('Zoopl Count'!K267=0,"",('Zoopl Analysis'!K267*LN('Zoopl Analysis'!K267)))</f>
        <v/>
      </c>
      <c r="L267" s="36" t="str">
        <f>IF('Zoopl Count'!L267=0,"",('Zoopl Analysis'!L267*LN('Zoopl Analysis'!L267)))</f>
        <v/>
      </c>
      <c r="M267" s="36" t="str">
        <f>IF('Zoopl Count'!M267=0,"",('Zoopl Analysis'!M267*LN('Zoopl Analysis'!M267)))</f>
        <v/>
      </c>
      <c r="N267" s="36" t="str">
        <f>IF('Zoopl Count'!N267=0,"",('Zoopl Analysis'!N267*LN('Zoopl Analysis'!N267)))</f>
        <v/>
      </c>
      <c r="O267" s="36" t="str">
        <f>IF('Zoopl Count'!O267=0,"",('Zoopl Analysis'!O267*LN('Zoopl Analysis'!O267)))</f>
        <v/>
      </c>
      <c r="P267" s="36" t="str">
        <f>IF('Zoopl Count'!P267=0,"",('Zoopl Analysis'!P267*LN('Zoopl Analysis'!P267)))</f>
        <v/>
      </c>
    </row>
    <row r="268" spans="1:16">
      <c r="A268" s="272" t="s">
        <v>12</v>
      </c>
      <c r="B268" s="272"/>
      <c r="C268" s="272"/>
      <c r="D268" s="272"/>
      <c r="E268" s="273" t="s">
        <v>316</v>
      </c>
      <c r="F268" s="274"/>
      <c r="G268" s="36" t="str">
        <f>IF('Zoopl Count'!G268=0,"",('Zoopl Analysis'!G268*LN('Zoopl Analysis'!G268)))</f>
        <v/>
      </c>
      <c r="H268" s="36" t="str">
        <f>IF('Zoopl Count'!H268=0,"",('Zoopl Analysis'!H268*LN('Zoopl Analysis'!H268)))</f>
        <v/>
      </c>
      <c r="I268" s="36" t="str">
        <f>IF('Zoopl Count'!I268=0,"",('Zoopl Analysis'!I268*LN('Zoopl Analysis'!I268)))</f>
        <v/>
      </c>
      <c r="J268" s="36" t="str">
        <f>IF('Zoopl Count'!J268=0,"",('Zoopl Analysis'!J268*LN('Zoopl Analysis'!J268)))</f>
        <v/>
      </c>
      <c r="K268" s="36" t="str">
        <f>IF('Zoopl Count'!K268=0,"",('Zoopl Analysis'!K268*LN('Zoopl Analysis'!K268)))</f>
        <v/>
      </c>
      <c r="L268" s="36" t="str">
        <f>IF('Zoopl Count'!L268=0,"",('Zoopl Analysis'!L268*LN('Zoopl Analysis'!L268)))</f>
        <v/>
      </c>
      <c r="M268" s="36" t="str">
        <f>IF('Zoopl Count'!M268=0,"",('Zoopl Analysis'!M268*LN('Zoopl Analysis'!M268)))</f>
        <v/>
      </c>
      <c r="N268" s="36" t="str">
        <f>IF('Zoopl Count'!N268=0,"",('Zoopl Analysis'!N268*LN('Zoopl Analysis'!N268)))</f>
        <v/>
      </c>
      <c r="O268" s="36" t="str">
        <f>IF('Zoopl Count'!O268=0,"",('Zoopl Analysis'!O268*LN('Zoopl Analysis'!O268)))</f>
        <v/>
      </c>
      <c r="P268" s="36" t="str">
        <f>IF('Zoopl Count'!P268=0,"",('Zoopl Analysis'!P268*LN('Zoopl Analysis'!P268)))</f>
        <v/>
      </c>
    </row>
    <row r="269" spans="1:16">
      <c r="A269" s="59"/>
      <c r="B269" s="271" t="s">
        <v>14</v>
      </c>
      <c r="C269" s="271"/>
      <c r="D269" s="271"/>
      <c r="E269" s="271"/>
      <c r="F269" s="64" t="s">
        <v>112</v>
      </c>
      <c r="G269" s="36" t="str">
        <f>IF('Zoopl Count'!G269=0,"",('Zoopl Analysis'!G269*LN('Zoopl Analysis'!G269)))</f>
        <v/>
      </c>
      <c r="H269" s="36" t="str">
        <f>IF('Zoopl Count'!H269=0,"",('Zoopl Analysis'!H269*LN('Zoopl Analysis'!H269)))</f>
        <v/>
      </c>
      <c r="I269" s="36" t="str">
        <f>IF('Zoopl Count'!I269=0,"",('Zoopl Analysis'!I269*LN('Zoopl Analysis'!I269)))</f>
        <v/>
      </c>
      <c r="J269" s="36" t="str">
        <f>IF('Zoopl Count'!J269=0,"",('Zoopl Analysis'!J269*LN('Zoopl Analysis'!J269)))</f>
        <v/>
      </c>
      <c r="K269" s="36" t="str">
        <f>IF('Zoopl Count'!K269=0,"",('Zoopl Analysis'!K269*LN('Zoopl Analysis'!K269)))</f>
        <v/>
      </c>
      <c r="L269" s="36">
        <f>IF('Zoopl Count'!L269=0,"",('Zoopl Analysis'!L269*LN('Zoopl Analysis'!L269)))</f>
        <v>-0.33951388967976126</v>
      </c>
      <c r="M269" s="36" t="str">
        <f>IF('Zoopl Count'!M269=0,"",('Zoopl Analysis'!M269*LN('Zoopl Analysis'!M269)))</f>
        <v/>
      </c>
      <c r="N269" s="36">
        <f>IF('Zoopl Count'!N269=0,"",('Zoopl Analysis'!N269*LN('Zoopl Analysis'!N269)))</f>
        <v>-0.22734830011423995</v>
      </c>
      <c r="O269" s="36">
        <f>IF('Zoopl Count'!O269=0,"",('Zoopl Analysis'!O269*LN('Zoopl Analysis'!O269)))</f>
        <v>1.5338593796017899</v>
      </c>
      <c r="P269" s="36">
        <f>IF('Zoopl Count'!P269=0,"",('Zoopl Analysis'!P269*LN('Zoopl Analysis'!P269)))</f>
        <v>-0.33951388967976126</v>
      </c>
    </row>
    <row r="270" spans="1:16">
      <c r="A270" s="59"/>
      <c r="B270" s="233"/>
      <c r="C270" s="233"/>
      <c r="D270" s="233"/>
      <c r="E270" s="233"/>
      <c r="F270" s="64"/>
      <c r="G270" s="36" t="str">
        <f>IF('Zoopl Count'!G270=0,"",('Zoopl Analysis'!G270*LN('Zoopl Analysis'!G270)))</f>
        <v/>
      </c>
      <c r="H270" s="36" t="str">
        <f>IF('Zoopl Count'!H270=0,"",('Zoopl Analysis'!H270*LN('Zoopl Analysis'!H270)))</f>
        <v/>
      </c>
      <c r="I270" s="36" t="str">
        <f>IF('Zoopl Count'!I270=0,"",('Zoopl Analysis'!I270*LN('Zoopl Analysis'!I270)))</f>
        <v/>
      </c>
      <c r="J270" s="36" t="str">
        <f>IF('Zoopl Count'!J270=0,"",('Zoopl Analysis'!J270*LN('Zoopl Analysis'!J270)))</f>
        <v/>
      </c>
      <c r="K270" s="36" t="str">
        <f>IF('Zoopl Count'!K270=0,"",('Zoopl Analysis'!K270*LN('Zoopl Analysis'!K270)))</f>
        <v/>
      </c>
      <c r="L270" s="36" t="str">
        <f>IF('Zoopl Count'!L270=0,"",('Zoopl Analysis'!L270*LN('Zoopl Analysis'!L270)))</f>
        <v/>
      </c>
      <c r="M270" s="36" t="str">
        <f>IF('Zoopl Count'!M270=0,"",('Zoopl Analysis'!M270*LN('Zoopl Analysis'!M270)))</f>
        <v/>
      </c>
      <c r="N270" s="36" t="str">
        <f>IF('Zoopl Count'!N270=0,"",('Zoopl Analysis'!N270*LN('Zoopl Analysis'!N270)))</f>
        <v/>
      </c>
      <c r="O270" s="36" t="str">
        <f>IF('Zoopl Count'!O270=0,"",('Zoopl Analysis'!O270*LN('Zoopl Analysis'!O270)))</f>
        <v/>
      </c>
      <c r="P270" s="36" t="str">
        <f>IF('Zoopl Count'!P270=0,"",('Zoopl Analysis'!P270*LN('Zoopl Analysis'!P270)))</f>
        <v/>
      </c>
    </row>
    <row r="271" spans="1:16">
      <c r="C271" s="8" t="s">
        <v>10</v>
      </c>
      <c r="D271" s="2" t="s">
        <v>333</v>
      </c>
      <c r="E271" s="8"/>
      <c r="F271" s="19"/>
      <c r="G271" s="36" t="str">
        <f>IF('Zoopl Count'!G271=0,"",('Zoopl Analysis'!G271*LN('Zoopl Analysis'!G271)))</f>
        <v/>
      </c>
      <c r="H271" s="36" t="str">
        <f>IF('Zoopl Count'!H271=0,"",('Zoopl Analysis'!H271*LN('Zoopl Analysis'!H271)))</f>
        <v/>
      </c>
      <c r="I271" s="36" t="str">
        <f>IF('Zoopl Count'!I271=0,"",('Zoopl Analysis'!I271*LN('Zoopl Analysis'!I271)))</f>
        <v/>
      </c>
      <c r="J271" s="36" t="str">
        <f>IF('Zoopl Count'!J271=0,"",('Zoopl Analysis'!J271*LN('Zoopl Analysis'!J271)))</f>
        <v/>
      </c>
      <c r="K271" s="36" t="str">
        <f>IF('Zoopl Count'!K271=0,"",('Zoopl Analysis'!K271*LN('Zoopl Analysis'!K271)))</f>
        <v/>
      </c>
      <c r="L271" s="36" t="str">
        <f>IF('Zoopl Count'!L271=0,"",('Zoopl Analysis'!L271*LN('Zoopl Analysis'!L271)))</f>
        <v/>
      </c>
      <c r="M271" s="36" t="str">
        <f>IF('Zoopl Count'!M271=0,"",('Zoopl Analysis'!M271*LN('Zoopl Analysis'!M271)))</f>
        <v/>
      </c>
      <c r="N271" s="36" t="str">
        <f>IF('Zoopl Count'!N271=0,"",('Zoopl Analysis'!N271*LN('Zoopl Analysis'!N271)))</f>
        <v/>
      </c>
      <c r="O271" s="36" t="str">
        <f>IF('Zoopl Count'!O271=0,"",('Zoopl Analysis'!O271*LN('Zoopl Analysis'!O271)))</f>
        <v/>
      </c>
      <c r="P271" s="36" t="str">
        <f>IF('Zoopl Count'!P271=0,"",('Zoopl Analysis'!P271*LN('Zoopl Analysis'!P271)))</f>
        <v/>
      </c>
    </row>
    <row r="272" spans="1:16">
      <c r="A272" s="272" t="s">
        <v>12</v>
      </c>
      <c r="B272" s="272"/>
      <c r="C272" s="272"/>
      <c r="D272" s="272"/>
      <c r="E272" s="273" t="s">
        <v>334</v>
      </c>
      <c r="F272" s="274"/>
      <c r="G272" s="36" t="str">
        <f>IF('Zoopl Count'!G272=0,"",('Zoopl Analysis'!G272*LN('Zoopl Analysis'!G272)))</f>
        <v/>
      </c>
      <c r="H272" s="36" t="str">
        <f>IF('Zoopl Count'!H272=0,"",('Zoopl Analysis'!H272*LN('Zoopl Analysis'!H272)))</f>
        <v/>
      </c>
      <c r="I272" s="36" t="str">
        <f>IF('Zoopl Count'!I272=0,"",('Zoopl Analysis'!I272*LN('Zoopl Analysis'!I272)))</f>
        <v/>
      </c>
      <c r="J272" s="36" t="str">
        <f>IF('Zoopl Count'!J272=0,"",('Zoopl Analysis'!J272*LN('Zoopl Analysis'!J272)))</f>
        <v/>
      </c>
      <c r="K272" s="36" t="str">
        <f>IF('Zoopl Count'!K272=0,"",('Zoopl Analysis'!K272*LN('Zoopl Analysis'!K272)))</f>
        <v/>
      </c>
      <c r="L272" s="36" t="str">
        <f>IF('Zoopl Count'!L272=0,"",('Zoopl Analysis'!L272*LN('Zoopl Analysis'!L272)))</f>
        <v/>
      </c>
      <c r="M272" s="36" t="str">
        <f>IF('Zoopl Count'!M272=0,"",('Zoopl Analysis'!M272*LN('Zoopl Analysis'!M272)))</f>
        <v/>
      </c>
      <c r="N272" s="36" t="str">
        <f>IF('Zoopl Count'!N272=0,"",('Zoopl Analysis'!N272*LN('Zoopl Analysis'!N272)))</f>
        <v/>
      </c>
      <c r="O272" s="36" t="str">
        <f>IF('Zoopl Count'!O272=0,"",('Zoopl Analysis'!O272*LN('Zoopl Analysis'!O272)))</f>
        <v/>
      </c>
      <c r="P272" s="36" t="str">
        <f>IF('Zoopl Count'!P272=0,"",('Zoopl Analysis'!P272*LN('Zoopl Analysis'!P272)))</f>
        <v/>
      </c>
    </row>
    <row r="273" spans="1:16">
      <c r="A273" s="59"/>
      <c r="B273" s="271" t="s">
        <v>14</v>
      </c>
      <c r="C273" s="271"/>
      <c r="D273" s="271"/>
      <c r="E273" s="271"/>
      <c r="F273" s="64" t="s">
        <v>335</v>
      </c>
      <c r="G273" s="36" t="str">
        <f>IF('Zoopl Count'!G273=0,"",('Zoopl Analysis'!G273*LN('Zoopl Analysis'!G273)))</f>
        <v/>
      </c>
      <c r="H273" s="36" t="str">
        <f>IF('Zoopl Count'!H273=0,"",('Zoopl Analysis'!H273*LN('Zoopl Analysis'!H273)))</f>
        <v/>
      </c>
      <c r="I273" s="36" t="str">
        <f>IF('Zoopl Count'!I273=0,"",('Zoopl Analysis'!I273*LN('Zoopl Analysis'!I273)))</f>
        <v/>
      </c>
      <c r="J273" s="36" t="str">
        <f>IF('Zoopl Count'!J273=0,"",('Zoopl Analysis'!J273*LN('Zoopl Analysis'!J273)))</f>
        <v/>
      </c>
      <c r="K273" s="36" t="str">
        <f>IF('Zoopl Count'!K273=0,"",('Zoopl Analysis'!K273*LN('Zoopl Analysis'!K273)))</f>
        <v/>
      </c>
      <c r="L273" s="36" t="str">
        <f>IF('Zoopl Count'!L273=0,"",('Zoopl Analysis'!L273*LN('Zoopl Analysis'!L273)))</f>
        <v/>
      </c>
      <c r="M273" s="36" t="str">
        <f>IF('Zoopl Count'!M273=0,"",('Zoopl Analysis'!M273*LN('Zoopl Analysis'!M273)))</f>
        <v/>
      </c>
      <c r="N273" s="36" t="str">
        <f>IF('Zoopl Count'!N273=0,"",('Zoopl Analysis'!N273*LN('Zoopl Analysis'!N273)))</f>
        <v/>
      </c>
      <c r="O273" s="36" t="str">
        <f>IF('Zoopl Count'!O273=0,"",('Zoopl Analysis'!O273*LN('Zoopl Analysis'!O273)))</f>
        <v/>
      </c>
      <c r="P273" s="36" t="str">
        <f>IF('Zoopl Count'!P273=0,"",('Zoopl Analysis'!P273*LN('Zoopl Analysis'!P273)))</f>
        <v/>
      </c>
    </row>
    <row r="274" spans="1:16">
      <c r="E274" s="8"/>
      <c r="F274" s="19"/>
      <c r="G274" s="36" t="str">
        <f>IF('Zoopl Count'!G274=0,"",('Zoopl Analysis'!G274*LN('Zoopl Analysis'!G274)))</f>
        <v/>
      </c>
      <c r="H274" s="36" t="str">
        <f>IF('Zoopl Count'!H274=0,"",('Zoopl Analysis'!H274*LN('Zoopl Analysis'!H274)))</f>
        <v/>
      </c>
      <c r="I274" s="36" t="str">
        <f>IF('Zoopl Count'!I274=0,"",('Zoopl Analysis'!I274*LN('Zoopl Analysis'!I274)))</f>
        <v/>
      </c>
      <c r="J274" s="36" t="str">
        <f>IF('Zoopl Count'!J274=0,"",('Zoopl Analysis'!J274*LN('Zoopl Analysis'!J274)))</f>
        <v/>
      </c>
      <c r="K274" s="36" t="str">
        <f>IF('Zoopl Count'!K274=0,"",('Zoopl Analysis'!K274*LN('Zoopl Analysis'!K274)))</f>
        <v/>
      </c>
      <c r="L274" s="36" t="str">
        <f>IF('Zoopl Count'!L274=0,"",('Zoopl Analysis'!L274*LN('Zoopl Analysis'!L274)))</f>
        <v/>
      </c>
      <c r="M274" s="36" t="str">
        <f>IF('Zoopl Count'!M274=0,"",('Zoopl Analysis'!M274*LN('Zoopl Analysis'!M274)))</f>
        <v/>
      </c>
      <c r="N274" s="36" t="str">
        <f>IF('Zoopl Count'!N274=0,"",('Zoopl Analysis'!N274*LN('Zoopl Analysis'!N274)))</f>
        <v/>
      </c>
      <c r="O274" s="36" t="str">
        <f>IF('Zoopl Count'!O274=0,"",('Zoopl Analysis'!O274*LN('Zoopl Analysis'!O274)))</f>
        <v/>
      </c>
      <c r="P274" s="36" t="str">
        <f>IF('Zoopl Count'!P274=0,"",('Zoopl Analysis'!P274*LN('Zoopl Analysis'!P274)))</f>
        <v/>
      </c>
    </row>
    <row r="275" spans="1:16">
      <c r="A275" s="8" t="s">
        <v>7</v>
      </c>
      <c r="B275" s="2" t="s">
        <v>114</v>
      </c>
      <c r="E275" s="8"/>
      <c r="F275" s="19"/>
      <c r="G275" s="36" t="str">
        <f>IF('Zoopl Count'!G275=0,"",('Zoopl Analysis'!G275*LN('Zoopl Analysis'!G275)))</f>
        <v/>
      </c>
      <c r="H275" s="36" t="str">
        <f>IF('Zoopl Count'!H275=0,"",('Zoopl Analysis'!H275*LN('Zoopl Analysis'!H275)))</f>
        <v/>
      </c>
      <c r="I275" s="36" t="str">
        <f>IF('Zoopl Count'!I275=0,"",('Zoopl Analysis'!I275*LN('Zoopl Analysis'!I275)))</f>
        <v/>
      </c>
      <c r="J275" s="36" t="str">
        <f>IF('Zoopl Count'!J275=0,"",('Zoopl Analysis'!J275*LN('Zoopl Analysis'!J275)))</f>
        <v/>
      </c>
      <c r="K275" s="36" t="str">
        <f>IF('Zoopl Count'!K275=0,"",('Zoopl Analysis'!K275*LN('Zoopl Analysis'!K275)))</f>
        <v/>
      </c>
      <c r="L275" s="36" t="str">
        <f>IF('Zoopl Count'!L275=0,"",('Zoopl Analysis'!L275*LN('Zoopl Analysis'!L275)))</f>
        <v/>
      </c>
      <c r="M275" s="36" t="str">
        <f>IF('Zoopl Count'!M275=0,"",('Zoopl Analysis'!M275*LN('Zoopl Analysis'!M275)))</f>
        <v/>
      </c>
      <c r="N275" s="36" t="str">
        <f>IF('Zoopl Count'!N275=0,"",('Zoopl Analysis'!N275*LN('Zoopl Analysis'!N275)))</f>
        <v/>
      </c>
      <c r="O275" s="36" t="str">
        <f>IF('Zoopl Count'!O275=0,"",('Zoopl Analysis'!O275*LN('Zoopl Analysis'!O275)))</f>
        <v/>
      </c>
      <c r="P275" s="36" t="str">
        <f>IF('Zoopl Count'!P275=0,"",('Zoopl Analysis'!P275*LN('Zoopl Analysis'!P275)))</f>
        <v/>
      </c>
    </row>
    <row r="276" spans="1:16">
      <c r="B276" s="8" t="s">
        <v>79</v>
      </c>
      <c r="C276" s="2" t="s">
        <v>115</v>
      </c>
      <c r="E276" s="8"/>
      <c r="F276" s="19"/>
      <c r="G276" s="36" t="str">
        <f>IF('Zoopl Count'!G276=0,"",('Zoopl Analysis'!G276*LN('Zoopl Analysis'!G276)))</f>
        <v/>
      </c>
      <c r="H276" s="36" t="str">
        <f>IF('Zoopl Count'!H276=0,"",('Zoopl Analysis'!H276*LN('Zoopl Analysis'!H276)))</f>
        <v/>
      </c>
      <c r="I276" s="36" t="str">
        <f>IF('Zoopl Count'!I276=0,"",('Zoopl Analysis'!I276*LN('Zoopl Analysis'!I276)))</f>
        <v/>
      </c>
      <c r="J276" s="36" t="str">
        <f>IF('Zoopl Count'!J276=0,"",('Zoopl Analysis'!J276*LN('Zoopl Analysis'!J276)))</f>
        <v/>
      </c>
      <c r="K276" s="36" t="str">
        <f>IF('Zoopl Count'!K276=0,"",('Zoopl Analysis'!K276*LN('Zoopl Analysis'!K276)))</f>
        <v/>
      </c>
      <c r="L276" s="36" t="str">
        <f>IF('Zoopl Count'!L276=0,"",('Zoopl Analysis'!L276*LN('Zoopl Analysis'!L276)))</f>
        <v/>
      </c>
      <c r="M276" s="36" t="str">
        <f>IF('Zoopl Count'!M276=0,"",('Zoopl Analysis'!M276*LN('Zoopl Analysis'!M276)))</f>
        <v/>
      </c>
      <c r="N276" s="36" t="str">
        <f>IF('Zoopl Count'!N276=0,"",('Zoopl Analysis'!N276*LN('Zoopl Analysis'!N276)))</f>
        <v/>
      </c>
      <c r="O276" s="36" t="str">
        <f>IF('Zoopl Count'!O276=0,"",('Zoopl Analysis'!O276*LN('Zoopl Analysis'!O276)))</f>
        <v/>
      </c>
      <c r="P276" s="36" t="str">
        <f>IF('Zoopl Count'!P276=0,"",('Zoopl Analysis'!P276*LN('Zoopl Analysis'!P276)))</f>
        <v/>
      </c>
    </row>
    <row r="277" spans="1:16">
      <c r="E277" s="8"/>
      <c r="F277" s="232" t="s">
        <v>307</v>
      </c>
      <c r="G277" s="36" t="str">
        <f>IF('Zoopl Count'!G277=0,"",('Zoopl Analysis'!G277*LN('Zoopl Analysis'!G277)))</f>
        <v/>
      </c>
      <c r="H277" s="36">
        <f>IF('Zoopl Count'!H277=0,"",('Zoopl Analysis'!H277*LN('Zoopl Analysis'!H277)))</f>
        <v>-0.1779977489437593</v>
      </c>
      <c r="I277" s="36">
        <f>IF('Zoopl Count'!I277=0,"",('Zoopl Analysis'!I277*LN('Zoopl Analysis'!I277)))</f>
        <v>-0.26562315606499248</v>
      </c>
      <c r="J277" s="36">
        <f>IF('Zoopl Count'!J277=0,"",('Zoopl Analysis'!J277*LN('Zoopl Analysis'!J277)))</f>
        <v>-0.36715914952180329</v>
      </c>
      <c r="K277" s="36" t="str">
        <f>IF('Zoopl Count'!K277=0,"",('Zoopl Analysis'!K277*LN('Zoopl Analysis'!K277)))</f>
        <v/>
      </c>
      <c r="L277" s="36" t="str">
        <f>IF('Zoopl Count'!L277=0,"",('Zoopl Analysis'!L277*LN('Zoopl Analysis'!L277)))</f>
        <v/>
      </c>
      <c r="M277" s="36">
        <f>IF('Zoopl Count'!M277=0,"",('Zoopl Analysis'!M277*LN('Zoopl Analysis'!M277)))</f>
        <v>-0.35050162848493283</v>
      </c>
      <c r="N277" s="36">
        <f>IF('Zoopl Count'!N277=0,"",('Zoopl Analysis'!N277*LN('Zoopl Analysis'!N277)))</f>
        <v>-0.22734830011423995</v>
      </c>
      <c r="O277" s="36" t="str">
        <f>IF('Zoopl Count'!O277=0,"",('Zoopl Analysis'!O277*LN('Zoopl Analysis'!O277)))</f>
        <v/>
      </c>
      <c r="P277" s="36">
        <f>IF('Zoopl Count'!P277=0,"",('Zoopl Analysis'!P277*LN('Zoopl Analysis'!P277)))</f>
        <v>-0.26562315606499248</v>
      </c>
    </row>
    <row r="278" spans="1:16">
      <c r="A278" s="212"/>
      <c r="B278" s="212"/>
      <c r="C278" s="211" t="s">
        <v>10</v>
      </c>
      <c r="D278" s="2" t="s">
        <v>305</v>
      </c>
      <c r="E278" s="212"/>
      <c r="F278" s="212"/>
      <c r="G278" s="36" t="str">
        <f>IF('Zoopl Count'!G278=0,"",('Zoopl Analysis'!G278*LN('Zoopl Analysis'!G278)))</f>
        <v/>
      </c>
      <c r="H278" s="36" t="str">
        <f>IF('Zoopl Count'!H278=0,"",('Zoopl Analysis'!H278*LN('Zoopl Analysis'!H278)))</f>
        <v/>
      </c>
      <c r="I278" s="36" t="str">
        <f>IF('Zoopl Count'!I278=0,"",('Zoopl Analysis'!I278*LN('Zoopl Analysis'!I278)))</f>
        <v/>
      </c>
      <c r="J278" s="36" t="str">
        <f>IF('Zoopl Count'!J278=0,"",('Zoopl Analysis'!J278*LN('Zoopl Analysis'!J278)))</f>
        <v/>
      </c>
      <c r="K278" s="36" t="str">
        <f>IF('Zoopl Count'!K278=0,"",('Zoopl Analysis'!K278*LN('Zoopl Analysis'!K278)))</f>
        <v/>
      </c>
      <c r="L278" s="36" t="str">
        <f>IF('Zoopl Count'!L278=0,"",('Zoopl Analysis'!L278*LN('Zoopl Analysis'!L278)))</f>
        <v/>
      </c>
      <c r="M278" s="36" t="str">
        <f>IF('Zoopl Count'!M278=0,"",('Zoopl Analysis'!M278*LN('Zoopl Analysis'!M278)))</f>
        <v/>
      </c>
      <c r="N278" s="36" t="str">
        <f>IF('Zoopl Count'!N278=0,"",('Zoopl Analysis'!N278*LN('Zoopl Analysis'!N278)))</f>
        <v/>
      </c>
      <c r="O278" s="36" t="str">
        <f>IF('Zoopl Count'!O278=0,"",('Zoopl Analysis'!O278*LN('Zoopl Analysis'!O278)))</f>
        <v/>
      </c>
      <c r="P278" s="36" t="str">
        <f>IF('Zoopl Count'!P278=0,"",('Zoopl Analysis'!P278*LN('Zoopl Analysis'!P278)))</f>
        <v/>
      </c>
    </row>
    <row r="279" spans="1:16">
      <c r="A279" s="272" t="s">
        <v>12</v>
      </c>
      <c r="B279" s="272"/>
      <c r="C279" s="272"/>
      <c r="D279" s="272"/>
      <c r="E279" s="273" t="s">
        <v>312</v>
      </c>
      <c r="F279" s="274"/>
      <c r="G279" s="36" t="str">
        <f>IF('Zoopl Count'!G279=0,"",('Zoopl Analysis'!G279*LN('Zoopl Analysis'!G279)))</f>
        <v/>
      </c>
      <c r="H279" s="36" t="str">
        <f>IF('Zoopl Count'!H279=0,"",('Zoopl Analysis'!H279*LN('Zoopl Analysis'!H279)))</f>
        <v/>
      </c>
      <c r="I279" s="36" t="str">
        <f>IF('Zoopl Count'!I279=0,"",('Zoopl Analysis'!I279*LN('Zoopl Analysis'!I279)))</f>
        <v/>
      </c>
      <c r="J279" s="36" t="str">
        <f>IF('Zoopl Count'!J279=0,"",('Zoopl Analysis'!J279*LN('Zoopl Analysis'!J279)))</f>
        <v/>
      </c>
      <c r="K279" s="36" t="str">
        <f>IF('Zoopl Count'!K279=0,"",('Zoopl Analysis'!K279*LN('Zoopl Analysis'!K279)))</f>
        <v/>
      </c>
      <c r="L279" s="36" t="str">
        <f>IF('Zoopl Count'!L279=0,"",('Zoopl Analysis'!L279*LN('Zoopl Analysis'!L279)))</f>
        <v/>
      </c>
      <c r="M279" s="36" t="str">
        <f>IF('Zoopl Count'!M279=0,"",('Zoopl Analysis'!M279*LN('Zoopl Analysis'!M279)))</f>
        <v/>
      </c>
      <c r="N279" s="36" t="str">
        <f>IF('Zoopl Count'!N279=0,"",('Zoopl Analysis'!N279*LN('Zoopl Analysis'!N279)))</f>
        <v/>
      </c>
      <c r="O279" s="36" t="str">
        <f>IF('Zoopl Count'!O279=0,"",('Zoopl Analysis'!O279*LN('Zoopl Analysis'!O279)))</f>
        <v/>
      </c>
      <c r="P279" s="36" t="str">
        <f>IF('Zoopl Count'!P279=0,"",('Zoopl Analysis'!P279*LN('Zoopl Analysis'!P279)))</f>
        <v/>
      </c>
    </row>
    <row r="280" spans="1:16">
      <c r="A280" s="59"/>
      <c r="B280" s="271" t="s">
        <v>14</v>
      </c>
      <c r="C280" s="271"/>
      <c r="D280" s="271"/>
      <c r="E280" s="271"/>
      <c r="F280" s="64" t="s">
        <v>313</v>
      </c>
      <c r="G280" s="36" t="str">
        <f>IF('Zoopl Count'!G280=0,"",('Zoopl Analysis'!G280*LN('Zoopl Analysis'!G280)))</f>
        <v/>
      </c>
      <c r="H280" s="36" t="str">
        <f>IF('Zoopl Count'!H280=0,"",('Zoopl Analysis'!H280*LN('Zoopl Analysis'!H280)))</f>
        <v/>
      </c>
      <c r="I280" s="36" t="str">
        <f>IF('Zoopl Count'!I280=0,"",('Zoopl Analysis'!I280*LN('Zoopl Analysis'!I280)))</f>
        <v/>
      </c>
      <c r="J280" s="36" t="str">
        <f>IF('Zoopl Count'!J280=0,"",('Zoopl Analysis'!J280*LN('Zoopl Analysis'!J280)))</f>
        <v/>
      </c>
      <c r="K280" s="36" t="str">
        <f>IF('Zoopl Count'!K280=0,"",('Zoopl Analysis'!K280*LN('Zoopl Analysis'!K280)))</f>
        <v/>
      </c>
      <c r="L280" s="36" t="str">
        <f>IF('Zoopl Count'!L280=0,"",('Zoopl Analysis'!L280*LN('Zoopl Analysis'!L280)))</f>
        <v/>
      </c>
      <c r="M280" s="36" t="str">
        <f>IF('Zoopl Count'!M280=0,"",('Zoopl Analysis'!M280*LN('Zoopl Analysis'!M280)))</f>
        <v/>
      </c>
      <c r="N280" s="36" t="str">
        <f>IF('Zoopl Count'!N280=0,"",('Zoopl Analysis'!N280*LN('Zoopl Analysis'!N280)))</f>
        <v/>
      </c>
      <c r="O280" s="36" t="str">
        <f>IF('Zoopl Count'!O280=0,"",('Zoopl Analysis'!O280*LN('Zoopl Analysis'!O280)))</f>
        <v/>
      </c>
      <c r="P280" s="36" t="str">
        <f>IF('Zoopl Count'!P280=0,"",('Zoopl Analysis'!P280*LN('Zoopl Analysis'!P280)))</f>
        <v/>
      </c>
    </row>
    <row r="281" spans="1:16">
      <c r="A281" s="272" t="s">
        <v>12</v>
      </c>
      <c r="B281" s="272"/>
      <c r="C281" s="272"/>
      <c r="D281" s="272"/>
      <c r="E281" s="273" t="s">
        <v>346</v>
      </c>
      <c r="F281" s="274"/>
      <c r="G281" s="36" t="str">
        <f>IF('Zoopl Count'!G281=0,"",('Zoopl Analysis'!G281*LN('Zoopl Analysis'!G281)))</f>
        <v/>
      </c>
      <c r="H281" s="36" t="str">
        <f>IF('Zoopl Count'!H281=0,"",('Zoopl Analysis'!H281*LN('Zoopl Analysis'!H281)))</f>
        <v/>
      </c>
      <c r="I281" s="36" t="str">
        <f>IF('Zoopl Count'!I281=0,"",('Zoopl Analysis'!I281*LN('Zoopl Analysis'!I281)))</f>
        <v/>
      </c>
      <c r="J281" s="36" t="str">
        <f>IF('Zoopl Count'!J281=0,"",('Zoopl Analysis'!J281*LN('Zoopl Analysis'!J281)))</f>
        <v/>
      </c>
      <c r="K281" s="36" t="str">
        <f>IF('Zoopl Count'!K281=0,"",('Zoopl Analysis'!K281*LN('Zoopl Analysis'!K281)))</f>
        <v/>
      </c>
      <c r="L281" s="36" t="str">
        <f>IF('Zoopl Count'!L281=0,"",('Zoopl Analysis'!L281*LN('Zoopl Analysis'!L281)))</f>
        <v/>
      </c>
      <c r="M281" s="36" t="str">
        <f>IF('Zoopl Count'!M281=0,"",('Zoopl Analysis'!M281*LN('Zoopl Analysis'!M281)))</f>
        <v/>
      </c>
      <c r="N281" s="36" t="str">
        <f>IF('Zoopl Count'!N281=0,"",('Zoopl Analysis'!N281*LN('Zoopl Analysis'!N281)))</f>
        <v/>
      </c>
      <c r="O281" s="36" t="str">
        <f>IF('Zoopl Count'!O281=0,"",('Zoopl Analysis'!O281*LN('Zoopl Analysis'!O281)))</f>
        <v/>
      </c>
      <c r="P281" s="36" t="str">
        <f>IF('Zoopl Count'!P281=0,"",('Zoopl Analysis'!P281*LN('Zoopl Analysis'!P281)))</f>
        <v/>
      </c>
    </row>
    <row r="282" spans="1:16">
      <c r="A282" s="59"/>
      <c r="B282" s="271" t="s">
        <v>14</v>
      </c>
      <c r="C282" s="271"/>
      <c r="D282" s="271"/>
      <c r="E282" s="271"/>
      <c r="F282" s="64" t="s">
        <v>345</v>
      </c>
      <c r="G282" s="36" t="str">
        <f>IF('Zoopl Count'!G282=0,"",('Zoopl Analysis'!G282*LN('Zoopl Analysis'!G282)))</f>
        <v/>
      </c>
      <c r="H282" s="36" t="str">
        <f>IF('Zoopl Count'!H282=0,"",('Zoopl Analysis'!H282*LN('Zoopl Analysis'!H282)))</f>
        <v/>
      </c>
      <c r="I282" s="36" t="str">
        <f>IF('Zoopl Count'!I282=0,"",('Zoopl Analysis'!I282*LN('Zoopl Analysis'!I282)))</f>
        <v/>
      </c>
      <c r="J282" s="36" t="str">
        <f>IF('Zoopl Count'!J282=0,"",('Zoopl Analysis'!J282*LN('Zoopl Analysis'!J282)))</f>
        <v/>
      </c>
      <c r="K282" s="36" t="str">
        <f>IF('Zoopl Count'!K282=0,"",('Zoopl Analysis'!K282*LN('Zoopl Analysis'!K282)))</f>
        <v/>
      </c>
      <c r="L282" s="36" t="str">
        <f>IF('Zoopl Count'!L282=0,"",('Zoopl Analysis'!L282*LN('Zoopl Analysis'!L282)))</f>
        <v/>
      </c>
      <c r="M282" s="36" t="str">
        <f>IF('Zoopl Count'!M282=0,"",('Zoopl Analysis'!M282*LN('Zoopl Analysis'!M282)))</f>
        <v/>
      </c>
      <c r="N282" s="36" t="str">
        <f>IF('Zoopl Count'!N282=0,"",('Zoopl Analysis'!N282*LN('Zoopl Analysis'!N282)))</f>
        <v/>
      </c>
      <c r="O282" s="36" t="str">
        <f>IF('Zoopl Count'!O282=0,"",('Zoopl Analysis'!O282*LN('Zoopl Analysis'!O282)))</f>
        <v/>
      </c>
      <c r="P282" s="36" t="str">
        <f>IF('Zoopl Count'!P282=0,"",('Zoopl Analysis'!P282*LN('Zoopl Analysis'!P282)))</f>
        <v/>
      </c>
    </row>
    <row r="283" spans="1:16">
      <c r="E283" s="8"/>
      <c r="G283" s="36" t="str">
        <f>IF('Zoopl Count'!G283=0,"",('Zoopl Analysis'!G283*LN('Zoopl Analysis'!G283)))</f>
        <v/>
      </c>
      <c r="H283" s="36" t="str">
        <f>IF('Zoopl Count'!H283=0,"",('Zoopl Analysis'!H283*LN('Zoopl Analysis'!H283)))</f>
        <v/>
      </c>
      <c r="I283" s="36" t="str">
        <f>IF('Zoopl Count'!I283=0,"",('Zoopl Analysis'!I283*LN('Zoopl Analysis'!I283)))</f>
        <v/>
      </c>
      <c r="J283" s="36" t="str">
        <f>IF('Zoopl Count'!J283=0,"",('Zoopl Analysis'!J283*LN('Zoopl Analysis'!J283)))</f>
        <v/>
      </c>
      <c r="K283" s="36" t="str">
        <f>IF('Zoopl Count'!K283=0,"",('Zoopl Analysis'!K283*LN('Zoopl Analysis'!K283)))</f>
        <v/>
      </c>
      <c r="L283" s="36" t="str">
        <f>IF('Zoopl Count'!L283=0,"",('Zoopl Analysis'!L283*LN('Zoopl Analysis'!L283)))</f>
        <v/>
      </c>
      <c r="M283" s="36" t="str">
        <f>IF('Zoopl Count'!M283=0,"",('Zoopl Analysis'!M283*LN('Zoopl Analysis'!M283)))</f>
        <v/>
      </c>
      <c r="N283" s="36" t="str">
        <f>IF('Zoopl Count'!N283=0,"",('Zoopl Analysis'!N283*LN('Zoopl Analysis'!N283)))</f>
        <v/>
      </c>
      <c r="O283" s="36" t="str">
        <f>IF('Zoopl Count'!O283=0,"",('Zoopl Analysis'!O283*LN('Zoopl Analysis'!O283)))</f>
        <v/>
      </c>
      <c r="P283" s="36" t="str">
        <f>IF('Zoopl Count'!P283=0,"",('Zoopl Analysis'!P283*LN('Zoopl Analysis'!P283)))</f>
        <v/>
      </c>
    </row>
    <row r="284" spans="1:16">
      <c r="B284" s="8" t="s">
        <v>79</v>
      </c>
      <c r="C284" s="2" t="s">
        <v>116</v>
      </c>
      <c r="E284" s="8"/>
      <c r="F284" s="19"/>
      <c r="G284" s="36" t="str">
        <f>IF('Zoopl Count'!G284=0,"",('Zoopl Analysis'!G284*LN('Zoopl Analysis'!G284)))</f>
        <v/>
      </c>
      <c r="H284" s="36" t="str">
        <f>IF('Zoopl Count'!H284=0,"",('Zoopl Analysis'!H284*LN('Zoopl Analysis'!H284)))</f>
        <v/>
      </c>
      <c r="I284" s="36" t="str">
        <f>IF('Zoopl Count'!I284=0,"",('Zoopl Analysis'!I284*LN('Zoopl Analysis'!I284)))</f>
        <v/>
      </c>
      <c r="J284" s="36" t="str">
        <f>IF('Zoopl Count'!J284=0,"",('Zoopl Analysis'!J284*LN('Zoopl Analysis'!J284)))</f>
        <v/>
      </c>
      <c r="K284" s="36" t="str">
        <f>IF('Zoopl Count'!K284=0,"",('Zoopl Analysis'!K284*LN('Zoopl Analysis'!K284)))</f>
        <v/>
      </c>
      <c r="L284" s="36" t="str">
        <f>IF('Zoopl Count'!L284=0,"",('Zoopl Analysis'!L284*LN('Zoopl Analysis'!L284)))</f>
        <v/>
      </c>
      <c r="M284" s="36" t="str">
        <f>IF('Zoopl Count'!M284=0,"",('Zoopl Analysis'!M284*LN('Zoopl Analysis'!M284)))</f>
        <v/>
      </c>
      <c r="N284" s="36" t="str">
        <f>IF('Zoopl Count'!N284=0,"",('Zoopl Analysis'!N284*LN('Zoopl Analysis'!N284)))</f>
        <v/>
      </c>
      <c r="O284" s="36" t="str">
        <f>IF('Zoopl Count'!O284=0,"",('Zoopl Analysis'!O284*LN('Zoopl Analysis'!O284)))</f>
        <v/>
      </c>
      <c r="P284" s="36" t="str">
        <f>IF('Zoopl Count'!P284=0,"",('Zoopl Analysis'!P284*LN('Zoopl Analysis'!P284)))</f>
        <v/>
      </c>
    </row>
    <row r="285" spans="1:16">
      <c r="E285" s="8"/>
      <c r="F285" s="232" t="s">
        <v>315</v>
      </c>
      <c r="G285" s="36">
        <f>IF('Zoopl Count'!G285=0,"",('Zoopl Analysis'!G285*LN('Zoopl Analysis'!G285)))</f>
        <v>-0.33951388967976126</v>
      </c>
      <c r="H285" s="36" t="str">
        <f>IF('Zoopl Count'!H285=0,"",('Zoopl Analysis'!H285*LN('Zoopl Analysis'!H285)))</f>
        <v/>
      </c>
      <c r="I285" s="36">
        <f>IF('Zoopl Count'!I285=0,"",('Zoopl Analysis'!I285*LN('Zoopl Analysis'!I285)))</f>
        <v>-0.26562315606499248</v>
      </c>
      <c r="J285" s="36" t="str">
        <f>IF('Zoopl Count'!J285=0,"",('Zoopl Analysis'!J285*LN('Zoopl Analysis'!J285)))</f>
        <v/>
      </c>
      <c r="K285" s="36" t="str">
        <f>IF('Zoopl Count'!K285=0,"",('Zoopl Analysis'!K285*LN('Zoopl Analysis'!K285)))</f>
        <v/>
      </c>
      <c r="L285" s="36" t="str">
        <f>IF('Zoopl Count'!L285=0,"",('Zoopl Analysis'!L285*LN('Zoopl Analysis'!L285)))</f>
        <v/>
      </c>
      <c r="M285" s="36">
        <f>IF('Zoopl Count'!M285=0,"",('Zoopl Analysis'!M285*LN('Zoopl Analysis'!M285)))</f>
        <v>-8.3411422021561196E-2</v>
      </c>
      <c r="N285" s="36">
        <f>IF('Zoopl Count'!N285=0,"",('Zoopl Analysis'!N285*LN('Zoopl Analysis'!N285)))</f>
        <v>-0.22734830011423995</v>
      </c>
      <c r="O285" s="36" t="str">
        <f>IF('Zoopl Count'!O285=0,"",('Zoopl Analysis'!O285*LN('Zoopl Analysis'!O285)))</f>
        <v/>
      </c>
      <c r="P285" s="36" t="str">
        <f>IF('Zoopl Count'!P285=0,"",('Zoopl Analysis'!P285*LN('Zoopl Analysis'!P285)))</f>
        <v/>
      </c>
    </row>
    <row r="286" spans="1:16">
      <c r="E286" s="8"/>
      <c r="G286" s="36" t="str">
        <f>IF('Zoopl Count'!G286=0,"",('Zoopl Analysis'!G286*LN('Zoopl Analysis'!G286)))</f>
        <v/>
      </c>
      <c r="H286" s="36" t="str">
        <f>IF('Zoopl Count'!H286=0,"",('Zoopl Analysis'!H286*LN('Zoopl Analysis'!H286)))</f>
        <v/>
      </c>
      <c r="I286" s="36" t="str">
        <f>IF('Zoopl Count'!I286=0,"",('Zoopl Analysis'!I286*LN('Zoopl Analysis'!I286)))</f>
        <v/>
      </c>
      <c r="J286" s="36" t="str">
        <f>IF('Zoopl Count'!J286=0,"",('Zoopl Analysis'!J286*LN('Zoopl Analysis'!J286)))</f>
        <v/>
      </c>
      <c r="K286" s="36" t="str">
        <f>IF('Zoopl Count'!K286=0,"",('Zoopl Analysis'!K286*LN('Zoopl Analysis'!K286)))</f>
        <v/>
      </c>
      <c r="L286" s="36" t="str">
        <f>IF('Zoopl Count'!L286=0,"",('Zoopl Analysis'!L286*LN('Zoopl Analysis'!L286)))</f>
        <v/>
      </c>
      <c r="M286" s="36" t="str">
        <f>IF('Zoopl Count'!M286=0,"",('Zoopl Analysis'!M286*LN('Zoopl Analysis'!M286)))</f>
        <v/>
      </c>
      <c r="N286" s="36" t="str">
        <f>IF('Zoopl Count'!N286=0,"",('Zoopl Analysis'!N286*LN('Zoopl Analysis'!N286)))</f>
        <v/>
      </c>
      <c r="O286" s="36" t="str">
        <f>IF('Zoopl Count'!O286=0,"",('Zoopl Analysis'!O286*LN('Zoopl Analysis'!O286)))</f>
        <v/>
      </c>
      <c r="P286" s="36" t="str">
        <f>IF('Zoopl Count'!P286=0,"",('Zoopl Analysis'!P286*LN('Zoopl Analysis'!P286)))</f>
        <v/>
      </c>
    </row>
    <row r="287" spans="1:16">
      <c r="B287" s="8" t="s">
        <v>79</v>
      </c>
      <c r="C287" s="2" t="s">
        <v>117</v>
      </c>
      <c r="E287" s="8"/>
      <c r="F287" s="19"/>
      <c r="G287" s="36" t="str">
        <f>IF('Zoopl Count'!G287=0,"",('Zoopl Analysis'!G287*LN('Zoopl Analysis'!G287)))</f>
        <v/>
      </c>
      <c r="H287" s="36" t="str">
        <f>IF('Zoopl Count'!H287=0,"",('Zoopl Analysis'!H287*LN('Zoopl Analysis'!H287)))</f>
        <v/>
      </c>
      <c r="I287" s="36" t="str">
        <f>IF('Zoopl Count'!I287=0,"",('Zoopl Analysis'!I287*LN('Zoopl Analysis'!I287)))</f>
        <v/>
      </c>
      <c r="J287" s="36" t="str">
        <f>IF('Zoopl Count'!J287=0,"",('Zoopl Analysis'!J287*LN('Zoopl Analysis'!J287)))</f>
        <v/>
      </c>
      <c r="K287" s="36" t="str">
        <f>IF('Zoopl Count'!K287=0,"",('Zoopl Analysis'!K287*LN('Zoopl Analysis'!K287)))</f>
        <v/>
      </c>
      <c r="L287" s="36" t="str">
        <f>IF('Zoopl Count'!L287=0,"",('Zoopl Analysis'!L287*LN('Zoopl Analysis'!L287)))</f>
        <v/>
      </c>
      <c r="M287" s="36" t="str">
        <f>IF('Zoopl Count'!M287=0,"",('Zoopl Analysis'!M287*LN('Zoopl Analysis'!M287)))</f>
        <v/>
      </c>
      <c r="N287" s="36" t="str">
        <f>IF('Zoopl Count'!N287=0,"",('Zoopl Analysis'!N287*LN('Zoopl Analysis'!N287)))</f>
        <v/>
      </c>
      <c r="O287" s="36" t="str">
        <f>IF('Zoopl Count'!O287=0,"",('Zoopl Analysis'!O287*LN('Zoopl Analysis'!O287)))</f>
        <v/>
      </c>
      <c r="P287" s="36" t="str">
        <f>IF('Zoopl Count'!P287=0,"",('Zoopl Analysis'!P287*LN('Zoopl Analysis'!P287)))</f>
        <v/>
      </c>
    </row>
    <row r="288" spans="1:16">
      <c r="E288" s="8"/>
      <c r="F288" s="6" t="s">
        <v>118</v>
      </c>
      <c r="G288" s="36" t="str">
        <f>IF('Zoopl Count'!G288=0,"",('Zoopl Analysis'!G288*LN('Zoopl Analysis'!G288)))</f>
        <v/>
      </c>
      <c r="H288" s="36" t="str">
        <f>IF('Zoopl Count'!H288=0,"",('Zoopl Analysis'!H288*LN('Zoopl Analysis'!H288)))</f>
        <v/>
      </c>
      <c r="I288" s="36" t="str">
        <f>IF('Zoopl Count'!I288=0,"",('Zoopl Analysis'!I288*LN('Zoopl Analysis'!I288)))</f>
        <v/>
      </c>
      <c r="J288" s="36" t="str">
        <f>IF('Zoopl Count'!J288=0,"",('Zoopl Analysis'!J288*LN('Zoopl Analysis'!J288)))</f>
        <v/>
      </c>
      <c r="K288" s="36" t="str">
        <f>IF('Zoopl Count'!K288=0,"",('Zoopl Analysis'!K288*LN('Zoopl Analysis'!K288)))</f>
        <v/>
      </c>
      <c r="L288" s="36" t="str">
        <f>IF('Zoopl Count'!L288=0,"",('Zoopl Analysis'!L288*LN('Zoopl Analysis'!L288)))</f>
        <v/>
      </c>
      <c r="M288" s="36" t="str">
        <f>IF('Zoopl Count'!M288=0,"",('Zoopl Analysis'!M288*LN('Zoopl Analysis'!M288)))</f>
        <v/>
      </c>
      <c r="N288" s="36" t="str">
        <f>IF('Zoopl Count'!N288=0,"",('Zoopl Analysis'!N288*LN('Zoopl Analysis'!N288)))</f>
        <v/>
      </c>
      <c r="O288" s="36" t="str">
        <f>IF('Zoopl Count'!O288=0,"",('Zoopl Analysis'!O288*LN('Zoopl Analysis'!O288)))</f>
        <v/>
      </c>
      <c r="P288" s="36" t="str">
        <f>IF('Zoopl Count'!P288=0,"",('Zoopl Analysis'!P288*LN('Zoopl Analysis'!P288)))</f>
        <v/>
      </c>
    </row>
    <row r="289" spans="1:16">
      <c r="E289" s="8"/>
      <c r="F289" s="19"/>
      <c r="G289" s="36" t="str">
        <f>IF('Zoopl Count'!G289=0,"",('Zoopl Analysis'!G289*LN('Zoopl Analysis'!G289)))</f>
        <v/>
      </c>
      <c r="H289" s="36" t="str">
        <f>IF('Zoopl Count'!H289=0,"",('Zoopl Analysis'!H289*LN('Zoopl Analysis'!H289)))</f>
        <v/>
      </c>
      <c r="I289" s="36" t="str">
        <f>IF('Zoopl Count'!I289=0,"",('Zoopl Analysis'!I289*LN('Zoopl Analysis'!I289)))</f>
        <v/>
      </c>
      <c r="J289" s="36" t="str">
        <f>IF('Zoopl Count'!J289=0,"",('Zoopl Analysis'!J289*LN('Zoopl Analysis'!J289)))</f>
        <v/>
      </c>
      <c r="K289" s="36" t="str">
        <f>IF('Zoopl Count'!K289=0,"",('Zoopl Analysis'!K289*LN('Zoopl Analysis'!K289)))</f>
        <v/>
      </c>
      <c r="L289" s="36" t="str">
        <f>IF('Zoopl Count'!L289=0,"",('Zoopl Analysis'!L289*LN('Zoopl Analysis'!L289)))</f>
        <v/>
      </c>
      <c r="M289" s="36" t="str">
        <f>IF('Zoopl Count'!M289=0,"",('Zoopl Analysis'!M289*LN('Zoopl Analysis'!M289)))</f>
        <v/>
      </c>
      <c r="N289" s="36" t="str">
        <f>IF('Zoopl Count'!N289=0,"",('Zoopl Analysis'!N289*LN('Zoopl Analysis'!N289)))</f>
        <v/>
      </c>
      <c r="O289" s="36" t="str">
        <f>IF('Zoopl Count'!O289=0,"",('Zoopl Analysis'!O289*LN('Zoopl Analysis'!O289)))</f>
        <v/>
      </c>
      <c r="P289" s="36" t="str">
        <f>IF('Zoopl Count'!P289=0,"",('Zoopl Analysis'!P289*LN('Zoopl Analysis'!P289)))</f>
        <v/>
      </c>
    </row>
    <row r="290" spans="1:16">
      <c r="A290" s="8" t="s">
        <v>7</v>
      </c>
      <c r="B290" s="2" t="s">
        <v>119</v>
      </c>
      <c r="E290" s="8"/>
      <c r="F290" s="19"/>
      <c r="G290" s="36" t="str">
        <f>IF('Zoopl Count'!G290=0,"",('Zoopl Analysis'!G290*LN('Zoopl Analysis'!G290)))</f>
        <v/>
      </c>
      <c r="H290" s="36" t="str">
        <f>IF('Zoopl Count'!H290=0,"",('Zoopl Analysis'!H290*LN('Zoopl Analysis'!H290)))</f>
        <v/>
      </c>
      <c r="I290" s="36" t="str">
        <f>IF('Zoopl Count'!I290=0,"",('Zoopl Analysis'!I290*LN('Zoopl Analysis'!I290)))</f>
        <v/>
      </c>
      <c r="J290" s="36" t="str">
        <f>IF('Zoopl Count'!J290=0,"",('Zoopl Analysis'!J290*LN('Zoopl Analysis'!J290)))</f>
        <v/>
      </c>
      <c r="K290" s="36" t="str">
        <f>IF('Zoopl Count'!K290=0,"",('Zoopl Analysis'!K290*LN('Zoopl Analysis'!K290)))</f>
        <v/>
      </c>
      <c r="L290" s="36" t="str">
        <f>IF('Zoopl Count'!L290=0,"",('Zoopl Analysis'!L290*LN('Zoopl Analysis'!L290)))</f>
        <v/>
      </c>
      <c r="M290" s="36" t="str">
        <f>IF('Zoopl Count'!M290=0,"",('Zoopl Analysis'!M290*LN('Zoopl Analysis'!M290)))</f>
        <v/>
      </c>
      <c r="N290" s="36" t="str">
        <f>IF('Zoopl Count'!N290=0,"",('Zoopl Analysis'!N290*LN('Zoopl Analysis'!N290)))</f>
        <v/>
      </c>
      <c r="O290" s="36" t="str">
        <f>IF('Zoopl Count'!O290=0,"",('Zoopl Analysis'!O290*LN('Zoopl Analysis'!O290)))</f>
        <v/>
      </c>
      <c r="P290" s="36" t="str">
        <f>IF('Zoopl Count'!P290=0,"",('Zoopl Analysis'!P290*LN('Zoopl Analysis'!P290)))</f>
        <v/>
      </c>
    </row>
    <row r="291" spans="1:16">
      <c r="E291" s="8"/>
      <c r="F291" s="6" t="s">
        <v>120</v>
      </c>
      <c r="G291" s="36" t="str">
        <f>IF('Zoopl Count'!G291=0,"",('Zoopl Analysis'!G291*LN('Zoopl Analysis'!G291)))</f>
        <v/>
      </c>
      <c r="H291" s="36" t="str">
        <f>IF('Zoopl Count'!H291=0,"",('Zoopl Analysis'!H291*LN('Zoopl Analysis'!H291)))</f>
        <v/>
      </c>
      <c r="I291" s="36" t="str">
        <f>IF('Zoopl Count'!I291=0,"",('Zoopl Analysis'!I291*LN('Zoopl Analysis'!I291)))</f>
        <v/>
      </c>
      <c r="J291" s="36" t="str">
        <f>IF('Zoopl Count'!J291=0,"",('Zoopl Analysis'!J291*LN('Zoopl Analysis'!J291)))</f>
        <v/>
      </c>
      <c r="K291" s="36" t="str">
        <f>IF('Zoopl Count'!K291=0,"",('Zoopl Analysis'!K291*LN('Zoopl Analysis'!K291)))</f>
        <v/>
      </c>
      <c r="L291" s="36" t="str">
        <f>IF('Zoopl Count'!L291=0,"",('Zoopl Analysis'!L291*LN('Zoopl Analysis'!L291)))</f>
        <v/>
      </c>
      <c r="M291" s="36" t="str">
        <f>IF('Zoopl Count'!M291=0,"",('Zoopl Analysis'!M291*LN('Zoopl Analysis'!M291)))</f>
        <v/>
      </c>
      <c r="N291" s="36" t="str">
        <f>IF('Zoopl Count'!N291=0,"",('Zoopl Analysis'!N291*LN('Zoopl Analysis'!N291)))</f>
        <v/>
      </c>
      <c r="O291" s="36" t="str">
        <f>IF('Zoopl Count'!O291=0,"",('Zoopl Analysis'!O291*LN('Zoopl Analysis'!O291)))</f>
        <v/>
      </c>
      <c r="P291" s="36" t="str">
        <f>IF('Zoopl Count'!P291=0,"",('Zoopl Analysis'!P291*LN('Zoopl Analysis'!P291)))</f>
        <v/>
      </c>
    </row>
    <row r="292" spans="1:16">
      <c r="E292" s="8"/>
      <c r="F292" s="19"/>
      <c r="G292" s="36" t="str">
        <f>IF('Zoopl Count'!G292=0,"",('Zoopl Analysis'!G292*LN('Zoopl Analysis'!G292)))</f>
        <v/>
      </c>
      <c r="H292" s="36" t="str">
        <f>IF('Zoopl Count'!H292=0,"",('Zoopl Analysis'!H292*LN('Zoopl Analysis'!H292)))</f>
        <v/>
      </c>
      <c r="I292" s="36" t="str">
        <f>IF('Zoopl Count'!I292=0,"",('Zoopl Analysis'!I292*LN('Zoopl Analysis'!I292)))</f>
        <v/>
      </c>
      <c r="J292" s="36" t="str">
        <f>IF('Zoopl Count'!J292=0,"",('Zoopl Analysis'!J292*LN('Zoopl Analysis'!J292)))</f>
        <v/>
      </c>
      <c r="K292" s="36" t="str">
        <f>IF('Zoopl Count'!K292=0,"",('Zoopl Analysis'!K292*LN('Zoopl Analysis'!K292)))</f>
        <v/>
      </c>
      <c r="L292" s="36" t="str">
        <f>IF('Zoopl Count'!L292=0,"",('Zoopl Analysis'!L292*LN('Zoopl Analysis'!L292)))</f>
        <v/>
      </c>
      <c r="M292" s="36" t="str">
        <f>IF('Zoopl Count'!M292=0,"",('Zoopl Analysis'!M292*LN('Zoopl Analysis'!M292)))</f>
        <v/>
      </c>
      <c r="N292" s="36" t="str">
        <f>IF('Zoopl Count'!N292=0,"",('Zoopl Analysis'!N292*LN('Zoopl Analysis'!N292)))</f>
        <v/>
      </c>
      <c r="O292" s="36" t="str">
        <f>IF('Zoopl Count'!O292=0,"",('Zoopl Analysis'!O292*LN('Zoopl Analysis'!O292)))</f>
        <v/>
      </c>
      <c r="P292" s="36" t="str">
        <f>IF('Zoopl Count'!P292=0,"",('Zoopl Analysis'!P292*LN('Zoopl Analysis'!P292)))</f>
        <v/>
      </c>
    </row>
    <row r="293" spans="1:16">
      <c r="A293" s="183" t="s">
        <v>7</v>
      </c>
      <c r="B293" s="2" t="s">
        <v>284</v>
      </c>
      <c r="C293" s="184"/>
      <c r="D293" s="184"/>
      <c r="E293" s="183"/>
      <c r="F293" s="19"/>
      <c r="G293" s="36" t="str">
        <f>IF('Zoopl Count'!G293=0,"",('Zoopl Analysis'!G293*LN('Zoopl Analysis'!G293)))</f>
        <v/>
      </c>
      <c r="H293" s="36" t="str">
        <f>IF('Zoopl Count'!H293=0,"",('Zoopl Analysis'!H293*LN('Zoopl Analysis'!H293)))</f>
        <v/>
      </c>
      <c r="I293" s="36" t="str">
        <f>IF('Zoopl Count'!I293=0,"",('Zoopl Analysis'!I293*LN('Zoopl Analysis'!I293)))</f>
        <v/>
      </c>
      <c r="J293" s="36" t="str">
        <f>IF('Zoopl Count'!J293=0,"",('Zoopl Analysis'!J293*LN('Zoopl Analysis'!J293)))</f>
        <v/>
      </c>
      <c r="K293" s="36" t="str">
        <f>IF('Zoopl Count'!K293=0,"",('Zoopl Analysis'!K293*LN('Zoopl Analysis'!K293)))</f>
        <v/>
      </c>
      <c r="L293" s="36" t="str">
        <f>IF('Zoopl Count'!L293=0,"",('Zoopl Analysis'!L293*LN('Zoopl Analysis'!L293)))</f>
        <v/>
      </c>
      <c r="M293" s="36" t="str">
        <f>IF('Zoopl Count'!M293=0,"",('Zoopl Analysis'!M293*LN('Zoopl Analysis'!M293)))</f>
        <v/>
      </c>
      <c r="N293" s="36" t="str">
        <f>IF('Zoopl Count'!N293=0,"",('Zoopl Analysis'!N293*LN('Zoopl Analysis'!N293)))</f>
        <v/>
      </c>
      <c r="O293" s="36" t="str">
        <f>IF('Zoopl Count'!O293=0,"",('Zoopl Analysis'!O293*LN('Zoopl Analysis'!O293)))</f>
        <v/>
      </c>
      <c r="P293" s="36" t="str">
        <f>IF('Zoopl Count'!P293=0,"",('Zoopl Analysis'!P293*LN('Zoopl Analysis'!P293)))</f>
        <v/>
      </c>
    </row>
    <row r="294" spans="1:16">
      <c r="A294" s="184"/>
      <c r="B294" s="184"/>
      <c r="C294" s="184"/>
      <c r="D294" s="184"/>
      <c r="E294" s="183"/>
      <c r="F294" s="184" t="s">
        <v>285</v>
      </c>
      <c r="G294" s="36">
        <f>IF('Zoopl Count'!G294=0,"",('Zoopl Analysis'!G294*LN('Zoopl Analysis'!G294)))</f>
        <v>-0.26562315606499248</v>
      </c>
      <c r="H294" s="36" t="str">
        <f>IF('Zoopl Count'!H294=0,"",('Zoopl Analysis'!H294*LN('Zoopl Analysis'!H294)))</f>
        <v/>
      </c>
      <c r="I294" s="36">
        <f>IF('Zoopl Count'!I294=0,"",('Zoopl Analysis'!I294*LN('Zoopl Analysis'!I294)))</f>
        <v>-0.31913808749469075</v>
      </c>
      <c r="J294" s="36">
        <f>IF('Zoopl Count'!J294=0,"",('Zoopl Analysis'!J294*LN('Zoopl Analysis'!J294)))</f>
        <v>-0.26562315606499248</v>
      </c>
      <c r="K294" s="36">
        <f>IF('Zoopl Count'!K294=0,"",('Zoopl Analysis'!K294*LN('Zoopl Analysis'!K294)))</f>
        <v>-0.26562315606499248</v>
      </c>
      <c r="L294" s="36" t="str">
        <f>IF('Zoopl Count'!L294=0,"",('Zoopl Analysis'!L294*LN('Zoopl Analysis'!L294)))</f>
        <v/>
      </c>
      <c r="M294" s="36" t="str">
        <f>IF('Zoopl Count'!M294=0,"",('Zoopl Analysis'!M294*LN('Zoopl Analysis'!M294)))</f>
        <v/>
      </c>
      <c r="N294" s="36" t="str">
        <f>IF('Zoopl Count'!N294=0,"",('Zoopl Analysis'!N294*LN('Zoopl Analysis'!N294)))</f>
        <v/>
      </c>
      <c r="O294" s="36" t="str">
        <f>IF('Zoopl Count'!O294=0,"",('Zoopl Analysis'!O294*LN('Zoopl Analysis'!O294)))</f>
        <v/>
      </c>
      <c r="P294" s="36" t="str">
        <f>IF('Zoopl Count'!P294=0,"",('Zoopl Analysis'!P294*LN('Zoopl Analysis'!P294)))</f>
        <v/>
      </c>
    </row>
    <row r="295" spans="1:16">
      <c r="B295" s="8" t="s">
        <v>79</v>
      </c>
      <c r="C295" s="2" t="s">
        <v>418</v>
      </c>
      <c r="E295" s="8"/>
      <c r="F295" s="19"/>
      <c r="G295" s="36" t="str">
        <f>IF('Zoopl Count'!G295=0,"",('Zoopl Analysis'!G295*LN('Zoopl Analysis'!G295)))</f>
        <v/>
      </c>
      <c r="H295" s="36" t="str">
        <f>IF('Zoopl Count'!H295=0,"",('Zoopl Analysis'!H295*LN('Zoopl Analysis'!H295)))</f>
        <v/>
      </c>
      <c r="I295" s="36" t="str">
        <f>IF('Zoopl Count'!I295=0,"",('Zoopl Analysis'!I295*LN('Zoopl Analysis'!I295)))</f>
        <v/>
      </c>
      <c r="J295" s="36" t="str">
        <f>IF('Zoopl Count'!J295=0,"",('Zoopl Analysis'!J295*LN('Zoopl Analysis'!J295)))</f>
        <v/>
      </c>
      <c r="K295" s="36" t="str">
        <f>IF('Zoopl Count'!K295=0,"",('Zoopl Analysis'!K295*LN('Zoopl Analysis'!K295)))</f>
        <v/>
      </c>
      <c r="L295" s="36" t="str">
        <f>IF('Zoopl Count'!L295=0,"",('Zoopl Analysis'!L295*LN('Zoopl Analysis'!L295)))</f>
        <v/>
      </c>
      <c r="M295" s="36" t="str">
        <f>IF('Zoopl Count'!M295=0,"",('Zoopl Analysis'!M295*LN('Zoopl Analysis'!M295)))</f>
        <v/>
      </c>
      <c r="N295" s="36" t="str">
        <f>IF('Zoopl Count'!N295=0,"",('Zoopl Analysis'!N295*LN('Zoopl Analysis'!N295)))</f>
        <v/>
      </c>
      <c r="O295" s="36" t="str">
        <f>IF('Zoopl Count'!O295=0,"",('Zoopl Analysis'!O295*LN('Zoopl Analysis'!O295)))</f>
        <v/>
      </c>
      <c r="P295" s="36" t="str">
        <f>IF('Zoopl Count'!P295=0,"",('Zoopl Analysis'!P295*LN('Zoopl Analysis'!P295)))</f>
        <v/>
      </c>
    </row>
    <row r="296" spans="1:16">
      <c r="A296" s="59"/>
      <c r="B296" s="271" t="s">
        <v>14</v>
      </c>
      <c r="C296" s="271"/>
      <c r="D296" s="271"/>
      <c r="E296" s="271"/>
      <c r="F296" s="64" t="s">
        <v>394</v>
      </c>
      <c r="G296" s="36" t="str">
        <f>IF('Zoopl Count'!G296=0,"",('Zoopl Analysis'!G296*LN('Zoopl Analysis'!G296)))</f>
        <v/>
      </c>
      <c r="H296" s="36" t="str">
        <f>IF('Zoopl Count'!H296=0,"",('Zoopl Analysis'!H296*LN('Zoopl Analysis'!H296)))</f>
        <v/>
      </c>
      <c r="I296" s="36" t="str">
        <f>IF('Zoopl Count'!I296=0,"",('Zoopl Analysis'!I296*LN('Zoopl Analysis'!I296)))</f>
        <v/>
      </c>
      <c r="J296" s="36" t="str">
        <f>IF('Zoopl Count'!J296=0,"",('Zoopl Analysis'!J296*LN('Zoopl Analysis'!J296)))</f>
        <v/>
      </c>
      <c r="K296" s="36" t="str">
        <f>IF('Zoopl Count'!K296=0,"",('Zoopl Analysis'!K296*LN('Zoopl Analysis'!K296)))</f>
        <v/>
      </c>
      <c r="L296" s="36" t="str">
        <f>IF('Zoopl Count'!L296=0,"",('Zoopl Analysis'!L296*LN('Zoopl Analysis'!L296)))</f>
        <v/>
      </c>
      <c r="M296" s="36" t="str">
        <f>IF('Zoopl Count'!M296=0,"",('Zoopl Analysis'!M296*LN('Zoopl Analysis'!M296)))</f>
        <v/>
      </c>
      <c r="N296" s="36" t="str">
        <f>IF('Zoopl Count'!N296=0,"",('Zoopl Analysis'!N296*LN('Zoopl Analysis'!N296)))</f>
        <v/>
      </c>
      <c r="O296" s="36" t="str">
        <f>IF('Zoopl Count'!O296=0,"",('Zoopl Analysis'!O296*LN('Zoopl Analysis'!O296)))</f>
        <v/>
      </c>
      <c r="P296" s="36" t="str">
        <f>IF('Zoopl Count'!P296=0,"",('Zoopl Analysis'!P296*LN('Zoopl Analysis'!P296)))</f>
        <v/>
      </c>
    </row>
    <row r="297" spans="1:16">
      <c r="E297" s="8"/>
      <c r="F297" s="19"/>
      <c r="G297" s="36" t="str">
        <f>IF('Zoopl Count'!G297=0,"",('Zoopl Analysis'!G297*LN('Zoopl Analysis'!G297)))</f>
        <v/>
      </c>
      <c r="H297" s="36" t="str">
        <f>IF('Zoopl Count'!H297=0,"",('Zoopl Analysis'!H297*LN('Zoopl Analysis'!H297)))</f>
        <v/>
      </c>
      <c r="I297" s="36" t="str">
        <f>IF('Zoopl Count'!I297=0,"",('Zoopl Analysis'!I297*LN('Zoopl Analysis'!I297)))</f>
        <v/>
      </c>
      <c r="J297" s="36" t="str">
        <f>IF('Zoopl Count'!J297=0,"",('Zoopl Analysis'!J297*LN('Zoopl Analysis'!J297)))</f>
        <v/>
      </c>
      <c r="K297" s="36" t="str">
        <f>IF('Zoopl Count'!K297=0,"",('Zoopl Analysis'!K297*LN('Zoopl Analysis'!K297)))</f>
        <v/>
      </c>
      <c r="L297" s="36" t="str">
        <f>IF('Zoopl Count'!L297=0,"",('Zoopl Analysis'!L297*LN('Zoopl Analysis'!L297)))</f>
        <v/>
      </c>
      <c r="M297" s="36" t="str">
        <f>IF('Zoopl Count'!M297=0,"",('Zoopl Analysis'!M297*LN('Zoopl Analysis'!M297)))</f>
        <v/>
      </c>
      <c r="N297" s="36" t="str">
        <f>IF('Zoopl Count'!N297=0,"",('Zoopl Analysis'!N297*LN('Zoopl Analysis'!N297)))</f>
        <v/>
      </c>
      <c r="O297" s="36" t="str">
        <f>IF('Zoopl Count'!O297=0,"",('Zoopl Analysis'!O297*LN('Zoopl Analysis'!O297)))</f>
        <v/>
      </c>
      <c r="P297" s="36" t="str">
        <f>IF('Zoopl Count'!P297=0,"",('Zoopl Analysis'!P297*LN('Zoopl Analysis'!P297)))</f>
        <v/>
      </c>
    </row>
    <row r="298" spans="1:16">
      <c r="A298" s="8" t="s">
        <v>7</v>
      </c>
      <c r="B298" s="2" t="s">
        <v>122</v>
      </c>
      <c r="E298" s="8"/>
      <c r="F298" s="19"/>
      <c r="G298" s="36" t="str">
        <f>IF('Zoopl Count'!G298=0,"",('Zoopl Analysis'!G298*LN('Zoopl Analysis'!G298)))</f>
        <v/>
      </c>
      <c r="H298" s="36" t="str">
        <f>IF('Zoopl Count'!H298=0,"",('Zoopl Analysis'!H298*LN('Zoopl Analysis'!H298)))</f>
        <v/>
      </c>
      <c r="I298" s="36" t="str">
        <f>IF('Zoopl Count'!I298=0,"",('Zoopl Analysis'!I298*LN('Zoopl Analysis'!I298)))</f>
        <v/>
      </c>
      <c r="J298" s="36" t="str">
        <f>IF('Zoopl Count'!J298=0,"",('Zoopl Analysis'!J298*LN('Zoopl Analysis'!J298)))</f>
        <v/>
      </c>
      <c r="K298" s="36" t="str">
        <f>IF('Zoopl Count'!K298=0,"",('Zoopl Analysis'!K298*LN('Zoopl Analysis'!K298)))</f>
        <v/>
      </c>
      <c r="L298" s="36" t="str">
        <f>IF('Zoopl Count'!L298=0,"",('Zoopl Analysis'!L298*LN('Zoopl Analysis'!L298)))</f>
        <v/>
      </c>
      <c r="M298" s="36" t="str">
        <f>IF('Zoopl Count'!M298=0,"",('Zoopl Analysis'!M298*LN('Zoopl Analysis'!M298)))</f>
        <v/>
      </c>
      <c r="N298" s="36" t="str">
        <f>IF('Zoopl Count'!N298=0,"",('Zoopl Analysis'!N298*LN('Zoopl Analysis'!N298)))</f>
        <v/>
      </c>
      <c r="O298" s="36" t="str">
        <f>IF('Zoopl Count'!O298=0,"",('Zoopl Analysis'!O298*LN('Zoopl Analysis'!O298)))</f>
        <v/>
      </c>
      <c r="P298" s="36" t="str">
        <f>IF('Zoopl Count'!P298=0,"",('Zoopl Analysis'!P298*LN('Zoopl Analysis'!P298)))</f>
        <v/>
      </c>
    </row>
    <row r="299" spans="1:16">
      <c r="E299" s="8"/>
      <c r="F299" s="6" t="s">
        <v>123</v>
      </c>
      <c r="G299" s="36" t="str">
        <f>IF('Zoopl Count'!G299=0,"",('Zoopl Analysis'!G299*LN('Zoopl Analysis'!G299)))</f>
        <v/>
      </c>
      <c r="H299" s="36" t="str">
        <f>IF('Zoopl Count'!H299=0,"",('Zoopl Analysis'!H299*LN('Zoopl Analysis'!H299)))</f>
        <v/>
      </c>
      <c r="I299" s="36" t="str">
        <f>IF('Zoopl Count'!I299=0,"",('Zoopl Analysis'!I299*LN('Zoopl Analysis'!I299)))</f>
        <v/>
      </c>
      <c r="J299" s="36">
        <f>IF('Zoopl Count'!J299=0,"",('Zoopl Analysis'!J299*LN('Zoopl Analysis'!J299)))</f>
        <v>-0.35050162848493283</v>
      </c>
      <c r="K299" s="36" t="str">
        <f>IF('Zoopl Count'!K299=0,"",('Zoopl Analysis'!K299*LN('Zoopl Analysis'!K299)))</f>
        <v/>
      </c>
      <c r="L299" s="36" t="str">
        <f>IF('Zoopl Count'!L299=0,"",('Zoopl Analysis'!L299*LN('Zoopl Analysis'!L299)))</f>
        <v/>
      </c>
      <c r="M299" s="36" t="str">
        <f>IF('Zoopl Count'!M299=0,"",('Zoopl Analysis'!M299*LN('Zoopl Analysis'!M299)))</f>
        <v/>
      </c>
      <c r="N299" s="36" t="str">
        <f>IF('Zoopl Count'!N299=0,"",('Zoopl Analysis'!N299*LN('Zoopl Analysis'!N299)))</f>
        <v/>
      </c>
      <c r="O299" s="36" t="str">
        <f>IF('Zoopl Count'!O299=0,"",('Zoopl Analysis'!O299*LN('Zoopl Analysis'!O299)))</f>
        <v/>
      </c>
      <c r="P299" s="36" t="str">
        <f>IF('Zoopl Count'!P299=0,"",('Zoopl Analysis'!P299*LN('Zoopl Analysis'!P299)))</f>
        <v/>
      </c>
    </row>
    <row r="300" spans="1:16">
      <c r="E300" s="8"/>
      <c r="F300" s="19"/>
      <c r="G300" s="36" t="str">
        <f>IF('Zoopl Count'!G300=0,"",('Zoopl Analysis'!G300*LN('Zoopl Analysis'!G300)))</f>
        <v/>
      </c>
      <c r="H300" s="36" t="str">
        <f>IF('Zoopl Count'!H300=0,"",('Zoopl Analysis'!H300*LN('Zoopl Analysis'!H300)))</f>
        <v/>
      </c>
      <c r="I300" s="36" t="str">
        <f>IF('Zoopl Count'!I300=0,"",('Zoopl Analysis'!I300*LN('Zoopl Analysis'!I300)))</f>
        <v/>
      </c>
      <c r="J300" s="36" t="str">
        <f>IF('Zoopl Count'!J300=0,"",('Zoopl Analysis'!J300*LN('Zoopl Analysis'!J300)))</f>
        <v/>
      </c>
      <c r="K300" s="36" t="str">
        <f>IF('Zoopl Count'!K300=0,"",('Zoopl Analysis'!K300*LN('Zoopl Analysis'!K300)))</f>
        <v/>
      </c>
      <c r="L300" s="36" t="str">
        <f>IF('Zoopl Count'!L300=0,"",('Zoopl Analysis'!L300*LN('Zoopl Analysis'!L300)))</f>
        <v/>
      </c>
      <c r="M300" s="36" t="str">
        <f>IF('Zoopl Count'!M300=0,"",('Zoopl Analysis'!M300*LN('Zoopl Analysis'!M300)))</f>
        <v/>
      </c>
      <c r="N300" s="36" t="str">
        <f>IF('Zoopl Count'!N300=0,"",('Zoopl Analysis'!N300*LN('Zoopl Analysis'!N300)))</f>
        <v/>
      </c>
      <c r="O300" s="36" t="str">
        <f>IF('Zoopl Count'!O300=0,"",('Zoopl Analysis'!O300*LN('Zoopl Analysis'!O300)))</f>
        <v/>
      </c>
      <c r="P300" s="36" t="str">
        <f>IF('Zoopl Count'!P300=0,"",('Zoopl Analysis'!P300*LN('Zoopl Analysis'!P300)))</f>
        <v/>
      </c>
    </row>
    <row r="301" spans="1:16">
      <c r="A301" s="8" t="s">
        <v>7</v>
      </c>
      <c r="B301" s="2" t="s">
        <v>124</v>
      </c>
      <c r="E301" s="8"/>
      <c r="F301" s="19"/>
      <c r="G301" s="36" t="str">
        <f>IF('Zoopl Count'!G301=0,"",('Zoopl Analysis'!G301*LN('Zoopl Analysis'!G301)))</f>
        <v/>
      </c>
      <c r="H301" s="36" t="str">
        <f>IF('Zoopl Count'!H301=0,"",('Zoopl Analysis'!H301*LN('Zoopl Analysis'!H301)))</f>
        <v/>
      </c>
      <c r="I301" s="36" t="str">
        <f>IF('Zoopl Count'!I301=0,"",('Zoopl Analysis'!I301*LN('Zoopl Analysis'!I301)))</f>
        <v/>
      </c>
      <c r="J301" s="36" t="str">
        <f>IF('Zoopl Count'!J301=0,"",('Zoopl Analysis'!J301*LN('Zoopl Analysis'!J301)))</f>
        <v/>
      </c>
      <c r="K301" s="36" t="str">
        <f>IF('Zoopl Count'!K301=0,"",('Zoopl Analysis'!K301*LN('Zoopl Analysis'!K301)))</f>
        <v/>
      </c>
      <c r="L301" s="36" t="str">
        <f>IF('Zoopl Count'!L301=0,"",('Zoopl Analysis'!L301*LN('Zoopl Analysis'!L301)))</f>
        <v/>
      </c>
      <c r="M301" s="36" t="str">
        <f>IF('Zoopl Count'!M301=0,"",('Zoopl Analysis'!M301*LN('Zoopl Analysis'!M301)))</f>
        <v/>
      </c>
      <c r="N301" s="36" t="str">
        <f>IF('Zoopl Count'!N301=0,"",('Zoopl Analysis'!N301*LN('Zoopl Analysis'!N301)))</f>
        <v/>
      </c>
      <c r="O301" s="36" t="str">
        <f>IF('Zoopl Count'!O301=0,"",('Zoopl Analysis'!O301*LN('Zoopl Analysis'!O301)))</f>
        <v/>
      </c>
      <c r="P301" s="36" t="str">
        <f>IF('Zoopl Count'!P301=0,"",('Zoopl Analysis'!P301*LN('Zoopl Analysis'!P301)))</f>
        <v/>
      </c>
    </row>
    <row r="302" spans="1:16">
      <c r="E302" s="8"/>
      <c r="F302" s="6" t="s">
        <v>125</v>
      </c>
      <c r="G302" s="36" t="str">
        <f>IF('Zoopl Count'!G302=0,"",('Zoopl Analysis'!G302*LN('Zoopl Analysis'!G302)))</f>
        <v/>
      </c>
      <c r="H302" s="36" t="str">
        <f>IF('Zoopl Count'!H302=0,"",('Zoopl Analysis'!H302*LN('Zoopl Analysis'!H302)))</f>
        <v/>
      </c>
      <c r="I302" s="36" t="str">
        <f>IF('Zoopl Count'!I302=0,"",('Zoopl Analysis'!I302*LN('Zoopl Analysis'!I302)))</f>
        <v/>
      </c>
      <c r="J302" s="36" t="str">
        <f>IF('Zoopl Count'!J302=0,"",('Zoopl Analysis'!J302*LN('Zoopl Analysis'!J302)))</f>
        <v/>
      </c>
      <c r="K302" s="36" t="str">
        <f>IF('Zoopl Count'!K302=0,"",('Zoopl Analysis'!K302*LN('Zoopl Analysis'!K302)))</f>
        <v/>
      </c>
      <c r="L302" s="36" t="str">
        <f>IF('Zoopl Count'!L302=0,"",('Zoopl Analysis'!L302*LN('Zoopl Analysis'!L302)))</f>
        <v/>
      </c>
      <c r="M302" s="36" t="str">
        <f>IF('Zoopl Count'!M302=0,"",('Zoopl Analysis'!M302*LN('Zoopl Analysis'!M302)))</f>
        <v/>
      </c>
      <c r="N302" s="36" t="str">
        <f>IF('Zoopl Count'!N302=0,"",('Zoopl Analysis'!N302*LN('Zoopl Analysis'!N302)))</f>
        <v/>
      </c>
      <c r="O302" s="36" t="str">
        <f>IF('Zoopl Count'!O302=0,"",('Zoopl Analysis'!O302*LN('Zoopl Analysis'!O302)))</f>
        <v/>
      </c>
      <c r="P302" s="36" t="str">
        <f>IF('Zoopl Count'!P302=0,"",('Zoopl Analysis'!P302*LN('Zoopl Analysis'!P302)))</f>
        <v/>
      </c>
    </row>
    <row r="303" spans="1:16">
      <c r="E303" s="8"/>
      <c r="G303" s="36" t="str">
        <f>IF('Zoopl Count'!G303=0,"",('Zoopl Analysis'!G303*LN('Zoopl Analysis'!G303)))</f>
        <v/>
      </c>
      <c r="H303" s="36" t="str">
        <f>IF('Zoopl Count'!H303=0,"",('Zoopl Analysis'!H303*LN('Zoopl Analysis'!H303)))</f>
        <v/>
      </c>
      <c r="I303" s="36" t="str">
        <f>IF('Zoopl Count'!I303=0,"",('Zoopl Analysis'!I303*LN('Zoopl Analysis'!I303)))</f>
        <v/>
      </c>
      <c r="J303" s="36" t="str">
        <f>IF('Zoopl Count'!J303=0,"",('Zoopl Analysis'!J303*LN('Zoopl Analysis'!J303)))</f>
        <v/>
      </c>
      <c r="K303" s="36" t="str">
        <f>IF('Zoopl Count'!K303=0,"",('Zoopl Analysis'!K303*LN('Zoopl Analysis'!K303)))</f>
        <v/>
      </c>
      <c r="L303" s="36" t="str">
        <f>IF('Zoopl Count'!L303=0,"",('Zoopl Analysis'!L303*LN('Zoopl Analysis'!L303)))</f>
        <v/>
      </c>
      <c r="M303" s="36" t="str">
        <f>IF('Zoopl Count'!M303=0,"",('Zoopl Analysis'!M303*LN('Zoopl Analysis'!M303)))</f>
        <v/>
      </c>
      <c r="N303" s="36" t="str">
        <f>IF('Zoopl Count'!N303=0,"",('Zoopl Analysis'!N303*LN('Zoopl Analysis'!N303)))</f>
        <v/>
      </c>
      <c r="O303" s="36" t="str">
        <f>IF('Zoopl Count'!O303=0,"",('Zoopl Analysis'!O303*LN('Zoopl Analysis'!O303)))</f>
        <v/>
      </c>
      <c r="P303" s="36" t="str">
        <f>IF('Zoopl Count'!P303=0,"",('Zoopl Analysis'!P303*LN('Zoopl Analysis'!P303)))</f>
        <v/>
      </c>
    </row>
    <row r="304" spans="1:16">
      <c r="A304" s="8" t="s">
        <v>7</v>
      </c>
      <c r="B304" s="2" t="s">
        <v>48</v>
      </c>
      <c r="G304" s="36" t="str">
        <f>IF('Zoopl Count'!G304=0,"",('Zoopl Analysis'!G304*LN('Zoopl Analysis'!G304)))</f>
        <v/>
      </c>
      <c r="H304" s="36" t="str">
        <f>IF('Zoopl Count'!H304=0,"",('Zoopl Analysis'!H304*LN('Zoopl Analysis'!H304)))</f>
        <v/>
      </c>
      <c r="I304" s="36" t="str">
        <f>IF('Zoopl Count'!I304=0,"",('Zoopl Analysis'!I304*LN('Zoopl Analysis'!I304)))</f>
        <v/>
      </c>
      <c r="J304" s="36" t="str">
        <f>IF('Zoopl Count'!J304=0,"",('Zoopl Analysis'!J304*LN('Zoopl Analysis'!J304)))</f>
        <v/>
      </c>
      <c r="K304" s="36" t="str">
        <f>IF('Zoopl Count'!K304=0,"",('Zoopl Analysis'!K304*LN('Zoopl Analysis'!K304)))</f>
        <v/>
      </c>
      <c r="L304" s="36" t="str">
        <f>IF('Zoopl Count'!L304=0,"",('Zoopl Analysis'!L304*LN('Zoopl Analysis'!L304)))</f>
        <v/>
      </c>
      <c r="M304" s="36" t="str">
        <f>IF('Zoopl Count'!M304=0,"",('Zoopl Analysis'!M304*LN('Zoopl Analysis'!M304)))</f>
        <v/>
      </c>
      <c r="N304" s="36" t="str">
        <f>IF('Zoopl Count'!N304=0,"",('Zoopl Analysis'!N304*LN('Zoopl Analysis'!N304)))</f>
        <v/>
      </c>
      <c r="O304" s="36" t="str">
        <f>IF('Zoopl Count'!O304=0,"",('Zoopl Analysis'!O304*LN('Zoopl Analysis'!O304)))</f>
        <v/>
      </c>
      <c r="P304" s="36" t="str">
        <f>IF('Zoopl Count'!P304=0,"",('Zoopl Analysis'!P304*LN('Zoopl Analysis'!P304)))</f>
        <v/>
      </c>
    </row>
    <row r="305" spans="1:16">
      <c r="A305" s="8"/>
      <c r="B305" s="8" t="s">
        <v>79</v>
      </c>
      <c r="C305" s="2" t="s">
        <v>178</v>
      </c>
      <c r="D305" s="2"/>
      <c r="E305" s="2"/>
      <c r="F305" s="2"/>
      <c r="G305" s="36" t="str">
        <f>IF('Zoopl Count'!G305=0,"",('Zoopl Analysis'!G305*LN('Zoopl Analysis'!G305)))</f>
        <v/>
      </c>
      <c r="H305" s="36" t="str">
        <f>IF('Zoopl Count'!H305=0,"",('Zoopl Analysis'!H305*LN('Zoopl Analysis'!H305)))</f>
        <v/>
      </c>
      <c r="I305" s="36" t="str">
        <f>IF('Zoopl Count'!I305=0,"",('Zoopl Analysis'!I305*LN('Zoopl Analysis'!I305)))</f>
        <v/>
      </c>
      <c r="J305" s="36" t="str">
        <f>IF('Zoopl Count'!J305=0,"",('Zoopl Analysis'!J305*LN('Zoopl Analysis'!J305)))</f>
        <v/>
      </c>
      <c r="K305" s="36" t="str">
        <f>IF('Zoopl Count'!K305=0,"",('Zoopl Analysis'!K305*LN('Zoopl Analysis'!K305)))</f>
        <v/>
      </c>
      <c r="L305" s="36" t="str">
        <f>IF('Zoopl Count'!L305=0,"",('Zoopl Analysis'!L305*LN('Zoopl Analysis'!L305)))</f>
        <v/>
      </c>
      <c r="M305" s="36" t="str">
        <f>IF('Zoopl Count'!M305=0,"",('Zoopl Analysis'!M305*LN('Zoopl Analysis'!M305)))</f>
        <v/>
      </c>
      <c r="N305" s="36" t="str">
        <f>IF('Zoopl Count'!N305=0,"",('Zoopl Analysis'!N305*LN('Zoopl Analysis'!N305)))</f>
        <v/>
      </c>
      <c r="O305" s="36" t="str">
        <f>IF('Zoopl Count'!O305=0,"",('Zoopl Analysis'!O305*LN('Zoopl Analysis'!O305)))</f>
        <v/>
      </c>
      <c r="P305" s="36" t="str">
        <f>IF('Zoopl Count'!P305=0,"",('Zoopl Analysis'!P305*LN('Zoopl Analysis'!P305)))</f>
        <v/>
      </c>
    </row>
    <row r="306" spans="1:16">
      <c r="C306" s="8" t="s">
        <v>10</v>
      </c>
      <c r="D306" s="2" t="s">
        <v>49</v>
      </c>
      <c r="G306" s="36" t="str">
        <f>IF('Zoopl Count'!G306=0,"",('Zoopl Analysis'!G306*LN('Zoopl Analysis'!G306)))</f>
        <v/>
      </c>
      <c r="H306" s="36" t="str">
        <f>IF('Zoopl Count'!H306=0,"",('Zoopl Analysis'!H306*LN('Zoopl Analysis'!H306)))</f>
        <v/>
      </c>
      <c r="I306" s="36" t="str">
        <f>IF('Zoopl Count'!I306=0,"",('Zoopl Analysis'!I306*LN('Zoopl Analysis'!I306)))</f>
        <v/>
      </c>
      <c r="J306" s="36" t="str">
        <f>IF('Zoopl Count'!J306=0,"",('Zoopl Analysis'!J306*LN('Zoopl Analysis'!J306)))</f>
        <v/>
      </c>
      <c r="K306" s="36" t="str">
        <f>IF('Zoopl Count'!K306=0,"",('Zoopl Analysis'!K306*LN('Zoopl Analysis'!K306)))</f>
        <v/>
      </c>
      <c r="L306" s="36" t="str">
        <f>IF('Zoopl Count'!L306=0,"",('Zoopl Analysis'!L306*LN('Zoopl Analysis'!L306)))</f>
        <v/>
      </c>
      <c r="M306" s="36" t="str">
        <f>IF('Zoopl Count'!M306=0,"",('Zoopl Analysis'!M306*LN('Zoopl Analysis'!M306)))</f>
        <v/>
      </c>
      <c r="N306" s="36" t="str">
        <f>IF('Zoopl Count'!N306=0,"",('Zoopl Analysis'!N306*LN('Zoopl Analysis'!N306)))</f>
        <v/>
      </c>
      <c r="O306" s="36" t="str">
        <f>IF('Zoopl Count'!O306=0,"",('Zoopl Analysis'!O306*LN('Zoopl Analysis'!O306)))</f>
        <v/>
      </c>
      <c r="P306" s="36" t="str">
        <f>IF('Zoopl Count'!P306=0,"",('Zoopl Analysis'!P306*LN('Zoopl Analysis'!P306)))</f>
        <v/>
      </c>
    </row>
    <row r="307" spans="1:16">
      <c r="D307" s="8" t="s">
        <v>12</v>
      </c>
      <c r="E307" s="6" t="s">
        <v>50</v>
      </c>
      <c r="G307" s="36" t="str">
        <f>IF('Zoopl Count'!G307=0,"",('Zoopl Analysis'!G307*LN('Zoopl Analysis'!G307)))</f>
        <v/>
      </c>
      <c r="H307" s="36" t="str">
        <f>IF('Zoopl Count'!H307=0,"",('Zoopl Analysis'!H307*LN('Zoopl Analysis'!H307)))</f>
        <v/>
      </c>
      <c r="I307" s="36" t="str">
        <f>IF('Zoopl Count'!I307=0,"",('Zoopl Analysis'!I307*LN('Zoopl Analysis'!I307)))</f>
        <v/>
      </c>
      <c r="J307" s="36" t="str">
        <f>IF('Zoopl Count'!J307=0,"",('Zoopl Analysis'!J307*LN('Zoopl Analysis'!J307)))</f>
        <v/>
      </c>
      <c r="K307" s="36" t="str">
        <f>IF('Zoopl Count'!K307=0,"",('Zoopl Analysis'!K307*LN('Zoopl Analysis'!K307)))</f>
        <v/>
      </c>
      <c r="L307" s="36" t="str">
        <f>IF('Zoopl Count'!L307=0,"",('Zoopl Analysis'!L307*LN('Zoopl Analysis'!L307)))</f>
        <v/>
      </c>
      <c r="M307" s="36" t="str">
        <f>IF('Zoopl Count'!M307=0,"",('Zoopl Analysis'!M307*LN('Zoopl Analysis'!M307)))</f>
        <v/>
      </c>
      <c r="N307" s="36" t="str">
        <f>IF('Zoopl Count'!N307=0,"",('Zoopl Analysis'!N307*LN('Zoopl Analysis'!N307)))</f>
        <v/>
      </c>
      <c r="O307" s="36" t="str">
        <f>IF('Zoopl Count'!O307=0,"",('Zoopl Analysis'!O307*LN('Zoopl Analysis'!O307)))</f>
        <v/>
      </c>
      <c r="P307" s="36" t="str">
        <f>IF('Zoopl Count'!P307=0,"",('Zoopl Analysis'!P307*LN('Zoopl Analysis'!P307)))</f>
        <v/>
      </c>
    </row>
    <row r="308" spans="1:16">
      <c r="E308" s="8" t="s">
        <v>14</v>
      </c>
      <c r="F308" s="19" t="s">
        <v>51</v>
      </c>
      <c r="G308" s="36" t="str">
        <f>IF('Zoopl Count'!G308=0,"",('Zoopl Analysis'!G308*LN('Zoopl Analysis'!G308)))</f>
        <v/>
      </c>
      <c r="H308" s="36" t="str">
        <f>IF('Zoopl Count'!H308=0,"",('Zoopl Analysis'!H308*LN('Zoopl Analysis'!H308)))</f>
        <v/>
      </c>
      <c r="I308" s="36" t="str">
        <f>IF('Zoopl Count'!I308=0,"",('Zoopl Analysis'!I308*LN('Zoopl Analysis'!I308)))</f>
        <v/>
      </c>
      <c r="J308" s="36" t="str">
        <f>IF('Zoopl Count'!J308=0,"",('Zoopl Analysis'!J308*LN('Zoopl Analysis'!J308)))</f>
        <v/>
      </c>
      <c r="K308" s="36" t="str">
        <f>IF('Zoopl Count'!K308=0,"",('Zoopl Analysis'!K308*LN('Zoopl Analysis'!K308)))</f>
        <v/>
      </c>
      <c r="L308" s="36" t="str">
        <f>IF('Zoopl Count'!L308=0,"",('Zoopl Analysis'!L308*LN('Zoopl Analysis'!L308)))</f>
        <v/>
      </c>
      <c r="M308" s="36" t="str">
        <f>IF('Zoopl Count'!M308=0,"",('Zoopl Analysis'!M308*LN('Zoopl Analysis'!M308)))</f>
        <v/>
      </c>
      <c r="N308" s="36" t="str">
        <f>IF('Zoopl Count'!N308=0,"",('Zoopl Analysis'!N308*LN('Zoopl Analysis'!N308)))</f>
        <v/>
      </c>
      <c r="O308" s="36" t="str">
        <f>IF('Zoopl Count'!O308=0,"",('Zoopl Analysis'!O308*LN('Zoopl Analysis'!O308)))</f>
        <v/>
      </c>
      <c r="P308" s="36" t="str">
        <f>IF('Zoopl Count'!P308=0,"",('Zoopl Analysis'!P308*LN('Zoopl Analysis'!P308)))</f>
        <v/>
      </c>
    </row>
    <row r="309" spans="1:16">
      <c r="F309" s="19" t="s">
        <v>52</v>
      </c>
      <c r="G309" s="36">
        <f>IF('Zoopl Count'!G309=0,"",('Zoopl Analysis'!G309*LN('Zoopl Analysis'!G309)))</f>
        <v>-0.33951388967976126</v>
      </c>
      <c r="H309" s="36">
        <f>IF('Zoopl Count'!H309=0,"",('Zoopl Analysis'!H309*LN('Zoopl Analysis'!H309)))</f>
        <v>-0.26562315606499248</v>
      </c>
      <c r="I309" s="36">
        <f>IF('Zoopl Count'!I309=0,"",('Zoopl Analysis'!I309*LN('Zoopl Analysis'!I309)))</f>
        <v>-0.31913808749469075</v>
      </c>
      <c r="J309" s="36">
        <f>IF('Zoopl Count'!J309=0,"",('Zoopl Analysis'!J309*LN('Zoopl Analysis'!J309)))</f>
        <v>-0.33951388967976126</v>
      </c>
      <c r="K309" s="36">
        <f>IF('Zoopl Count'!K309=0,"",('Zoopl Analysis'!K309*LN('Zoopl Analysis'!K309)))</f>
        <v>0.7002996056534132</v>
      </c>
      <c r="L309" s="36" t="str">
        <f>IF('Zoopl Count'!L309=0,"",('Zoopl Analysis'!L309*LN('Zoopl Analysis'!L309)))</f>
        <v/>
      </c>
      <c r="M309" s="36">
        <f>IF('Zoopl Count'!M309=0,"",('Zoopl Analysis'!M309*LN('Zoopl Analysis'!M309)))</f>
        <v>-0.35050162848493283</v>
      </c>
      <c r="N309" s="36" t="str">
        <f>IF('Zoopl Count'!N309=0,"",('Zoopl Analysis'!N309*LN('Zoopl Analysis'!N309)))</f>
        <v/>
      </c>
      <c r="O309" s="36" t="str">
        <f>IF('Zoopl Count'!O309=0,"",('Zoopl Analysis'!O309*LN('Zoopl Analysis'!O309)))</f>
        <v/>
      </c>
      <c r="P309" s="36" t="str">
        <f>IF('Zoopl Count'!P309=0,"",('Zoopl Analysis'!P309*LN('Zoopl Analysis'!P309)))</f>
        <v/>
      </c>
    </row>
    <row r="310" spans="1:16">
      <c r="F310" s="19" t="s">
        <v>53</v>
      </c>
      <c r="G310" s="36">
        <f>IF('Zoopl Count'!G310=0,"",('Zoopl Analysis'!G310*LN('Zoopl Analysis'!G310)))</f>
        <v>-0.19208424810844993</v>
      </c>
      <c r="H310" s="36">
        <f>IF('Zoopl Count'!H310=0,"",('Zoopl Analysis'!H310*LN('Zoopl Analysis'!H310)))</f>
        <v>-0.36539354602257773</v>
      </c>
      <c r="I310" s="36">
        <f>IF('Zoopl Count'!I310=0,"",('Zoopl Analysis'!I310*LN('Zoopl Analysis'!I310)))</f>
        <v>-0.36715914952180329</v>
      </c>
      <c r="J310" s="36">
        <f>IF('Zoopl Count'!J310=0,"",('Zoopl Analysis'!J310*LN('Zoopl Analysis'!J310)))</f>
        <v>0.34587265236021114</v>
      </c>
      <c r="K310" s="36">
        <f>IF('Zoopl Count'!K310=0,"",('Zoopl Analysis'!K310*LN('Zoopl Analysis'!K310)))</f>
        <v>0.7002996056534132</v>
      </c>
      <c r="L310" s="36">
        <f>IF('Zoopl Count'!L310=0,"",('Zoopl Analysis'!L310*LN('Zoopl Analysis'!L310)))</f>
        <v>4.3950955220686219E-2</v>
      </c>
      <c r="M310" s="36">
        <f>IF('Zoopl Count'!M310=0,"",('Zoopl Analysis'!M310*LN('Zoopl Analysis'!M310)))</f>
        <v>-0.36715914952180329</v>
      </c>
      <c r="N310" s="36">
        <f>IF('Zoopl Count'!N310=0,"",('Zoopl Analysis'!N310*LN('Zoopl Analysis'!N310)))</f>
        <v>0.6073079787973662</v>
      </c>
      <c r="O310" s="36">
        <f>IF('Zoopl Count'!O310=0,"",('Zoopl Analysis'!O310*LN('Zoopl Analysis'!O310)))</f>
        <v>3.569535415047453</v>
      </c>
      <c r="P310" s="36">
        <f>IF('Zoopl Count'!P310=0,"",('Zoopl Analysis'!P310*LN('Zoopl Analysis'!P310)))</f>
        <v>-0.35050162848493283</v>
      </c>
    </row>
    <row r="311" spans="1:16">
      <c r="F311" s="19"/>
      <c r="G311" s="36" t="str">
        <f>IF('Zoopl Count'!G311=0,"",('Zoopl Analysis'!G311*LN('Zoopl Analysis'!G311)))</f>
        <v/>
      </c>
      <c r="H311" s="36" t="str">
        <f>IF('Zoopl Count'!H311=0,"",('Zoopl Analysis'!H311*LN('Zoopl Analysis'!H311)))</f>
        <v/>
      </c>
      <c r="I311" s="36" t="str">
        <f>IF('Zoopl Count'!I311=0,"",('Zoopl Analysis'!I311*LN('Zoopl Analysis'!I311)))</f>
        <v/>
      </c>
      <c r="J311" s="36" t="str">
        <f>IF('Zoopl Count'!J311=0,"",('Zoopl Analysis'!J311*LN('Zoopl Analysis'!J311)))</f>
        <v/>
      </c>
      <c r="K311" s="36" t="str">
        <f>IF('Zoopl Count'!K311=0,"",('Zoopl Analysis'!K311*LN('Zoopl Analysis'!K311)))</f>
        <v/>
      </c>
      <c r="L311" s="36" t="str">
        <f>IF('Zoopl Count'!L311=0,"",('Zoopl Analysis'!L311*LN('Zoopl Analysis'!L311)))</f>
        <v/>
      </c>
      <c r="M311" s="36" t="str">
        <f>IF('Zoopl Count'!M311=0,"",('Zoopl Analysis'!M311*LN('Zoopl Analysis'!M311)))</f>
        <v/>
      </c>
      <c r="N311" s="36" t="str">
        <f>IF('Zoopl Count'!N311=0,"",('Zoopl Analysis'!N311*LN('Zoopl Analysis'!N311)))</f>
        <v/>
      </c>
      <c r="O311" s="36" t="str">
        <f>IF('Zoopl Count'!O311=0,"",('Zoopl Analysis'!O311*LN('Zoopl Analysis'!O311)))</f>
        <v/>
      </c>
      <c r="P311" s="36" t="str">
        <f>IF('Zoopl Count'!P311=0,"",('Zoopl Analysis'!P311*LN('Zoopl Analysis'!P311)))</f>
        <v/>
      </c>
    </row>
    <row r="312" spans="1:16">
      <c r="A312" s="8" t="s">
        <v>7</v>
      </c>
      <c r="B312" s="2" t="s">
        <v>126</v>
      </c>
      <c r="E312" s="8"/>
      <c r="G312" s="36" t="str">
        <f>IF('Zoopl Count'!G312=0,"",('Zoopl Analysis'!G312*LN('Zoopl Analysis'!G312)))</f>
        <v/>
      </c>
      <c r="H312" s="36" t="str">
        <f>IF('Zoopl Count'!H312=0,"",('Zoopl Analysis'!H312*LN('Zoopl Analysis'!H312)))</f>
        <v/>
      </c>
      <c r="I312" s="36" t="str">
        <f>IF('Zoopl Count'!I312=0,"",('Zoopl Analysis'!I312*LN('Zoopl Analysis'!I312)))</f>
        <v/>
      </c>
      <c r="J312" s="36" t="str">
        <f>IF('Zoopl Count'!J312=0,"",('Zoopl Analysis'!J312*LN('Zoopl Analysis'!J312)))</f>
        <v/>
      </c>
      <c r="K312" s="36" t="str">
        <f>IF('Zoopl Count'!K312=0,"",('Zoopl Analysis'!K312*LN('Zoopl Analysis'!K312)))</f>
        <v/>
      </c>
      <c r="L312" s="36" t="str">
        <f>IF('Zoopl Count'!L312=0,"",('Zoopl Analysis'!L312*LN('Zoopl Analysis'!L312)))</f>
        <v/>
      </c>
      <c r="M312" s="36" t="str">
        <f>IF('Zoopl Count'!M312=0,"",('Zoopl Analysis'!M312*LN('Zoopl Analysis'!M312)))</f>
        <v/>
      </c>
      <c r="N312" s="36" t="str">
        <f>IF('Zoopl Count'!N312=0,"",('Zoopl Analysis'!N312*LN('Zoopl Analysis'!N312)))</f>
        <v/>
      </c>
      <c r="O312" s="36" t="str">
        <f>IF('Zoopl Count'!O312=0,"",('Zoopl Analysis'!O312*LN('Zoopl Analysis'!O312)))</f>
        <v/>
      </c>
      <c r="P312" s="36" t="str">
        <f>IF('Zoopl Count'!P312=0,"",('Zoopl Analysis'!P312*LN('Zoopl Analysis'!P312)))</f>
        <v/>
      </c>
    </row>
    <row r="313" spans="1:16">
      <c r="E313" s="8"/>
      <c r="F313" s="193" t="s">
        <v>128</v>
      </c>
      <c r="G313" s="36" t="str">
        <f>IF('Zoopl Count'!G313=0,"",('Zoopl Analysis'!G313*LN('Zoopl Analysis'!G313)))</f>
        <v/>
      </c>
      <c r="H313" s="36" t="str">
        <f>IF('Zoopl Count'!H313=0,"",('Zoopl Analysis'!H313*LN('Zoopl Analysis'!H313)))</f>
        <v/>
      </c>
      <c r="I313" s="36" t="str">
        <f>IF('Zoopl Count'!I313=0,"",('Zoopl Analysis'!I313*LN('Zoopl Analysis'!I313)))</f>
        <v/>
      </c>
      <c r="J313" s="36" t="str">
        <f>IF('Zoopl Count'!J313=0,"",('Zoopl Analysis'!J313*LN('Zoopl Analysis'!J313)))</f>
        <v/>
      </c>
      <c r="K313" s="36" t="str">
        <f>IF('Zoopl Count'!K313=0,"",('Zoopl Analysis'!K313*LN('Zoopl Analysis'!K313)))</f>
        <v/>
      </c>
      <c r="L313" s="36" t="str">
        <f>IF('Zoopl Count'!L313=0,"",('Zoopl Analysis'!L313*LN('Zoopl Analysis'!L313)))</f>
        <v/>
      </c>
      <c r="M313" s="36" t="str">
        <f>IF('Zoopl Count'!M313=0,"",('Zoopl Analysis'!M313*LN('Zoopl Analysis'!M313)))</f>
        <v/>
      </c>
      <c r="N313" s="36" t="str">
        <f>IF('Zoopl Count'!N313=0,"",('Zoopl Analysis'!N313*LN('Zoopl Analysis'!N313)))</f>
        <v/>
      </c>
      <c r="O313" s="36" t="str">
        <f>IF('Zoopl Count'!O313=0,"",('Zoopl Analysis'!O313*LN('Zoopl Analysis'!O313)))</f>
        <v/>
      </c>
      <c r="P313" s="36" t="str">
        <f>IF('Zoopl Count'!P313=0,"",('Zoopl Analysis'!P313*LN('Zoopl Analysis'!P313)))</f>
        <v/>
      </c>
    </row>
    <row r="314" spans="1:16">
      <c r="E314" s="8"/>
      <c r="F314" s="203" t="s">
        <v>298</v>
      </c>
      <c r="G314" s="36" t="str">
        <f>IF('Zoopl Count'!G314=0,"",('Zoopl Analysis'!G314*LN('Zoopl Analysis'!G314)))</f>
        <v/>
      </c>
      <c r="H314" s="36" t="str">
        <f>IF('Zoopl Count'!H314=0,"",('Zoopl Analysis'!H314*LN('Zoopl Analysis'!H314)))</f>
        <v/>
      </c>
      <c r="I314" s="36" t="str">
        <f>IF('Zoopl Count'!I314=0,"",('Zoopl Analysis'!I314*LN('Zoopl Analysis'!I314)))</f>
        <v/>
      </c>
      <c r="J314" s="36" t="str">
        <f>IF('Zoopl Count'!J314=0,"",('Zoopl Analysis'!J314*LN('Zoopl Analysis'!J314)))</f>
        <v/>
      </c>
      <c r="K314" s="36" t="str">
        <f>IF('Zoopl Count'!K314=0,"",('Zoopl Analysis'!K314*LN('Zoopl Analysis'!K314)))</f>
        <v/>
      </c>
      <c r="L314" s="36" t="str">
        <f>IF('Zoopl Count'!L314=0,"",('Zoopl Analysis'!L314*LN('Zoopl Analysis'!L314)))</f>
        <v/>
      </c>
      <c r="M314" s="36" t="str">
        <f>IF('Zoopl Count'!M314=0,"",('Zoopl Analysis'!M314*LN('Zoopl Analysis'!M314)))</f>
        <v/>
      </c>
      <c r="N314" s="36" t="str">
        <f>IF('Zoopl Count'!N314=0,"",('Zoopl Analysis'!N314*LN('Zoopl Analysis'!N314)))</f>
        <v/>
      </c>
      <c r="O314" s="36" t="str">
        <f>IF('Zoopl Count'!O314=0,"",('Zoopl Analysis'!O314*LN('Zoopl Analysis'!O314)))</f>
        <v/>
      </c>
      <c r="P314" s="36" t="str">
        <f>IF('Zoopl Count'!P314=0,"",('Zoopl Analysis'!P314*LN('Zoopl Analysis'!P314)))</f>
        <v/>
      </c>
    </row>
    <row r="315" spans="1:16">
      <c r="E315" s="8"/>
      <c r="F315" s="193" t="s">
        <v>127</v>
      </c>
      <c r="G315" s="36" t="str">
        <f>IF('Zoopl Count'!G315=0,"",('Zoopl Analysis'!G315*LN('Zoopl Analysis'!G315)))</f>
        <v/>
      </c>
      <c r="H315" s="36" t="str">
        <f>IF('Zoopl Count'!H315=0,"",('Zoopl Analysis'!H315*LN('Zoopl Analysis'!H315)))</f>
        <v/>
      </c>
      <c r="I315" s="36" t="str">
        <f>IF('Zoopl Count'!I315=0,"",('Zoopl Analysis'!I315*LN('Zoopl Analysis'!I315)))</f>
        <v/>
      </c>
      <c r="J315" s="36" t="str">
        <f>IF('Zoopl Count'!J315=0,"",('Zoopl Analysis'!J315*LN('Zoopl Analysis'!J315)))</f>
        <v/>
      </c>
      <c r="K315" s="36" t="str">
        <f>IF('Zoopl Count'!K315=0,"",('Zoopl Analysis'!K315*LN('Zoopl Analysis'!K315)))</f>
        <v/>
      </c>
      <c r="L315" s="36" t="str">
        <f>IF('Zoopl Count'!L315=0,"",('Zoopl Analysis'!L315*LN('Zoopl Analysis'!L315)))</f>
        <v/>
      </c>
      <c r="M315" s="36" t="str">
        <f>IF('Zoopl Count'!M315=0,"",('Zoopl Analysis'!M315*LN('Zoopl Analysis'!M315)))</f>
        <v/>
      </c>
      <c r="N315" s="36" t="str">
        <f>IF('Zoopl Count'!N315=0,"",('Zoopl Analysis'!N315*LN('Zoopl Analysis'!N315)))</f>
        <v/>
      </c>
      <c r="O315" s="36" t="str">
        <f>IF('Zoopl Count'!O315=0,"",('Zoopl Analysis'!O315*LN('Zoopl Analysis'!O315)))</f>
        <v/>
      </c>
      <c r="P315" s="36" t="str">
        <f>IF('Zoopl Count'!P315=0,"",('Zoopl Analysis'!P315*LN('Zoopl Analysis'!P315)))</f>
        <v/>
      </c>
    </row>
    <row r="316" spans="1:16">
      <c r="E316" s="8"/>
      <c r="F316" s="42" t="s">
        <v>185</v>
      </c>
      <c r="G316" s="36" t="str">
        <f>IF('Zoopl Count'!G316=0,"",('Zoopl Analysis'!G316*LN('Zoopl Analysis'!G316)))</f>
        <v/>
      </c>
      <c r="H316" s="36" t="str">
        <f>IF('Zoopl Count'!H316=0,"",('Zoopl Analysis'!H316*LN('Zoopl Analysis'!H316)))</f>
        <v/>
      </c>
      <c r="I316" s="36">
        <f>IF('Zoopl Count'!I316=0,"",('Zoopl Analysis'!I316*LN('Zoopl Analysis'!I316)))</f>
        <v>-0.11159195992751118</v>
      </c>
      <c r="J316" s="36" t="str">
        <f>IF('Zoopl Count'!J316=0,"",('Zoopl Analysis'!J316*LN('Zoopl Analysis'!J316)))</f>
        <v/>
      </c>
      <c r="K316" s="36" t="str">
        <f>IF('Zoopl Count'!K316=0,"",('Zoopl Analysis'!K316*LN('Zoopl Analysis'!K316)))</f>
        <v/>
      </c>
      <c r="L316" s="36" t="str">
        <f>IF('Zoopl Count'!L316=0,"",('Zoopl Analysis'!L316*LN('Zoopl Analysis'!L316)))</f>
        <v/>
      </c>
      <c r="M316" s="36" t="str">
        <f>IF('Zoopl Count'!M316=0,"",('Zoopl Analysis'!M316*LN('Zoopl Analysis'!M316)))</f>
        <v/>
      </c>
      <c r="N316" s="36" t="str">
        <f>IF('Zoopl Count'!N316=0,"",('Zoopl Analysis'!N316*LN('Zoopl Analysis'!N316)))</f>
        <v/>
      </c>
      <c r="O316" s="36" t="str">
        <f>IF('Zoopl Count'!O316=0,"",('Zoopl Analysis'!O316*LN('Zoopl Analysis'!O316)))</f>
        <v/>
      </c>
      <c r="P316" s="36" t="str">
        <f>IF('Zoopl Count'!P316=0,"",('Zoopl Analysis'!P316*LN('Zoopl Analysis'!P316)))</f>
        <v/>
      </c>
    </row>
    <row r="317" spans="1:16">
      <c r="G317" s="36" t="str">
        <f>IF('Zoopl Count'!G317=0,"",('Zoopl Analysis'!G317*LN('Zoopl Analysis'!G317)))</f>
        <v/>
      </c>
      <c r="H317" s="36" t="str">
        <f>IF('Zoopl Count'!H317=0,"",('Zoopl Analysis'!H317*LN('Zoopl Analysis'!H317)))</f>
        <v/>
      </c>
      <c r="I317" s="36" t="str">
        <f>IF('Zoopl Count'!I317=0,"",('Zoopl Analysis'!I317*LN('Zoopl Analysis'!I317)))</f>
        <v/>
      </c>
      <c r="J317" s="36" t="str">
        <f>IF('Zoopl Count'!J317=0,"",('Zoopl Analysis'!J317*LN('Zoopl Analysis'!J317)))</f>
        <v/>
      </c>
      <c r="K317" s="36" t="str">
        <f>IF('Zoopl Count'!K317=0,"",('Zoopl Analysis'!K317*LN('Zoopl Analysis'!K317)))</f>
        <v/>
      </c>
      <c r="L317" s="36" t="str">
        <f>IF('Zoopl Count'!L317=0,"",('Zoopl Analysis'!L317*LN('Zoopl Analysis'!L317)))</f>
        <v/>
      </c>
      <c r="M317" s="36" t="str">
        <f>IF('Zoopl Count'!M317=0,"",('Zoopl Analysis'!M317*LN('Zoopl Analysis'!M317)))</f>
        <v/>
      </c>
      <c r="N317" s="36" t="str">
        <f>IF('Zoopl Count'!N317=0,"",('Zoopl Analysis'!N317*LN('Zoopl Analysis'!N317)))</f>
        <v/>
      </c>
      <c r="O317" s="36" t="str">
        <f>IF('Zoopl Count'!O317=0,"",('Zoopl Analysis'!O317*LN('Zoopl Analysis'!O317)))</f>
        <v/>
      </c>
      <c r="P317" s="36" t="str">
        <f>IF('Zoopl Count'!P317=0,"",('Zoopl Analysis'!P317*LN('Zoopl Analysis'!P317)))</f>
        <v/>
      </c>
    </row>
    <row r="318" spans="1:16">
      <c r="A318" s="92" t="s">
        <v>7</v>
      </c>
      <c r="B318" s="93" t="s">
        <v>54</v>
      </c>
      <c r="C318" s="94"/>
      <c r="D318" s="94"/>
      <c r="E318" s="94"/>
      <c r="F318" s="94"/>
      <c r="G318" s="36" t="str">
        <f>IF('Zoopl Count'!G318=0,"",('Zoopl Analysis'!G318*LN('Zoopl Analysis'!G318)))</f>
        <v/>
      </c>
      <c r="H318" s="36" t="str">
        <f>IF('Zoopl Count'!H318=0,"",('Zoopl Analysis'!H318*LN('Zoopl Analysis'!H318)))</f>
        <v/>
      </c>
      <c r="I318" s="36" t="str">
        <f>IF('Zoopl Count'!I318=0,"",('Zoopl Analysis'!I318*LN('Zoopl Analysis'!I318)))</f>
        <v/>
      </c>
      <c r="J318" s="36" t="str">
        <f>IF('Zoopl Count'!J318=0,"",('Zoopl Analysis'!J318*LN('Zoopl Analysis'!J318)))</f>
        <v/>
      </c>
      <c r="K318" s="36" t="str">
        <f>IF('Zoopl Count'!K318=0,"",('Zoopl Analysis'!K318*LN('Zoopl Analysis'!K318)))</f>
        <v/>
      </c>
      <c r="L318" s="36" t="str">
        <f>IF('Zoopl Count'!L318=0,"",('Zoopl Analysis'!L318*LN('Zoopl Analysis'!L318)))</f>
        <v/>
      </c>
      <c r="M318" s="36" t="str">
        <f>IF('Zoopl Count'!M318=0,"",('Zoopl Analysis'!M318*LN('Zoopl Analysis'!M318)))</f>
        <v/>
      </c>
      <c r="N318" s="36" t="str">
        <f>IF('Zoopl Count'!N318=0,"",('Zoopl Analysis'!N318*LN('Zoopl Analysis'!N318)))</f>
        <v/>
      </c>
      <c r="O318" s="36" t="str">
        <f>IF('Zoopl Count'!O318=0,"",('Zoopl Analysis'!O318*LN('Zoopl Analysis'!O318)))</f>
        <v/>
      </c>
      <c r="P318" s="36" t="str">
        <f>IF('Zoopl Count'!P318=0,"",('Zoopl Analysis'!P318*LN('Zoopl Analysis'!P318)))</f>
        <v/>
      </c>
    </row>
    <row r="319" spans="1:16">
      <c r="A319" s="95"/>
      <c r="B319" s="21" t="s">
        <v>79</v>
      </c>
      <c r="C319" s="2" t="s">
        <v>250</v>
      </c>
      <c r="D319" s="96"/>
      <c r="E319" s="96"/>
      <c r="F319" s="96"/>
      <c r="G319" s="36" t="str">
        <f>IF('Zoopl Count'!G319=0,"",('Zoopl Analysis'!G319*LN('Zoopl Analysis'!G319)))</f>
        <v/>
      </c>
      <c r="H319" s="36" t="str">
        <f>IF('Zoopl Count'!H319=0,"",('Zoopl Analysis'!H319*LN('Zoopl Analysis'!H319)))</f>
        <v/>
      </c>
      <c r="I319" s="36" t="str">
        <f>IF('Zoopl Count'!I319=0,"",('Zoopl Analysis'!I319*LN('Zoopl Analysis'!I319)))</f>
        <v/>
      </c>
      <c r="J319" s="36" t="str">
        <f>IF('Zoopl Count'!J319=0,"",('Zoopl Analysis'!J319*LN('Zoopl Analysis'!J319)))</f>
        <v/>
      </c>
      <c r="K319" s="36" t="str">
        <f>IF('Zoopl Count'!K319=0,"",('Zoopl Analysis'!K319*LN('Zoopl Analysis'!K319)))</f>
        <v/>
      </c>
      <c r="L319" s="36" t="str">
        <f>IF('Zoopl Count'!L319=0,"",('Zoopl Analysis'!L319*LN('Zoopl Analysis'!L319)))</f>
        <v/>
      </c>
      <c r="M319" s="36" t="str">
        <f>IF('Zoopl Count'!M319=0,"",('Zoopl Analysis'!M319*LN('Zoopl Analysis'!M319)))</f>
        <v/>
      </c>
      <c r="N319" s="36" t="str">
        <f>IF('Zoopl Count'!N319=0,"",('Zoopl Analysis'!N319*LN('Zoopl Analysis'!N319)))</f>
        <v/>
      </c>
      <c r="O319" s="36" t="str">
        <f>IF('Zoopl Count'!O319=0,"",('Zoopl Analysis'!O319*LN('Zoopl Analysis'!O319)))</f>
        <v/>
      </c>
      <c r="P319" s="36" t="str">
        <f>IF('Zoopl Count'!P319=0,"",('Zoopl Analysis'!P319*LN('Zoopl Analysis'!P319)))</f>
        <v/>
      </c>
    </row>
    <row r="320" spans="1:16">
      <c r="A320" s="96"/>
      <c r="B320" s="96"/>
      <c r="C320" s="21" t="s">
        <v>10</v>
      </c>
      <c r="D320" s="2" t="s">
        <v>251</v>
      </c>
      <c r="E320" s="96"/>
      <c r="F320" s="96"/>
      <c r="G320" s="36" t="str">
        <f>IF('Zoopl Count'!G320=0,"",('Zoopl Analysis'!G320*LN('Zoopl Analysis'!G320)))</f>
        <v/>
      </c>
      <c r="H320" s="36" t="str">
        <f>IF('Zoopl Count'!H320=0,"",('Zoopl Analysis'!H320*LN('Zoopl Analysis'!H320)))</f>
        <v/>
      </c>
      <c r="I320" s="36" t="str">
        <f>IF('Zoopl Count'!I320=0,"",('Zoopl Analysis'!I320*LN('Zoopl Analysis'!I320)))</f>
        <v/>
      </c>
      <c r="J320" s="36" t="str">
        <f>IF('Zoopl Count'!J320=0,"",('Zoopl Analysis'!J320*LN('Zoopl Analysis'!J320)))</f>
        <v/>
      </c>
      <c r="K320" s="36" t="str">
        <f>IF('Zoopl Count'!K320=0,"",('Zoopl Analysis'!K320*LN('Zoopl Analysis'!K320)))</f>
        <v/>
      </c>
      <c r="L320" s="36" t="str">
        <f>IF('Zoopl Count'!L320=0,"",('Zoopl Analysis'!L320*LN('Zoopl Analysis'!L320)))</f>
        <v/>
      </c>
      <c r="M320" s="36" t="str">
        <f>IF('Zoopl Count'!M320=0,"",('Zoopl Analysis'!M320*LN('Zoopl Analysis'!M320)))</f>
        <v/>
      </c>
      <c r="N320" s="36" t="str">
        <f>IF('Zoopl Count'!N320=0,"",('Zoopl Analysis'!N320*LN('Zoopl Analysis'!N320)))</f>
        <v/>
      </c>
      <c r="O320" s="36" t="str">
        <f>IF('Zoopl Count'!O320=0,"",('Zoopl Analysis'!O320*LN('Zoopl Analysis'!O320)))</f>
        <v/>
      </c>
      <c r="P320" s="36" t="str">
        <f>IF('Zoopl Count'!P320=0,"",('Zoopl Analysis'!P320*LN('Zoopl Analysis'!P320)))</f>
        <v/>
      </c>
    </row>
    <row r="321" spans="1:16">
      <c r="A321" s="96"/>
      <c r="B321" s="96"/>
      <c r="C321" s="96"/>
      <c r="D321" s="95" t="s">
        <v>12</v>
      </c>
      <c r="E321" s="96" t="s">
        <v>55</v>
      </c>
      <c r="F321" s="96"/>
      <c r="G321" s="36" t="str">
        <f>IF('Zoopl Count'!G321=0,"",('Zoopl Analysis'!G321*LN('Zoopl Analysis'!G321)))</f>
        <v/>
      </c>
      <c r="H321" s="36" t="str">
        <f>IF('Zoopl Count'!H321=0,"",('Zoopl Analysis'!H321*LN('Zoopl Analysis'!H321)))</f>
        <v/>
      </c>
      <c r="I321" s="36" t="str">
        <f>IF('Zoopl Count'!I321=0,"",('Zoopl Analysis'!I321*LN('Zoopl Analysis'!I321)))</f>
        <v/>
      </c>
      <c r="J321" s="36" t="str">
        <f>IF('Zoopl Count'!J321=0,"",('Zoopl Analysis'!J321*LN('Zoopl Analysis'!J321)))</f>
        <v/>
      </c>
      <c r="K321" s="36" t="str">
        <f>IF('Zoopl Count'!K321=0,"",('Zoopl Analysis'!K321*LN('Zoopl Analysis'!K321)))</f>
        <v/>
      </c>
      <c r="L321" s="36" t="str">
        <f>IF('Zoopl Count'!L321=0,"",('Zoopl Analysis'!L321*LN('Zoopl Analysis'!L321)))</f>
        <v/>
      </c>
      <c r="M321" s="36" t="str">
        <f>IF('Zoopl Count'!M321=0,"",('Zoopl Analysis'!M321*LN('Zoopl Analysis'!M321)))</f>
        <v/>
      </c>
      <c r="N321" s="36" t="str">
        <f>IF('Zoopl Count'!N321=0,"",('Zoopl Analysis'!N321*LN('Zoopl Analysis'!N321)))</f>
        <v/>
      </c>
      <c r="O321" s="36" t="str">
        <f>IF('Zoopl Count'!O321=0,"",('Zoopl Analysis'!O321*LN('Zoopl Analysis'!O321)))</f>
        <v/>
      </c>
      <c r="P321" s="36" t="str">
        <f>IF('Zoopl Count'!P321=0,"",('Zoopl Analysis'!P321*LN('Zoopl Analysis'!P321)))</f>
        <v/>
      </c>
    </row>
    <row r="322" spans="1:16">
      <c r="A322" s="96"/>
      <c r="B322" s="96"/>
      <c r="C322" s="96"/>
      <c r="D322" s="95"/>
      <c r="E322" s="95" t="s">
        <v>14</v>
      </c>
      <c r="F322" s="19" t="s">
        <v>57</v>
      </c>
      <c r="G322" s="36" t="str">
        <f>IF('Zoopl Count'!G322=0,"",('Zoopl Analysis'!G322*LN('Zoopl Analysis'!G322)))</f>
        <v/>
      </c>
      <c r="H322" s="36" t="str">
        <f>IF('Zoopl Count'!H322=0,"",('Zoopl Analysis'!H322*LN('Zoopl Analysis'!H322)))</f>
        <v/>
      </c>
      <c r="I322" s="36">
        <f>IF('Zoopl Count'!I322=0,"",('Zoopl Analysis'!I322*LN('Zoopl Analysis'!I322)))</f>
        <v>-0.11159195992751118</v>
      </c>
      <c r="J322" s="36" t="str">
        <f>IF('Zoopl Count'!J322=0,"",('Zoopl Analysis'!J322*LN('Zoopl Analysis'!J322)))</f>
        <v/>
      </c>
      <c r="K322" s="36" t="str">
        <f>IF('Zoopl Count'!K322=0,"",('Zoopl Analysis'!K322*LN('Zoopl Analysis'!K322)))</f>
        <v/>
      </c>
      <c r="L322" s="36" t="str">
        <f>IF('Zoopl Count'!L322=0,"",('Zoopl Analysis'!L322*LN('Zoopl Analysis'!L322)))</f>
        <v/>
      </c>
      <c r="M322" s="36" t="str">
        <f>IF('Zoopl Count'!M322=0,"",('Zoopl Analysis'!M322*LN('Zoopl Analysis'!M322)))</f>
        <v/>
      </c>
      <c r="N322" s="36" t="str">
        <f>IF('Zoopl Count'!N322=0,"",('Zoopl Analysis'!N322*LN('Zoopl Analysis'!N322)))</f>
        <v/>
      </c>
      <c r="O322" s="36" t="str">
        <f>IF('Zoopl Count'!O322=0,"",('Zoopl Analysis'!O322*LN('Zoopl Analysis'!O322)))</f>
        <v/>
      </c>
      <c r="P322" s="36" t="str">
        <f>IF('Zoopl Count'!P322=0,"",('Zoopl Analysis'!P322*LN('Zoopl Analysis'!P322)))</f>
        <v/>
      </c>
    </row>
    <row r="323" spans="1:16">
      <c r="A323" s="96"/>
      <c r="B323" s="96"/>
      <c r="C323" s="96"/>
      <c r="D323" s="95" t="s">
        <v>12</v>
      </c>
      <c r="E323" s="96" t="s">
        <v>58</v>
      </c>
      <c r="F323" s="96"/>
      <c r="G323" s="36" t="str">
        <f>IF('Zoopl Count'!G323=0,"",('Zoopl Analysis'!G323*LN('Zoopl Analysis'!G323)))</f>
        <v/>
      </c>
      <c r="H323" s="36" t="str">
        <f>IF('Zoopl Count'!H323=0,"",('Zoopl Analysis'!H323*LN('Zoopl Analysis'!H323)))</f>
        <v/>
      </c>
      <c r="I323" s="36" t="str">
        <f>IF('Zoopl Count'!I323=0,"",('Zoopl Analysis'!I323*LN('Zoopl Analysis'!I323)))</f>
        <v/>
      </c>
      <c r="J323" s="36" t="str">
        <f>IF('Zoopl Count'!J323=0,"",('Zoopl Analysis'!J323*LN('Zoopl Analysis'!J323)))</f>
        <v/>
      </c>
      <c r="K323" s="36" t="str">
        <f>IF('Zoopl Count'!K323=0,"",('Zoopl Analysis'!K323*LN('Zoopl Analysis'!K323)))</f>
        <v/>
      </c>
      <c r="L323" s="36" t="str">
        <f>IF('Zoopl Count'!L323=0,"",('Zoopl Analysis'!L323*LN('Zoopl Analysis'!L323)))</f>
        <v/>
      </c>
      <c r="M323" s="36" t="str">
        <f>IF('Zoopl Count'!M323=0,"",('Zoopl Analysis'!M323*LN('Zoopl Analysis'!M323)))</f>
        <v/>
      </c>
      <c r="N323" s="36" t="str">
        <f>IF('Zoopl Count'!N323=0,"",('Zoopl Analysis'!N323*LN('Zoopl Analysis'!N323)))</f>
        <v/>
      </c>
      <c r="O323" s="36" t="str">
        <f>IF('Zoopl Count'!O323=0,"",('Zoopl Analysis'!O323*LN('Zoopl Analysis'!O323)))</f>
        <v/>
      </c>
      <c r="P323" s="36" t="str">
        <f>IF('Zoopl Count'!P323=0,"",('Zoopl Analysis'!P323*LN('Zoopl Analysis'!P323)))</f>
        <v/>
      </c>
    </row>
    <row r="324" spans="1:16">
      <c r="A324" s="96"/>
      <c r="B324" s="96"/>
      <c r="C324" s="96"/>
      <c r="D324" s="96"/>
      <c r="E324" s="95" t="s">
        <v>14</v>
      </c>
      <c r="F324" s="19" t="s">
        <v>60</v>
      </c>
      <c r="G324" s="36">
        <f>IF('Zoopl Count'!G324=0,"",('Zoopl Analysis'!G324*LN('Zoopl Analysis'!G324)))</f>
        <v>2.7577379646475362</v>
      </c>
      <c r="H324" s="36">
        <f>IF('Zoopl Count'!H324=0,"",('Zoopl Analysis'!H324*LN('Zoopl Analysis'!H324)))</f>
        <v>0.7002996056534132</v>
      </c>
      <c r="I324" s="36">
        <f>IF('Zoopl Count'!I324=0,"",('Zoopl Analysis'!I324*LN('Zoopl Analysis'!I324)))</f>
        <v>0.6073079787973662</v>
      </c>
      <c r="J324" s="36">
        <f>IF('Zoopl Count'!J324=0,"",('Zoopl Analysis'!J324*LN('Zoopl Analysis'!J324)))</f>
        <v>7.591191735479029</v>
      </c>
      <c r="K324" s="36">
        <f>IF('Zoopl Count'!K324=0,"",('Zoopl Analysis'!K324*LN('Zoopl Analysis'!K324)))</f>
        <v>1.5338593796017899</v>
      </c>
      <c r="L324" s="36">
        <f>IF('Zoopl Count'!L324=0,"",('Zoopl Analysis'!L324*LN('Zoopl Analysis'!L324)))</f>
        <v>14.515262050011895</v>
      </c>
      <c r="M324" s="36">
        <f>IF('Zoopl Count'!M324=0,"",('Zoopl Analysis'!M324*LN('Zoopl Analysis'!M324)))</f>
        <v>10.380981113802504</v>
      </c>
      <c r="N324" s="36">
        <f>IF('Zoopl Count'!N324=0,"",('Zoopl Analysis'!N324*LN('Zoopl Analysis'!N324)))</f>
        <v>1.1508882891013184</v>
      </c>
      <c r="O324" s="36">
        <f>IF('Zoopl Count'!O324=0,"",('Zoopl Analysis'!O324*LN('Zoopl Analysis'!O324)))</f>
        <v>11.476943237576158</v>
      </c>
      <c r="P324" s="36">
        <f>IF('Zoopl Count'!P324=0,"",('Zoopl Analysis'!P324*LN('Zoopl Analysis'!P324)))</f>
        <v>-0.33951388967976126</v>
      </c>
    </row>
    <row r="325" spans="1:16">
      <c r="E325" s="8"/>
      <c r="F325" s="19"/>
      <c r="G325" s="36" t="str">
        <f>IF('Zoopl Count'!G325=0,"",('Zoopl Analysis'!G325*LN('Zoopl Analysis'!G325)))</f>
        <v/>
      </c>
      <c r="H325" s="36" t="str">
        <f>IF('Zoopl Count'!H325=0,"",('Zoopl Analysis'!H325*LN('Zoopl Analysis'!H325)))</f>
        <v/>
      </c>
      <c r="I325" s="36" t="str">
        <f>IF('Zoopl Count'!I325=0,"",('Zoopl Analysis'!I325*LN('Zoopl Analysis'!I325)))</f>
        <v/>
      </c>
      <c r="J325" s="36" t="str">
        <f>IF('Zoopl Count'!J325=0,"",('Zoopl Analysis'!J325*LN('Zoopl Analysis'!J325)))</f>
        <v/>
      </c>
      <c r="K325" s="36" t="str">
        <f>IF('Zoopl Count'!K325=0,"",('Zoopl Analysis'!K325*LN('Zoopl Analysis'!K325)))</f>
        <v/>
      </c>
      <c r="L325" s="36" t="str">
        <f>IF('Zoopl Count'!L325=0,"",('Zoopl Analysis'!L325*LN('Zoopl Analysis'!L325)))</f>
        <v/>
      </c>
      <c r="M325" s="36" t="str">
        <f>IF('Zoopl Count'!M325=0,"",('Zoopl Analysis'!M325*LN('Zoopl Analysis'!M325)))</f>
        <v/>
      </c>
      <c r="N325" s="36" t="str">
        <f>IF('Zoopl Count'!N325=0,"",('Zoopl Analysis'!N325*LN('Zoopl Analysis'!N325)))</f>
        <v/>
      </c>
      <c r="O325" s="36" t="str">
        <f>IF('Zoopl Count'!O325=0,"",('Zoopl Analysis'!O325*LN('Zoopl Analysis'!O325)))</f>
        <v/>
      </c>
      <c r="P325" s="36" t="str">
        <f>IF('Zoopl Count'!P325=0,"",('Zoopl Analysis'!P325*LN('Zoopl Analysis'!P325)))</f>
        <v/>
      </c>
    </row>
    <row r="326" spans="1:16">
      <c r="B326" s="8" t="s">
        <v>79</v>
      </c>
      <c r="C326" s="2" t="s">
        <v>130</v>
      </c>
      <c r="E326" s="8"/>
      <c r="F326" s="19"/>
      <c r="G326" s="36" t="str">
        <f>IF('Zoopl Count'!G326=0,"",('Zoopl Analysis'!G326*LN('Zoopl Analysis'!G326)))</f>
        <v/>
      </c>
      <c r="H326" s="36" t="str">
        <f>IF('Zoopl Count'!H326=0,"",('Zoopl Analysis'!H326*LN('Zoopl Analysis'!H326)))</f>
        <v/>
      </c>
      <c r="I326" s="36" t="str">
        <f>IF('Zoopl Count'!I326=0,"",('Zoopl Analysis'!I326*LN('Zoopl Analysis'!I326)))</f>
        <v/>
      </c>
      <c r="J326" s="36" t="str">
        <f>IF('Zoopl Count'!J326=0,"",('Zoopl Analysis'!J326*LN('Zoopl Analysis'!J326)))</f>
        <v/>
      </c>
      <c r="K326" s="36" t="str">
        <f>IF('Zoopl Count'!K326=0,"",('Zoopl Analysis'!K326*LN('Zoopl Analysis'!K326)))</f>
        <v/>
      </c>
      <c r="L326" s="36" t="str">
        <f>IF('Zoopl Count'!L326=0,"",('Zoopl Analysis'!L326*LN('Zoopl Analysis'!L326)))</f>
        <v/>
      </c>
      <c r="M326" s="36" t="str">
        <f>IF('Zoopl Count'!M326=0,"",('Zoopl Analysis'!M326*LN('Zoopl Analysis'!M326)))</f>
        <v/>
      </c>
      <c r="N326" s="36" t="str">
        <f>IF('Zoopl Count'!N326=0,"",('Zoopl Analysis'!N326*LN('Zoopl Analysis'!N326)))</f>
        <v/>
      </c>
      <c r="O326" s="36" t="str">
        <f>IF('Zoopl Count'!O326=0,"",('Zoopl Analysis'!O326*LN('Zoopl Analysis'!O326)))</f>
        <v/>
      </c>
      <c r="P326" s="36" t="str">
        <f>IF('Zoopl Count'!P326=0,"",('Zoopl Analysis'!P326*LN('Zoopl Analysis'!P326)))</f>
        <v/>
      </c>
    </row>
    <row r="327" spans="1:16">
      <c r="C327" s="8" t="s">
        <v>10</v>
      </c>
      <c r="D327" s="13" t="s">
        <v>61</v>
      </c>
      <c r="G327" s="36" t="str">
        <f>IF('Zoopl Count'!G327=0,"",('Zoopl Analysis'!G327*LN('Zoopl Analysis'!G327)))</f>
        <v/>
      </c>
      <c r="H327" s="36" t="str">
        <f>IF('Zoopl Count'!H327=0,"",('Zoopl Analysis'!H327*LN('Zoopl Analysis'!H327)))</f>
        <v/>
      </c>
      <c r="I327" s="36" t="str">
        <f>IF('Zoopl Count'!I327=0,"",('Zoopl Analysis'!I327*LN('Zoopl Analysis'!I327)))</f>
        <v/>
      </c>
      <c r="J327" s="36" t="str">
        <f>IF('Zoopl Count'!J327=0,"",('Zoopl Analysis'!J327*LN('Zoopl Analysis'!J327)))</f>
        <v/>
      </c>
      <c r="K327" s="36" t="str">
        <f>IF('Zoopl Count'!K327=0,"",('Zoopl Analysis'!K327*LN('Zoopl Analysis'!K327)))</f>
        <v/>
      </c>
      <c r="L327" s="36" t="str">
        <f>IF('Zoopl Count'!L327=0,"",('Zoopl Analysis'!L327*LN('Zoopl Analysis'!L327)))</f>
        <v/>
      </c>
      <c r="M327" s="36" t="str">
        <f>IF('Zoopl Count'!M327=0,"",('Zoopl Analysis'!M327*LN('Zoopl Analysis'!M327)))</f>
        <v/>
      </c>
      <c r="N327" s="36" t="str">
        <f>IF('Zoopl Count'!N327=0,"",('Zoopl Analysis'!N327*LN('Zoopl Analysis'!N327)))</f>
        <v/>
      </c>
      <c r="O327" s="36" t="str">
        <f>IF('Zoopl Count'!O327=0,"",('Zoopl Analysis'!O327*LN('Zoopl Analysis'!O327)))</f>
        <v/>
      </c>
      <c r="P327" s="36" t="str">
        <f>IF('Zoopl Count'!P327=0,"",('Zoopl Analysis'!P327*LN('Zoopl Analysis'!P327)))</f>
        <v/>
      </c>
    </row>
    <row r="328" spans="1:16">
      <c r="D328" s="8" t="s">
        <v>12</v>
      </c>
      <c r="E328" s="6" t="s">
        <v>62</v>
      </c>
      <c r="G328" s="36" t="str">
        <f>IF('Zoopl Count'!G328=0,"",('Zoopl Analysis'!G328*LN('Zoopl Analysis'!G328)))</f>
        <v/>
      </c>
      <c r="H328" s="36" t="str">
        <f>IF('Zoopl Count'!H328=0,"",('Zoopl Analysis'!H328*LN('Zoopl Analysis'!H328)))</f>
        <v/>
      </c>
      <c r="I328" s="36" t="str">
        <f>IF('Zoopl Count'!I328=0,"",('Zoopl Analysis'!I328*LN('Zoopl Analysis'!I328)))</f>
        <v/>
      </c>
      <c r="J328" s="36" t="str">
        <f>IF('Zoopl Count'!J328=0,"",('Zoopl Analysis'!J328*LN('Zoopl Analysis'!J328)))</f>
        <v/>
      </c>
      <c r="K328" s="36" t="str">
        <f>IF('Zoopl Count'!K328=0,"",('Zoopl Analysis'!K328*LN('Zoopl Analysis'!K328)))</f>
        <v/>
      </c>
      <c r="L328" s="36" t="str">
        <f>IF('Zoopl Count'!L328=0,"",('Zoopl Analysis'!L328*LN('Zoopl Analysis'!L328)))</f>
        <v/>
      </c>
      <c r="M328" s="36" t="str">
        <f>IF('Zoopl Count'!M328=0,"",('Zoopl Analysis'!M328*LN('Zoopl Analysis'!M328)))</f>
        <v/>
      </c>
      <c r="N328" s="36" t="str">
        <f>IF('Zoopl Count'!N328=0,"",('Zoopl Analysis'!N328*LN('Zoopl Analysis'!N328)))</f>
        <v/>
      </c>
      <c r="O328" s="36" t="str">
        <f>IF('Zoopl Count'!O328=0,"",('Zoopl Analysis'!O328*LN('Zoopl Analysis'!O328)))</f>
        <v/>
      </c>
      <c r="P328" s="36" t="str">
        <f>IF('Zoopl Count'!P328=0,"",('Zoopl Analysis'!P328*LN('Zoopl Analysis'!P328)))</f>
        <v/>
      </c>
    </row>
    <row r="329" spans="1:16">
      <c r="E329" s="8" t="s">
        <v>14</v>
      </c>
      <c r="F329" s="19" t="s">
        <v>63</v>
      </c>
      <c r="G329" s="36" t="str">
        <f>IF('Zoopl Count'!G329=0,"",('Zoopl Analysis'!G329*LN('Zoopl Analysis'!G329)))</f>
        <v/>
      </c>
      <c r="H329" s="36" t="str">
        <f>IF('Zoopl Count'!H329=0,"",('Zoopl Analysis'!H329*LN('Zoopl Analysis'!H329)))</f>
        <v/>
      </c>
      <c r="I329" s="36" t="str">
        <f>IF('Zoopl Count'!I329=0,"",('Zoopl Analysis'!I329*LN('Zoopl Analysis'!I329)))</f>
        <v/>
      </c>
      <c r="J329" s="36" t="str">
        <f>IF('Zoopl Count'!J329=0,"",('Zoopl Analysis'!J329*LN('Zoopl Analysis'!J329)))</f>
        <v/>
      </c>
      <c r="K329" s="36" t="str">
        <f>IF('Zoopl Count'!K329=0,"",('Zoopl Analysis'!K329*LN('Zoopl Analysis'!K329)))</f>
        <v/>
      </c>
      <c r="L329" s="36" t="str">
        <f>IF('Zoopl Count'!L329=0,"",('Zoopl Analysis'!L329*LN('Zoopl Analysis'!L329)))</f>
        <v/>
      </c>
      <c r="M329" s="36" t="str">
        <f>IF('Zoopl Count'!M329=0,"",('Zoopl Analysis'!M329*LN('Zoopl Analysis'!M329)))</f>
        <v/>
      </c>
      <c r="N329" s="36" t="str">
        <f>IF('Zoopl Count'!N329=0,"",('Zoopl Analysis'!N329*LN('Zoopl Analysis'!N329)))</f>
        <v/>
      </c>
      <c r="O329" s="36" t="str">
        <f>IF('Zoopl Count'!O329=0,"",('Zoopl Analysis'!O329*LN('Zoopl Analysis'!O329)))</f>
        <v/>
      </c>
      <c r="P329" s="36" t="str">
        <f>IF('Zoopl Count'!P329=0,"",('Zoopl Analysis'!P329*LN('Zoopl Analysis'!P329)))</f>
        <v/>
      </c>
    </row>
    <row r="330" spans="1:16">
      <c r="C330" s="8" t="s">
        <v>10</v>
      </c>
      <c r="D330" s="2" t="s">
        <v>64</v>
      </c>
      <c r="G330" s="36" t="str">
        <f>IF('Zoopl Count'!G330=0,"",('Zoopl Analysis'!G330*LN('Zoopl Analysis'!G330)))</f>
        <v/>
      </c>
      <c r="H330" s="36" t="str">
        <f>IF('Zoopl Count'!H330=0,"",('Zoopl Analysis'!H330*LN('Zoopl Analysis'!H330)))</f>
        <v/>
      </c>
      <c r="I330" s="36" t="str">
        <f>IF('Zoopl Count'!I330=0,"",('Zoopl Analysis'!I330*LN('Zoopl Analysis'!I330)))</f>
        <v/>
      </c>
      <c r="J330" s="36" t="str">
        <f>IF('Zoopl Count'!J330=0,"",('Zoopl Analysis'!J330*LN('Zoopl Analysis'!J330)))</f>
        <v/>
      </c>
      <c r="K330" s="36" t="str">
        <f>IF('Zoopl Count'!K330=0,"",('Zoopl Analysis'!K330*LN('Zoopl Analysis'!K330)))</f>
        <v/>
      </c>
      <c r="L330" s="36" t="str">
        <f>IF('Zoopl Count'!L330=0,"",('Zoopl Analysis'!L330*LN('Zoopl Analysis'!L330)))</f>
        <v/>
      </c>
      <c r="M330" s="36" t="str">
        <f>IF('Zoopl Count'!M330=0,"",('Zoopl Analysis'!M330*LN('Zoopl Analysis'!M330)))</f>
        <v/>
      </c>
      <c r="N330" s="36" t="str">
        <f>IF('Zoopl Count'!N330=0,"",('Zoopl Analysis'!N330*LN('Zoopl Analysis'!N330)))</f>
        <v/>
      </c>
      <c r="O330" s="36" t="str">
        <f>IF('Zoopl Count'!O330=0,"",('Zoopl Analysis'!O330*LN('Zoopl Analysis'!O330)))</f>
        <v/>
      </c>
      <c r="P330" s="36" t="str">
        <f>IF('Zoopl Count'!P330=0,"",('Zoopl Analysis'!P330*LN('Zoopl Analysis'!P330)))</f>
        <v/>
      </c>
    </row>
    <row r="331" spans="1:16">
      <c r="D331" s="8" t="s">
        <v>12</v>
      </c>
      <c r="E331" s="6" t="s">
        <v>65</v>
      </c>
      <c r="G331" s="36" t="str">
        <f>IF('Zoopl Count'!G331=0,"",('Zoopl Analysis'!G331*LN('Zoopl Analysis'!G331)))</f>
        <v/>
      </c>
      <c r="H331" s="36" t="str">
        <f>IF('Zoopl Count'!H331=0,"",('Zoopl Analysis'!H331*LN('Zoopl Analysis'!H331)))</f>
        <v/>
      </c>
      <c r="I331" s="36" t="str">
        <f>IF('Zoopl Count'!I331=0,"",('Zoopl Analysis'!I331*LN('Zoopl Analysis'!I331)))</f>
        <v/>
      </c>
      <c r="J331" s="36" t="str">
        <f>IF('Zoopl Count'!J331=0,"",('Zoopl Analysis'!J331*LN('Zoopl Analysis'!J331)))</f>
        <v/>
      </c>
      <c r="K331" s="36" t="str">
        <f>IF('Zoopl Count'!K331=0,"",('Zoopl Analysis'!K331*LN('Zoopl Analysis'!K331)))</f>
        <v/>
      </c>
      <c r="L331" s="36" t="str">
        <f>IF('Zoopl Count'!L331=0,"",('Zoopl Analysis'!L331*LN('Zoopl Analysis'!L331)))</f>
        <v/>
      </c>
      <c r="M331" s="36" t="str">
        <f>IF('Zoopl Count'!M331=0,"",('Zoopl Analysis'!M331*LN('Zoopl Analysis'!M331)))</f>
        <v/>
      </c>
      <c r="N331" s="36" t="str">
        <f>IF('Zoopl Count'!N331=0,"",('Zoopl Analysis'!N331*LN('Zoopl Analysis'!N331)))</f>
        <v/>
      </c>
      <c r="O331" s="36" t="str">
        <f>IF('Zoopl Count'!O331=0,"",('Zoopl Analysis'!O331*LN('Zoopl Analysis'!O331)))</f>
        <v/>
      </c>
      <c r="P331" s="36" t="str">
        <f>IF('Zoopl Count'!P331=0,"",('Zoopl Analysis'!P331*LN('Zoopl Analysis'!P331)))</f>
        <v/>
      </c>
    </row>
    <row r="332" spans="1:16">
      <c r="E332" s="8" t="s">
        <v>14</v>
      </c>
      <c r="F332" s="10" t="s">
        <v>288</v>
      </c>
      <c r="G332" s="36" t="str">
        <f>IF('Zoopl Count'!G332=0,"",('Zoopl Analysis'!G332*LN('Zoopl Analysis'!G332)))</f>
        <v/>
      </c>
      <c r="H332" s="36" t="str">
        <f>IF('Zoopl Count'!H332=0,"",('Zoopl Analysis'!H332*LN('Zoopl Analysis'!H332)))</f>
        <v/>
      </c>
      <c r="I332" s="36" t="str">
        <f>IF('Zoopl Count'!I332=0,"",('Zoopl Analysis'!I332*LN('Zoopl Analysis'!I332)))</f>
        <v/>
      </c>
      <c r="J332" s="36" t="str">
        <f>IF('Zoopl Count'!J332=0,"",('Zoopl Analysis'!J332*LN('Zoopl Analysis'!J332)))</f>
        <v/>
      </c>
      <c r="K332" s="36">
        <f>IF('Zoopl Count'!K332=0,"",('Zoopl Analysis'!K332*LN('Zoopl Analysis'!K332)))</f>
        <v>-0.26562315606499248</v>
      </c>
      <c r="L332" s="36" t="str">
        <f>IF('Zoopl Count'!L332=0,"",('Zoopl Analysis'!L332*LN('Zoopl Analysis'!L332)))</f>
        <v/>
      </c>
      <c r="M332" s="36" t="str">
        <f>IF('Zoopl Count'!M332=0,"",('Zoopl Analysis'!M332*LN('Zoopl Analysis'!M332)))</f>
        <v/>
      </c>
      <c r="N332" s="36" t="str">
        <f>IF('Zoopl Count'!N332=0,"",('Zoopl Analysis'!N332*LN('Zoopl Analysis'!N332)))</f>
        <v/>
      </c>
      <c r="O332" s="36" t="str">
        <f>IF('Zoopl Count'!O332=0,"",('Zoopl Analysis'!O332*LN('Zoopl Analysis'!O332)))</f>
        <v/>
      </c>
      <c r="P332" s="36" t="str">
        <f>IF('Zoopl Count'!P332=0,"",('Zoopl Analysis'!P332*LN('Zoopl Analysis'!P332)))</f>
        <v/>
      </c>
    </row>
    <row r="333" spans="1:16">
      <c r="E333" s="8"/>
      <c r="F333" s="19"/>
      <c r="G333" s="36" t="str">
        <f>IF('Zoopl Count'!G333=0,"",('Zoopl Analysis'!G333*LN('Zoopl Analysis'!G333)))</f>
        <v/>
      </c>
      <c r="H333" s="36" t="str">
        <f>IF('Zoopl Count'!H333=0,"",('Zoopl Analysis'!H333*LN('Zoopl Analysis'!H333)))</f>
        <v/>
      </c>
      <c r="I333" s="36" t="str">
        <f>IF('Zoopl Count'!I333=0,"",('Zoopl Analysis'!I333*LN('Zoopl Analysis'!I333)))</f>
        <v/>
      </c>
      <c r="J333" s="36" t="str">
        <f>IF('Zoopl Count'!J333=0,"",('Zoopl Analysis'!J333*LN('Zoopl Analysis'!J333)))</f>
        <v/>
      </c>
      <c r="K333" s="36" t="str">
        <f>IF('Zoopl Count'!K333=0,"",('Zoopl Analysis'!K333*LN('Zoopl Analysis'!K333)))</f>
        <v/>
      </c>
      <c r="L333" s="36" t="str">
        <f>IF('Zoopl Count'!L333=0,"",('Zoopl Analysis'!L333*LN('Zoopl Analysis'!L333)))</f>
        <v/>
      </c>
      <c r="M333" s="36" t="str">
        <f>IF('Zoopl Count'!M333=0,"",('Zoopl Analysis'!M333*LN('Zoopl Analysis'!M333)))</f>
        <v/>
      </c>
      <c r="N333" s="36" t="str">
        <f>IF('Zoopl Count'!N333=0,"",('Zoopl Analysis'!N333*LN('Zoopl Analysis'!N333)))</f>
        <v/>
      </c>
      <c r="O333" s="36" t="str">
        <f>IF('Zoopl Count'!O333=0,"",('Zoopl Analysis'!O333*LN('Zoopl Analysis'!O333)))</f>
        <v/>
      </c>
      <c r="P333" s="36" t="str">
        <f>IF('Zoopl Count'!P333=0,"",('Zoopl Analysis'!P333*LN('Zoopl Analysis'!P333)))</f>
        <v/>
      </c>
    </row>
    <row r="334" spans="1:16">
      <c r="B334" s="8" t="s">
        <v>79</v>
      </c>
      <c r="C334" s="2" t="s">
        <v>131</v>
      </c>
      <c r="E334" s="8"/>
      <c r="F334" s="10"/>
      <c r="G334" s="36" t="str">
        <f>IF('Zoopl Count'!G334=0,"",('Zoopl Analysis'!G334*LN('Zoopl Analysis'!G334)))</f>
        <v/>
      </c>
      <c r="H334" s="36" t="str">
        <f>IF('Zoopl Count'!H334=0,"",('Zoopl Analysis'!H334*LN('Zoopl Analysis'!H334)))</f>
        <v/>
      </c>
      <c r="I334" s="36" t="str">
        <f>IF('Zoopl Count'!I334=0,"",('Zoopl Analysis'!I334*LN('Zoopl Analysis'!I334)))</f>
        <v/>
      </c>
      <c r="J334" s="36" t="str">
        <f>IF('Zoopl Count'!J334=0,"",('Zoopl Analysis'!J334*LN('Zoopl Analysis'!J334)))</f>
        <v/>
      </c>
      <c r="K334" s="36" t="str">
        <f>IF('Zoopl Count'!K334=0,"",('Zoopl Analysis'!K334*LN('Zoopl Analysis'!K334)))</f>
        <v/>
      </c>
      <c r="L334" s="36" t="str">
        <f>IF('Zoopl Count'!L334=0,"",('Zoopl Analysis'!L334*LN('Zoopl Analysis'!L334)))</f>
        <v/>
      </c>
      <c r="M334" s="36" t="str">
        <f>IF('Zoopl Count'!M334=0,"",('Zoopl Analysis'!M334*LN('Zoopl Analysis'!M334)))</f>
        <v/>
      </c>
      <c r="N334" s="36" t="str">
        <f>IF('Zoopl Count'!N334=0,"",('Zoopl Analysis'!N334*LN('Zoopl Analysis'!N334)))</f>
        <v/>
      </c>
      <c r="O334" s="36" t="str">
        <f>IF('Zoopl Count'!O334=0,"",('Zoopl Analysis'!O334*LN('Zoopl Analysis'!O334)))</f>
        <v/>
      </c>
      <c r="P334" s="36" t="str">
        <f>IF('Zoopl Count'!P334=0,"",('Zoopl Analysis'!P334*LN('Zoopl Analysis'!P334)))</f>
        <v/>
      </c>
    </row>
    <row r="335" spans="1:16">
      <c r="B335" s="8"/>
      <c r="C335" s="2"/>
      <c r="E335" s="8"/>
      <c r="F335" s="9" t="s">
        <v>132</v>
      </c>
      <c r="G335" s="36" t="str">
        <f>IF('Zoopl Count'!G335=0,"",('Zoopl Analysis'!G335*LN('Zoopl Analysis'!G335)))</f>
        <v/>
      </c>
      <c r="H335" s="36" t="str">
        <f>IF('Zoopl Count'!H335=0,"",('Zoopl Analysis'!H335*LN('Zoopl Analysis'!H335)))</f>
        <v/>
      </c>
      <c r="I335" s="36" t="str">
        <f>IF('Zoopl Count'!I335=0,"",('Zoopl Analysis'!I335*LN('Zoopl Analysis'!I335)))</f>
        <v/>
      </c>
      <c r="J335" s="36" t="str">
        <f>IF('Zoopl Count'!J335=0,"",('Zoopl Analysis'!J335*LN('Zoopl Analysis'!J335)))</f>
        <v/>
      </c>
      <c r="K335" s="36" t="str">
        <f>IF('Zoopl Count'!K335=0,"",('Zoopl Analysis'!K335*LN('Zoopl Analysis'!K335)))</f>
        <v/>
      </c>
      <c r="L335" s="36" t="str">
        <f>IF('Zoopl Count'!L335=0,"",('Zoopl Analysis'!L335*LN('Zoopl Analysis'!L335)))</f>
        <v/>
      </c>
      <c r="M335" s="36" t="str">
        <f>IF('Zoopl Count'!M335=0,"",('Zoopl Analysis'!M335*LN('Zoopl Analysis'!M335)))</f>
        <v/>
      </c>
      <c r="N335" s="36" t="str">
        <f>IF('Zoopl Count'!N335=0,"",('Zoopl Analysis'!N335*LN('Zoopl Analysis'!N335)))</f>
        <v/>
      </c>
      <c r="O335" s="36" t="str">
        <f>IF('Zoopl Count'!O335=0,"",('Zoopl Analysis'!O335*LN('Zoopl Analysis'!O335)))</f>
        <v/>
      </c>
      <c r="P335" s="36" t="str">
        <f>IF('Zoopl Count'!P335=0,"",('Zoopl Analysis'!P335*LN('Zoopl Analysis'!P335)))</f>
        <v/>
      </c>
    </row>
    <row r="336" spans="1:16">
      <c r="B336" s="8"/>
      <c r="C336" s="2"/>
      <c r="E336" s="8"/>
      <c r="F336" s="9" t="s">
        <v>133</v>
      </c>
      <c r="G336" s="36" t="str">
        <f>IF('Zoopl Count'!G336=0,"",('Zoopl Analysis'!G336*LN('Zoopl Analysis'!G336)))</f>
        <v/>
      </c>
      <c r="H336" s="36" t="str">
        <f>IF('Zoopl Count'!H336=0,"",('Zoopl Analysis'!H336*LN('Zoopl Analysis'!H336)))</f>
        <v/>
      </c>
      <c r="I336" s="36" t="str">
        <f>IF('Zoopl Count'!I336=0,"",('Zoopl Analysis'!I336*LN('Zoopl Analysis'!I336)))</f>
        <v/>
      </c>
      <c r="J336" s="36" t="str">
        <f>IF('Zoopl Count'!J336=0,"",('Zoopl Analysis'!J336*LN('Zoopl Analysis'!J336)))</f>
        <v/>
      </c>
      <c r="K336" s="36">
        <f>IF('Zoopl Count'!K336=0,"",('Zoopl Analysis'!K336*LN('Zoopl Analysis'!K336)))</f>
        <v>-0.26562315606499248</v>
      </c>
      <c r="L336" s="36">
        <f>IF('Zoopl Count'!L336=0,"",('Zoopl Analysis'!L336*LN('Zoopl Analysis'!L336)))</f>
        <v>-0.33951388967976126</v>
      </c>
      <c r="M336" s="36">
        <f>IF('Zoopl Count'!M336=0,"",('Zoopl Analysis'!M336*LN('Zoopl Analysis'!M336)))</f>
        <v>0.7002996056534132</v>
      </c>
      <c r="N336" s="36">
        <f>IF('Zoopl Count'!N336=0,"",('Zoopl Analysis'!N336*LN('Zoopl Analysis'!N336)))</f>
        <v>-0.22734830011423995</v>
      </c>
      <c r="O336" s="36" t="str">
        <f>IF('Zoopl Count'!O336=0,"",('Zoopl Analysis'!O336*LN('Zoopl Analysis'!O336)))</f>
        <v/>
      </c>
      <c r="P336" s="36" t="str">
        <f>IF('Zoopl Count'!P336=0,"",('Zoopl Analysis'!P336*LN('Zoopl Analysis'!P336)))</f>
        <v/>
      </c>
    </row>
    <row r="337" spans="1:16" ht="12.9" customHeight="1" thickBot="1">
      <c r="A337" s="75"/>
      <c r="B337" s="138" t="s">
        <v>162</v>
      </c>
      <c r="C337" s="135"/>
      <c r="D337" s="75"/>
      <c r="E337" s="138"/>
      <c r="F337" s="155"/>
      <c r="G337" s="36" t="str">
        <f>IF('Zoopl Count'!G337=0,"",('Zoopl Analysis'!G337*LN('Zoopl Analysis'!G337)))</f>
        <v/>
      </c>
      <c r="H337" s="36" t="str">
        <f>IF('Zoopl Count'!H337=0,"",('Zoopl Analysis'!H337*LN('Zoopl Analysis'!H337)))</f>
        <v/>
      </c>
      <c r="I337" s="36" t="str">
        <f>IF('Zoopl Count'!I337=0,"",('Zoopl Analysis'!I337*LN('Zoopl Analysis'!I337)))</f>
        <v/>
      </c>
      <c r="J337" s="36" t="str">
        <f>IF('Zoopl Count'!J337=0,"",('Zoopl Analysis'!J337*LN('Zoopl Analysis'!J337)))</f>
        <v/>
      </c>
      <c r="K337" s="36" t="str">
        <f>IF('Zoopl Count'!K337=0,"",('Zoopl Analysis'!K337*LN('Zoopl Analysis'!K337)))</f>
        <v/>
      </c>
      <c r="L337" s="36" t="str">
        <f>IF('Zoopl Count'!L337=0,"",('Zoopl Analysis'!L337*LN('Zoopl Analysis'!L337)))</f>
        <v/>
      </c>
      <c r="M337" s="36" t="str">
        <f>IF('Zoopl Count'!M337=0,"",('Zoopl Analysis'!M337*LN('Zoopl Analysis'!M337)))</f>
        <v/>
      </c>
      <c r="N337" s="36" t="str">
        <f>IF('Zoopl Count'!N337=0,"",('Zoopl Analysis'!N337*LN('Zoopl Analysis'!N337)))</f>
        <v/>
      </c>
      <c r="O337" s="36" t="str">
        <f>IF('Zoopl Count'!O337=0,"",('Zoopl Analysis'!O337*LN('Zoopl Analysis'!O337)))</f>
        <v/>
      </c>
      <c r="P337" s="36" t="str">
        <f>IF('Zoopl Count'!P337=0,"",('Zoopl Analysis'!P337*LN('Zoopl Analysis'!P337)))</f>
        <v/>
      </c>
    </row>
    <row r="338" spans="1:16" s="14" customFormat="1" ht="15" thickBot="1">
      <c r="F338" s="15" t="s">
        <v>136</v>
      </c>
      <c r="G338" s="68">
        <f t="shared" ref="G338:P338" si="0">SUM(G10:G337)</f>
        <v>67.657475938246677</v>
      </c>
      <c r="H338" s="68">
        <f t="shared" si="0"/>
        <v>14.777581479484487</v>
      </c>
      <c r="I338" s="68">
        <f t="shared" si="0"/>
        <v>-2.3170767059030348</v>
      </c>
      <c r="J338" s="68">
        <f t="shared" si="0"/>
        <v>27.055977612163773</v>
      </c>
      <c r="K338" s="68">
        <f t="shared" si="0"/>
        <v>35.978905601956733</v>
      </c>
      <c r="L338" s="68">
        <f t="shared" si="0"/>
        <v>389.45870381723745</v>
      </c>
      <c r="M338" s="68">
        <f t="shared" si="0"/>
        <v>71.378225289064062</v>
      </c>
      <c r="N338" s="68">
        <f t="shared" si="0"/>
        <v>10.399392779250698</v>
      </c>
      <c r="O338" s="68">
        <f t="shared" si="0"/>
        <v>857.01698631456452</v>
      </c>
      <c r="P338" s="68">
        <f t="shared" si="0"/>
        <v>39.670443697496388</v>
      </c>
    </row>
    <row r="339" spans="1:16">
      <c r="F339" s="3" t="s">
        <v>83</v>
      </c>
      <c r="G339" s="7">
        <f>COUNT(G10:G337)</f>
        <v>22</v>
      </c>
      <c r="H339" s="7">
        <f>COUNT(H10:H337)</f>
        <v>17</v>
      </c>
      <c r="I339" s="7">
        <f>COUNT(I10:I337)</f>
        <v>21</v>
      </c>
      <c r="J339" s="7">
        <f t="shared" ref="J339:P339" si="1">COUNT(J10:J337)</f>
        <v>19</v>
      </c>
      <c r="K339" s="7">
        <f t="shared" si="1"/>
        <v>19</v>
      </c>
      <c r="L339" s="7">
        <f t="shared" si="1"/>
        <v>10</v>
      </c>
      <c r="M339" s="7">
        <f t="shared" si="1"/>
        <v>18</v>
      </c>
      <c r="N339" s="7">
        <f t="shared" si="1"/>
        <v>17</v>
      </c>
      <c r="O339" s="7">
        <f t="shared" si="1"/>
        <v>12</v>
      </c>
      <c r="P339" s="7">
        <f t="shared" si="1"/>
        <v>14</v>
      </c>
    </row>
    <row r="340" spans="1:16">
      <c r="G340" s="7"/>
      <c r="H340" s="7"/>
      <c r="I340" s="7"/>
      <c r="J340" s="7"/>
      <c r="K340" s="7"/>
      <c r="L340" s="7"/>
      <c r="M340" s="7"/>
      <c r="N340" s="7"/>
      <c r="O340" s="7"/>
      <c r="P340" s="7"/>
    </row>
    <row r="341" spans="1:16">
      <c r="G341" s="7"/>
      <c r="H341" s="7"/>
      <c r="I341" s="7"/>
      <c r="J341" s="7"/>
      <c r="K341" s="7"/>
      <c r="L341" s="7"/>
      <c r="M341" s="7"/>
      <c r="N341" s="7"/>
      <c r="O341" s="7"/>
      <c r="P341" s="7"/>
    </row>
    <row r="342" spans="1:16">
      <c r="G342" s="7"/>
      <c r="H342" s="7"/>
      <c r="I342" s="7"/>
      <c r="J342" s="7"/>
      <c r="K342" s="7"/>
      <c r="L342" s="7"/>
      <c r="M342" s="7"/>
      <c r="N342" s="7"/>
      <c r="O342" s="7"/>
      <c r="P342" s="7"/>
    </row>
    <row r="343" spans="1:16">
      <c r="G343" s="7"/>
      <c r="H343" s="7"/>
      <c r="I343" s="7"/>
      <c r="J343" s="7"/>
      <c r="K343" s="7"/>
      <c r="L343" s="7"/>
      <c r="M343" s="7"/>
      <c r="N343" s="7"/>
      <c r="O343" s="7"/>
      <c r="P343" s="7"/>
    </row>
    <row r="344" spans="1:16">
      <c r="G344" s="7"/>
      <c r="H344" s="7"/>
      <c r="I344" s="7"/>
      <c r="J344" s="7"/>
      <c r="K344" s="7"/>
      <c r="L344" s="7"/>
      <c r="M344" s="7"/>
      <c r="N344" s="7"/>
      <c r="O344" s="7"/>
      <c r="P344" s="7"/>
    </row>
    <row r="345" spans="1:16">
      <c r="G345" s="7"/>
      <c r="H345" s="7"/>
      <c r="I345" s="7"/>
      <c r="J345" s="7"/>
      <c r="K345" s="7"/>
      <c r="L345" s="7"/>
      <c r="M345" s="7"/>
      <c r="N345" s="7"/>
      <c r="O345" s="7"/>
      <c r="P345" s="7"/>
    </row>
    <row r="346" spans="1:16">
      <c r="G346" s="7"/>
      <c r="H346" s="7"/>
      <c r="I346" s="7"/>
      <c r="J346" s="7"/>
      <c r="K346" s="7"/>
      <c r="L346" s="7"/>
      <c r="M346" s="7"/>
      <c r="N346" s="7"/>
      <c r="O346" s="7"/>
      <c r="P346" s="7"/>
    </row>
    <row r="347" spans="1:16">
      <c r="G347" s="7"/>
      <c r="H347" s="7"/>
      <c r="I347" s="7"/>
      <c r="J347" s="7"/>
      <c r="K347" s="7"/>
      <c r="L347" s="7"/>
      <c r="M347" s="7"/>
      <c r="N347" s="7"/>
      <c r="O347" s="7"/>
      <c r="P347" s="7"/>
    </row>
    <row r="348" spans="1:16">
      <c r="G348" s="7"/>
      <c r="H348" s="7"/>
      <c r="I348" s="7"/>
      <c r="J348" s="7"/>
      <c r="K348" s="7"/>
      <c r="L348" s="7"/>
      <c r="M348" s="7"/>
      <c r="N348" s="7"/>
      <c r="O348" s="7"/>
      <c r="P348" s="7"/>
    </row>
    <row r="349" spans="1:16">
      <c r="G349" s="7"/>
      <c r="H349" s="7"/>
      <c r="I349" s="7"/>
      <c r="J349" s="7"/>
      <c r="K349" s="7"/>
      <c r="L349" s="7"/>
      <c r="M349" s="7"/>
      <c r="N349" s="7"/>
      <c r="O349" s="7"/>
      <c r="P349" s="7"/>
    </row>
    <row r="350" spans="1:16">
      <c r="G350" s="7"/>
      <c r="H350" s="7"/>
      <c r="I350" s="7"/>
      <c r="J350" s="7"/>
      <c r="K350" s="7"/>
      <c r="L350" s="7"/>
      <c r="M350" s="7"/>
      <c r="N350" s="7"/>
      <c r="O350" s="7"/>
      <c r="P350" s="7"/>
    </row>
    <row r="351" spans="1:16">
      <c r="G351" s="7"/>
      <c r="H351" s="7"/>
      <c r="I351" s="7"/>
      <c r="J351" s="7"/>
      <c r="K351" s="7"/>
      <c r="L351" s="7"/>
      <c r="M351" s="7"/>
      <c r="N351" s="7"/>
      <c r="O351" s="7"/>
      <c r="P351" s="7"/>
    </row>
    <row r="352" spans="1:16">
      <c r="G352" s="7"/>
      <c r="H352" s="7"/>
      <c r="I352" s="7"/>
      <c r="J352" s="7"/>
      <c r="K352" s="7"/>
      <c r="L352" s="7"/>
      <c r="M352" s="7"/>
      <c r="N352" s="7"/>
      <c r="O352" s="7"/>
      <c r="P352" s="7"/>
    </row>
    <row r="353" spans="7:16">
      <c r="G353" s="7"/>
      <c r="H353" s="7"/>
      <c r="I353" s="7"/>
      <c r="J353" s="7"/>
      <c r="K353" s="7"/>
      <c r="L353" s="7"/>
      <c r="M353" s="7"/>
      <c r="N353" s="7"/>
      <c r="O353" s="7"/>
      <c r="P353" s="7"/>
    </row>
    <row r="354" spans="7:16">
      <c r="G354" s="7"/>
      <c r="H354" s="7"/>
      <c r="I354" s="7"/>
      <c r="J354" s="7"/>
      <c r="K354" s="7"/>
      <c r="L354" s="7"/>
      <c r="M354" s="7"/>
      <c r="N354" s="7"/>
      <c r="O354" s="7"/>
      <c r="P354" s="7"/>
    </row>
  </sheetData>
  <mergeCells count="15">
    <mergeCell ref="B296:E296"/>
    <mergeCell ref="A281:D281"/>
    <mergeCell ref="E281:F281"/>
    <mergeCell ref="B282:E282"/>
    <mergeCell ref="A252:D252"/>
    <mergeCell ref="E252:F252"/>
    <mergeCell ref="B280:E280"/>
    <mergeCell ref="A279:D279"/>
    <mergeCell ref="E279:F279"/>
    <mergeCell ref="A268:D268"/>
    <mergeCell ref="E268:F268"/>
    <mergeCell ref="B269:E269"/>
    <mergeCell ref="A272:D272"/>
    <mergeCell ref="E272:F272"/>
    <mergeCell ref="B273:E273"/>
  </mergeCells>
  <pageMargins left="0.75" right="0.75" top="1" bottom="1" header="0.5" footer="0.5"/>
  <pageSetup paperSize="9"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0C5D5-BF52-41A2-9563-93739FDE26FE}">
  <dimension ref="A1:P266"/>
  <sheetViews>
    <sheetView tabSelected="1" zoomScale="40" zoomScaleNormal="40" workbookViewId="0">
      <pane ySplit="1" topLeftCell="A2" activePane="bottomLeft" state="frozen"/>
      <selection pane="bottomLeft" activeCell="P199" sqref="J1:P199"/>
    </sheetView>
  </sheetViews>
  <sheetFormatPr defaultRowHeight="15.5"/>
  <cols>
    <col min="1" max="1" width="7.4140625" bestFit="1" customWidth="1"/>
    <col min="2" max="2" width="14.1640625" bestFit="1" customWidth="1"/>
    <col min="3" max="3" width="20.83203125" bestFit="1" customWidth="1"/>
    <col min="10" max="10" width="11.58203125" customWidth="1"/>
    <col min="11" max="11" width="16.75" customWidth="1"/>
    <col min="12" max="12" width="24.9140625" bestFit="1" customWidth="1"/>
    <col min="13" max="13" width="17.1640625" customWidth="1"/>
    <col min="14" max="14" width="20.9140625" customWidth="1"/>
    <col min="15" max="15" width="19.08203125" bestFit="1" customWidth="1"/>
    <col min="16" max="16" width="22.83203125" bestFit="1" customWidth="1"/>
  </cols>
  <sheetData>
    <row r="1" spans="1:16">
      <c r="A1" t="s">
        <v>7</v>
      </c>
      <c r="B1" t="s">
        <v>8</v>
      </c>
      <c r="J1" t="s">
        <v>470</v>
      </c>
      <c r="K1" t="s">
        <v>464</v>
      </c>
      <c r="L1" t="s">
        <v>465</v>
      </c>
      <c r="M1" t="s">
        <v>466</v>
      </c>
      <c r="N1" t="s">
        <v>468</v>
      </c>
      <c r="O1" t="s">
        <v>467</v>
      </c>
      <c r="P1" t="s">
        <v>469</v>
      </c>
    </row>
    <row r="2" spans="1:16">
      <c r="F2" t="s">
        <v>337</v>
      </c>
      <c r="K2" t="s">
        <v>8</v>
      </c>
      <c r="P2" t="s">
        <v>337</v>
      </c>
    </row>
    <row r="3" spans="1:16">
      <c r="F3" t="s">
        <v>419</v>
      </c>
      <c r="K3" t="s">
        <v>8</v>
      </c>
      <c r="P3" t="s">
        <v>419</v>
      </c>
    </row>
    <row r="4" spans="1:16">
      <c r="B4" t="s">
        <v>79</v>
      </c>
      <c r="C4" t="s">
        <v>85</v>
      </c>
      <c r="K4" t="s">
        <v>8</v>
      </c>
      <c r="L4" t="s">
        <v>85</v>
      </c>
      <c r="P4" t="s">
        <v>292</v>
      </c>
    </row>
    <row r="5" spans="1:16">
      <c r="F5" t="s">
        <v>292</v>
      </c>
      <c r="K5" t="s">
        <v>8</v>
      </c>
      <c r="L5" t="s">
        <v>85</v>
      </c>
      <c r="M5" t="s">
        <v>280</v>
      </c>
      <c r="N5" t="s">
        <v>281</v>
      </c>
      <c r="O5" t="s">
        <v>282</v>
      </c>
    </row>
    <row r="6" spans="1:16">
      <c r="C6" t="s">
        <v>10</v>
      </c>
      <c r="D6" t="s">
        <v>280</v>
      </c>
      <c r="K6" t="s">
        <v>8</v>
      </c>
      <c r="L6" t="s">
        <v>85</v>
      </c>
      <c r="M6" t="s">
        <v>278</v>
      </c>
      <c r="N6" t="s">
        <v>279</v>
      </c>
      <c r="O6" t="s">
        <v>5</v>
      </c>
    </row>
    <row r="7" spans="1:16">
      <c r="D7" t="s">
        <v>12</v>
      </c>
      <c r="E7" t="s">
        <v>281</v>
      </c>
      <c r="K7" t="s">
        <v>8</v>
      </c>
      <c r="L7" t="s">
        <v>85</v>
      </c>
      <c r="M7" t="s">
        <v>283</v>
      </c>
    </row>
    <row r="8" spans="1:16">
      <c r="E8" t="s">
        <v>14</v>
      </c>
      <c r="F8" t="s">
        <v>282</v>
      </c>
      <c r="K8" t="s">
        <v>8</v>
      </c>
      <c r="L8" t="s">
        <v>85</v>
      </c>
      <c r="M8" t="s">
        <v>275</v>
      </c>
      <c r="N8" t="s">
        <v>276</v>
      </c>
      <c r="O8" t="s">
        <v>277</v>
      </c>
    </row>
    <row r="9" spans="1:16">
      <c r="K9" t="s">
        <v>8</v>
      </c>
      <c r="L9" t="s">
        <v>85</v>
      </c>
      <c r="M9" t="s">
        <v>275</v>
      </c>
      <c r="N9" t="s">
        <v>276</v>
      </c>
      <c r="O9" t="s">
        <v>336</v>
      </c>
    </row>
    <row r="10" spans="1:16">
      <c r="C10" t="s">
        <v>10</v>
      </c>
      <c r="D10" t="s">
        <v>278</v>
      </c>
      <c r="K10" t="s">
        <v>8</v>
      </c>
      <c r="L10" t="s">
        <v>303</v>
      </c>
      <c r="P10" t="s">
        <v>304</v>
      </c>
    </row>
    <row r="11" spans="1:16">
      <c r="D11" t="s">
        <v>12</v>
      </c>
      <c r="E11" t="s">
        <v>279</v>
      </c>
      <c r="K11" t="s">
        <v>73</v>
      </c>
      <c r="P11" t="s">
        <v>102</v>
      </c>
    </row>
    <row r="12" spans="1:16">
      <c r="E12" t="s">
        <v>14</v>
      </c>
      <c r="F12" t="s">
        <v>5</v>
      </c>
      <c r="K12" t="s">
        <v>73</v>
      </c>
      <c r="L12" t="s">
        <v>86</v>
      </c>
      <c r="M12" t="s">
        <v>289</v>
      </c>
      <c r="N12" t="s">
        <v>290</v>
      </c>
      <c r="O12" t="s">
        <v>389</v>
      </c>
    </row>
    <row r="13" spans="1:16">
      <c r="K13" t="s">
        <v>73</v>
      </c>
      <c r="L13" t="s">
        <v>86</v>
      </c>
      <c r="M13" t="s">
        <v>390</v>
      </c>
      <c r="N13" t="s">
        <v>391</v>
      </c>
      <c r="O13" t="s">
        <v>74</v>
      </c>
    </row>
    <row r="14" spans="1:16">
      <c r="C14" t="s">
        <v>10</v>
      </c>
      <c r="D14" t="s">
        <v>283</v>
      </c>
      <c r="K14" t="s">
        <v>73</v>
      </c>
      <c r="L14" t="s">
        <v>87</v>
      </c>
      <c r="M14" t="s">
        <v>320</v>
      </c>
      <c r="N14" t="s">
        <v>321</v>
      </c>
      <c r="O14" t="s">
        <v>75</v>
      </c>
    </row>
    <row r="15" spans="1:16">
      <c r="K15" t="s">
        <v>76</v>
      </c>
      <c r="P15" t="s">
        <v>101</v>
      </c>
    </row>
    <row r="16" spans="1:16">
      <c r="C16" t="s">
        <v>10</v>
      </c>
      <c r="D16" t="s">
        <v>275</v>
      </c>
      <c r="K16" t="s">
        <v>76</v>
      </c>
      <c r="L16" t="s">
        <v>88</v>
      </c>
      <c r="P16" t="s">
        <v>78</v>
      </c>
    </row>
    <row r="17" spans="1:16">
      <c r="D17" t="s">
        <v>12</v>
      </c>
      <c r="E17" t="s">
        <v>276</v>
      </c>
      <c r="K17" t="s">
        <v>76</v>
      </c>
      <c r="L17" t="s">
        <v>88</v>
      </c>
      <c r="M17" t="s">
        <v>322</v>
      </c>
      <c r="N17" t="s">
        <v>323</v>
      </c>
      <c r="O17" t="s">
        <v>77</v>
      </c>
    </row>
    <row r="18" spans="1:16">
      <c r="E18" t="s">
        <v>14</v>
      </c>
      <c r="F18" t="s">
        <v>277</v>
      </c>
      <c r="K18" t="s">
        <v>76</v>
      </c>
      <c r="L18" t="s">
        <v>88</v>
      </c>
      <c r="M18" t="s">
        <v>324</v>
      </c>
      <c r="N18" t="s">
        <v>471</v>
      </c>
      <c r="O18" t="s">
        <v>268</v>
      </c>
    </row>
    <row r="19" spans="1:16">
      <c r="F19" t="s">
        <v>336</v>
      </c>
      <c r="K19" t="s">
        <v>347</v>
      </c>
      <c r="L19" t="s">
        <v>392</v>
      </c>
    </row>
    <row r="20" spans="1:16">
      <c r="K20" t="s">
        <v>395</v>
      </c>
      <c r="P20" t="s">
        <v>396</v>
      </c>
    </row>
    <row r="21" spans="1:16">
      <c r="B21" t="s">
        <v>79</v>
      </c>
      <c r="C21" t="s">
        <v>303</v>
      </c>
      <c r="K21" t="s">
        <v>9</v>
      </c>
      <c r="L21" t="s">
        <v>80</v>
      </c>
      <c r="P21" t="s">
        <v>103</v>
      </c>
    </row>
    <row r="22" spans="1:16">
      <c r="F22" t="s">
        <v>304</v>
      </c>
      <c r="K22" t="s">
        <v>9</v>
      </c>
      <c r="L22" t="s">
        <v>80</v>
      </c>
      <c r="M22" t="s">
        <v>325</v>
      </c>
      <c r="N22" t="s">
        <v>68</v>
      </c>
      <c r="O22" t="s">
        <v>69</v>
      </c>
    </row>
    <row r="23" spans="1:16">
      <c r="K23" t="s">
        <v>9</v>
      </c>
      <c r="L23" t="s">
        <v>80</v>
      </c>
      <c r="M23" t="s">
        <v>325</v>
      </c>
      <c r="N23" t="s">
        <v>68</v>
      </c>
      <c r="O23" t="s">
        <v>70</v>
      </c>
    </row>
    <row r="24" spans="1:16">
      <c r="A24" t="s">
        <v>7</v>
      </c>
      <c r="B24" t="s">
        <v>73</v>
      </c>
      <c r="K24" t="s">
        <v>9</v>
      </c>
      <c r="L24" t="s">
        <v>81</v>
      </c>
      <c r="P24" t="s">
        <v>100</v>
      </c>
    </row>
    <row r="25" spans="1:16">
      <c r="F25" t="s">
        <v>102</v>
      </c>
      <c r="K25" t="s">
        <v>9</v>
      </c>
      <c r="L25" t="s">
        <v>81</v>
      </c>
      <c r="M25" t="s">
        <v>272</v>
      </c>
      <c r="N25" t="s">
        <v>273</v>
      </c>
      <c r="O25" t="s">
        <v>274</v>
      </c>
    </row>
    <row r="26" spans="1:16">
      <c r="B26" t="s">
        <v>79</v>
      </c>
      <c r="C26" t="s">
        <v>86</v>
      </c>
      <c r="K26" t="s">
        <v>9</v>
      </c>
      <c r="L26" t="s">
        <v>81</v>
      </c>
      <c r="M26" t="s">
        <v>90</v>
      </c>
      <c r="N26" t="s">
        <v>91</v>
      </c>
      <c r="O26" t="s">
        <v>327</v>
      </c>
    </row>
    <row r="27" spans="1:16">
      <c r="C27" t="s">
        <v>10</v>
      </c>
      <c r="D27" t="s">
        <v>289</v>
      </c>
      <c r="K27" t="s">
        <v>9</v>
      </c>
      <c r="L27" t="s">
        <v>84</v>
      </c>
      <c r="P27" t="s">
        <v>159</v>
      </c>
    </row>
    <row r="28" spans="1:16">
      <c r="D28" t="s">
        <v>12</v>
      </c>
      <c r="E28" t="s">
        <v>290</v>
      </c>
      <c r="K28" t="s">
        <v>9</v>
      </c>
      <c r="L28" t="s">
        <v>84</v>
      </c>
      <c r="P28" t="s">
        <v>156</v>
      </c>
    </row>
    <row r="29" spans="1:16">
      <c r="E29" t="s">
        <v>14</v>
      </c>
      <c r="F29" t="s">
        <v>389</v>
      </c>
      <c r="K29" t="s">
        <v>9</v>
      </c>
      <c r="L29" t="s">
        <v>84</v>
      </c>
      <c r="M29" t="s">
        <v>11</v>
      </c>
      <c r="P29" t="s">
        <v>157</v>
      </c>
    </row>
    <row r="30" spans="1:16">
      <c r="K30" t="s">
        <v>9</v>
      </c>
      <c r="L30" t="s">
        <v>84</v>
      </c>
      <c r="M30" t="s">
        <v>11</v>
      </c>
      <c r="P30" t="s">
        <v>104</v>
      </c>
    </row>
    <row r="31" spans="1:16">
      <c r="C31" t="s">
        <v>10</v>
      </c>
      <c r="D31" t="s">
        <v>390</v>
      </c>
      <c r="K31" t="s">
        <v>9</v>
      </c>
      <c r="L31" t="s">
        <v>84</v>
      </c>
      <c r="M31" t="s">
        <v>11</v>
      </c>
      <c r="N31" t="s">
        <v>13</v>
      </c>
      <c r="O31" t="s">
        <v>15</v>
      </c>
    </row>
    <row r="32" spans="1:16">
      <c r="D32" t="s">
        <v>12</v>
      </c>
      <c r="E32" t="s">
        <v>391</v>
      </c>
      <c r="K32" t="s">
        <v>9</v>
      </c>
      <c r="L32" t="s">
        <v>84</v>
      </c>
      <c r="M32" t="s">
        <v>11</v>
      </c>
      <c r="N32" t="s">
        <v>342</v>
      </c>
      <c r="O32" t="s">
        <v>343</v>
      </c>
    </row>
    <row r="33" spans="1:15">
      <c r="E33" t="s">
        <v>14</v>
      </c>
      <c r="F33" t="s">
        <v>74</v>
      </c>
      <c r="K33" t="s">
        <v>9</v>
      </c>
      <c r="L33" t="s">
        <v>84</v>
      </c>
      <c r="M33" t="s">
        <v>11</v>
      </c>
      <c r="N33" t="s">
        <v>180</v>
      </c>
      <c r="O33" t="s">
        <v>181</v>
      </c>
    </row>
    <row r="34" spans="1:15">
      <c r="K34" t="s">
        <v>9</v>
      </c>
      <c r="L34" t="s">
        <v>84</v>
      </c>
      <c r="M34" t="s">
        <v>11</v>
      </c>
      <c r="N34" t="s">
        <v>421</v>
      </c>
      <c r="O34" t="s">
        <v>422</v>
      </c>
    </row>
    <row r="35" spans="1:15">
      <c r="B35" t="s">
        <v>79</v>
      </c>
      <c r="C35" t="s">
        <v>87</v>
      </c>
      <c r="K35" t="s">
        <v>9</v>
      </c>
      <c r="L35" t="s">
        <v>84</v>
      </c>
      <c r="M35" t="s">
        <v>11</v>
      </c>
      <c r="N35" t="s">
        <v>16</v>
      </c>
      <c r="O35" t="s">
        <v>19</v>
      </c>
    </row>
    <row r="36" spans="1:15">
      <c r="C36" t="s">
        <v>10</v>
      </c>
      <c r="D36" t="s">
        <v>320</v>
      </c>
      <c r="K36" t="s">
        <v>9</v>
      </c>
      <c r="L36" t="s">
        <v>84</v>
      </c>
      <c r="M36" t="s">
        <v>11</v>
      </c>
      <c r="N36" t="s">
        <v>16</v>
      </c>
      <c r="O36" t="s">
        <v>17</v>
      </c>
    </row>
    <row r="37" spans="1:15">
      <c r="D37" t="s">
        <v>12</v>
      </c>
      <c r="E37" t="s">
        <v>321</v>
      </c>
      <c r="K37" t="s">
        <v>9</v>
      </c>
      <c r="L37" t="s">
        <v>84</v>
      </c>
      <c r="M37" t="s">
        <v>11</v>
      </c>
      <c r="N37" t="s">
        <v>16</v>
      </c>
      <c r="O37" t="s">
        <v>18</v>
      </c>
    </row>
    <row r="38" spans="1:15">
      <c r="E38" t="s">
        <v>14</v>
      </c>
      <c r="F38" t="s">
        <v>75</v>
      </c>
      <c r="K38" t="s">
        <v>9</v>
      </c>
      <c r="L38" t="s">
        <v>84</v>
      </c>
      <c r="M38" t="s">
        <v>11</v>
      </c>
      <c r="N38" t="s">
        <v>16</v>
      </c>
      <c r="O38" t="s">
        <v>302</v>
      </c>
    </row>
    <row r="39" spans="1:15">
      <c r="K39" t="s">
        <v>9</v>
      </c>
      <c r="L39" t="s">
        <v>84</v>
      </c>
      <c r="M39" t="s">
        <v>11</v>
      </c>
      <c r="N39" t="s">
        <v>16</v>
      </c>
      <c r="O39" t="s">
        <v>169</v>
      </c>
    </row>
    <row r="40" spans="1:15">
      <c r="A40" t="s">
        <v>7</v>
      </c>
      <c r="B40" t="s">
        <v>76</v>
      </c>
      <c r="K40" t="s">
        <v>9</v>
      </c>
      <c r="L40" t="s">
        <v>84</v>
      </c>
      <c r="M40" t="s">
        <v>11</v>
      </c>
      <c r="N40" t="s">
        <v>16</v>
      </c>
      <c r="O40" t="s">
        <v>171</v>
      </c>
    </row>
    <row r="41" spans="1:15">
      <c r="F41" t="s">
        <v>101</v>
      </c>
      <c r="K41" t="s">
        <v>9</v>
      </c>
      <c r="L41" t="s">
        <v>84</v>
      </c>
      <c r="M41" t="s">
        <v>11</v>
      </c>
      <c r="N41" t="s">
        <v>16</v>
      </c>
      <c r="O41" t="s">
        <v>348</v>
      </c>
    </row>
    <row r="42" spans="1:15">
      <c r="B42" t="s">
        <v>79</v>
      </c>
      <c r="C42" t="s">
        <v>88</v>
      </c>
      <c r="K42" t="s">
        <v>9</v>
      </c>
      <c r="L42" t="s">
        <v>84</v>
      </c>
      <c r="M42" t="s">
        <v>11</v>
      </c>
      <c r="N42" t="s">
        <v>23</v>
      </c>
      <c r="O42" t="s">
        <v>20</v>
      </c>
    </row>
    <row r="43" spans="1:15">
      <c r="F43" t="s">
        <v>78</v>
      </c>
      <c r="K43" t="s">
        <v>9</v>
      </c>
      <c r="L43" t="s">
        <v>84</v>
      </c>
      <c r="M43" t="s">
        <v>11</v>
      </c>
      <c r="N43" t="s">
        <v>24</v>
      </c>
      <c r="O43" t="s">
        <v>21</v>
      </c>
    </row>
    <row r="44" spans="1:15">
      <c r="C44" t="s">
        <v>10</v>
      </c>
      <c r="D44" t="s">
        <v>322</v>
      </c>
      <c r="K44" t="s">
        <v>9</v>
      </c>
      <c r="L44" t="s">
        <v>84</v>
      </c>
      <c r="M44" t="s">
        <v>11</v>
      </c>
      <c r="N44" t="s">
        <v>25</v>
      </c>
      <c r="O44" t="s">
        <v>22</v>
      </c>
    </row>
    <row r="45" spans="1:15">
      <c r="D45" t="s">
        <v>12</v>
      </c>
      <c r="E45" t="s">
        <v>323</v>
      </c>
      <c r="K45" t="s">
        <v>9</v>
      </c>
      <c r="L45" t="s">
        <v>84</v>
      </c>
      <c r="M45" t="s">
        <v>11</v>
      </c>
      <c r="N45" t="s">
        <v>25</v>
      </c>
      <c r="O45" t="s">
        <v>338</v>
      </c>
    </row>
    <row r="46" spans="1:15">
      <c r="E46" t="s">
        <v>14</v>
      </c>
      <c r="F46" t="s">
        <v>77</v>
      </c>
      <c r="K46" t="s">
        <v>9</v>
      </c>
      <c r="L46" t="s">
        <v>84</v>
      </c>
      <c r="M46" t="s">
        <v>11</v>
      </c>
      <c r="N46" t="s">
        <v>176</v>
      </c>
      <c r="O46" t="s">
        <v>177</v>
      </c>
    </row>
    <row r="47" spans="1:15">
      <c r="K47" t="s">
        <v>9</v>
      </c>
      <c r="L47" t="s">
        <v>84</v>
      </c>
      <c r="M47" t="s">
        <v>11</v>
      </c>
      <c r="N47" t="s">
        <v>26</v>
      </c>
      <c r="O47" t="s">
        <v>297</v>
      </c>
    </row>
    <row r="48" spans="1:15">
      <c r="C48" t="s">
        <v>10</v>
      </c>
      <c r="D48" t="s">
        <v>324</v>
      </c>
      <c r="K48" t="s">
        <v>9</v>
      </c>
      <c r="L48" t="s">
        <v>84</v>
      </c>
      <c r="M48" t="s">
        <v>11</v>
      </c>
      <c r="N48" t="s">
        <v>26</v>
      </c>
      <c r="O48" t="s">
        <v>27</v>
      </c>
    </row>
    <row r="49" spans="1:16">
      <c r="C49" t="s">
        <v>223</v>
      </c>
      <c r="K49" t="s">
        <v>9</v>
      </c>
      <c r="L49" t="s">
        <v>84</v>
      </c>
      <c r="M49" t="s">
        <v>11</v>
      </c>
      <c r="N49" t="s">
        <v>28</v>
      </c>
      <c r="O49" t="s">
        <v>29</v>
      </c>
    </row>
    <row r="50" spans="1:16">
      <c r="D50" t="s">
        <v>224</v>
      </c>
      <c r="K50" t="s">
        <v>9</v>
      </c>
      <c r="L50" t="s">
        <v>84</v>
      </c>
      <c r="M50" t="s">
        <v>11</v>
      </c>
      <c r="N50" t="s">
        <v>28</v>
      </c>
      <c r="O50" t="s">
        <v>30</v>
      </c>
    </row>
    <row r="51" spans="1:16">
      <c r="K51" t="s">
        <v>9</v>
      </c>
      <c r="L51" t="s">
        <v>84</v>
      </c>
      <c r="M51" t="s">
        <v>11</v>
      </c>
      <c r="N51" t="s">
        <v>28</v>
      </c>
      <c r="O51" t="s">
        <v>173</v>
      </c>
    </row>
    <row r="52" spans="1:16">
      <c r="A52" t="s">
        <v>7</v>
      </c>
      <c r="B52" t="s">
        <v>347</v>
      </c>
      <c r="K52" t="s">
        <v>9</v>
      </c>
      <c r="L52" t="s">
        <v>84</v>
      </c>
      <c r="M52" t="s">
        <v>11</v>
      </c>
      <c r="N52" t="s">
        <v>28</v>
      </c>
      <c r="O52" t="s">
        <v>222</v>
      </c>
    </row>
    <row r="53" spans="1:16">
      <c r="B53" t="s">
        <v>79</v>
      </c>
      <c r="C53" t="s">
        <v>392</v>
      </c>
      <c r="K53" t="s">
        <v>9</v>
      </c>
      <c r="L53" t="s">
        <v>84</v>
      </c>
      <c r="M53" t="s">
        <v>11</v>
      </c>
      <c r="N53" t="s">
        <v>31</v>
      </c>
      <c r="O53" t="s">
        <v>170</v>
      </c>
    </row>
    <row r="54" spans="1:16">
      <c r="K54" t="s">
        <v>9</v>
      </c>
      <c r="L54" t="s">
        <v>84</v>
      </c>
      <c r="M54" t="s">
        <v>11</v>
      </c>
      <c r="N54" t="s">
        <v>31</v>
      </c>
      <c r="O54" t="s">
        <v>32</v>
      </c>
    </row>
    <row r="55" spans="1:16">
      <c r="A55" t="s">
        <v>7</v>
      </c>
      <c r="B55" t="s">
        <v>395</v>
      </c>
      <c r="K55" t="s">
        <v>9</v>
      </c>
      <c r="L55" t="s">
        <v>84</v>
      </c>
      <c r="M55" t="s">
        <v>11</v>
      </c>
      <c r="N55" t="s">
        <v>31</v>
      </c>
      <c r="O55" t="s">
        <v>309</v>
      </c>
    </row>
    <row r="56" spans="1:16">
      <c r="F56" t="s">
        <v>396</v>
      </c>
      <c r="K56" t="s">
        <v>9</v>
      </c>
      <c r="L56" t="s">
        <v>84</v>
      </c>
      <c r="M56" t="s">
        <v>11</v>
      </c>
      <c r="N56" t="s">
        <v>31</v>
      </c>
      <c r="O56" t="s">
        <v>344</v>
      </c>
    </row>
    <row r="57" spans="1:16">
      <c r="K57" t="s">
        <v>9</v>
      </c>
      <c r="L57" t="s">
        <v>84</v>
      </c>
      <c r="M57" t="s">
        <v>11</v>
      </c>
      <c r="N57" t="s">
        <v>33</v>
      </c>
      <c r="O57" t="s">
        <v>34</v>
      </c>
    </row>
    <row r="58" spans="1:16">
      <c r="A58" t="s">
        <v>7</v>
      </c>
      <c r="B58" t="s">
        <v>9</v>
      </c>
      <c r="K58" t="s">
        <v>9</v>
      </c>
      <c r="L58" t="s">
        <v>84</v>
      </c>
      <c r="M58" t="s">
        <v>11</v>
      </c>
      <c r="N58" t="s">
        <v>33</v>
      </c>
      <c r="O58" t="s">
        <v>341</v>
      </c>
    </row>
    <row r="59" spans="1:16">
      <c r="B59" t="s">
        <v>79</v>
      </c>
      <c r="C59" t="s">
        <v>80</v>
      </c>
      <c r="K59" t="s">
        <v>9</v>
      </c>
      <c r="L59" t="s">
        <v>84</v>
      </c>
      <c r="M59" t="s">
        <v>11</v>
      </c>
      <c r="N59" t="s">
        <v>295</v>
      </c>
      <c r="O59" t="s">
        <v>296</v>
      </c>
    </row>
    <row r="60" spans="1:16">
      <c r="F60" t="s">
        <v>103</v>
      </c>
      <c r="K60" t="s">
        <v>9</v>
      </c>
      <c r="L60" t="s">
        <v>84</v>
      </c>
      <c r="M60" t="s">
        <v>11</v>
      </c>
      <c r="N60" t="s">
        <v>160</v>
      </c>
      <c r="O60" t="s">
        <v>161</v>
      </c>
    </row>
    <row r="61" spans="1:16">
      <c r="C61" t="s">
        <v>10</v>
      </c>
      <c r="D61" t="s">
        <v>325</v>
      </c>
      <c r="K61" t="s">
        <v>9</v>
      </c>
      <c r="L61" t="s">
        <v>84</v>
      </c>
      <c r="M61" t="s">
        <v>35</v>
      </c>
      <c r="P61" t="s">
        <v>158</v>
      </c>
    </row>
    <row r="62" spans="1:16">
      <c r="D62" t="s">
        <v>12</v>
      </c>
      <c r="E62" t="s">
        <v>68</v>
      </c>
      <c r="K62" t="s">
        <v>9</v>
      </c>
      <c r="L62" t="s">
        <v>84</v>
      </c>
      <c r="M62" t="s">
        <v>35</v>
      </c>
      <c r="P62" t="s">
        <v>105</v>
      </c>
    </row>
    <row r="63" spans="1:16">
      <c r="E63" t="s">
        <v>14</v>
      </c>
      <c r="F63" t="s">
        <v>69</v>
      </c>
      <c r="K63" t="s">
        <v>9</v>
      </c>
      <c r="L63" t="s">
        <v>84</v>
      </c>
      <c r="M63" t="s">
        <v>35</v>
      </c>
      <c r="N63" t="s">
        <v>36</v>
      </c>
      <c r="O63" t="s">
        <v>37</v>
      </c>
    </row>
    <row r="64" spans="1:16">
      <c r="F64" t="s">
        <v>70</v>
      </c>
      <c r="K64" t="s">
        <v>9</v>
      </c>
      <c r="L64" t="s">
        <v>84</v>
      </c>
      <c r="M64" t="s">
        <v>35</v>
      </c>
      <c r="N64" t="s">
        <v>38</v>
      </c>
      <c r="O64" t="s">
        <v>39</v>
      </c>
    </row>
    <row r="65" spans="2:15">
      <c r="K65" t="s">
        <v>9</v>
      </c>
      <c r="L65" t="s">
        <v>84</v>
      </c>
      <c r="M65" t="s">
        <v>35</v>
      </c>
      <c r="N65" t="s">
        <v>41</v>
      </c>
      <c r="O65" t="s">
        <v>42</v>
      </c>
    </row>
    <row r="66" spans="2:15">
      <c r="C66" t="s">
        <v>10</v>
      </c>
      <c r="D66" t="s">
        <v>326</v>
      </c>
      <c r="K66" t="s">
        <v>9</v>
      </c>
      <c r="L66" t="s">
        <v>84</v>
      </c>
      <c r="M66" t="s">
        <v>35</v>
      </c>
      <c r="N66" t="s">
        <v>41</v>
      </c>
      <c r="O66" t="s">
        <v>183</v>
      </c>
    </row>
    <row r="67" spans="2:15">
      <c r="D67" t="s">
        <v>12</v>
      </c>
      <c r="E67" t="s">
        <v>71</v>
      </c>
      <c r="K67" t="s">
        <v>9</v>
      </c>
      <c r="L67" t="s">
        <v>84</v>
      </c>
      <c r="M67" t="s">
        <v>35</v>
      </c>
      <c r="N67" s="50" t="s">
        <v>287</v>
      </c>
      <c r="O67" t="s">
        <v>300</v>
      </c>
    </row>
    <row r="68" spans="2:15">
      <c r="E68" t="s">
        <v>14</v>
      </c>
      <c r="F68" t="s">
        <v>72</v>
      </c>
      <c r="K68" t="s">
        <v>9</v>
      </c>
      <c r="L68" t="s">
        <v>84</v>
      </c>
      <c r="M68" t="s">
        <v>35</v>
      </c>
      <c r="N68" s="50" t="s">
        <v>287</v>
      </c>
      <c r="O68" t="s">
        <v>286</v>
      </c>
    </row>
    <row r="69" spans="2:15">
      <c r="K69" t="s">
        <v>9</v>
      </c>
      <c r="L69" t="s">
        <v>84</v>
      </c>
      <c r="M69" t="s">
        <v>35</v>
      </c>
      <c r="N69" t="s">
        <v>397</v>
      </c>
      <c r="O69" t="s">
        <v>398</v>
      </c>
    </row>
    <row r="70" spans="2:15">
      <c r="B70" t="s">
        <v>79</v>
      </c>
      <c r="C70" t="s">
        <v>81</v>
      </c>
      <c r="K70" t="s">
        <v>9</v>
      </c>
      <c r="L70" t="s">
        <v>84</v>
      </c>
      <c r="M70" t="s">
        <v>43</v>
      </c>
      <c r="O70" t="s">
        <v>107</v>
      </c>
    </row>
    <row r="71" spans="2:15">
      <c r="F71" t="s">
        <v>100</v>
      </c>
      <c r="K71" t="s">
        <v>9</v>
      </c>
      <c r="L71" t="s">
        <v>84</v>
      </c>
      <c r="M71" t="s">
        <v>43</v>
      </c>
      <c r="N71" t="s">
        <v>44</v>
      </c>
      <c r="O71" t="s">
        <v>45</v>
      </c>
    </row>
    <row r="72" spans="2:15">
      <c r="C72" t="s">
        <v>10</v>
      </c>
      <c r="D72" t="s">
        <v>272</v>
      </c>
      <c r="K72" t="s">
        <v>9</v>
      </c>
      <c r="L72" t="s">
        <v>84</v>
      </c>
      <c r="M72" t="s">
        <v>43</v>
      </c>
      <c r="N72" t="s">
        <v>328</v>
      </c>
      <c r="O72" t="s">
        <v>47</v>
      </c>
    </row>
    <row r="73" spans="2:15">
      <c r="D73" t="s">
        <v>12</v>
      </c>
      <c r="E73" t="s">
        <v>273</v>
      </c>
      <c r="K73" t="s">
        <v>9</v>
      </c>
      <c r="L73" t="s">
        <v>84</v>
      </c>
      <c r="M73" t="s">
        <v>43</v>
      </c>
      <c r="N73" t="s">
        <v>400</v>
      </c>
      <c r="O73" t="s">
        <v>267</v>
      </c>
    </row>
    <row r="74" spans="2:15">
      <c r="E74" t="s">
        <v>14</v>
      </c>
      <c r="F74" t="s">
        <v>274</v>
      </c>
      <c r="K74" t="s">
        <v>9</v>
      </c>
      <c r="L74" t="s">
        <v>84</v>
      </c>
      <c r="M74" t="s">
        <v>43</v>
      </c>
      <c r="N74" t="s">
        <v>401</v>
      </c>
      <c r="O74" t="s">
        <v>331</v>
      </c>
    </row>
    <row r="75" spans="2:15">
      <c r="C75" t="s">
        <v>10</v>
      </c>
      <c r="D75" t="s">
        <v>90</v>
      </c>
      <c r="K75" t="s">
        <v>9</v>
      </c>
      <c r="L75" t="s">
        <v>84</v>
      </c>
      <c r="M75" t="s">
        <v>43</v>
      </c>
      <c r="N75" t="s">
        <v>402</v>
      </c>
      <c r="O75" t="s">
        <v>271</v>
      </c>
    </row>
    <row r="76" spans="2:15">
      <c r="D76" t="s">
        <v>12</v>
      </c>
      <c r="E76" t="s">
        <v>91</v>
      </c>
      <c r="K76" t="s">
        <v>9</v>
      </c>
      <c r="L76" t="s">
        <v>84</v>
      </c>
      <c r="M76" t="s">
        <v>43</v>
      </c>
      <c r="N76" t="s">
        <v>402</v>
      </c>
      <c r="O76" t="s">
        <v>301</v>
      </c>
    </row>
    <row r="77" spans="2:15">
      <c r="E77" t="s">
        <v>14</v>
      </c>
      <c r="F77" t="s">
        <v>327</v>
      </c>
      <c r="K77" t="s">
        <v>9</v>
      </c>
      <c r="L77" t="s">
        <v>84</v>
      </c>
      <c r="M77" t="s">
        <v>43</v>
      </c>
      <c r="N77" t="s">
        <v>423</v>
      </c>
      <c r="O77" t="s">
        <v>424</v>
      </c>
    </row>
    <row r="78" spans="2:15">
      <c r="K78" t="s">
        <v>9</v>
      </c>
      <c r="L78" t="s">
        <v>84</v>
      </c>
      <c r="M78" t="s">
        <v>43</v>
      </c>
      <c r="N78" t="s">
        <v>399</v>
      </c>
      <c r="O78" t="s">
        <v>403</v>
      </c>
    </row>
    <row r="79" spans="2:15">
      <c r="K79" t="s">
        <v>9</v>
      </c>
      <c r="L79" t="s">
        <v>84</v>
      </c>
      <c r="M79" t="s">
        <v>43</v>
      </c>
      <c r="N79" t="s">
        <v>399</v>
      </c>
      <c r="O79" t="s">
        <v>404</v>
      </c>
    </row>
    <row r="80" spans="2:15">
      <c r="B80" t="s">
        <v>79</v>
      </c>
      <c r="C80" t="s">
        <v>84</v>
      </c>
      <c r="K80" t="s">
        <v>9</v>
      </c>
      <c r="L80" t="s">
        <v>84</v>
      </c>
      <c r="M80" t="s">
        <v>43</v>
      </c>
      <c r="N80" t="s">
        <v>399</v>
      </c>
      <c r="O80" t="s">
        <v>405</v>
      </c>
    </row>
    <row r="81" spans="3:16">
      <c r="F81" t="s">
        <v>159</v>
      </c>
      <c r="K81" t="s">
        <v>9</v>
      </c>
      <c r="L81" t="s">
        <v>84</v>
      </c>
      <c r="M81" t="s">
        <v>406</v>
      </c>
      <c r="N81" t="s">
        <v>407</v>
      </c>
      <c r="O81" t="s">
        <v>408</v>
      </c>
    </row>
    <row r="82" spans="3:16">
      <c r="F82" t="s">
        <v>156</v>
      </c>
      <c r="K82" t="s">
        <v>9</v>
      </c>
      <c r="L82" t="s">
        <v>84</v>
      </c>
      <c r="M82" t="s">
        <v>406</v>
      </c>
      <c r="N82" t="s">
        <v>407</v>
      </c>
      <c r="O82" t="s">
        <v>409</v>
      </c>
    </row>
    <row r="83" spans="3:16">
      <c r="K83" t="s">
        <v>9</v>
      </c>
      <c r="L83" t="s">
        <v>84</v>
      </c>
      <c r="M83" t="s">
        <v>92</v>
      </c>
      <c r="P83" t="s">
        <v>93</v>
      </c>
    </row>
    <row r="84" spans="3:16">
      <c r="C84" t="s">
        <v>10</v>
      </c>
      <c r="D84" t="s">
        <v>11</v>
      </c>
      <c r="K84" t="s">
        <v>9</v>
      </c>
      <c r="L84" t="s">
        <v>84</v>
      </c>
      <c r="M84" t="s">
        <v>94</v>
      </c>
      <c r="P84" t="s">
        <v>182</v>
      </c>
    </row>
    <row r="85" spans="3:16">
      <c r="F85" t="s">
        <v>157</v>
      </c>
      <c r="K85" t="s">
        <v>9</v>
      </c>
      <c r="L85" t="s">
        <v>84</v>
      </c>
      <c r="M85" t="s">
        <v>95</v>
      </c>
      <c r="P85" t="s">
        <v>96</v>
      </c>
    </row>
    <row r="86" spans="3:16">
      <c r="F86" t="s">
        <v>104</v>
      </c>
      <c r="K86" t="s">
        <v>9</v>
      </c>
      <c r="L86" t="s">
        <v>84</v>
      </c>
      <c r="M86" t="s">
        <v>97</v>
      </c>
      <c r="N86" t="s">
        <v>332</v>
      </c>
    </row>
    <row r="87" spans="3:16">
      <c r="D87" t="s">
        <v>12</v>
      </c>
      <c r="E87" t="s">
        <v>13</v>
      </c>
      <c r="K87" t="s">
        <v>9</v>
      </c>
      <c r="L87" t="s">
        <v>84</v>
      </c>
      <c r="M87" t="s">
        <v>97</v>
      </c>
      <c r="N87" t="s">
        <v>410</v>
      </c>
    </row>
    <row r="88" spans="3:16">
      <c r="E88" t="s">
        <v>14</v>
      </c>
      <c r="F88" t="s">
        <v>15</v>
      </c>
      <c r="K88" t="s">
        <v>9</v>
      </c>
      <c r="L88" t="s">
        <v>84</v>
      </c>
      <c r="M88" t="s">
        <v>186</v>
      </c>
      <c r="P88" t="s">
        <v>187</v>
      </c>
    </row>
    <row r="89" spans="3:16">
      <c r="D89" t="s">
        <v>12</v>
      </c>
      <c r="E89" t="s">
        <v>342</v>
      </c>
      <c r="K89" t="s">
        <v>9</v>
      </c>
      <c r="L89" t="s">
        <v>84</v>
      </c>
      <c r="M89" t="s">
        <v>99</v>
      </c>
      <c r="P89" t="s">
        <v>110</v>
      </c>
    </row>
    <row r="90" spans="3:16">
      <c r="E90" t="s">
        <v>14</v>
      </c>
      <c r="F90" t="s">
        <v>343</v>
      </c>
      <c r="K90" t="s">
        <v>9</v>
      </c>
      <c r="L90" t="s">
        <v>84</v>
      </c>
      <c r="M90" t="s">
        <v>99</v>
      </c>
      <c r="P90" t="s">
        <v>109</v>
      </c>
    </row>
    <row r="91" spans="3:16">
      <c r="D91" t="s">
        <v>12</v>
      </c>
      <c r="E91" t="s">
        <v>180</v>
      </c>
      <c r="K91" t="s">
        <v>9</v>
      </c>
      <c r="L91" t="s">
        <v>84</v>
      </c>
      <c r="M91" t="s">
        <v>99</v>
      </c>
      <c r="P91" t="s">
        <v>108</v>
      </c>
    </row>
    <row r="92" spans="3:16">
      <c r="E92" t="s">
        <v>14</v>
      </c>
      <c r="F92" t="s">
        <v>181</v>
      </c>
      <c r="K92" t="s">
        <v>9</v>
      </c>
      <c r="L92" t="s">
        <v>84</v>
      </c>
      <c r="M92" t="s">
        <v>99</v>
      </c>
      <c r="P92" t="s">
        <v>121</v>
      </c>
    </row>
    <row r="93" spans="3:16">
      <c r="D93" t="s">
        <v>12</v>
      </c>
      <c r="E93" t="s">
        <v>421</v>
      </c>
      <c r="K93" t="s">
        <v>9</v>
      </c>
      <c r="L93" t="s">
        <v>84</v>
      </c>
      <c r="M93" t="s">
        <v>99</v>
      </c>
      <c r="P93" t="s">
        <v>111</v>
      </c>
    </row>
    <row r="94" spans="3:16">
      <c r="E94" t="s">
        <v>14</v>
      </c>
      <c r="F94" t="s">
        <v>422</v>
      </c>
      <c r="K94" t="s">
        <v>9</v>
      </c>
      <c r="L94" t="s">
        <v>84</v>
      </c>
      <c r="M94" t="s">
        <v>99</v>
      </c>
      <c r="P94" t="s">
        <v>174</v>
      </c>
    </row>
    <row r="95" spans="3:16">
      <c r="D95" t="s">
        <v>12</v>
      </c>
      <c r="E95" t="s">
        <v>16</v>
      </c>
      <c r="K95" t="s">
        <v>9</v>
      </c>
      <c r="L95" t="s">
        <v>84</v>
      </c>
      <c r="M95" t="s">
        <v>99</v>
      </c>
      <c r="P95" t="s">
        <v>113</v>
      </c>
    </row>
    <row r="96" spans="3:16">
      <c r="E96" t="s">
        <v>14</v>
      </c>
      <c r="F96" t="s">
        <v>19</v>
      </c>
      <c r="K96" t="s">
        <v>9</v>
      </c>
      <c r="L96" t="s">
        <v>84</v>
      </c>
      <c r="M96" t="s">
        <v>99</v>
      </c>
      <c r="P96" t="s">
        <v>420</v>
      </c>
    </row>
    <row r="97" spans="4:16">
      <c r="F97" t="s">
        <v>17</v>
      </c>
      <c r="K97" t="s">
        <v>9</v>
      </c>
      <c r="L97" t="s">
        <v>84</v>
      </c>
      <c r="M97" t="s">
        <v>99</v>
      </c>
      <c r="P97" t="s">
        <v>193</v>
      </c>
    </row>
    <row r="98" spans="4:16">
      <c r="F98" t="s">
        <v>18</v>
      </c>
      <c r="K98" t="s">
        <v>9</v>
      </c>
      <c r="L98" t="s">
        <v>84</v>
      </c>
      <c r="M98" t="s">
        <v>99</v>
      </c>
      <c r="P98" t="s">
        <v>225</v>
      </c>
    </row>
    <row r="99" spans="4:16">
      <c r="F99" t="s">
        <v>302</v>
      </c>
      <c r="K99" t="s">
        <v>9</v>
      </c>
      <c r="L99" t="s">
        <v>84</v>
      </c>
      <c r="M99" t="s">
        <v>99</v>
      </c>
      <c r="N99" t="s">
        <v>316</v>
      </c>
      <c r="O99" t="s">
        <v>112</v>
      </c>
    </row>
    <row r="100" spans="4:16">
      <c r="F100" t="s">
        <v>169</v>
      </c>
      <c r="K100" t="s">
        <v>9</v>
      </c>
      <c r="L100" t="s">
        <v>84</v>
      </c>
      <c r="M100" t="s">
        <v>333</v>
      </c>
      <c r="N100" t="s">
        <v>334</v>
      </c>
      <c r="O100" t="s">
        <v>335</v>
      </c>
    </row>
    <row r="101" spans="4:16" hidden="1">
      <c r="F101" t="s">
        <v>171</v>
      </c>
    </row>
    <row r="102" spans="4:16" hidden="1">
      <c r="F102" t="s">
        <v>348</v>
      </c>
    </row>
    <row r="103" spans="4:16" hidden="1">
      <c r="D103" t="s">
        <v>12</v>
      </c>
      <c r="E103" t="s">
        <v>23</v>
      </c>
    </row>
    <row r="104" spans="4:16" hidden="1">
      <c r="E104" t="s">
        <v>14</v>
      </c>
      <c r="F104" t="s">
        <v>20</v>
      </c>
    </row>
    <row r="105" spans="4:16" hidden="1">
      <c r="D105" t="s">
        <v>12</v>
      </c>
      <c r="E105" t="s">
        <v>24</v>
      </c>
    </row>
    <row r="106" spans="4:16" hidden="1">
      <c r="E106" t="s">
        <v>14</v>
      </c>
      <c r="F106" t="s">
        <v>21</v>
      </c>
    </row>
    <row r="107" spans="4:16" hidden="1">
      <c r="D107" t="s">
        <v>12</v>
      </c>
      <c r="E107" t="s">
        <v>25</v>
      </c>
    </row>
    <row r="108" spans="4:16" hidden="1">
      <c r="E108" t="s">
        <v>14</v>
      </c>
      <c r="F108" t="s">
        <v>22</v>
      </c>
    </row>
    <row r="109" spans="4:16" hidden="1">
      <c r="F109" t="s">
        <v>338</v>
      </c>
    </row>
    <row r="110" spans="4:16" hidden="1">
      <c r="D110" t="s">
        <v>12</v>
      </c>
      <c r="E110" t="s">
        <v>176</v>
      </c>
    </row>
    <row r="111" spans="4:16" hidden="1">
      <c r="E111" t="s">
        <v>14</v>
      </c>
      <c r="F111" t="s">
        <v>177</v>
      </c>
    </row>
    <row r="112" spans="4:16" hidden="1">
      <c r="D112" t="s">
        <v>12</v>
      </c>
      <c r="E112" t="s">
        <v>26</v>
      </c>
    </row>
    <row r="113" spans="4:6" hidden="1">
      <c r="E113" t="s">
        <v>14</v>
      </c>
      <c r="F113" t="s">
        <v>297</v>
      </c>
    </row>
    <row r="114" spans="4:6" hidden="1">
      <c r="F114" t="s">
        <v>27</v>
      </c>
    </row>
    <row r="115" spans="4:6" hidden="1">
      <c r="D115" t="s">
        <v>12</v>
      </c>
      <c r="E115" t="s">
        <v>28</v>
      </c>
    </row>
    <row r="116" spans="4:6" hidden="1">
      <c r="E116" t="s">
        <v>14</v>
      </c>
      <c r="F116" t="s">
        <v>29</v>
      </c>
    </row>
    <row r="117" spans="4:6" hidden="1">
      <c r="F117" t="s">
        <v>30</v>
      </c>
    </row>
    <row r="118" spans="4:6" hidden="1">
      <c r="F118" t="s">
        <v>173</v>
      </c>
    </row>
    <row r="119" spans="4:6" hidden="1">
      <c r="F119" t="s">
        <v>222</v>
      </c>
    </row>
    <row r="120" spans="4:6" hidden="1">
      <c r="D120" t="s">
        <v>12</v>
      </c>
      <c r="E120" t="s">
        <v>31</v>
      </c>
    </row>
    <row r="121" spans="4:6" hidden="1">
      <c r="E121" t="s">
        <v>14</v>
      </c>
      <c r="F121" t="s">
        <v>170</v>
      </c>
    </row>
    <row r="122" spans="4:6" hidden="1">
      <c r="F122" t="s">
        <v>32</v>
      </c>
    </row>
    <row r="123" spans="4:6" hidden="1">
      <c r="F123" t="s">
        <v>309</v>
      </c>
    </row>
    <row r="124" spans="4:6" hidden="1">
      <c r="F124" t="s">
        <v>344</v>
      </c>
    </row>
    <row r="125" spans="4:6" hidden="1">
      <c r="D125" t="s">
        <v>12</v>
      </c>
      <c r="E125" t="s">
        <v>33</v>
      </c>
    </row>
    <row r="126" spans="4:6" hidden="1">
      <c r="E126" t="s">
        <v>14</v>
      </c>
      <c r="F126" t="s">
        <v>34</v>
      </c>
    </row>
    <row r="127" spans="4:6" hidden="1">
      <c r="F127" t="s">
        <v>341</v>
      </c>
    </row>
    <row r="128" spans="4:6" hidden="1">
      <c r="D128" t="s">
        <v>12</v>
      </c>
      <c r="E128" t="s">
        <v>295</v>
      </c>
    </row>
    <row r="129" spans="3:6" hidden="1">
      <c r="E129" t="s">
        <v>14</v>
      </c>
      <c r="F129" t="s">
        <v>296</v>
      </c>
    </row>
    <row r="130" spans="3:6" hidden="1">
      <c r="D130" t="s">
        <v>12</v>
      </c>
      <c r="E130" t="s">
        <v>160</v>
      </c>
    </row>
    <row r="131" spans="3:6" hidden="1">
      <c r="E131" t="s">
        <v>14</v>
      </c>
      <c r="F131" t="s">
        <v>161</v>
      </c>
    </row>
    <row r="132" spans="3:6" hidden="1"/>
    <row r="133" spans="3:6" hidden="1">
      <c r="C133" t="s">
        <v>10</v>
      </c>
      <c r="D133" t="s">
        <v>35</v>
      </c>
    </row>
    <row r="134" spans="3:6" hidden="1">
      <c r="F134" t="s">
        <v>158</v>
      </c>
    </row>
    <row r="135" spans="3:6" hidden="1">
      <c r="F135" t="s">
        <v>105</v>
      </c>
    </row>
    <row r="136" spans="3:6" hidden="1">
      <c r="D136" t="s">
        <v>12</v>
      </c>
      <c r="E136" t="s">
        <v>36</v>
      </c>
    </row>
    <row r="137" spans="3:6" hidden="1">
      <c r="E137" t="s">
        <v>14</v>
      </c>
      <c r="F137" t="s">
        <v>37</v>
      </c>
    </row>
    <row r="138" spans="3:6" hidden="1">
      <c r="D138" t="s">
        <v>12</v>
      </c>
      <c r="E138" t="s">
        <v>38</v>
      </c>
    </row>
    <row r="139" spans="3:6" hidden="1">
      <c r="E139" t="s">
        <v>14</v>
      </c>
      <c r="F139" t="s">
        <v>39</v>
      </c>
    </row>
    <row r="140" spans="3:6" hidden="1">
      <c r="D140" t="s">
        <v>12</v>
      </c>
      <c r="E140" t="s">
        <v>41</v>
      </c>
    </row>
    <row r="141" spans="3:6" hidden="1">
      <c r="E141" t="s">
        <v>14</v>
      </c>
      <c r="F141" t="s">
        <v>42</v>
      </c>
    </row>
    <row r="142" spans="3:6" hidden="1">
      <c r="F142" t="s">
        <v>183</v>
      </c>
    </row>
    <row r="143" spans="3:6" hidden="1">
      <c r="D143" t="s">
        <v>12</v>
      </c>
      <c r="E143" t="s">
        <v>287</v>
      </c>
    </row>
    <row r="144" spans="3:6" hidden="1">
      <c r="E144" t="s">
        <v>14</v>
      </c>
      <c r="F144" t="s">
        <v>300</v>
      </c>
    </row>
    <row r="145" spans="2:6" hidden="1">
      <c r="F145" t="s">
        <v>286</v>
      </c>
    </row>
    <row r="146" spans="2:6" hidden="1">
      <c r="D146" t="s">
        <v>12</v>
      </c>
      <c r="E146" t="s">
        <v>397</v>
      </c>
    </row>
    <row r="147" spans="2:6" hidden="1">
      <c r="E147" t="s">
        <v>14</v>
      </c>
      <c r="F147" t="s">
        <v>398</v>
      </c>
    </row>
    <row r="148" spans="2:6" hidden="1"/>
    <row r="149" spans="2:6" hidden="1">
      <c r="C149" t="s">
        <v>10</v>
      </c>
      <c r="D149" t="s">
        <v>43</v>
      </c>
    </row>
    <row r="150" spans="2:6" hidden="1">
      <c r="F150" t="s">
        <v>107</v>
      </c>
    </row>
    <row r="151" spans="2:6" hidden="1">
      <c r="D151" t="s">
        <v>12</v>
      </c>
      <c r="E151" t="s">
        <v>44</v>
      </c>
    </row>
    <row r="152" spans="2:6" hidden="1">
      <c r="E152" t="s">
        <v>14</v>
      </c>
      <c r="F152" t="s">
        <v>45</v>
      </c>
    </row>
    <row r="153" spans="2:6" hidden="1">
      <c r="D153" t="s">
        <v>12</v>
      </c>
      <c r="E153" t="s">
        <v>328</v>
      </c>
    </row>
    <row r="154" spans="2:6" hidden="1">
      <c r="E154" t="s">
        <v>14</v>
      </c>
      <c r="F154" t="s">
        <v>47</v>
      </c>
    </row>
    <row r="155" spans="2:6" hidden="1">
      <c r="B155" t="s">
        <v>12</v>
      </c>
      <c r="E155" t="s">
        <v>400</v>
      </c>
    </row>
    <row r="156" spans="2:6" hidden="1">
      <c r="C156" t="s">
        <v>195</v>
      </c>
    </row>
    <row r="157" spans="2:6" hidden="1">
      <c r="B157" t="s">
        <v>12</v>
      </c>
      <c r="E157" t="s">
        <v>401</v>
      </c>
    </row>
    <row r="158" spans="2:6" hidden="1">
      <c r="C158" t="s">
        <v>330</v>
      </c>
      <c r="F158" t="s">
        <v>331</v>
      </c>
    </row>
    <row r="159" spans="2:6" hidden="1">
      <c r="B159" t="s">
        <v>12</v>
      </c>
      <c r="E159" t="s">
        <v>402</v>
      </c>
    </row>
    <row r="160" spans="2:6" hidden="1">
      <c r="E160" t="s">
        <v>14</v>
      </c>
      <c r="F160" t="s">
        <v>271</v>
      </c>
    </row>
    <row r="161" spans="2:6" hidden="1">
      <c r="F161" t="s">
        <v>301</v>
      </c>
    </row>
    <row r="162" spans="2:6" hidden="1">
      <c r="B162" t="s">
        <v>12</v>
      </c>
      <c r="E162" t="s">
        <v>423</v>
      </c>
    </row>
    <row r="163" spans="2:6" hidden="1">
      <c r="E163" t="s">
        <v>14</v>
      </c>
      <c r="F163" t="s">
        <v>424</v>
      </c>
    </row>
    <row r="164" spans="2:6" hidden="1">
      <c r="B164" t="s">
        <v>12</v>
      </c>
      <c r="E164" t="s">
        <v>399</v>
      </c>
    </row>
    <row r="165" spans="2:6" hidden="1">
      <c r="E165" t="s">
        <v>14</v>
      </c>
      <c r="F165" t="s">
        <v>403</v>
      </c>
    </row>
    <row r="166" spans="2:6" hidden="1">
      <c r="F166" t="s">
        <v>404</v>
      </c>
    </row>
    <row r="167" spans="2:6" hidden="1">
      <c r="F167" t="s">
        <v>405</v>
      </c>
    </row>
    <row r="168" spans="2:6" hidden="1"/>
    <row r="169" spans="2:6" hidden="1">
      <c r="C169" t="s">
        <v>10</v>
      </c>
      <c r="D169" t="s">
        <v>406</v>
      </c>
    </row>
    <row r="170" spans="2:6" hidden="1">
      <c r="D170" t="s">
        <v>12</v>
      </c>
      <c r="E170" t="s">
        <v>407</v>
      </c>
    </row>
    <row r="171" spans="2:6" hidden="1">
      <c r="E171" t="s">
        <v>14</v>
      </c>
      <c r="F171" t="s">
        <v>408</v>
      </c>
    </row>
    <row r="172" spans="2:6" hidden="1">
      <c r="F172" t="s">
        <v>409</v>
      </c>
    </row>
    <row r="173" spans="2:6" hidden="1"/>
    <row r="174" spans="2:6" hidden="1">
      <c r="B174" t="s">
        <v>79</v>
      </c>
      <c r="C174" t="s">
        <v>92</v>
      </c>
    </row>
    <row r="175" spans="2:6" hidden="1">
      <c r="F175" t="s">
        <v>93</v>
      </c>
    </row>
    <row r="176" spans="2:6" hidden="1"/>
    <row r="177" spans="1:16" hidden="1">
      <c r="B177" t="s">
        <v>79</v>
      </c>
      <c r="C177" t="s">
        <v>94</v>
      </c>
    </row>
    <row r="178" spans="1:16">
      <c r="F178" t="s">
        <v>182</v>
      </c>
      <c r="K178" t="s">
        <v>114</v>
      </c>
      <c r="L178" t="s">
        <v>115</v>
      </c>
      <c r="P178" t="s">
        <v>307</v>
      </c>
    </row>
    <row r="179" spans="1:16">
      <c r="C179" t="s">
        <v>10</v>
      </c>
      <c r="D179" t="s">
        <v>95</v>
      </c>
      <c r="K179" t="s">
        <v>114</v>
      </c>
      <c r="L179" t="s">
        <v>115</v>
      </c>
      <c r="M179" t="s">
        <v>305</v>
      </c>
      <c r="N179" t="s">
        <v>312</v>
      </c>
      <c r="O179" t="s">
        <v>313</v>
      </c>
    </row>
    <row r="180" spans="1:16">
      <c r="F180" t="s">
        <v>96</v>
      </c>
      <c r="K180" t="s">
        <v>114</v>
      </c>
      <c r="L180" t="s">
        <v>115</v>
      </c>
      <c r="M180" t="s">
        <v>305</v>
      </c>
      <c r="N180" t="s">
        <v>346</v>
      </c>
      <c r="O180" t="s">
        <v>345</v>
      </c>
    </row>
    <row r="181" spans="1:16">
      <c r="C181" t="s">
        <v>10</v>
      </c>
      <c r="D181" t="s">
        <v>97</v>
      </c>
      <c r="K181" t="s">
        <v>114</v>
      </c>
      <c r="L181" t="s">
        <v>116</v>
      </c>
      <c r="P181" t="s">
        <v>315</v>
      </c>
    </row>
    <row r="182" spans="1:16">
      <c r="A182" t="s">
        <v>12</v>
      </c>
      <c r="E182" t="s">
        <v>332</v>
      </c>
      <c r="K182" t="s">
        <v>114</v>
      </c>
      <c r="L182" t="s">
        <v>117</v>
      </c>
      <c r="P182" t="s">
        <v>118</v>
      </c>
    </row>
    <row r="183" spans="1:16">
      <c r="E183" t="s">
        <v>410</v>
      </c>
      <c r="K183" t="s">
        <v>119</v>
      </c>
      <c r="P183" t="s">
        <v>120</v>
      </c>
    </row>
    <row r="184" spans="1:16">
      <c r="C184" t="s">
        <v>10</v>
      </c>
      <c r="D184" t="s">
        <v>186</v>
      </c>
      <c r="K184" t="s">
        <v>284</v>
      </c>
      <c r="L184" t="s">
        <v>463</v>
      </c>
      <c r="O184" t="s">
        <v>394</v>
      </c>
    </row>
    <row r="185" spans="1:16">
      <c r="F185" t="s">
        <v>187</v>
      </c>
      <c r="K185" t="s">
        <v>122</v>
      </c>
      <c r="P185" t="s">
        <v>123</v>
      </c>
    </row>
    <row r="186" spans="1:16">
      <c r="C186" t="s">
        <v>10</v>
      </c>
      <c r="D186" t="s">
        <v>99</v>
      </c>
      <c r="K186" t="s">
        <v>124</v>
      </c>
      <c r="P186" t="s">
        <v>125</v>
      </c>
    </row>
    <row r="187" spans="1:16">
      <c r="F187" t="s">
        <v>110</v>
      </c>
      <c r="K187" t="s">
        <v>48</v>
      </c>
      <c r="L187" t="s">
        <v>178</v>
      </c>
      <c r="M187" t="s">
        <v>49</v>
      </c>
      <c r="N187" t="s">
        <v>50</v>
      </c>
      <c r="O187" t="s">
        <v>51</v>
      </c>
    </row>
    <row r="188" spans="1:16">
      <c r="F188" t="s">
        <v>109</v>
      </c>
      <c r="K188" t="s">
        <v>48</v>
      </c>
      <c r="L188" t="s">
        <v>178</v>
      </c>
      <c r="M188" t="s">
        <v>49</v>
      </c>
      <c r="N188" t="s">
        <v>50</v>
      </c>
      <c r="O188" t="s">
        <v>52</v>
      </c>
    </row>
    <row r="189" spans="1:16">
      <c r="F189" t="s">
        <v>108</v>
      </c>
      <c r="K189" t="s">
        <v>48</v>
      </c>
      <c r="L189" t="s">
        <v>178</v>
      </c>
      <c r="M189" t="s">
        <v>49</v>
      </c>
      <c r="N189" t="s">
        <v>50</v>
      </c>
      <c r="O189" t="s">
        <v>53</v>
      </c>
    </row>
    <row r="190" spans="1:16">
      <c r="F190" t="s">
        <v>121</v>
      </c>
      <c r="K190" t="s">
        <v>126</v>
      </c>
      <c r="P190" t="s">
        <v>128</v>
      </c>
    </row>
    <row r="191" spans="1:16">
      <c r="F191" t="s">
        <v>111</v>
      </c>
      <c r="K191" t="s">
        <v>126</v>
      </c>
      <c r="P191" t="s">
        <v>298</v>
      </c>
    </row>
    <row r="192" spans="1:16">
      <c r="F192" t="s">
        <v>174</v>
      </c>
      <c r="K192" t="s">
        <v>126</v>
      </c>
      <c r="P192" t="s">
        <v>127</v>
      </c>
    </row>
    <row r="193" spans="1:16">
      <c r="F193" t="s">
        <v>113</v>
      </c>
      <c r="K193" t="s">
        <v>126</v>
      </c>
      <c r="P193" t="s">
        <v>185</v>
      </c>
    </row>
    <row r="194" spans="1:16">
      <c r="F194" t="s">
        <v>420</v>
      </c>
      <c r="K194" t="s">
        <v>54</v>
      </c>
      <c r="L194" t="s">
        <v>250</v>
      </c>
      <c r="M194" t="s">
        <v>251</v>
      </c>
      <c r="N194" t="s">
        <v>55</v>
      </c>
      <c r="O194" t="s">
        <v>57</v>
      </c>
    </row>
    <row r="195" spans="1:16">
      <c r="F195" t="s">
        <v>193</v>
      </c>
      <c r="K195" t="s">
        <v>54</v>
      </c>
      <c r="L195" t="s">
        <v>250</v>
      </c>
      <c r="N195" t="s">
        <v>58</v>
      </c>
      <c r="O195" t="s">
        <v>60</v>
      </c>
    </row>
    <row r="196" spans="1:16">
      <c r="F196" t="s">
        <v>225</v>
      </c>
      <c r="K196" t="s">
        <v>54</v>
      </c>
      <c r="L196" t="s">
        <v>130</v>
      </c>
      <c r="M196" t="s">
        <v>61</v>
      </c>
      <c r="N196" t="s">
        <v>62</v>
      </c>
      <c r="O196" t="s">
        <v>63</v>
      </c>
    </row>
    <row r="197" spans="1:16">
      <c r="K197" t="s">
        <v>54</v>
      </c>
      <c r="L197" t="s">
        <v>130</v>
      </c>
      <c r="M197" t="s">
        <v>64</v>
      </c>
      <c r="N197" t="s">
        <v>65</v>
      </c>
      <c r="O197" t="s">
        <v>288</v>
      </c>
    </row>
    <row r="198" spans="1:16">
      <c r="A198" t="s">
        <v>12</v>
      </c>
      <c r="E198" t="s">
        <v>316</v>
      </c>
      <c r="K198" t="s">
        <v>54</v>
      </c>
      <c r="L198" t="s">
        <v>131</v>
      </c>
      <c r="P198" t="s">
        <v>132</v>
      </c>
    </row>
    <row r="199" spans="1:16">
      <c r="B199" t="s">
        <v>14</v>
      </c>
      <c r="F199" t="s">
        <v>112</v>
      </c>
      <c r="K199" t="s">
        <v>54</v>
      </c>
      <c r="L199" t="s">
        <v>131</v>
      </c>
      <c r="P199" t="s">
        <v>133</v>
      </c>
    </row>
    <row r="201" spans="1:16">
      <c r="C201" t="s">
        <v>10</v>
      </c>
      <c r="D201" t="s">
        <v>333</v>
      </c>
    </row>
    <row r="202" spans="1:16">
      <c r="A202" t="s">
        <v>12</v>
      </c>
      <c r="E202" t="s">
        <v>334</v>
      </c>
    </row>
    <row r="203" spans="1:16">
      <c r="B203" t="s">
        <v>14</v>
      </c>
      <c r="F203" t="s">
        <v>335</v>
      </c>
    </row>
    <row r="205" spans="1:16">
      <c r="A205" t="s">
        <v>7</v>
      </c>
      <c r="B205" t="s">
        <v>114</v>
      </c>
    </row>
    <row r="206" spans="1:16">
      <c r="B206" t="s">
        <v>79</v>
      </c>
      <c r="C206" t="s">
        <v>115</v>
      </c>
    </row>
    <row r="207" spans="1:16">
      <c r="F207" t="s">
        <v>307</v>
      </c>
    </row>
    <row r="208" spans="1:16">
      <c r="C208" t="s">
        <v>10</v>
      </c>
      <c r="D208" t="s">
        <v>305</v>
      </c>
    </row>
    <row r="209" spans="1:6">
      <c r="A209" t="s">
        <v>12</v>
      </c>
      <c r="E209" t="s">
        <v>312</v>
      </c>
    </row>
    <row r="210" spans="1:6">
      <c r="B210" t="s">
        <v>14</v>
      </c>
      <c r="F210" t="s">
        <v>313</v>
      </c>
    </row>
    <row r="211" spans="1:6">
      <c r="A211" t="s">
        <v>12</v>
      </c>
      <c r="E211" t="s">
        <v>346</v>
      </c>
    </row>
    <row r="212" spans="1:6">
      <c r="B212" t="s">
        <v>14</v>
      </c>
      <c r="F212" t="s">
        <v>345</v>
      </c>
    </row>
    <row r="214" spans="1:6">
      <c r="B214" t="s">
        <v>79</v>
      </c>
      <c r="C214" t="s">
        <v>116</v>
      </c>
    </row>
    <row r="215" spans="1:6">
      <c r="F215" t="s">
        <v>315</v>
      </c>
    </row>
    <row r="217" spans="1:6">
      <c r="B217" t="s">
        <v>79</v>
      </c>
      <c r="C217" t="s">
        <v>117</v>
      </c>
    </row>
    <row r="218" spans="1:6">
      <c r="F218" t="s">
        <v>118</v>
      </c>
    </row>
    <row r="220" spans="1:6">
      <c r="A220" t="s">
        <v>7</v>
      </c>
      <c r="B220" t="s">
        <v>119</v>
      </c>
    </row>
    <row r="221" spans="1:6">
      <c r="F221" t="s">
        <v>120</v>
      </c>
    </row>
    <row r="223" spans="1:6">
      <c r="A223" t="s">
        <v>7</v>
      </c>
      <c r="B223" t="s">
        <v>284</v>
      </c>
    </row>
    <row r="224" spans="1:6">
      <c r="F224" t="s">
        <v>285</v>
      </c>
    </row>
    <row r="225" spans="1:6">
      <c r="B225" t="s">
        <v>79</v>
      </c>
      <c r="C225" t="s">
        <v>463</v>
      </c>
    </row>
    <row r="226" spans="1:6">
      <c r="B226" t="s">
        <v>14</v>
      </c>
      <c r="F226" t="s">
        <v>394</v>
      </c>
    </row>
    <row r="228" spans="1:6">
      <c r="A228" t="s">
        <v>7</v>
      </c>
      <c r="B228" t="s">
        <v>122</v>
      </c>
    </row>
    <row r="229" spans="1:6">
      <c r="F229" t="s">
        <v>123</v>
      </c>
    </row>
    <row r="231" spans="1:6">
      <c r="A231" t="s">
        <v>7</v>
      </c>
      <c r="B231" t="s">
        <v>124</v>
      </c>
    </row>
    <row r="232" spans="1:6">
      <c r="F232" t="s">
        <v>125</v>
      </c>
    </row>
    <row r="234" spans="1:6">
      <c r="A234" t="s">
        <v>7</v>
      </c>
      <c r="B234" t="s">
        <v>48</v>
      </c>
    </row>
    <row r="235" spans="1:6">
      <c r="B235" t="s">
        <v>79</v>
      </c>
      <c r="C235" t="s">
        <v>178</v>
      </c>
    </row>
    <row r="236" spans="1:6">
      <c r="C236" t="s">
        <v>10</v>
      </c>
      <c r="D236" t="s">
        <v>49</v>
      </c>
    </row>
    <row r="237" spans="1:6">
      <c r="D237" t="s">
        <v>12</v>
      </c>
      <c r="E237" t="s">
        <v>50</v>
      </c>
    </row>
    <row r="238" spans="1:6">
      <c r="E238" t="s">
        <v>14</v>
      </c>
      <c r="F238" t="s">
        <v>51</v>
      </c>
    </row>
    <row r="239" spans="1:6">
      <c r="F239" t="s">
        <v>52</v>
      </c>
    </row>
    <row r="240" spans="1:6">
      <c r="F240" t="s">
        <v>53</v>
      </c>
    </row>
    <row r="242" spans="1:6">
      <c r="A242" t="s">
        <v>7</v>
      </c>
      <c r="B242" t="s">
        <v>126</v>
      </c>
    </row>
    <row r="243" spans="1:6">
      <c r="F243" t="s">
        <v>128</v>
      </c>
    </row>
    <row r="244" spans="1:6">
      <c r="F244" t="s">
        <v>298</v>
      </c>
    </row>
    <row r="245" spans="1:6">
      <c r="F245" t="s">
        <v>127</v>
      </c>
    </row>
    <row r="246" spans="1:6">
      <c r="F246" t="s">
        <v>185</v>
      </c>
    </row>
    <row r="248" spans="1:6">
      <c r="A248" t="s">
        <v>7</v>
      </c>
      <c r="B248" t="s">
        <v>54</v>
      </c>
    </row>
    <row r="249" spans="1:6">
      <c r="B249" t="s">
        <v>79</v>
      </c>
      <c r="C249" t="s">
        <v>250</v>
      </c>
    </row>
    <row r="250" spans="1:6">
      <c r="C250" t="s">
        <v>10</v>
      </c>
      <c r="D250" t="s">
        <v>251</v>
      </c>
    </row>
    <row r="251" spans="1:6">
      <c r="D251" t="s">
        <v>12</v>
      </c>
      <c r="E251" t="s">
        <v>55</v>
      </c>
    </row>
    <row r="252" spans="1:6">
      <c r="E252" t="s">
        <v>14</v>
      </c>
      <c r="F252" t="s">
        <v>57</v>
      </c>
    </row>
    <row r="253" spans="1:6">
      <c r="D253" t="s">
        <v>12</v>
      </c>
      <c r="E253" t="s">
        <v>58</v>
      </c>
    </row>
    <row r="254" spans="1:6">
      <c r="E254" t="s">
        <v>14</v>
      </c>
      <c r="F254" t="s">
        <v>60</v>
      </c>
    </row>
    <row r="256" spans="1:6">
      <c r="B256" t="s">
        <v>79</v>
      </c>
      <c r="C256" t="s">
        <v>130</v>
      </c>
    </row>
    <row r="257" spans="2:6">
      <c r="C257" t="s">
        <v>10</v>
      </c>
      <c r="D257" t="s">
        <v>61</v>
      </c>
    </row>
    <row r="258" spans="2:6">
      <c r="D258" t="s">
        <v>12</v>
      </c>
      <c r="E258" t="s">
        <v>62</v>
      </c>
    </row>
    <row r="259" spans="2:6">
      <c r="E259" t="s">
        <v>14</v>
      </c>
      <c r="F259" t="s">
        <v>63</v>
      </c>
    </row>
    <row r="260" spans="2:6">
      <c r="C260" t="s">
        <v>10</v>
      </c>
      <c r="D260" t="s">
        <v>64</v>
      </c>
    </row>
    <row r="261" spans="2:6">
      <c r="D261" t="s">
        <v>12</v>
      </c>
      <c r="E261" t="s">
        <v>65</v>
      </c>
    </row>
    <row r="262" spans="2:6">
      <c r="E262" t="s">
        <v>14</v>
      </c>
      <c r="F262" t="s">
        <v>288</v>
      </c>
    </row>
    <row r="264" spans="2:6">
      <c r="B264" t="s">
        <v>79</v>
      </c>
      <c r="C264" t="s">
        <v>131</v>
      </c>
    </row>
    <row r="265" spans="2:6">
      <c r="F265" t="s">
        <v>132</v>
      </c>
    </row>
    <row r="266" spans="2:6">
      <c r="F266" t="s">
        <v>133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G149"/>
  <sheetViews>
    <sheetView topLeftCell="A127" zoomScale="54" workbookViewId="0">
      <selection activeCell="E156" sqref="E156"/>
    </sheetView>
  </sheetViews>
  <sheetFormatPr defaultRowHeight="15.5"/>
  <cols>
    <col min="1" max="1" width="25.4140625" customWidth="1"/>
    <col min="2" max="7" width="14.08203125" customWidth="1"/>
  </cols>
  <sheetData>
    <row r="3" spans="1:7">
      <c r="B3" s="88" t="s">
        <v>243</v>
      </c>
    </row>
    <row r="4" spans="1:7">
      <c r="A4" s="88" t="s">
        <v>240</v>
      </c>
      <c r="B4" t="s">
        <v>244</v>
      </c>
      <c r="C4" t="s">
        <v>245</v>
      </c>
      <c r="D4" t="s">
        <v>246</v>
      </c>
      <c r="E4" t="s">
        <v>247</v>
      </c>
      <c r="F4" t="s">
        <v>248</v>
      </c>
      <c r="G4" t="s">
        <v>249</v>
      </c>
    </row>
    <row r="5" spans="1:7">
      <c r="A5" s="49" t="s">
        <v>76</v>
      </c>
    </row>
    <row r="6" spans="1:7">
      <c r="A6" s="89" t="s">
        <v>88</v>
      </c>
    </row>
    <row r="7" spans="1:7">
      <c r="A7" s="90" t="s">
        <v>241</v>
      </c>
    </row>
    <row r="8" spans="1:7">
      <c r="A8" s="91" t="s">
        <v>233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s="91" t="s">
        <v>241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s="89" t="s">
        <v>241</v>
      </c>
    </row>
    <row r="11" spans="1:7">
      <c r="A11" s="90" t="s">
        <v>241</v>
      </c>
    </row>
    <row r="12" spans="1:7">
      <c r="A12" s="91" t="s">
        <v>241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s="49" t="s">
        <v>9</v>
      </c>
    </row>
    <row r="14" spans="1:7">
      <c r="A14" s="89" t="s">
        <v>80</v>
      </c>
    </row>
    <row r="15" spans="1:7">
      <c r="A15" s="90" t="s">
        <v>67</v>
      </c>
    </row>
    <row r="16" spans="1:7">
      <c r="A16" s="91" t="s">
        <v>68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91" t="s">
        <v>71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90" t="s">
        <v>241</v>
      </c>
    </row>
    <row r="19" spans="1:7">
      <c r="A19" s="91" t="s">
        <v>241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89" t="s">
        <v>92</v>
      </c>
    </row>
    <row r="21" spans="1:7">
      <c r="A21" s="90" t="s">
        <v>241</v>
      </c>
    </row>
    <row r="22" spans="1:7">
      <c r="A22" s="91" t="s">
        <v>241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s="89" t="s">
        <v>84</v>
      </c>
    </row>
    <row r="24" spans="1:7">
      <c r="A24" s="90" t="s">
        <v>11</v>
      </c>
    </row>
    <row r="25" spans="1:7">
      <c r="A25" s="91" t="s">
        <v>13</v>
      </c>
      <c r="B25">
        <v>0</v>
      </c>
      <c r="C25">
        <v>1.0864977448406723E-2</v>
      </c>
      <c r="D25">
        <v>1.0864977448406723E-2</v>
      </c>
      <c r="E25">
        <v>2.1729954896813446E-2</v>
      </c>
      <c r="F25">
        <v>2.1729954896813446E-2</v>
      </c>
      <c r="G25">
        <v>1.0864977448406723E-2</v>
      </c>
    </row>
    <row r="26" spans="1:7">
      <c r="A26" s="91" t="s">
        <v>180</v>
      </c>
      <c r="B26">
        <v>2.1729954896813446E-2</v>
      </c>
      <c r="C26">
        <v>0</v>
      </c>
      <c r="D26">
        <v>2.1729954896813446E-2</v>
      </c>
      <c r="E26">
        <v>0</v>
      </c>
      <c r="F26">
        <v>6.5189864690440344E-2</v>
      </c>
      <c r="G26">
        <v>0</v>
      </c>
    </row>
    <row r="27" spans="1:7">
      <c r="A27" s="91" t="s">
        <v>16</v>
      </c>
      <c r="B27">
        <v>0</v>
      </c>
      <c r="C27">
        <v>3.2594932345220172E-2</v>
      </c>
      <c r="D27">
        <v>3.2594932345220172E-2</v>
      </c>
      <c r="E27">
        <v>0</v>
      </c>
      <c r="F27">
        <v>2.1729954896813446E-2</v>
      </c>
      <c r="G27">
        <v>2.1729954896813446E-2</v>
      </c>
    </row>
    <row r="28" spans="1:7">
      <c r="A28" s="91" t="s">
        <v>23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s="91" t="s">
        <v>24</v>
      </c>
      <c r="B29">
        <v>2.1729954896813446E-2</v>
      </c>
      <c r="C29">
        <v>0</v>
      </c>
      <c r="D29">
        <v>3.2594932345220172E-2</v>
      </c>
      <c r="E29">
        <v>2.1729954896813446E-2</v>
      </c>
      <c r="F29">
        <v>0</v>
      </c>
      <c r="G29">
        <v>5.4324887242033618E-2</v>
      </c>
    </row>
    <row r="30" spans="1:7">
      <c r="A30" s="91" t="s">
        <v>25</v>
      </c>
      <c r="B30">
        <v>0.24989448131335465</v>
      </c>
      <c r="C30">
        <v>2.1729954896813446E-2</v>
      </c>
      <c r="D30">
        <v>0.10864977448406724</v>
      </c>
      <c r="E30">
        <v>2.1729954896813446E-2</v>
      </c>
      <c r="F30">
        <v>0.41286914303945549</v>
      </c>
      <c r="G30">
        <v>0.33681430090060843</v>
      </c>
    </row>
    <row r="31" spans="1:7">
      <c r="A31" s="91" t="s">
        <v>26</v>
      </c>
      <c r="B31">
        <v>0</v>
      </c>
      <c r="C31">
        <v>1.0864977448406723E-2</v>
      </c>
      <c r="D31">
        <v>0</v>
      </c>
      <c r="E31">
        <v>0</v>
      </c>
      <c r="F31">
        <v>1.0864977448406723E-2</v>
      </c>
      <c r="G31">
        <v>0</v>
      </c>
    </row>
    <row r="32" spans="1:7">
      <c r="A32" s="91" t="s">
        <v>176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91" t="s">
        <v>28</v>
      </c>
      <c r="B33">
        <v>0.510653940075116</v>
      </c>
      <c r="C33">
        <v>4.3459909793626891E-2</v>
      </c>
      <c r="D33">
        <v>0.13037972938088069</v>
      </c>
      <c r="E33">
        <v>8.6919819587253783E-2</v>
      </c>
      <c r="F33">
        <v>0.4889239851783026</v>
      </c>
      <c r="G33">
        <v>0.27162443621016807</v>
      </c>
    </row>
    <row r="34" spans="1:7">
      <c r="A34" s="91" t="s">
        <v>31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s="91" t="s">
        <v>160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s="91" t="s">
        <v>33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s="91" t="s">
        <v>241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s="90" t="s">
        <v>35</v>
      </c>
    </row>
    <row r="39" spans="1:7">
      <c r="A39" s="91" t="s">
        <v>36</v>
      </c>
      <c r="B39">
        <v>0</v>
      </c>
      <c r="C39">
        <v>1.0864977448406723E-2</v>
      </c>
      <c r="D39">
        <v>0</v>
      </c>
      <c r="E39">
        <v>0</v>
      </c>
      <c r="F39">
        <v>1.0864977448406723E-2</v>
      </c>
      <c r="G39">
        <v>0</v>
      </c>
    </row>
    <row r="40" spans="1:7">
      <c r="A40" s="91" t="s">
        <v>38</v>
      </c>
      <c r="B40">
        <v>0.67362860180121686</v>
      </c>
      <c r="C40">
        <v>3.2594932345220172E-2</v>
      </c>
      <c r="D40">
        <v>0.16297466172610084</v>
      </c>
      <c r="E40">
        <v>0.10864977448406724</v>
      </c>
      <c r="F40">
        <v>0.52151891752352275</v>
      </c>
      <c r="G40">
        <v>0.42373412048786219</v>
      </c>
    </row>
    <row r="41" spans="1:7">
      <c r="A41" s="91" t="s">
        <v>241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s="90" t="s">
        <v>43</v>
      </c>
    </row>
    <row r="43" spans="1:7">
      <c r="A43" s="91" t="s">
        <v>236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91" t="s">
        <v>44</v>
      </c>
      <c r="B44">
        <v>1.0864977448406723E-2</v>
      </c>
      <c r="C44">
        <v>1.0864977448406723E-2</v>
      </c>
      <c r="D44">
        <v>0</v>
      </c>
      <c r="E44">
        <v>0</v>
      </c>
      <c r="F44">
        <v>1.0864977448406723E-2</v>
      </c>
      <c r="G44">
        <v>0</v>
      </c>
    </row>
    <row r="45" spans="1:7">
      <c r="A45" s="91" t="s">
        <v>46</v>
      </c>
      <c r="B45">
        <v>9.7784797035660509E-2</v>
      </c>
      <c r="C45">
        <v>0</v>
      </c>
      <c r="D45">
        <v>8.6919819587253783E-2</v>
      </c>
      <c r="E45">
        <v>0.10864977448406724</v>
      </c>
      <c r="F45">
        <v>7.605484213884707E-2</v>
      </c>
      <c r="G45">
        <v>0.23902950386494792</v>
      </c>
    </row>
    <row r="46" spans="1:7">
      <c r="A46" s="91" t="s">
        <v>238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91" t="s">
        <v>241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s="90" t="s">
        <v>40</v>
      </c>
    </row>
    <row r="49" spans="1:7">
      <c r="A49" s="91" t="s">
        <v>41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s="91" t="s">
        <v>241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s="90" t="s">
        <v>241</v>
      </c>
    </row>
    <row r="52" spans="1:7">
      <c r="A52" s="91" t="s">
        <v>241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s="89" t="s">
        <v>94</v>
      </c>
    </row>
    <row r="54" spans="1:7">
      <c r="A54" s="90" t="s">
        <v>97</v>
      </c>
    </row>
    <row r="55" spans="1:7">
      <c r="A55" s="91" t="s">
        <v>241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90" t="s">
        <v>99</v>
      </c>
    </row>
    <row r="57" spans="1:7">
      <c r="A57" s="91" t="s">
        <v>241</v>
      </c>
      <c r="B57">
        <v>2.1729954896813446E-2</v>
      </c>
      <c r="C57">
        <v>1.0864977448406723E-2</v>
      </c>
      <c r="D57">
        <v>1.0864977448406723E-2</v>
      </c>
      <c r="E57">
        <v>2.1729954896813446E-2</v>
      </c>
      <c r="F57">
        <v>0</v>
      </c>
      <c r="G57">
        <v>2.1729954896813446E-2</v>
      </c>
    </row>
    <row r="58" spans="1:7">
      <c r="A58" s="90" t="s">
        <v>186</v>
      </c>
    </row>
    <row r="59" spans="1:7">
      <c r="A59" s="91" t="s">
        <v>241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90" t="s">
        <v>95</v>
      </c>
    </row>
    <row r="61" spans="1:7">
      <c r="A61" s="91" t="s">
        <v>241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s="90" t="s">
        <v>241</v>
      </c>
    </row>
    <row r="63" spans="1:7">
      <c r="A63" s="91" t="s">
        <v>241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89" t="s">
        <v>81</v>
      </c>
    </row>
    <row r="65" spans="1:7">
      <c r="A65" s="90" t="s">
        <v>90</v>
      </c>
    </row>
    <row r="66" spans="1:7">
      <c r="A66" s="91" t="s">
        <v>91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90" t="s">
        <v>241</v>
      </c>
    </row>
    <row r="68" spans="1:7">
      <c r="A68" s="91" t="s">
        <v>241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49" t="s">
        <v>119</v>
      </c>
    </row>
    <row r="70" spans="1:7">
      <c r="A70" s="89" t="s">
        <v>241</v>
      </c>
    </row>
    <row r="71" spans="1:7">
      <c r="A71" s="90" t="s">
        <v>241</v>
      </c>
    </row>
    <row r="72" spans="1:7">
      <c r="A72" s="91" t="s">
        <v>241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49" t="s">
        <v>48</v>
      </c>
    </row>
    <row r="74" spans="1:7">
      <c r="A74" s="89" t="s">
        <v>178</v>
      </c>
    </row>
    <row r="75" spans="1:7">
      <c r="A75" s="90" t="s">
        <v>49</v>
      </c>
    </row>
    <row r="76" spans="1:7">
      <c r="A76" s="91" t="s">
        <v>50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49" t="s">
        <v>54</v>
      </c>
    </row>
    <row r="78" spans="1:7">
      <c r="A78" s="89" t="s">
        <v>129</v>
      </c>
    </row>
    <row r="79" spans="1:7">
      <c r="A79" s="90" t="s">
        <v>55</v>
      </c>
    </row>
    <row r="80" spans="1:7">
      <c r="A80" s="91" t="s">
        <v>56</v>
      </c>
      <c r="B80">
        <v>0</v>
      </c>
      <c r="C80">
        <v>2.1729954896813446E-2</v>
      </c>
      <c r="D80">
        <v>0</v>
      </c>
      <c r="E80">
        <v>2.1729954896813446E-2</v>
      </c>
      <c r="F80">
        <v>0</v>
      </c>
      <c r="G80">
        <v>0</v>
      </c>
    </row>
    <row r="81" spans="1:7">
      <c r="A81" s="90" t="s">
        <v>58</v>
      </c>
    </row>
    <row r="82" spans="1:7">
      <c r="A82" s="91" t="s">
        <v>59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89" t="s">
        <v>131</v>
      </c>
    </row>
    <row r="84" spans="1:7">
      <c r="A84" s="90" t="s">
        <v>241</v>
      </c>
    </row>
    <row r="85" spans="1:7">
      <c r="A85" s="91" t="s">
        <v>241</v>
      </c>
      <c r="B85">
        <v>1.7601263466418891</v>
      </c>
      <c r="C85">
        <v>0.32594932345220173</v>
      </c>
      <c r="D85">
        <v>0.72795348904325052</v>
      </c>
      <c r="E85">
        <v>0.65189864690440347</v>
      </c>
      <c r="F85">
        <v>1.8144512338839229</v>
      </c>
      <c r="G85">
        <v>1.4885019104317212</v>
      </c>
    </row>
    <row r="86" spans="1:7">
      <c r="A86" s="89" t="s">
        <v>130</v>
      </c>
    </row>
    <row r="87" spans="1:7">
      <c r="A87" s="90" t="s">
        <v>61</v>
      </c>
    </row>
    <row r="88" spans="1:7">
      <c r="A88" s="91" t="s">
        <v>62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</row>
    <row r="89" spans="1:7">
      <c r="A89" s="90" t="s">
        <v>64</v>
      </c>
    </row>
    <row r="90" spans="1:7">
      <c r="A90" s="91" t="s">
        <v>65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1" spans="1:7">
      <c r="A91" s="49" t="s">
        <v>151</v>
      </c>
    </row>
    <row r="92" spans="1:7">
      <c r="A92" s="89" t="s">
        <v>152</v>
      </c>
    </row>
    <row r="93" spans="1:7">
      <c r="A93" s="90" t="s">
        <v>153</v>
      </c>
    </row>
    <row r="94" spans="1:7">
      <c r="A94" s="91" t="s">
        <v>154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49" t="s">
        <v>8</v>
      </c>
    </row>
    <row r="96" spans="1:7">
      <c r="A96" s="89" t="s">
        <v>85</v>
      </c>
    </row>
    <row r="97" spans="1:7">
      <c r="A97" s="90" t="s">
        <v>241</v>
      </c>
    </row>
    <row r="98" spans="1:7">
      <c r="A98" s="91" t="s">
        <v>241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89" t="s">
        <v>241</v>
      </c>
    </row>
    <row r="100" spans="1:7">
      <c r="A100" s="90" t="s">
        <v>241</v>
      </c>
    </row>
    <row r="101" spans="1:7">
      <c r="A101" s="91" t="s">
        <v>241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</row>
    <row r="102" spans="1:7">
      <c r="A102" s="49" t="s">
        <v>73</v>
      </c>
    </row>
    <row r="103" spans="1:7">
      <c r="A103" s="89" t="s">
        <v>87</v>
      </c>
    </row>
    <row r="104" spans="1:7">
      <c r="A104" s="90" t="s">
        <v>241</v>
      </c>
    </row>
    <row r="105" spans="1:7">
      <c r="A105" s="91" t="s">
        <v>241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</row>
    <row r="106" spans="1:7">
      <c r="A106" s="89" t="s">
        <v>86</v>
      </c>
    </row>
    <row r="107" spans="1:7">
      <c r="A107" s="90" t="s">
        <v>241</v>
      </c>
    </row>
    <row r="108" spans="1:7">
      <c r="A108" s="91" t="s">
        <v>241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</row>
    <row r="109" spans="1:7">
      <c r="A109" s="89" t="s">
        <v>241</v>
      </c>
    </row>
    <row r="110" spans="1:7">
      <c r="A110" s="90" t="s">
        <v>241</v>
      </c>
    </row>
    <row r="111" spans="1:7">
      <c r="A111" s="91" t="s">
        <v>241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</row>
    <row r="112" spans="1:7">
      <c r="A112" s="49" t="s">
        <v>126</v>
      </c>
    </row>
    <row r="113" spans="1:7">
      <c r="A113" s="89" t="s">
        <v>241</v>
      </c>
    </row>
    <row r="114" spans="1:7">
      <c r="A114" s="90" t="s">
        <v>241</v>
      </c>
    </row>
    <row r="115" spans="1:7">
      <c r="A115" s="91" t="s">
        <v>241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>
      <c r="A116" s="49" t="s">
        <v>203</v>
      </c>
    </row>
    <row r="117" spans="1:7">
      <c r="A117" s="89" t="s">
        <v>204</v>
      </c>
    </row>
    <row r="118" spans="1:7">
      <c r="A118" s="90" t="s">
        <v>205</v>
      </c>
    </row>
    <row r="119" spans="1:7">
      <c r="A119" s="91" t="s">
        <v>206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</row>
    <row r="120" spans="1:7">
      <c r="A120" s="49" t="s">
        <v>114</v>
      </c>
    </row>
    <row r="121" spans="1:7">
      <c r="A121" s="89" t="s">
        <v>116</v>
      </c>
    </row>
    <row r="122" spans="1:7">
      <c r="A122" s="90" t="s">
        <v>241</v>
      </c>
    </row>
    <row r="123" spans="1:7">
      <c r="A123" s="91" t="s">
        <v>241</v>
      </c>
      <c r="B123">
        <v>0</v>
      </c>
      <c r="C123">
        <v>0</v>
      </c>
      <c r="D123">
        <v>1.0864977448406723E-2</v>
      </c>
      <c r="E123">
        <v>0</v>
      </c>
      <c r="F123">
        <v>0</v>
      </c>
      <c r="G123">
        <v>0</v>
      </c>
    </row>
    <row r="124" spans="1:7">
      <c r="A124" s="89" t="s">
        <v>117</v>
      </c>
    </row>
    <row r="125" spans="1:7">
      <c r="A125" s="90" t="s">
        <v>241</v>
      </c>
    </row>
    <row r="126" spans="1:7">
      <c r="A126" s="91" t="s">
        <v>241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</row>
    <row r="127" spans="1:7">
      <c r="A127" s="89" t="s">
        <v>115</v>
      </c>
    </row>
    <row r="128" spans="1:7">
      <c r="A128" s="90" t="s">
        <v>241</v>
      </c>
    </row>
    <row r="129" spans="1:7">
      <c r="A129" s="91" t="s">
        <v>241</v>
      </c>
      <c r="B129">
        <v>1.0864977448406723E-2</v>
      </c>
      <c r="C129">
        <v>0</v>
      </c>
      <c r="D129">
        <v>0</v>
      </c>
      <c r="E129">
        <v>0</v>
      </c>
      <c r="F129">
        <v>0</v>
      </c>
      <c r="G129">
        <v>0</v>
      </c>
    </row>
    <row r="130" spans="1:7">
      <c r="A130" s="49" t="s">
        <v>122</v>
      </c>
    </row>
    <row r="131" spans="1:7">
      <c r="A131" s="89" t="s">
        <v>241</v>
      </c>
    </row>
    <row r="132" spans="1:7">
      <c r="A132" s="90" t="s">
        <v>241</v>
      </c>
    </row>
    <row r="133" spans="1:7">
      <c r="A133" s="91" t="s">
        <v>241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</row>
    <row r="134" spans="1:7">
      <c r="A134" s="49" t="s">
        <v>188</v>
      </c>
    </row>
    <row r="135" spans="1:7">
      <c r="A135" s="89" t="s">
        <v>189</v>
      </c>
    </row>
    <row r="136" spans="1:7">
      <c r="A136" s="90" t="s">
        <v>190</v>
      </c>
    </row>
    <row r="137" spans="1:7">
      <c r="A137" s="91" t="s">
        <v>191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</row>
    <row r="138" spans="1:7">
      <c r="A138" s="49" t="s">
        <v>124</v>
      </c>
    </row>
    <row r="139" spans="1:7">
      <c r="A139" s="89" t="s">
        <v>241</v>
      </c>
    </row>
    <row r="140" spans="1:7">
      <c r="A140" s="90" t="s">
        <v>241</v>
      </c>
    </row>
    <row r="141" spans="1:7">
      <c r="A141" s="91" t="s">
        <v>241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49" t="s">
        <v>241</v>
      </c>
    </row>
    <row r="143" spans="1:7">
      <c r="A143" s="89" t="s">
        <v>162</v>
      </c>
    </row>
    <row r="144" spans="1:7">
      <c r="A144" s="90" t="s">
        <v>241</v>
      </c>
    </row>
    <row r="145" spans="1:7">
      <c r="A145" s="91" t="s">
        <v>241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</row>
    <row r="146" spans="1:7">
      <c r="A146" s="89" t="s">
        <v>241</v>
      </c>
    </row>
    <row r="147" spans="1:7">
      <c r="A147" s="90" t="s">
        <v>241</v>
      </c>
    </row>
    <row r="148" spans="1:7">
      <c r="A148" s="91" t="s">
        <v>241</v>
      </c>
      <c r="B148">
        <v>1.0864977448406723E-2</v>
      </c>
      <c r="C148">
        <v>0</v>
      </c>
      <c r="D148">
        <v>0</v>
      </c>
      <c r="E148">
        <v>2.1729954896813446E-2</v>
      </c>
      <c r="F148">
        <v>3.2594932345220165E-2</v>
      </c>
      <c r="G148">
        <v>0</v>
      </c>
    </row>
    <row r="149" spans="1:7">
      <c r="A149" s="49" t="s">
        <v>242</v>
      </c>
      <c r="B149">
        <v>3.3898729639028979</v>
      </c>
      <c r="C149">
        <v>0.53238389497192951</v>
      </c>
      <c r="D149">
        <v>1.3363922261540269</v>
      </c>
      <c r="E149">
        <v>1.0864977448406725</v>
      </c>
      <c r="F149">
        <v>3.4876577609385579</v>
      </c>
      <c r="G149">
        <v>2.8683540463793751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18"/>
  <sheetViews>
    <sheetView workbookViewId="0">
      <selection activeCell="A214" sqref="A214"/>
    </sheetView>
  </sheetViews>
  <sheetFormatPr defaultColWidth="10.9140625" defaultRowHeight="14.5"/>
  <cols>
    <col min="1" max="1" width="6.9140625" style="6" customWidth="1"/>
    <col min="2" max="2" width="9.1640625" style="6" customWidth="1"/>
    <col min="3" max="3" width="9.6640625" style="6" customWidth="1"/>
    <col min="4" max="4" width="9.5" style="6" customWidth="1"/>
    <col min="5" max="5" width="11.9140625" style="6" customWidth="1"/>
    <col min="6" max="7" width="14.5" style="6" customWidth="1"/>
    <col min="8" max="8" width="14.6640625" style="6" customWidth="1"/>
    <col min="9" max="9" width="14.5" style="6" customWidth="1"/>
    <col min="10" max="10" width="15.08203125" style="6" customWidth="1"/>
    <col min="11" max="11" width="14.08203125" style="6" customWidth="1"/>
    <col min="12" max="12" width="13" style="6" customWidth="1"/>
    <col min="13" max="14" width="10.9140625" style="6" hidden="1" customWidth="1"/>
    <col min="15" max="16384" width="10.9140625" style="6"/>
  </cols>
  <sheetData>
    <row r="1" spans="1:14" s="22" customFormat="1" ht="24.9" customHeight="1">
      <c r="A1" s="22" t="s">
        <v>167</v>
      </c>
      <c r="L1" s="32"/>
    </row>
    <row r="2" spans="1:14" s="2" customFormat="1">
      <c r="A2" s="2" t="s">
        <v>230</v>
      </c>
      <c r="L2" s="82"/>
    </row>
    <row r="3" spans="1:14" s="2" customFormat="1"/>
    <row r="4" spans="1:14" s="2" customFormat="1"/>
    <row r="5" spans="1:14" s="2" customFormat="1"/>
    <row r="6" spans="1:14" s="2" customFormat="1">
      <c r="F6" s="21"/>
      <c r="M6" s="29"/>
    </row>
    <row r="7" spans="1:14" s="2" customFormat="1">
      <c r="F7" s="3"/>
      <c r="G7" s="23"/>
      <c r="H7" s="23"/>
      <c r="I7" s="23"/>
      <c r="J7" s="23"/>
      <c r="K7" s="23"/>
      <c r="L7" s="23"/>
      <c r="M7" s="29"/>
    </row>
    <row r="8" spans="1:14" s="2" customFormat="1">
      <c r="F8" s="3"/>
      <c r="G8" s="37"/>
      <c r="H8" s="37"/>
      <c r="I8" s="37"/>
      <c r="J8" s="37"/>
      <c r="K8" s="37"/>
      <c r="L8" s="37"/>
      <c r="M8" s="76"/>
    </row>
    <row r="9" spans="1:14" s="4" customFormat="1" ht="15" thickBot="1">
      <c r="A9" s="84" t="s">
        <v>7</v>
      </c>
      <c r="B9" s="85" t="s">
        <v>79</v>
      </c>
      <c r="C9" s="85" t="s">
        <v>10</v>
      </c>
      <c r="D9" s="85" t="s">
        <v>12</v>
      </c>
      <c r="E9" s="4" t="s">
        <v>239</v>
      </c>
      <c r="F9" s="86" t="s">
        <v>14</v>
      </c>
      <c r="G9" s="87" t="str">
        <f>'Zoopl Count'!G3</f>
        <v>BZ14748</v>
      </c>
      <c r="H9" s="87" t="str">
        <f>'Zoopl Count'!H3</f>
        <v>BZ14749</v>
      </c>
      <c r="I9" s="87" t="str">
        <f>'Zoopl Count'!I3</f>
        <v>BZ14750</v>
      </c>
      <c r="J9" s="87" t="e">
        <f>'Zoopl Count'!#REF!</f>
        <v>#REF!</v>
      </c>
      <c r="K9" s="87" t="e">
        <f>'Zoopl Count'!#REF!</f>
        <v>#REF!</v>
      </c>
      <c r="L9" s="87" t="e">
        <f>'Zoopl Count'!#REF!</f>
        <v>#REF!</v>
      </c>
      <c r="M9" s="77"/>
      <c r="N9" s="2"/>
    </row>
    <row r="10" spans="1:14" s="2" customFormat="1" ht="15" thickTop="1">
      <c r="G10" s="38" t="str">
        <f>IF('Zoopl Count'!G10="","",'Zoopl Count'!G10*(2^'Zoopl Count'!G$9)/'Zoopl Count'!G$8)</f>
        <v/>
      </c>
      <c r="H10" s="38" t="str">
        <f>IF('Zoopl Count'!H10="","",'Zoopl Count'!H10*(2^'Zoopl Count'!H$9)/'Zoopl Count'!H$8)</f>
        <v/>
      </c>
      <c r="I10" s="38" t="str">
        <f>IF('Zoopl Count'!I10="","",'Zoopl Count'!I10*(2^'Zoopl Count'!I$9)/'Zoopl Count'!I$8)</f>
        <v/>
      </c>
      <c r="J10" s="38" t="e">
        <f>IF('Zoopl Count'!#REF!="","",'Zoopl Count'!#REF!*(2^'Zoopl Count'!#REF!)/'Zoopl Count'!#REF!)</f>
        <v>#REF!</v>
      </c>
      <c r="K10" s="38" t="e">
        <f>IF('Zoopl Count'!#REF!="","",'Zoopl Count'!#REF!*(2^'Zoopl Count'!#REF!)/'Zoopl Count'!#REF!)</f>
        <v>#REF!</v>
      </c>
      <c r="L10" s="38" t="e">
        <f>IF('Zoopl Count'!#REF!="","",'Zoopl Count'!#REF!*(2^'Zoopl Count'!#REF!)/'Zoopl Count'!#REF!)</f>
        <v>#REF!</v>
      </c>
      <c r="M10" s="74"/>
    </row>
    <row r="11" spans="1:14" s="2" customFormat="1">
      <c r="E11" s="46"/>
      <c r="F11" s="47"/>
      <c r="G11" s="38" t="str">
        <f>IF('Zoopl Count'!G11="","",'Zoopl Count'!G11*(2^'Zoopl Count'!G$9)/'Zoopl Count'!G$8)</f>
        <v/>
      </c>
      <c r="H11" s="38" t="str">
        <f>IF('Zoopl Count'!H11="","",'Zoopl Count'!H11*(2^'Zoopl Count'!H$9)/'Zoopl Count'!H$8)</f>
        <v/>
      </c>
      <c r="I11" s="38" t="str">
        <f>IF('Zoopl Count'!I11="","",'Zoopl Count'!I11*(2^'Zoopl Count'!I$9)/'Zoopl Count'!I$8)</f>
        <v/>
      </c>
      <c r="J11" s="38" t="e">
        <f>IF('Zoopl Count'!#REF!="","",'Zoopl Count'!#REF!*(2^'Zoopl Count'!#REF!)/'Zoopl Count'!#REF!)</f>
        <v>#REF!</v>
      </c>
      <c r="K11" s="38" t="e">
        <f>IF('Zoopl Count'!#REF!="","",'Zoopl Count'!#REF!*(2^'Zoopl Count'!#REF!)/'Zoopl Count'!#REF!)</f>
        <v>#REF!</v>
      </c>
      <c r="L11" s="38" t="e">
        <f>IF('Zoopl Count'!#REF!="","",'Zoopl Count'!#REF!*(2^'Zoopl Count'!#REF!)/'Zoopl Count'!#REF!)</f>
        <v>#REF!</v>
      </c>
      <c r="M11" s="74"/>
    </row>
    <row r="12" spans="1:14" s="2" customFormat="1">
      <c r="A12" s="46"/>
      <c r="B12" s="46"/>
      <c r="E12" s="46"/>
      <c r="F12" s="47"/>
      <c r="G12" s="38" t="str">
        <f>IF('Zoopl Count'!G12="","",'Zoopl Count'!G12*(2^'Zoopl Count'!G$9)/'Zoopl Count'!G$8)</f>
        <v/>
      </c>
      <c r="H12" s="38" t="str">
        <f>IF('Zoopl Count'!H12="","",'Zoopl Count'!H12*(2^'Zoopl Count'!H$9)/'Zoopl Count'!H$8)</f>
        <v/>
      </c>
      <c r="I12" s="38" t="str">
        <f>IF('Zoopl Count'!I12="","",'Zoopl Count'!I12*(2^'Zoopl Count'!I$9)/'Zoopl Count'!I$8)</f>
        <v/>
      </c>
      <c r="J12" s="38" t="e">
        <f>IF('Zoopl Count'!#REF!="","",'Zoopl Count'!#REF!*(2^'Zoopl Count'!#REF!)/'Zoopl Count'!#REF!)</f>
        <v>#REF!</v>
      </c>
      <c r="K12" s="38" t="e">
        <f>IF('Zoopl Count'!#REF!="","",'Zoopl Count'!#REF!*(2^'Zoopl Count'!#REF!)/'Zoopl Count'!#REF!)</f>
        <v>#REF!</v>
      </c>
      <c r="L12" s="38" t="e">
        <f>IF('Zoopl Count'!#REF!="","",'Zoopl Count'!#REF!*(2^'Zoopl Count'!#REF!)/'Zoopl Count'!#REF!)</f>
        <v>#REF!</v>
      </c>
      <c r="M12" s="74"/>
    </row>
    <row r="13" spans="1:14" s="2" customFormat="1">
      <c r="A13" s="46"/>
      <c r="B13" s="46"/>
      <c r="C13" s="46"/>
      <c r="F13" s="47"/>
      <c r="G13" s="38" t="str">
        <f>IF('Zoopl Count'!G15="","",'Zoopl Count'!G15*(2^'Zoopl Count'!G$9)/'Zoopl Count'!G$8)</f>
        <v/>
      </c>
      <c r="H13" s="38" t="str">
        <f>IF('Zoopl Count'!H15="","",'Zoopl Count'!H15*(2^'Zoopl Count'!H$9)/'Zoopl Count'!H$8)</f>
        <v/>
      </c>
      <c r="I13" s="38" t="str">
        <f>IF('Zoopl Count'!I15="","",'Zoopl Count'!I15*(2^'Zoopl Count'!I$9)/'Zoopl Count'!I$8)</f>
        <v/>
      </c>
      <c r="J13" s="38" t="e">
        <f>IF('Zoopl Count'!#REF!="","",'Zoopl Count'!#REF!*(2^'Zoopl Count'!#REF!)/'Zoopl Count'!#REF!)</f>
        <v>#REF!</v>
      </c>
      <c r="K13" s="38" t="e">
        <f>IF('Zoopl Count'!#REF!="","",'Zoopl Count'!#REF!*(2^'Zoopl Count'!#REF!)/'Zoopl Count'!#REF!)</f>
        <v>#REF!</v>
      </c>
      <c r="L13" s="38" t="e">
        <f>IF('Zoopl Count'!#REF!="","",'Zoopl Count'!#REF!*(2^'Zoopl Count'!#REF!)/'Zoopl Count'!#REF!)</f>
        <v>#REF!</v>
      </c>
      <c r="M13" s="74"/>
    </row>
    <row r="14" spans="1:14" s="2" customFormat="1">
      <c r="A14" s="2" t="s">
        <v>203</v>
      </c>
      <c r="B14" s="2" t="s">
        <v>204</v>
      </c>
      <c r="C14" s="2" t="s">
        <v>205</v>
      </c>
      <c r="D14" s="46" t="s">
        <v>206</v>
      </c>
      <c r="F14" s="51" t="s">
        <v>207</v>
      </c>
      <c r="G14" s="38" t="str">
        <f>IF('Zoopl Count'!G16="","",'Zoopl Count'!G16*(2^'Zoopl Count'!G$9)/'Zoopl Count'!G$8)</f>
        <v/>
      </c>
      <c r="H14" s="38" t="str">
        <f>IF('Zoopl Count'!H16="","",'Zoopl Count'!H16*(2^'Zoopl Count'!H$9)/'Zoopl Count'!H$8)</f>
        <v/>
      </c>
      <c r="I14" s="38" t="str">
        <f>IF('Zoopl Count'!I16="","",'Zoopl Count'!I16*(2^'Zoopl Count'!I$9)/'Zoopl Count'!I$8)</f>
        <v/>
      </c>
      <c r="J14" s="38" t="e">
        <f>IF('Zoopl Count'!#REF!="","",'Zoopl Count'!#REF!*(2^'Zoopl Count'!#REF!)/'Zoopl Count'!#REF!)</f>
        <v>#REF!</v>
      </c>
      <c r="K14" s="38" t="e">
        <f>IF('Zoopl Count'!#REF!="","",'Zoopl Count'!#REF!*(2^'Zoopl Count'!#REF!)/'Zoopl Count'!#REF!)</f>
        <v>#REF!</v>
      </c>
      <c r="L14" s="38" t="e">
        <f>IF('Zoopl Count'!#REF!="","",'Zoopl Count'!#REF!*(2^'Zoopl Count'!#REF!)/'Zoopl Count'!#REF!)</f>
        <v>#REF!</v>
      </c>
      <c r="M14" s="74"/>
    </row>
    <row r="15" spans="1:14" s="2" customFormat="1">
      <c r="F15" s="21"/>
      <c r="G15" s="38" t="str">
        <f>IF('Zoopl Count'!G35="","",'Zoopl Count'!G35*(2^'Zoopl Count'!G$9)/'Zoopl Count'!G$8)</f>
        <v/>
      </c>
      <c r="H15" s="38" t="str">
        <f>IF('Zoopl Count'!H35="","",'Zoopl Count'!H35*(2^'Zoopl Count'!H$9)/'Zoopl Count'!H$8)</f>
        <v/>
      </c>
      <c r="I15" s="38" t="str">
        <f>IF('Zoopl Count'!I35="","",'Zoopl Count'!I35*(2^'Zoopl Count'!I$9)/'Zoopl Count'!I$8)</f>
        <v/>
      </c>
      <c r="J15" s="38" t="e">
        <f>IF('Zoopl Count'!#REF!="","",'Zoopl Count'!#REF!*(2^'Zoopl Count'!#REF!)/'Zoopl Count'!#REF!)</f>
        <v>#REF!</v>
      </c>
      <c r="K15" s="38" t="e">
        <f>IF('Zoopl Count'!#REF!="","",'Zoopl Count'!#REF!*(2^'Zoopl Count'!#REF!)/'Zoopl Count'!#REF!)</f>
        <v>#REF!</v>
      </c>
      <c r="L15" s="38" t="e">
        <f>IF('Zoopl Count'!#REF!="","",'Zoopl Count'!#REF!*(2^'Zoopl Count'!#REF!)/'Zoopl Count'!#REF!)</f>
        <v>#REF!</v>
      </c>
      <c r="M15" s="74"/>
    </row>
    <row r="16" spans="1:14" s="2" customFormat="1">
      <c r="A16" s="21"/>
      <c r="F16" s="21"/>
      <c r="G16" s="38" t="e">
        <f>IF('Zoopl Count'!#REF!="","",'Zoopl Count'!#REF!*(2^'Zoopl Count'!G$9)/'Zoopl Count'!G$8)</f>
        <v>#REF!</v>
      </c>
      <c r="H16" s="38" t="e">
        <f>IF('Zoopl Count'!#REF!="","",'Zoopl Count'!#REF!*(2^'Zoopl Count'!H$9)/'Zoopl Count'!H$8)</f>
        <v>#REF!</v>
      </c>
      <c r="I16" s="38" t="e">
        <f>IF('Zoopl Count'!#REF!="","",'Zoopl Count'!#REF!*(2^'Zoopl Count'!I$9)/'Zoopl Count'!I$8)</f>
        <v>#REF!</v>
      </c>
      <c r="J16" s="38" t="e">
        <f>IF('Zoopl Count'!#REF!="","",'Zoopl Count'!#REF!*(2^'Zoopl Count'!#REF!)/'Zoopl Count'!#REF!)</f>
        <v>#REF!</v>
      </c>
      <c r="K16" s="38" t="e">
        <f>IF('Zoopl Count'!#REF!="","",'Zoopl Count'!#REF!*(2^'Zoopl Count'!#REF!)/'Zoopl Count'!#REF!)</f>
        <v>#REF!</v>
      </c>
      <c r="L16" s="38" t="e">
        <f>IF('Zoopl Count'!#REF!="","",'Zoopl Count'!#REF!*(2^'Zoopl Count'!#REF!)/'Zoopl Count'!#REF!)</f>
        <v>#REF!</v>
      </c>
      <c r="M16" s="74"/>
    </row>
    <row r="17" spans="1:14" s="2" customFormat="1">
      <c r="B17" s="40"/>
      <c r="F17" s="21"/>
      <c r="G17" s="38" t="str">
        <f>IF('Zoopl Count'!G37="","",'Zoopl Count'!G37*(2^'Zoopl Count'!G$9)/'Zoopl Count'!G$8)</f>
        <v/>
      </c>
      <c r="H17" s="38" t="str">
        <f>IF('Zoopl Count'!H37="","",'Zoopl Count'!H37*(2^'Zoopl Count'!H$9)/'Zoopl Count'!H$8)</f>
        <v/>
      </c>
      <c r="I17" s="38" t="str">
        <f>IF('Zoopl Count'!I37="","",'Zoopl Count'!I37*(2^'Zoopl Count'!I$9)/'Zoopl Count'!I$8)</f>
        <v/>
      </c>
      <c r="J17" s="38" t="e">
        <f>IF('Zoopl Count'!#REF!="","",'Zoopl Count'!#REF!*(2^'Zoopl Count'!#REF!)/'Zoopl Count'!#REF!)</f>
        <v>#REF!</v>
      </c>
      <c r="K17" s="38" t="e">
        <f>IF('Zoopl Count'!#REF!="","",'Zoopl Count'!#REF!*(2^'Zoopl Count'!#REF!)/'Zoopl Count'!#REF!)</f>
        <v>#REF!</v>
      </c>
      <c r="L17" s="38" t="e">
        <f>IF('Zoopl Count'!#REF!="","",'Zoopl Count'!#REF!*(2^'Zoopl Count'!#REF!)/'Zoopl Count'!#REF!)</f>
        <v>#REF!</v>
      </c>
      <c r="M17" s="74"/>
    </row>
    <row r="18" spans="1:14" s="2" customFormat="1">
      <c r="C18" s="40"/>
      <c r="F18" s="21"/>
      <c r="G18" s="38" t="str">
        <f>IF('Zoopl Count'!G38="","",'Zoopl Count'!G38*(2^'Zoopl Count'!G$9)/'Zoopl Count'!G$8)</f>
        <v/>
      </c>
      <c r="H18" s="38" t="str">
        <f>IF('Zoopl Count'!H38="","",'Zoopl Count'!H38*(2^'Zoopl Count'!H$9)/'Zoopl Count'!H$8)</f>
        <v/>
      </c>
      <c r="I18" s="38" t="str">
        <f>IF('Zoopl Count'!I38="","",'Zoopl Count'!I38*(2^'Zoopl Count'!I$9)/'Zoopl Count'!I$8)</f>
        <v/>
      </c>
      <c r="J18" s="38" t="e">
        <f>IF('Zoopl Count'!#REF!="","",'Zoopl Count'!#REF!*(2^'Zoopl Count'!#REF!)/'Zoopl Count'!#REF!)</f>
        <v>#REF!</v>
      </c>
      <c r="K18" s="38" t="e">
        <f>IF('Zoopl Count'!#REF!="","",'Zoopl Count'!#REF!*(2^'Zoopl Count'!#REF!)/'Zoopl Count'!#REF!)</f>
        <v>#REF!</v>
      </c>
      <c r="L18" s="38" t="e">
        <f>IF('Zoopl Count'!#REF!="","",'Zoopl Count'!#REF!*(2^'Zoopl Count'!#REF!)/'Zoopl Count'!#REF!)</f>
        <v>#REF!</v>
      </c>
      <c r="M18" s="74"/>
    </row>
    <row r="19" spans="1:14" s="2" customFormat="1">
      <c r="F19" s="43"/>
      <c r="G19" s="38" t="str">
        <f>IF('Zoopl Count'!G39="","",'Zoopl Count'!G39*(2^'Zoopl Count'!G$9)/'Zoopl Count'!G$8)</f>
        <v/>
      </c>
      <c r="H19" s="38" t="str">
        <f>IF('Zoopl Count'!H39="","",'Zoopl Count'!H39*(2^'Zoopl Count'!H$9)/'Zoopl Count'!H$8)</f>
        <v/>
      </c>
      <c r="I19" s="38" t="str">
        <f>IF('Zoopl Count'!I39="","",'Zoopl Count'!I39*(2^'Zoopl Count'!I$9)/'Zoopl Count'!I$8)</f>
        <v/>
      </c>
      <c r="J19" s="38" t="e">
        <f>IF('Zoopl Count'!#REF!="","",'Zoopl Count'!#REF!*(2^'Zoopl Count'!#REF!)/'Zoopl Count'!#REF!)</f>
        <v>#REF!</v>
      </c>
      <c r="K19" s="38" t="e">
        <f>IF('Zoopl Count'!#REF!="","",'Zoopl Count'!#REF!*(2^'Zoopl Count'!#REF!)/'Zoopl Count'!#REF!)</f>
        <v>#REF!</v>
      </c>
      <c r="L19" s="38" t="e">
        <f>IF('Zoopl Count'!#REF!="","",'Zoopl Count'!#REF!*(2^'Zoopl Count'!#REF!)/'Zoopl Count'!#REF!)</f>
        <v>#REF!</v>
      </c>
      <c r="M19" s="74"/>
    </row>
    <row r="20" spans="1:14" s="2" customFormat="1">
      <c r="A20" s="2" t="s">
        <v>188</v>
      </c>
      <c r="B20" s="2" t="s">
        <v>189</v>
      </c>
      <c r="C20" s="2" t="s">
        <v>190</v>
      </c>
      <c r="D20" s="42" t="s">
        <v>191</v>
      </c>
      <c r="E20" s="40"/>
      <c r="F20" s="44" t="s">
        <v>192</v>
      </c>
      <c r="G20" s="38" t="str">
        <f>IF('Zoopl Count'!G40="","",'Zoopl Count'!G40*(2^'Zoopl Count'!G$9)/'Zoopl Count'!G$8)</f>
        <v/>
      </c>
      <c r="H20" s="38" t="str">
        <f>IF('Zoopl Count'!H40="","",'Zoopl Count'!H40*(2^'Zoopl Count'!H$9)/'Zoopl Count'!H$8)</f>
        <v/>
      </c>
      <c r="I20" s="38" t="str">
        <f>IF('Zoopl Count'!I40="","",'Zoopl Count'!I40*(2^'Zoopl Count'!I$9)/'Zoopl Count'!I$8)</f>
        <v/>
      </c>
      <c r="J20" s="38" t="e">
        <f>IF('Zoopl Count'!#REF!="","",'Zoopl Count'!#REF!*(2^'Zoopl Count'!#REF!)/'Zoopl Count'!#REF!)</f>
        <v>#REF!</v>
      </c>
      <c r="K20" s="38" t="e">
        <f>IF('Zoopl Count'!#REF!="","",'Zoopl Count'!#REF!*(2^'Zoopl Count'!#REF!)/'Zoopl Count'!#REF!)</f>
        <v>#REF!</v>
      </c>
      <c r="L20" s="38" t="e">
        <f>IF('Zoopl Count'!#REF!="","",'Zoopl Count'!#REF!*(2^'Zoopl Count'!#REF!)/'Zoopl Count'!#REF!)</f>
        <v>#REF!</v>
      </c>
      <c r="M20" s="74"/>
    </row>
    <row r="21" spans="1:14" s="2" customFormat="1">
      <c r="E21" s="40"/>
      <c r="F21" s="21"/>
      <c r="G21" s="38" t="str">
        <f>IF('Zoopl Count'!G41="","",'Zoopl Count'!G41*(2^'Zoopl Count'!G$9)/'Zoopl Count'!G$8)</f>
        <v/>
      </c>
      <c r="H21" s="38" t="str">
        <f>IF('Zoopl Count'!H41="","",'Zoopl Count'!H41*(2^'Zoopl Count'!H$9)/'Zoopl Count'!H$8)</f>
        <v/>
      </c>
      <c r="I21" s="38" t="str">
        <f>IF('Zoopl Count'!I41="","",'Zoopl Count'!I41*(2^'Zoopl Count'!I$9)/'Zoopl Count'!I$8)</f>
        <v/>
      </c>
      <c r="J21" s="38" t="e">
        <f>IF('Zoopl Count'!#REF!="","",'Zoopl Count'!#REF!*(2^'Zoopl Count'!#REF!)/'Zoopl Count'!#REF!)</f>
        <v>#REF!</v>
      </c>
      <c r="K21" s="38" t="e">
        <f>IF('Zoopl Count'!#REF!="","",'Zoopl Count'!#REF!*(2^'Zoopl Count'!#REF!)/'Zoopl Count'!#REF!)</f>
        <v>#REF!</v>
      </c>
      <c r="L21" s="38" t="e">
        <f>IF('Zoopl Count'!#REF!="","",'Zoopl Count'!#REF!*(2^'Zoopl Count'!#REF!)/'Zoopl Count'!#REF!)</f>
        <v>#REF!</v>
      </c>
      <c r="M21" s="74"/>
    </row>
    <row r="22" spans="1:14">
      <c r="A22" s="2"/>
      <c r="B22" s="2"/>
      <c r="C22" s="2"/>
      <c r="D22" s="2"/>
      <c r="E22" s="2"/>
      <c r="F22" s="21"/>
      <c r="G22" s="38" t="str">
        <f>IF('Zoopl Count'!G42="","",'Zoopl Count'!G42*(2^'Zoopl Count'!G$9)/'Zoopl Count'!G$8)</f>
        <v/>
      </c>
      <c r="H22" s="38" t="str">
        <f>IF('Zoopl Count'!H42="","",'Zoopl Count'!H42*(2^'Zoopl Count'!H$9)/'Zoopl Count'!H$8)</f>
        <v/>
      </c>
      <c r="I22" s="38" t="str">
        <f>IF('Zoopl Count'!I42="","",'Zoopl Count'!I42*(2^'Zoopl Count'!I$9)/'Zoopl Count'!I$8)</f>
        <v/>
      </c>
      <c r="J22" s="38" t="e">
        <f>IF('Zoopl Count'!#REF!="","",'Zoopl Count'!#REF!*(2^'Zoopl Count'!#REF!)/'Zoopl Count'!#REF!)</f>
        <v>#REF!</v>
      </c>
      <c r="K22" s="38" t="e">
        <f>IF('Zoopl Count'!#REF!="","",'Zoopl Count'!#REF!*(2^'Zoopl Count'!#REF!)/'Zoopl Count'!#REF!)</f>
        <v>#REF!</v>
      </c>
      <c r="L22" s="38" t="e">
        <f>IF('Zoopl Count'!#REF!="","",'Zoopl Count'!#REF!*(2^'Zoopl Count'!#REF!)/'Zoopl Count'!#REF!)</f>
        <v>#REF!</v>
      </c>
      <c r="M22" s="74"/>
    </row>
    <row r="23" spans="1:14">
      <c r="A23" s="21"/>
      <c r="C23" s="2"/>
      <c r="D23" s="2"/>
      <c r="E23" s="2"/>
      <c r="F23" s="21"/>
      <c r="G23" s="38" t="str">
        <f>IF('Zoopl Count'!G43="","",'Zoopl Count'!G43*(2^'Zoopl Count'!G$9)/'Zoopl Count'!G$8)</f>
        <v/>
      </c>
      <c r="H23" s="38" t="str">
        <f>IF('Zoopl Count'!H43="","",'Zoopl Count'!H43*(2^'Zoopl Count'!H$9)/'Zoopl Count'!H$8)</f>
        <v/>
      </c>
      <c r="I23" s="38" t="str">
        <f>IF('Zoopl Count'!I43="","",'Zoopl Count'!I43*(2^'Zoopl Count'!I$9)/'Zoopl Count'!I$8)</f>
        <v/>
      </c>
      <c r="J23" s="38" t="e">
        <f>IF('Zoopl Count'!#REF!="","",'Zoopl Count'!#REF!*(2^'Zoopl Count'!#REF!)/'Zoopl Count'!#REF!)</f>
        <v>#REF!</v>
      </c>
      <c r="K23" s="38" t="e">
        <f>IF('Zoopl Count'!#REF!="","",'Zoopl Count'!#REF!*(2^'Zoopl Count'!#REF!)/'Zoopl Count'!#REF!)</f>
        <v>#REF!</v>
      </c>
      <c r="L23" s="38" t="e">
        <f>IF('Zoopl Count'!#REF!="","",'Zoopl Count'!#REF!*(2^'Zoopl Count'!#REF!)/'Zoopl Count'!#REF!)</f>
        <v>#REF!</v>
      </c>
      <c r="M23" s="74"/>
    </row>
    <row r="24" spans="1:14">
      <c r="A24" s="2"/>
      <c r="B24" s="21"/>
      <c r="D24" s="2"/>
      <c r="E24" s="2"/>
      <c r="F24" s="21"/>
      <c r="G24" s="38" t="str">
        <f>IF('Zoopl Count'!G44="","",'Zoopl Count'!G44*(2^'Zoopl Count'!G$9)/'Zoopl Count'!G$8)</f>
        <v/>
      </c>
      <c r="H24" s="38" t="str">
        <f>IF('Zoopl Count'!H44="","",'Zoopl Count'!H44*(2^'Zoopl Count'!H$9)/'Zoopl Count'!H$8)</f>
        <v/>
      </c>
      <c r="I24" s="38" t="str">
        <f>IF('Zoopl Count'!I44="","",'Zoopl Count'!I44*(2^'Zoopl Count'!I$9)/'Zoopl Count'!I$8)</f>
        <v/>
      </c>
      <c r="J24" s="38" t="e">
        <f>IF('Zoopl Count'!#REF!="","",'Zoopl Count'!#REF!*(2^'Zoopl Count'!#REF!)/'Zoopl Count'!#REF!)</f>
        <v>#REF!</v>
      </c>
      <c r="K24" s="38" t="e">
        <f>IF('Zoopl Count'!#REF!="","",'Zoopl Count'!#REF!*(2^'Zoopl Count'!#REF!)/'Zoopl Count'!#REF!)</f>
        <v>#REF!</v>
      </c>
      <c r="L24" s="38" t="e">
        <f>IF('Zoopl Count'!#REF!="","",'Zoopl Count'!#REF!*(2^'Zoopl Count'!#REF!)/'Zoopl Count'!#REF!)</f>
        <v>#REF!</v>
      </c>
      <c r="M24" s="74"/>
    </row>
    <row r="25" spans="1:14">
      <c r="A25" s="2"/>
      <c r="B25" s="21"/>
      <c r="C25" s="21"/>
      <c r="E25" s="2"/>
      <c r="F25" s="21"/>
      <c r="G25" s="38" t="str">
        <f>IF('Zoopl Count'!G45="","",'Zoopl Count'!G45*(2^'Zoopl Count'!G$9)/'Zoopl Count'!G$8)</f>
        <v/>
      </c>
      <c r="H25" s="38" t="str">
        <f>IF('Zoopl Count'!H45="","",'Zoopl Count'!H45*(2^'Zoopl Count'!H$9)/'Zoopl Count'!H$8)</f>
        <v/>
      </c>
      <c r="I25" s="38" t="str">
        <f>IF('Zoopl Count'!I45="","",'Zoopl Count'!I45*(2^'Zoopl Count'!I$9)/'Zoopl Count'!I$8)</f>
        <v/>
      </c>
      <c r="J25" s="38" t="e">
        <f>IF('Zoopl Count'!#REF!="","",'Zoopl Count'!#REF!*(2^'Zoopl Count'!#REF!)/'Zoopl Count'!#REF!)</f>
        <v>#REF!</v>
      </c>
      <c r="K25" s="38" t="e">
        <f>IF('Zoopl Count'!#REF!="","",'Zoopl Count'!#REF!*(2^'Zoopl Count'!#REF!)/'Zoopl Count'!#REF!)</f>
        <v>#REF!</v>
      </c>
      <c r="L25" s="38" t="e">
        <f>IF('Zoopl Count'!#REF!="","",'Zoopl Count'!#REF!*(2^'Zoopl Count'!#REF!)/'Zoopl Count'!#REF!)</f>
        <v>#REF!</v>
      </c>
      <c r="M25" s="74"/>
    </row>
    <row r="26" spans="1:14">
      <c r="D26" s="8"/>
      <c r="G26" s="38" t="str">
        <f>IF('Zoopl Count'!G46="","",'Zoopl Count'!G46*(2^'Zoopl Count'!G$9)/'Zoopl Count'!G$8)</f>
        <v/>
      </c>
      <c r="H26" s="38" t="str">
        <f>IF('Zoopl Count'!H46="","",'Zoopl Count'!H46*(2^'Zoopl Count'!H$9)/'Zoopl Count'!H$8)</f>
        <v/>
      </c>
      <c r="I26" s="38" t="str">
        <f>IF('Zoopl Count'!I46="","",'Zoopl Count'!I46*(2^'Zoopl Count'!I$9)/'Zoopl Count'!I$8)</f>
        <v/>
      </c>
      <c r="J26" s="38" t="e">
        <f>IF('Zoopl Count'!#REF!="","",'Zoopl Count'!#REF!*(2^'Zoopl Count'!#REF!)/'Zoopl Count'!#REF!)</f>
        <v>#REF!</v>
      </c>
      <c r="K26" s="38" t="e">
        <f>IF('Zoopl Count'!#REF!="","",'Zoopl Count'!#REF!*(2^'Zoopl Count'!#REF!)/'Zoopl Count'!#REF!)</f>
        <v>#REF!</v>
      </c>
      <c r="L26" s="38" t="e">
        <f>IF('Zoopl Count'!#REF!="","",'Zoopl Count'!#REF!*(2^'Zoopl Count'!#REF!)/'Zoopl Count'!#REF!)</f>
        <v>#REF!</v>
      </c>
      <c r="M26" s="74"/>
    </row>
    <row r="27" spans="1:14">
      <c r="A27" s="2" t="s">
        <v>151</v>
      </c>
      <c r="B27" s="2" t="s">
        <v>152</v>
      </c>
      <c r="C27" s="2" t="s">
        <v>153</v>
      </c>
      <c r="D27" s="6" t="s">
        <v>154</v>
      </c>
      <c r="E27" s="8"/>
      <c r="F27" s="6" t="s">
        <v>155</v>
      </c>
      <c r="G27" s="38" t="str">
        <f>IF('Zoopl Count'!G47="","",'Zoopl Count'!G47*(2^'Zoopl Count'!G$9)/'Zoopl Count'!G$8)</f>
        <v/>
      </c>
      <c r="H27" s="38" t="str">
        <f>IF('Zoopl Count'!H47="","",'Zoopl Count'!H47*(2^'Zoopl Count'!H$9)/'Zoopl Count'!H$8)</f>
        <v/>
      </c>
      <c r="I27" s="38" t="str">
        <f>IF('Zoopl Count'!I47="","",'Zoopl Count'!I47*(2^'Zoopl Count'!I$9)/'Zoopl Count'!I$8)</f>
        <v/>
      </c>
      <c r="J27" s="38" t="e">
        <f>IF('Zoopl Count'!#REF!="","",'Zoopl Count'!#REF!*(2^'Zoopl Count'!#REF!)/'Zoopl Count'!#REF!)</f>
        <v>#REF!</v>
      </c>
      <c r="K27" s="38" t="e">
        <f>IF('Zoopl Count'!#REF!="","",'Zoopl Count'!#REF!*(2^'Zoopl Count'!#REF!)/'Zoopl Count'!#REF!)</f>
        <v>#REF!</v>
      </c>
      <c r="L27" s="38" t="e">
        <f>IF('Zoopl Count'!#REF!="","",'Zoopl Count'!#REF!*(2^'Zoopl Count'!#REF!)/'Zoopl Count'!#REF!)</f>
        <v>#REF!</v>
      </c>
      <c r="M27" s="74"/>
    </row>
    <row r="28" spans="1:14">
      <c r="A28" s="2" t="s">
        <v>151</v>
      </c>
      <c r="B28" s="2" t="s">
        <v>152</v>
      </c>
      <c r="C28" s="2" t="s">
        <v>153</v>
      </c>
      <c r="D28" s="6" t="s">
        <v>154</v>
      </c>
      <c r="F28" s="6" t="s">
        <v>168</v>
      </c>
      <c r="G28" s="38" t="str">
        <f>IF('Zoopl Count'!G48="","",'Zoopl Count'!G48*(2^'Zoopl Count'!G$9)/'Zoopl Count'!G$8)</f>
        <v/>
      </c>
      <c r="H28" s="38" t="str">
        <f>IF('Zoopl Count'!H48="","",'Zoopl Count'!H48*(2^'Zoopl Count'!H$9)/'Zoopl Count'!H$8)</f>
        <v/>
      </c>
      <c r="I28" s="38" t="str">
        <f>IF('Zoopl Count'!I48="","",'Zoopl Count'!I48*(2^'Zoopl Count'!I$9)/'Zoopl Count'!I$8)</f>
        <v/>
      </c>
      <c r="J28" s="38" t="e">
        <f>IF('Zoopl Count'!#REF!="","",'Zoopl Count'!#REF!*(2^'Zoopl Count'!#REF!)/'Zoopl Count'!#REF!)</f>
        <v>#REF!</v>
      </c>
      <c r="K28" s="38" t="e">
        <f>IF('Zoopl Count'!#REF!="","",'Zoopl Count'!#REF!*(2^'Zoopl Count'!#REF!)/'Zoopl Count'!#REF!)</f>
        <v>#REF!</v>
      </c>
      <c r="L28" s="38" t="e">
        <f>IF('Zoopl Count'!#REF!="","",'Zoopl Count'!#REF!*(2^'Zoopl Count'!#REF!)/'Zoopl Count'!#REF!)</f>
        <v>#REF!</v>
      </c>
      <c r="M28" s="74"/>
    </row>
    <row r="29" spans="1:14">
      <c r="D29" s="8"/>
      <c r="G29" s="38" t="str">
        <f>IF('Zoopl Count'!G70="","",'Zoopl Count'!G70*(2^'Zoopl Count'!G$9)/'Zoopl Count'!G$8)</f>
        <v/>
      </c>
      <c r="H29" s="38" t="str">
        <f>IF('Zoopl Count'!H70="","",'Zoopl Count'!H70*(2^'Zoopl Count'!H$9)/'Zoopl Count'!H$8)</f>
        <v/>
      </c>
      <c r="I29" s="38" t="str">
        <f>IF('Zoopl Count'!I70="","",'Zoopl Count'!I70*(2^'Zoopl Count'!I$9)/'Zoopl Count'!I$8)</f>
        <v/>
      </c>
      <c r="J29" s="38" t="e">
        <f>IF('Zoopl Count'!#REF!="","",'Zoopl Count'!#REF!*(2^'Zoopl Count'!#REF!)/'Zoopl Count'!#REF!)</f>
        <v>#REF!</v>
      </c>
      <c r="K29" s="38" t="e">
        <f>IF('Zoopl Count'!#REF!="","",'Zoopl Count'!#REF!*(2^'Zoopl Count'!#REF!)/'Zoopl Count'!#REF!)</f>
        <v>#REF!</v>
      </c>
      <c r="L29" s="38" t="e">
        <f>IF('Zoopl Count'!#REF!="","",'Zoopl Count'!#REF!*(2^'Zoopl Count'!#REF!)/'Zoopl Count'!#REF!)</f>
        <v>#REF!</v>
      </c>
      <c r="M29" s="38" t="e">
        <f>IF('Zoopl Count'!#REF!="","",'Zoopl Count'!#REF!*(2^M$9)/M$8)</f>
        <v>#REF!</v>
      </c>
      <c r="N29" s="38" t="e">
        <f>IF('Zoopl Count'!#REF!="","",'Zoopl Count'!#REF!*(2^N$9)/N$8)</f>
        <v>#REF!</v>
      </c>
    </row>
    <row r="30" spans="1:14">
      <c r="A30" s="21"/>
      <c r="C30" s="2"/>
      <c r="D30" s="2"/>
      <c r="E30" s="2"/>
      <c r="F30" s="2"/>
      <c r="G30" s="38" t="str">
        <f>IF('Zoopl Count'!G71="","",'Zoopl Count'!G71*(2^'Zoopl Count'!G$9)/'Zoopl Count'!G$8)</f>
        <v/>
      </c>
      <c r="H30" s="38" t="str">
        <f>IF('Zoopl Count'!H71="","",'Zoopl Count'!H71*(2^'Zoopl Count'!H$9)/'Zoopl Count'!H$8)</f>
        <v/>
      </c>
      <c r="I30" s="38" t="str">
        <f>IF('Zoopl Count'!I71="","",'Zoopl Count'!I71*(2^'Zoopl Count'!I$9)/'Zoopl Count'!I$8)</f>
        <v/>
      </c>
      <c r="J30" s="38" t="e">
        <f>IF('Zoopl Count'!#REF!="","",'Zoopl Count'!#REF!*(2^'Zoopl Count'!#REF!)/'Zoopl Count'!#REF!)</f>
        <v>#REF!</v>
      </c>
      <c r="K30" s="38" t="e">
        <f>IF('Zoopl Count'!#REF!="","",'Zoopl Count'!#REF!*(2^'Zoopl Count'!#REF!)/'Zoopl Count'!#REF!)</f>
        <v>#REF!</v>
      </c>
      <c r="L30" s="38" t="e">
        <f>IF('Zoopl Count'!#REF!="","",'Zoopl Count'!#REF!*(2^'Zoopl Count'!#REF!)/'Zoopl Count'!#REF!)</f>
        <v>#REF!</v>
      </c>
      <c r="M30" s="74"/>
    </row>
    <row r="31" spans="1:14">
      <c r="A31" s="2" t="s">
        <v>8</v>
      </c>
      <c r="B31" s="2"/>
      <c r="F31" s="6" t="s">
        <v>172</v>
      </c>
      <c r="G31" s="38">
        <f>IF('Zoopl Count'!G84="","",'Zoopl Count'!G84*(2^'Zoopl Count'!G$9)/'Zoopl Count'!G$8)</f>
        <v>0.13037972938088066</v>
      </c>
      <c r="H31" s="38" t="str">
        <f>IF('Zoopl Count'!H84="","",'Zoopl Count'!H84*(2^'Zoopl Count'!H$9)/'Zoopl Count'!H$8)</f>
        <v/>
      </c>
      <c r="I31" s="38" t="str">
        <f>IF('Zoopl Count'!I84="","",'Zoopl Count'!I84*(2^'Zoopl Count'!I$9)/'Zoopl Count'!I$8)</f>
        <v/>
      </c>
      <c r="J31" s="38" t="e">
        <f>IF('Zoopl Count'!#REF!="","",'Zoopl Count'!#REF!*(2^'Zoopl Count'!#REF!)/'Zoopl Count'!#REF!)</f>
        <v>#REF!</v>
      </c>
      <c r="K31" s="38" t="e">
        <f>IF('Zoopl Count'!#REF!="","",'Zoopl Count'!#REF!*(2^'Zoopl Count'!#REF!)/'Zoopl Count'!#REF!)</f>
        <v>#REF!</v>
      </c>
      <c r="L31" s="38" t="e">
        <f>IF('Zoopl Count'!#REF!="","",'Zoopl Count'!#REF!*(2^'Zoopl Count'!#REF!)/'Zoopl Count'!#REF!)</f>
        <v>#REF!</v>
      </c>
      <c r="M31" s="74"/>
    </row>
    <row r="32" spans="1:14">
      <c r="A32" s="8"/>
      <c r="B32" s="8"/>
      <c r="G32" s="38" t="e">
        <f>IF('Zoopl Count'!#REF!="","",'Zoopl Count'!#REF!*(2^'Zoopl Count'!G$9)/'Zoopl Count'!G$8)</f>
        <v>#REF!</v>
      </c>
      <c r="H32" s="38" t="e">
        <f>IF('Zoopl Count'!#REF!="","",'Zoopl Count'!#REF!*(2^'Zoopl Count'!H$9)/'Zoopl Count'!H$8)</f>
        <v>#REF!</v>
      </c>
      <c r="I32" s="38" t="e">
        <f>IF('Zoopl Count'!#REF!="","",'Zoopl Count'!#REF!*(2^'Zoopl Count'!I$9)/'Zoopl Count'!I$8)</f>
        <v>#REF!</v>
      </c>
      <c r="J32" s="38" t="e">
        <f>IF('Zoopl Count'!#REF!="","",'Zoopl Count'!#REF!*(2^'Zoopl Count'!#REF!)/'Zoopl Count'!#REF!)</f>
        <v>#REF!</v>
      </c>
      <c r="K32" s="38" t="e">
        <f>IF('Zoopl Count'!#REF!="","",'Zoopl Count'!#REF!*(2^'Zoopl Count'!#REF!)/'Zoopl Count'!#REF!)</f>
        <v>#REF!</v>
      </c>
      <c r="L32" s="38" t="e">
        <f>IF('Zoopl Count'!#REF!="","",'Zoopl Count'!#REF!*(2^'Zoopl Count'!#REF!)/'Zoopl Count'!#REF!)</f>
        <v>#REF!</v>
      </c>
      <c r="M32" s="74"/>
    </row>
    <row r="33" spans="1:13">
      <c r="A33" s="2" t="s">
        <v>8</v>
      </c>
      <c r="B33" s="2" t="s">
        <v>85</v>
      </c>
      <c r="F33" s="19" t="s">
        <v>5</v>
      </c>
      <c r="G33" s="38" t="e">
        <f>IF('Zoopl Count'!#REF!="","",'Zoopl Count'!#REF!*(2^'Zoopl Count'!G$9)/'Zoopl Count'!G$8)</f>
        <v>#REF!</v>
      </c>
      <c r="H33" s="38" t="e">
        <f>IF('Zoopl Count'!#REF!="","",'Zoopl Count'!#REF!*(2^'Zoopl Count'!H$9)/'Zoopl Count'!H$8)</f>
        <v>#REF!</v>
      </c>
      <c r="I33" s="38" t="e">
        <f>IF('Zoopl Count'!#REF!="","",'Zoopl Count'!#REF!*(2^'Zoopl Count'!I$9)/'Zoopl Count'!I$8)</f>
        <v>#REF!</v>
      </c>
      <c r="J33" s="38" t="e">
        <f>IF('Zoopl Count'!#REF!="","",'Zoopl Count'!#REF!*(2^'Zoopl Count'!#REF!)/'Zoopl Count'!#REF!)</f>
        <v>#REF!</v>
      </c>
      <c r="K33" s="38" t="e">
        <f>IF('Zoopl Count'!#REF!="","",'Zoopl Count'!#REF!*(2^'Zoopl Count'!#REF!)/'Zoopl Count'!#REF!)</f>
        <v>#REF!</v>
      </c>
      <c r="L33" s="38" t="e">
        <f>IF('Zoopl Count'!#REF!="","",'Zoopl Count'!#REF!*(2^'Zoopl Count'!#REF!)/'Zoopl Count'!#REF!)</f>
        <v>#REF!</v>
      </c>
      <c r="M33" s="74"/>
    </row>
    <row r="34" spans="1:13">
      <c r="A34" s="2" t="s">
        <v>8</v>
      </c>
      <c r="B34" s="2" t="s">
        <v>85</v>
      </c>
      <c r="F34" s="19" t="s">
        <v>6</v>
      </c>
      <c r="G34" s="38" t="e">
        <f>IF('Zoopl Count'!#REF!="","",'Zoopl Count'!#REF!*(2^'Zoopl Count'!G$9)/'Zoopl Count'!G$8)</f>
        <v>#REF!</v>
      </c>
      <c r="H34" s="38" t="e">
        <f>IF('Zoopl Count'!#REF!="","",'Zoopl Count'!#REF!*(2^'Zoopl Count'!H$9)/'Zoopl Count'!H$8)</f>
        <v>#REF!</v>
      </c>
      <c r="I34" s="38" t="e">
        <f>IF('Zoopl Count'!#REF!="","",'Zoopl Count'!#REF!*(2^'Zoopl Count'!I$9)/'Zoopl Count'!I$8)</f>
        <v>#REF!</v>
      </c>
      <c r="J34" s="38" t="e">
        <f>IF('Zoopl Count'!#REF!="","",'Zoopl Count'!#REF!*(2^'Zoopl Count'!#REF!)/'Zoopl Count'!#REF!)</f>
        <v>#REF!</v>
      </c>
      <c r="K34" s="38" t="e">
        <f>IF('Zoopl Count'!#REF!="","",'Zoopl Count'!#REF!*(2^'Zoopl Count'!#REF!)/'Zoopl Count'!#REF!)</f>
        <v>#REF!</v>
      </c>
      <c r="L34" s="38" t="e">
        <f>IF('Zoopl Count'!#REF!="","",'Zoopl Count'!#REF!*(2^'Zoopl Count'!#REF!)/'Zoopl Count'!#REF!)</f>
        <v>#REF!</v>
      </c>
      <c r="M34" s="74"/>
    </row>
    <row r="35" spans="1:13">
      <c r="A35" s="2" t="s">
        <v>8</v>
      </c>
      <c r="B35" s="2" t="s">
        <v>85</v>
      </c>
      <c r="F35" s="6" t="s">
        <v>179</v>
      </c>
      <c r="G35" s="38" t="e">
        <f>IF('Zoopl Count'!#REF!="","",'Zoopl Count'!#REF!*(2^'Zoopl Count'!G$9)/'Zoopl Count'!G$8)</f>
        <v>#REF!</v>
      </c>
      <c r="H35" s="38" t="e">
        <f>IF('Zoopl Count'!#REF!="","",'Zoopl Count'!#REF!*(2^'Zoopl Count'!H$9)/'Zoopl Count'!H$8)</f>
        <v>#REF!</v>
      </c>
      <c r="I35" s="38" t="e">
        <f>IF('Zoopl Count'!#REF!="","",'Zoopl Count'!#REF!*(2^'Zoopl Count'!I$9)/'Zoopl Count'!I$8)</f>
        <v>#REF!</v>
      </c>
      <c r="J35" s="38" t="e">
        <f>IF('Zoopl Count'!#REF!="","",'Zoopl Count'!#REF!*(2^'Zoopl Count'!#REF!)/'Zoopl Count'!#REF!)</f>
        <v>#REF!</v>
      </c>
      <c r="K35" s="38" t="e">
        <f>IF('Zoopl Count'!#REF!="","",'Zoopl Count'!#REF!*(2^'Zoopl Count'!#REF!)/'Zoopl Count'!#REF!)</f>
        <v>#REF!</v>
      </c>
      <c r="L35" s="38" t="e">
        <f>IF('Zoopl Count'!#REF!="","",'Zoopl Count'!#REF!*(2^'Zoopl Count'!#REF!)/'Zoopl Count'!#REF!)</f>
        <v>#REF!</v>
      </c>
      <c r="M35" s="74"/>
    </row>
    <row r="36" spans="1:13">
      <c r="A36" s="2"/>
      <c r="B36" s="2"/>
      <c r="G36" s="38" t="str">
        <f>IF('Zoopl Count'!G92="","",'Zoopl Count'!G92*(2^'Zoopl Count'!G$9)/'Zoopl Count'!G$8)</f>
        <v/>
      </c>
      <c r="H36" s="38" t="str">
        <f>IF('Zoopl Count'!H92="","",'Zoopl Count'!H92*(2^'Zoopl Count'!H$9)/'Zoopl Count'!H$8)</f>
        <v/>
      </c>
      <c r="I36" s="38" t="str">
        <f>IF('Zoopl Count'!I92="","",'Zoopl Count'!I92*(2^'Zoopl Count'!I$9)/'Zoopl Count'!I$8)</f>
        <v/>
      </c>
      <c r="J36" s="38" t="e">
        <f>IF('Zoopl Count'!#REF!="","",'Zoopl Count'!#REF!*(2^'Zoopl Count'!#REF!)/'Zoopl Count'!#REF!)</f>
        <v>#REF!</v>
      </c>
      <c r="K36" s="38" t="e">
        <f>IF('Zoopl Count'!#REF!="","",'Zoopl Count'!#REF!*(2^'Zoopl Count'!#REF!)/'Zoopl Count'!#REF!)</f>
        <v>#REF!</v>
      </c>
      <c r="L36" s="38" t="e">
        <f>IF('Zoopl Count'!#REF!="","",'Zoopl Count'!#REF!*(2^'Zoopl Count'!#REF!)/'Zoopl Count'!#REF!)</f>
        <v>#REF!</v>
      </c>
      <c r="M36" s="74"/>
    </row>
    <row r="37" spans="1:13">
      <c r="A37" s="21"/>
      <c r="C37" s="2"/>
      <c r="D37" s="2"/>
      <c r="E37" s="2"/>
      <c r="F37" s="2"/>
      <c r="G37" s="38" t="str">
        <f>IF('Zoopl Count'!G94="","",'Zoopl Count'!G94*(2^'Zoopl Count'!G$9)/'Zoopl Count'!G$8)</f>
        <v/>
      </c>
      <c r="H37" s="38" t="str">
        <f>IF('Zoopl Count'!H94="","",'Zoopl Count'!H94*(2^'Zoopl Count'!H$9)/'Zoopl Count'!H$8)</f>
        <v/>
      </c>
      <c r="I37" s="38" t="str">
        <f>IF('Zoopl Count'!I94="","",'Zoopl Count'!I94*(2^'Zoopl Count'!I$9)/'Zoopl Count'!I$8)</f>
        <v/>
      </c>
      <c r="J37" s="38" t="e">
        <f>IF('Zoopl Count'!#REF!="","",'Zoopl Count'!#REF!*(2^'Zoopl Count'!#REF!)/'Zoopl Count'!#REF!)</f>
        <v>#REF!</v>
      </c>
      <c r="K37" s="38" t="e">
        <f>IF('Zoopl Count'!#REF!="","",'Zoopl Count'!#REF!*(2^'Zoopl Count'!#REF!)/'Zoopl Count'!#REF!)</f>
        <v>#REF!</v>
      </c>
      <c r="L37" s="38" t="e">
        <f>IF('Zoopl Count'!#REF!="","",'Zoopl Count'!#REF!*(2^'Zoopl Count'!#REF!)/'Zoopl Count'!#REF!)</f>
        <v>#REF!</v>
      </c>
      <c r="M37" s="74"/>
    </row>
    <row r="38" spans="1:13">
      <c r="A38" s="2" t="s">
        <v>73</v>
      </c>
      <c r="B38" s="2"/>
      <c r="F38" s="6" t="s">
        <v>102</v>
      </c>
      <c r="G38" s="38" t="str">
        <f>IF('Zoopl Count'!G95="","",'Zoopl Count'!G95*(2^'Zoopl Count'!G$9)/'Zoopl Count'!G$8)</f>
        <v/>
      </c>
      <c r="H38" s="38" t="str">
        <f>IF('Zoopl Count'!H95="","",'Zoopl Count'!H95*(2^'Zoopl Count'!H$9)/'Zoopl Count'!H$8)</f>
        <v/>
      </c>
      <c r="I38" s="38" t="str">
        <f>IF('Zoopl Count'!I95="","",'Zoopl Count'!I95*(2^'Zoopl Count'!I$9)/'Zoopl Count'!I$8)</f>
        <v/>
      </c>
      <c r="J38" s="38" t="e">
        <f>IF('Zoopl Count'!#REF!="","",'Zoopl Count'!#REF!*(2^'Zoopl Count'!#REF!)/'Zoopl Count'!#REF!)</f>
        <v>#REF!</v>
      </c>
      <c r="K38" s="38" t="e">
        <f>IF('Zoopl Count'!#REF!="","",'Zoopl Count'!#REF!*(2^'Zoopl Count'!#REF!)/'Zoopl Count'!#REF!)</f>
        <v>#REF!</v>
      </c>
      <c r="L38" s="38" t="e">
        <f>IF('Zoopl Count'!#REF!="","",'Zoopl Count'!#REF!*(2^'Zoopl Count'!#REF!)/'Zoopl Count'!#REF!)</f>
        <v>#REF!</v>
      </c>
      <c r="M38" s="74"/>
    </row>
    <row r="39" spans="1:13">
      <c r="G39" s="38" t="str">
        <f>IF('Zoopl Count'!G96="","",'Zoopl Count'!G96*(2^'Zoopl Count'!G$9)/'Zoopl Count'!G$8)</f>
        <v/>
      </c>
      <c r="H39" s="38" t="str">
        <f>IF('Zoopl Count'!H96="","",'Zoopl Count'!H96*(2^'Zoopl Count'!H$9)/'Zoopl Count'!H$8)</f>
        <v/>
      </c>
      <c r="I39" s="38" t="str">
        <f>IF('Zoopl Count'!I96="","",'Zoopl Count'!I96*(2^'Zoopl Count'!I$9)/'Zoopl Count'!I$8)</f>
        <v/>
      </c>
      <c r="J39" s="38" t="e">
        <f>IF('Zoopl Count'!#REF!="","",'Zoopl Count'!#REF!*(2^'Zoopl Count'!#REF!)/'Zoopl Count'!#REF!)</f>
        <v>#REF!</v>
      </c>
      <c r="K39" s="38" t="e">
        <f>IF('Zoopl Count'!#REF!="","",'Zoopl Count'!#REF!*(2^'Zoopl Count'!#REF!)/'Zoopl Count'!#REF!)</f>
        <v>#REF!</v>
      </c>
      <c r="L39" s="38" t="e">
        <f>IF('Zoopl Count'!#REF!="","",'Zoopl Count'!#REF!*(2^'Zoopl Count'!#REF!)/'Zoopl Count'!#REF!)</f>
        <v>#REF!</v>
      </c>
      <c r="M39" s="74"/>
    </row>
    <row r="40" spans="1:13">
      <c r="A40" s="2" t="s">
        <v>73</v>
      </c>
      <c r="B40" s="2" t="s">
        <v>86</v>
      </c>
      <c r="F40" s="19" t="s">
        <v>74</v>
      </c>
      <c r="G40" s="38" t="e">
        <f>IF('Zoopl Count'!#REF!="","",'Zoopl Count'!#REF!*(2^'Zoopl Count'!G$9)/'Zoopl Count'!G$8)</f>
        <v>#REF!</v>
      </c>
      <c r="H40" s="38" t="e">
        <f>IF('Zoopl Count'!#REF!="","",'Zoopl Count'!#REF!*(2^'Zoopl Count'!H$9)/'Zoopl Count'!H$8)</f>
        <v>#REF!</v>
      </c>
      <c r="I40" s="38" t="e">
        <f>IF('Zoopl Count'!#REF!="","",'Zoopl Count'!#REF!*(2^'Zoopl Count'!I$9)/'Zoopl Count'!I$8)</f>
        <v>#REF!</v>
      </c>
      <c r="J40" s="38" t="e">
        <f>IF('Zoopl Count'!#REF!="","",'Zoopl Count'!#REF!*(2^'Zoopl Count'!#REF!)/'Zoopl Count'!#REF!)</f>
        <v>#REF!</v>
      </c>
      <c r="K40" s="38" t="e">
        <f>IF('Zoopl Count'!#REF!="","",'Zoopl Count'!#REF!*(2^'Zoopl Count'!#REF!)/'Zoopl Count'!#REF!)</f>
        <v>#REF!</v>
      </c>
      <c r="L40" s="38" t="e">
        <f>IF('Zoopl Count'!#REF!="","",'Zoopl Count'!#REF!*(2^'Zoopl Count'!#REF!)/'Zoopl Count'!#REF!)</f>
        <v>#REF!</v>
      </c>
      <c r="M40" s="74"/>
    </row>
    <row r="41" spans="1:13">
      <c r="B41" s="8"/>
      <c r="F41" s="19"/>
      <c r="G41" s="38" t="str">
        <f>IF('Zoopl Count'!G103="","",'Zoopl Count'!G103*(2^'Zoopl Count'!G$9)/'Zoopl Count'!G$8)</f>
        <v/>
      </c>
      <c r="H41" s="38" t="str">
        <f>IF('Zoopl Count'!H103="","",'Zoopl Count'!H103*(2^'Zoopl Count'!H$9)/'Zoopl Count'!H$8)</f>
        <v/>
      </c>
      <c r="I41" s="38" t="str">
        <f>IF('Zoopl Count'!I103="","",'Zoopl Count'!I103*(2^'Zoopl Count'!I$9)/'Zoopl Count'!I$8)</f>
        <v/>
      </c>
      <c r="J41" s="38" t="e">
        <f>IF('Zoopl Count'!#REF!="","",'Zoopl Count'!#REF!*(2^'Zoopl Count'!#REF!)/'Zoopl Count'!#REF!)</f>
        <v>#REF!</v>
      </c>
      <c r="K41" s="38" t="e">
        <f>IF('Zoopl Count'!#REF!="","",'Zoopl Count'!#REF!*(2^'Zoopl Count'!#REF!)/'Zoopl Count'!#REF!)</f>
        <v>#REF!</v>
      </c>
      <c r="L41" s="38" t="e">
        <f>IF('Zoopl Count'!#REF!="","",'Zoopl Count'!#REF!*(2^'Zoopl Count'!#REF!)/'Zoopl Count'!#REF!)</f>
        <v>#REF!</v>
      </c>
      <c r="M41" s="74"/>
    </row>
    <row r="42" spans="1:13">
      <c r="B42" s="8"/>
      <c r="G42" s="38" t="str">
        <f>IF('Zoopl Count'!G105="","",'Zoopl Count'!G105*(2^'Zoopl Count'!G$9)/'Zoopl Count'!G$8)</f>
        <v/>
      </c>
      <c r="H42" s="38" t="str">
        <f>IF('Zoopl Count'!H105="","",'Zoopl Count'!H105*(2^'Zoopl Count'!H$9)/'Zoopl Count'!H$8)</f>
        <v/>
      </c>
      <c r="I42" s="38" t="str">
        <f>IF('Zoopl Count'!I105="","",'Zoopl Count'!I105*(2^'Zoopl Count'!I$9)/'Zoopl Count'!I$8)</f>
        <v/>
      </c>
      <c r="J42" s="38" t="e">
        <f>IF('Zoopl Count'!#REF!="","",'Zoopl Count'!#REF!*(2^'Zoopl Count'!#REF!)/'Zoopl Count'!#REF!)</f>
        <v>#REF!</v>
      </c>
      <c r="K42" s="38" t="e">
        <f>IF('Zoopl Count'!#REF!="","",'Zoopl Count'!#REF!*(2^'Zoopl Count'!#REF!)/'Zoopl Count'!#REF!)</f>
        <v>#REF!</v>
      </c>
      <c r="L42" s="38" t="e">
        <f>IF('Zoopl Count'!#REF!="","",'Zoopl Count'!#REF!*(2^'Zoopl Count'!#REF!)/'Zoopl Count'!#REF!)</f>
        <v>#REF!</v>
      </c>
      <c r="M42" s="74"/>
    </row>
    <row r="43" spans="1:13">
      <c r="A43" s="2" t="s">
        <v>73</v>
      </c>
      <c r="B43" s="2" t="s">
        <v>87</v>
      </c>
      <c r="F43" s="19" t="s">
        <v>75</v>
      </c>
      <c r="G43" s="38" t="str">
        <f>IF('Zoopl Count'!G106="","",'Zoopl Count'!G106*(2^'Zoopl Count'!G$9)/'Zoopl Count'!G$8)</f>
        <v/>
      </c>
      <c r="H43" s="38" t="str">
        <f>IF('Zoopl Count'!H106="","",'Zoopl Count'!H106*(2^'Zoopl Count'!H$9)/'Zoopl Count'!H$8)</f>
        <v/>
      </c>
      <c r="I43" s="38" t="str">
        <f>IF('Zoopl Count'!I106="","",'Zoopl Count'!I106*(2^'Zoopl Count'!I$9)/'Zoopl Count'!I$8)</f>
        <v/>
      </c>
      <c r="J43" s="38" t="e">
        <f>IF('Zoopl Count'!#REF!="","",'Zoopl Count'!#REF!*(2^'Zoopl Count'!#REF!)/'Zoopl Count'!#REF!)</f>
        <v>#REF!</v>
      </c>
      <c r="K43" s="38" t="e">
        <f>IF('Zoopl Count'!#REF!="","",'Zoopl Count'!#REF!*(2^'Zoopl Count'!#REF!)/'Zoopl Count'!#REF!)</f>
        <v>#REF!</v>
      </c>
      <c r="L43" s="38" t="e">
        <f>IF('Zoopl Count'!#REF!="","",'Zoopl Count'!#REF!*(2^'Zoopl Count'!#REF!)/'Zoopl Count'!#REF!)</f>
        <v>#REF!</v>
      </c>
      <c r="M43" s="74"/>
    </row>
    <row r="44" spans="1:13">
      <c r="G44" s="38" t="str">
        <f>IF('Zoopl Count'!G109="","",'Zoopl Count'!G109*(2^'Zoopl Count'!G$9)/'Zoopl Count'!G$8)</f>
        <v/>
      </c>
      <c r="H44" s="38" t="str">
        <f>IF('Zoopl Count'!H109="","",'Zoopl Count'!H109*(2^'Zoopl Count'!H$9)/'Zoopl Count'!H$8)</f>
        <v/>
      </c>
      <c r="I44" s="38" t="str">
        <f>IF('Zoopl Count'!I109="","",'Zoopl Count'!I109*(2^'Zoopl Count'!I$9)/'Zoopl Count'!I$8)</f>
        <v/>
      </c>
      <c r="J44" s="38" t="e">
        <f>IF('Zoopl Count'!#REF!="","",'Zoopl Count'!#REF!*(2^'Zoopl Count'!#REF!)/'Zoopl Count'!#REF!)</f>
        <v>#REF!</v>
      </c>
      <c r="K44" s="38" t="e">
        <f>IF('Zoopl Count'!#REF!="","",'Zoopl Count'!#REF!*(2^'Zoopl Count'!#REF!)/'Zoopl Count'!#REF!)</f>
        <v>#REF!</v>
      </c>
      <c r="L44" s="38" t="e">
        <f>IF('Zoopl Count'!#REF!="","",'Zoopl Count'!#REF!*(2^'Zoopl Count'!#REF!)/'Zoopl Count'!#REF!)</f>
        <v>#REF!</v>
      </c>
      <c r="M44" s="74"/>
    </row>
    <row r="45" spans="1:13">
      <c r="A45" s="21"/>
      <c r="C45" s="2"/>
      <c r="D45" s="2"/>
      <c r="E45" s="2"/>
      <c r="F45" s="2"/>
      <c r="G45" s="38" t="str">
        <f>IF('Zoopl Count'!G110="","",'Zoopl Count'!G110*(2^'Zoopl Count'!G$9)/'Zoopl Count'!G$8)</f>
        <v/>
      </c>
      <c r="H45" s="38" t="str">
        <f>IF('Zoopl Count'!H110="","",'Zoopl Count'!H110*(2^'Zoopl Count'!H$9)/'Zoopl Count'!H$8)</f>
        <v/>
      </c>
      <c r="I45" s="38" t="str">
        <f>IF('Zoopl Count'!I110="","",'Zoopl Count'!I110*(2^'Zoopl Count'!I$9)/'Zoopl Count'!I$8)</f>
        <v/>
      </c>
      <c r="J45" s="38" t="e">
        <f>IF('Zoopl Count'!#REF!="","",'Zoopl Count'!#REF!*(2^'Zoopl Count'!#REF!)/'Zoopl Count'!#REF!)</f>
        <v>#REF!</v>
      </c>
      <c r="K45" s="38" t="e">
        <f>IF('Zoopl Count'!#REF!="","",'Zoopl Count'!#REF!*(2^'Zoopl Count'!#REF!)/'Zoopl Count'!#REF!)</f>
        <v>#REF!</v>
      </c>
      <c r="L45" s="38" t="e">
        <f>IF('Zoopl Count'!#REF!="","",'Zoopl Count'!#REF!*(2^'Zoopl Count'!#REF!)/'Zoopl Count'!#REF!)</f>
        <v>#REF!</v>
      </c>
      <c r="M45" s="74"/>
    </row>
    <row r="46" spans="1:13">
      <c r="A46" s="2" t="s">
        <v>76</v>
      </c>
      <c r="B46" s="2"/>
      <c r="C46" s="2"/>
      <c r="D46" s="2"/>
      <c r="E46" s="2"/>
      <c r="F46" s="2" t="s">
        <v>101</v>
      </c>
      <c r="G46" s="38" t="str">
        <f>IF('Zoopl Count'!G111="","",'Zoopl Count'!G111*(2^'Zoopl Count'!G$9)/'Zoopl Count'!G$8)</f>
        <v/>
      </c>
      <c r="H46" s="38" t="str">
        <f>IF('Zoopl Count'!H111="","",'Zoopl Count'!H111*(2^'Zoopl Count'!H$9)/'Zoopl Count'!H$8)</f>
        <v/>
      </c>
      <c r="I46" s="38" t="str">
        <f>IF('Zoopl Count'!I111="","",'Zoopl Count'!I111*(2^'Zoopl Count'!I$9)/'Zoopl Count'!I$8)</f>
        <v/>
      </c>
      <c r="J46" s="38" t="e">
        <f>IF('Zoopl Count'!#REF!="","",'Zoopl Count'!#REF!*(2^'Zoopl Count'!#REF!)/'Zoopl Count'!#REF!)</f>
        <v>#REF!</v>
      </c>
      <c r="K46" s="38" t="e">
        <f>IF('Zoopl Count'!#REF!="","",'Zoopl Count'!#REF!*(2^'Zoopl Count'!#REF!)/'Zoopl Count'!#REF!)</f>
        <v>#REF!</v>
      </c>
      <c r="L46" s="38" t="e">
        <f>IF('Zoopl Count'!#REF!="","",'Zoopl Count'!#REF!*(2^'Zoopl Count'!#REF!)/'Zoopl Count'!#REF!)</f>
        <v>#REF!</v>
      </c>
      <c r="M46" s="74"/>
    </row>
    <row r="47" spans="1:13">
      <c r="A47" s="21"/>
      <c r="B47" s="21"/>
      <c r="D47" s="2"/>
      <c r="E47" s="2"/>
      <c r="F47" s="2"/>
      <c r="G47" s="38" t="str">
        <f>IF('Zoopl Count'!G112="","",'Zoopl Count'!G112*(2^'Zoopl Count'!G$9)/'Zoopl Count'!G$8)</f>
        <v/>
      </c>
      <c r="H47" s="38" t="str">
        <f>IF('Zoopl Count'!H112="","",'Zoopl Count'!H112*(2^'Zoopl Count'!H$9)/'Zoopl Count'!H$8)</f>
        <v/>
      </c>
      <c r="I47" s="38" t="str">
        <f>IF('Zoopl Count'!I112="","",'Zoopl Count'!I112*(2^'Zoopl Count'!I$9)/'Zoopl Count'!I$8)</f>
        <v/>
      </c>
      <c r="J47" s="38" t="e">
        <f>IF('Zoopl Count'!#REF!="","",'Zoopl Count'!#REF!*(2^'Zoopl Count'!#REF!)/'Zoopl Count'!#REF!)</f>
        <v>#REF!</v>
      </c>
      <c r="K47" s="38" t="e">
        <f>IF('Zoopl Count'!#REF!="","",'Zoopl Count'!#REF!*(2^'Zoopl Count'!#REF!)/'Zoopl Count'!#REF!)</f>
        <v>#REF!</v>
      </c>
      <c r="L47" s="38" t="e">
        <f>IF('Zoopl Count'!#REF!="","",'Zoopl Count'!#REF!*(2^'Zoopl Count'!#REF!)/'Zoopl Count'!#REF!)</f>
        <v>#REF!</v>
      </c>
      <c r="M47" s="74"/>
    </row>
    <row r="48" spans="1:13" ht="15" customHeight="1">
      <c r="A48" s="2" t="s">
        <v>76</v>
      </c>
      <c r="B48" s="2" t="s">
        <v>88</v>
      </c>
      <c r="F48" s="19" t="s">
        <v>77</v>
      </c>
      <c r="G48" s="38">
        <f>IF('Zoopl Count'!G113="","",'Zoopl Count'!G113*(2^'Zoopl Count'!G$9)/'Zoopl Count'!G$8)</f>
        <v>0.52151891752352264</v>
      </c>
      <c r="H48" s="38">
        <f>IF('Zoopl Count'!H113="","",'Zoopl Count'!H113*(2^'Zoopl Count'!H$9)/'Zoopl Count'!H$8)</f>
        <v>0.26075945876176132</v>
      </c>
      <c r="I48" s="38">
        <f>IF('Zoopl Count'!I113="","",'Zoopl Count'!I113*(2^'Zoopl Count'!I$9)/'Zoopl Count'!I$8)</f>
        <v>0.22816452641654117</v>
      </c>
      <c r="J48" s="38" t="e">
        <f>IF('Zoopl Count'!#REF!="","",'Zoopl Count'!#REF!*(2^'Zoopl Count'!#REF!)/'Zoopl Count'!#REF!)</f>
        <v>#REF!</v>
      </c>
      <c r="K48" s="38" t="e">
        <f>IF('Zoopl Count'!#REF!="","",'Zoopl Count'!#REF!*(2^'Zoopl Count'!#REF!)/'Zoopl Count'!#REF!)</f>
        <v>#REF!</v>
      </c>
      <c r="L48" s="38" t="e">
        <f>IF('Zoopl Count'!#REF!="","",'Zoopl Count'!#REF!*(2^'Zoopl Count'!#REF!)/'Zoopl Count'!#REF!)</f>
        <v>#REF!</v>
      </c>
      <c r="M48" s="74"/>
    </row>
    <row r="49" spans="1:13">
      <c r="F49" s="6" t="s">
        <v>78</v>
      </c>
      <c r="G49" s="38" t="str">
        <f>IF('Zoopl Count'!G117="","",'Zoopl Count'!G117*(2^'Zoopl Count'!G$9)/'Zoopl Count'!G$8)</f>
        <v/>
      </c>
      <c r="H49" s="38" t="str">
        <f>IF('Zoopl Count'!H117="","",'Zoopl Count'!H117*(2^'Zoopl Count'!H$9)/'Zoopl Count'!H$8)</f>
        <v/>
      </c>
      <c r="I49" s="38" t="str">
        <f>IF('Zoopl Count'!I117="","",'Zoopl Count'!I117*(2^'Zoopl Count'!I$9)/'Zoopl Count'!I$8)</f>
        <v/>
      </c>
      <c r="J49" s="38" t="e">
        <f>IF('Zoopl Count'!#REF!="","",'Zoopl Count'!#REF!*(2^'Zoopl Count'!#REF!)/'Zoopl Count'!#REF!)</f>
        <v>#REF!</v>
      </c>
      <c r="K49" s="38" t="e">
        <f>IF('Zoopl Count'!#REF!="","",'Zoopl Count'!#REF!*(2^'Zoopl Count'!#REF!)/'Zoopl Count'!#REF!)</f>
        <v>#REF!</v>
      </c>
      <c r="L49" s="38" t="e">
        <f>IF('Zoopl Count'!#REF!="","",'Zoopl Count'!#REF!*(2^'Zoopl Count'!#REF!)/'Zoopl Count'!#REF!)</f>
        <v>#REF!</v>
      </c>
      <c r="M49" s="74"/>
    </row>
    <row r="50" spans="1:13" ht="15" customHeight="1">
      <c r="B50" s="59"/>
      <c r="E50" s="59"/>
      <c r="F50" s="59"/>
      <c r="G50" s="38" t="str">
        <f>IF('Zoopl Count'!G119="","",'Zoopl Count'!G119*(2^'Zoopl Count'!G$9)/'Zoopl Count'!G$8)</f>
        <v/>
      </c>
      <c r="H50" s="38" t="str">
        <f>IF('Zoopl Count'!H119="","",'Zoopl Count'!H119*(2^'Zoopl Count'!H$9)/'Zoopl Count'!H$8)</f>
        <v/>
      </c>
      <c r="I50" s="38" t="str">
        <f>IF('Zoopl Count'!I119="","",'Zoopl Count'!I119*(2^'Zoopl Count'!I$9)/'Zoopl Count'!I$8)</f>
        <v/>
      </c>
      <c r="J50" s="38" t="e">
        <f>IF('Zoopl Count'!#REF!="","",'Zoopl Count'!#REF!*(2^'Zoopl Count'!#REF!)/'Zoopl Count'!#REF!)</f>
        <v>#REF!</v>
      </c>
      <c r="K50" s="38" t="e">
        <f>IF('Zoopl Count'!#REF!="","",'Zoopl Count'!#REF!*(2^'Zoopl Count'!#REF!)/'Zoopl Count'!#REF!)</f>
        <v>#REF!</v>
      </c>
      <c r="L50" s="38" t="e">
        <f>IF('Zoopl Count'!#REF!="","",'Zoopl Count'!#REF!*(2^'Zoopl Count'!#REF!)/'Zoopl Count'!#REF!)</f>
        <v>#REF!</v>
      </c>
      <c r="M50" s="74"/>
    </row>
    <row r="51" spans="1:13" ht="15" customHeight="1">
      <c r="A51" s="2" t="s">
        <v>76</v>
      </c>
      <c r="B51" s="2" t="s">
        <v>88</v>
      </c>
      <c r="C51" s="59"/>
      <c r="D51" s="83" t="s">
        <v>233</v>
      </c>
      <c r="E51" s="59"/>
      <c r="F51" s="83" t="s">
        <v>234</v>
      </c>
      <c r="G51" s="38" t="str">
        <f>IF('Zoopl Count'!G120="","",'Zoopl Count'!G120*(2^'Zoopl Count'!G$9)/'Zoopl Count'!G$8)</f>
        <v/>
      </c>
      <c r="H51" s="38" t="str">
        <f>IF('Zoopl Count'!H120="","",'Zoopl Count'!H120*(2^'Zoopl Count'!H$9)/'Zoopl Count'!H$8)</f>
        <v/>
      </c>
      <c r="I51" s="38" t="str">
        <f>IF('Zoopl Count'!I120="","",'Zoopl Count'!I120*(2^'Zoopl Count'!I$9)/'Zoopl Count'!I$8)</f>
        <v/>
      </c>
      <c r="J51" s="38" t="e">
        <f>IF('Zoopl Count'!#REF!="","",'Zoopl Count'!#REF!*(2^'Zoopl Count'!#REF!)/'Zoopl Count'!#REF!)</f>
        <v>#REF!</v>
      </c>
      <c r="K51" s="38" t="e">
        <f>IF('Zoopl Count'!#REF!="","",'Zoopl Count'!#REF!*(2^'Zoopl Count'!#REF!)/'Zoopl Count'!#REF!)</f>
        <v>#REF!</v>
      </c>
      <c r="L51" s="38" t="e">
        <f>IF('Zoopl Count'!#REF!="","",'Zoopl Count'!#REF!*(2^'Zoopl Count'!#REF!)/'Zoopl Count'!#REF!)</f>
        <v>#REF!</v>
      </c>
      <c r="M51" s="74"/>
    </row>
    <row r="52" spans="1:13">
      <c r="G52" s="38" t="str">
        <f>IF('Zoopl Count'!G124="","",'Zoopl Count'!G124*(2^'Zoopl Count'!G$9)/'Zoopl Count'!G$8)</f>
        <v/>
      </c>
      <c r="H52" s="38" t="str">
        <f>IF('Zoopl Count'!H124="","",'Zoopl Count'!H124*(2^'Zoopl Count'!H$9)/'Zoopl Count'!H$8)</f>
        <v/>
      </c>
      <c r="I52" s="38" t="str">
        <f>IF('Zoopl Count'!I124="","",'Zoopl Count'!I124*(2^'Zoopl Count'!I$9)/'Zoopl Count'!I$8)</f>
        <v/>
      </c>
      <c r="J52" s="38" t="e">
        <f>IF('Zoopl Count'!#REF!="","",'Zoopl Count'!#REF!*(2^'Zoopl Count'!#REF!)/'Zoopl Count'!#REF!)</f>
        <v>#REF!</v>
      </c>
      <c r="K52" s="38" t="e">
        <f>IF('Zoopl Count'!#REF!="","",'Zoopl Count'!#REF!*(2^'Zoopl Count'!#REF!)/'Zoopl Count'!#REF!)</f>
        <v>#REF!</v>
      </c>
      <c r="L52" s="38" t="e">
        <f>IF('Zoopl Count'!#REF!="","",'Zoopl Count'!#REF!*(2^'Zoopl Count'!#REF!)/'Zoopl Count'!#REF!)</f>
        <v>#REF!</v>
      </c>
      <c r="M52" s="74"/>
    </row>
    <row r="53" spans="1:13">
      <c r="A53" s="21"/>
      <c r="C53" s="2"/>
      <c r="D53" s="2"/>
      <c r="E53" s="2"/>
      <c r="F53" s="2"/>
      <c r="G53" s="38" t="str">
        <f>IF('Zoopl Count'!G128="","",'Zoopl Count'!G128*(2^'Zoopl Count'!G$9)/'Zoopl Count'!G$8)</f>
        <v/>
      </c>
      <c r="H53" s="38" t="str">
        <f>IF('Zoopl Count'!H128="","",'Zoopl Count'!H128*(2^'Zoopl Count'!H$9)/'Zoopl Count'!H$8)</f>
        <v/>
      </c>
      <c r="I53" s="38" t="str">
        <f>IF('Zoopl Count'!I128="","",'Zoopl Count'!I128*(2^'Zoopl Count'!I$9)/'Zoopl Count'!I$8)</f>
        <v/>
      </c>
      <c r="J53" s="38" t="e">
        <f>IF('Zoopl Count'!#REF!="","",'Zoopl Count'!#REF!*(2^'Zoopl Count'!#REF!)/'Zoopl Count'!#REF!)</f>
        <v>#REF!</v>
      </c>
      <c r="K53" s="38" t="e">
        <f>IF('Zoopl Count'!#REF!="","",'Zoopl Count'!#REF!*(2^'Zoopl Count'!#REF!)/'Zoopl Count'!#REF!)</f>
        <v>#REF!</v>
      </c>
      <c r="L53" s="38" t="e">
        <f>IF('Zoopl Count'!#REF!="","",'Zoopl Count'!#REF!*(2^'Zoopl Count'!#REF!)/'Zoopl Count'!#REF!)</f>
        <v>#REF!</v>
      </c>
      <c r="M53" s="74"/>
    </row>
    <row r="54" spans="1:13">
      <c r="A54" s="8"/>
      <c r="B54" s="21"/>
      <c r="G54" s="38" t="str">
        <f>IF('Zoopl Count'!G129="","",'Zoopl Count'!G129*(2^'Zoopl Count'!G$9)/'Zoopl Count'!G$8)</f>
        <v/>
      </c>
      <c r="H54" s="38" t="str">
        <f>IF('Zoopl Count'!H129="","",'Zoopl Count'!H129*(2^'Zoopl Count'!H$9)/'Zoopl Count'!H$8)</f>
        <v/>
      </c>
      <c r="I54" s="38" t="str">
        <f>IF('Zoopl Count'!I129="","",'Zoopl Count'!I129*(2^'Zoopl Count'!I$9)/'Zoopl Count'!I$8)</f>
        <v/>
      </c>
      <c r="J54" s="38" t="e">
        <f>IF('Zoopl Count'!#REF!="","",'Zoopl Count'!#REF!*(2^'Zoopl Count'!#REF!)/'Zoopl Count'!#REF!)</f>
        <v>#REF!</v>
      </c>
      <c r="K54" s="38" t="e">
        <f>IF('Zoopl Count'!#REF!="","",'Zoopl Count'!#REF!*(2^'Zoopl Count'!#REF!)/'Zoopl Count'!#REF!)</f>
        <v>#REF!</v>
      </c>
      <c r="L54" s="38" t="e">
        <f>IF('Zoopl Count'!#REF!="","",'Zoopl Count'!#REF!*(2^'Zoopl Count'!#REF!)/'Zoopl Count'!#REF!)</f>
        <v>#REF!</v>
      </c>
      <c r="M54" s="74"/>
    </row>
    <row r="55" spans="1:13">
      <c r="A55" s="2" t="s">
        <v>9</v>
      </c>
      <c r="B55" s="2" t="s">
        <v>80</v>
      </c>
      <c r="C55" s="2"/>
      <c r="F55" s="19" t="s">
        <v>103</v>
      </c>
      <c r="G55" s="38" t="str">
        <f>IF('Zoopl Count'!G130="","",'Zoopl Count'!G130*(2^'Zoopl Count'!G$9)/'Zoopl Count'!G$8)</f>
        <v/>
      </c>
      <c r="H55" s="38" t="str">
        <f>IF('Zoopl Count'!H130="","",'Zoopl Count'!H130*(2^'Zoopl Count'!H$9)/'Zoopl Count'!H$8)</f>
        <v/>
      </c>
      <c r="I55" s="38" t="str">
        <f>IF('Zoopl Count'!I130="","",'Zoopl Count'!I130*(2^'Zoopl Count'!I$9)/'Zoopl Count'!I$8)</f>
        <v/>
      </c>
      <c r="J55" s="38" t="e">
        <f>IF('Zoopl Count'!#REF!="","",'Zoopl Count'!#REF!*(2^'Zoopl Count'!#REF!)/'Zoopl Count'!#REF!)</f>
        <v>#REF!</v>
      </c>
      <c r="K55" s="38" t="e">
        <f>IF('Zoopl Count'!#REF!="","",'Zoopl Count'!#REF!*(2^'Zoopl Count'!#REF!)/'Zoopl Count'!#REF!)</f>
        <v>#REF!</v>
      </c>
      <c r="L55" s="38" t="e">
        <f>IF('Zoopl Count'!#REF!="","",'Zoopl Count'!#REF!*(2^'Zoopl Count'!#REF!)/'Zoopl Count'!#REF!)</f>
        <v>#REF!</v>
      </c>
      <c r="M55" s="74"/>
    </row>
    <row r="56" spans="1:13">
      <c r="E56" s="8"/>
      <c r="F56" s="19"/>
      <c r="G56" s="38" t="str">
        <f>IF('Zoopl Count'!G131="","",'Zoopl Count'!G131*(2^'Zoopl Count'!G$9)/'Zoopl Count'!G$8)</f>
        <v/>
      </c>
      <c r="H56" s="38" t="str">
        <f>IF('Zoopl Count'!H131="","",'Zoopl Count'!H131*(2^'Zoopl Count'!H$9)/'Zoopl Count'!H$8)</f>
        <v/>
      </c>
      <c r="I56" s="38" t="str">
        <f>IF('Zoopl Count'!I131="","",'Zoopl Count'!I131*(2^'Zoopl Count'!I$9)/'Zoopl Count'!I$8)</f>
        <v/>
      </c>
      <c r="J56" s="38" t="e">
        <f>IF('Zoopl Count'!#REF!="","",'Zoopl Count'!#REF!*(2^'Zoopl Count'!#REF!)/'Zoopl Count'!#REF!)</f>
        <v>#REF!</v>
      </c>
      <c r="K56" s="38" t="e">
        <f>IF('Zoopl Count'!#REF!="","",'Zoopl Count'!#REF!*(2^'Zoopl Count'!#REF!)/'Zoopl Count'!#REF!)</f>
        <v>#REF!</v>
      </c>
      <c r="L56" s="38" t="e">
        <f>IF('Zoopl Count'!#REF!="","",'Zoopl Count'!#REF!*(2^'Zoopl Count'!#REF!)/'Zoopl Count'!#REF!)</f>
        <v>#REF!</v>
      </c>
      <c r="M56" s="74"/>
    </row>
    <row r="57" spans="1:13">
      <c r="D57" s="8"/>
      <c r="F57" s="19"/>
      <c r="G57" s="38" t="str">
        <f>IF('Zoopl Count'!G132="","",'Zoopl Count'!G132*(2^'Zoopl Count'!G$9)/'Zoopl Count'!G$8)</f>
        <v/>
      </c>
      <c r="H57" s="38" t="str">
        <f>IF('Zoopl Count'!H132="","",'Zoopl Count'!H132*(2^'Zoopl Count'!H$9)/'Zoopl Count'!H$8)</f>
        <v/>
      </c>
      <c r="I57" s="38" t="str">
        <f>IF('Zoopl Count'!I132="","",'Zoopl Count'!I132*(2^'Zoopl Count'!I$9)/'Zoopl Count'!I$8)</f>
        <v/>
      </c>
      <c r="J57" s="38" t="e">
        <f>IF('Zoopl Count'!#REF!="","",'Zoopl Count'!#REF!*(2^'Zoopl Count'!#REF!)/'Zoopl Count'!#REF!)</f>
        <v>#REF!</v>
      </c>
      <c r="K57" s="38" t="e">
        <f>IF('Zoopl Count'!#REF!="","",'Zoopl Count'!#REF!*(2^'Zoopl Count'!#REF!)/'Zoopl Count'!#REF!)</f>
        <v>#REF!</v>
      </c>
      <c r="L57" s="38" t="e">
        <f>IF('Zoopl Count'!#REF!="","",'Zoopl Count'!#REF!*(2^'Zoopl Count'!#REF!)/'Zoopl Count'!#REF!)</f>
        <v>#REF!</v>
      </c>
      <c r="M57" s="74"/>
    </row>
    <row r="58" spans="1:13">
      <c r="A58" s="2" t="s">
        <v>9</v>
      </c>
      <c r="B58" s="2" t="s">
        <v>80</v>
      </c>
      <c r="C58" s="2" t="s">
        <v>67</v>
      </c>
      <c r="D58" s="11" t="s">
        <v>68</v>
      </c>
      <c r="E58" s="8"/>
      <c r="F58" s="19" t="s">
        <v>69</v>
      </c>
      <c r="G58" s="38" t="str">
        <f>IF('Zoopl Count'!G133="","",'Zoopl Count'!G133*(2^'Zoopl Count'!G$9)/'Zoopl Count'!G$8)</f>
        <v/>
      </c>
      <c r="H58" s="38" t="str">
        <f>IF('Zoopl Count'!H133="","",'Zoopl Count'!H133*(2^'Zoopl Count'!H$9)/'Zoopl Count'!H$8)</f>
        <v/>
      </c>
      <c r="I58" s="38" t="str">
        <f>IF('Zoopl Count'!I133="","",'Zoopl Count'!I133*(2^'Zoopl Count'!I$9)/'Zoopl Count'!I$8)</f>
        <v/>
      </c>
      <c r="J58" s="38" t="e">
        <f>IF('Zoopl Count'!#REF!="","",'Zoopl Count'!#REF!*(2^'Zoopl Count'!#REF!)/'Zoopl Count'!#REF!)</f>
        <v>#REF!</v>
      </c>
      <c r="K58" s="38" t="e">
        <f>IF('Zoopl Count'!#REF!="","",'Zoopl Count'!#REF!*(2^'Zoopl Count'!#REF!)/'Zoopl Count'!#REF!)</f>
        <v>#REF!</v>
      </c>
      <c r="L58" s="38" t="e">
        <f>IF('Zoopl Count'!#REF!="","",'Zoopl Count'!#REF!*(2^'Zoopl Count'!#REF!)/'Zoopl Count'!#REF!)</f>
        <v>#REF!</v>
      </c>
      <c r="M58" s="74"/>
    </row>
    <row r="59" spans="1:13">
      <c r="A59" s="2" t="s">
        <v>9</v>
      </c>
      <c r="B59" s="2" t="s">
        <v>80</v>
      </c>
      <c r="C59" s="2" t="s">
        <v>67</v>
      </c>
      <c r="D59" s="11" t="s">
        <v>68</v>
      </c>
      <c r="E59" s="8"/>
      <c r="F59" s="19" t="s">
        <v>70</v>
      </c>
      <c r="G59" s="38" t="str">
        <f>IF('Zoopl Count'!G134="","",'Zoopl Count'!G134*(2^'Zoopl Count'!G$9)/'Zoopl Count'!G$8)</f>
        <v/>
      </c>
      <c r="H59" s="38" t="str">
        <f>IF('Zoopl Count'!H134="","",'Zoopl Count'!H134*(2^'Zoopl Count'!H$9)/'Zoopl Count'!H$8)</f>
        <v/>
      </c>
      <c r="I59" s="38" t="str">
        <f>IF('Zoopl Count'!I134="","",'Zoopl Count'!I134*(2^'Zoopl Count'!I$9)/'Zoopl Count'!I$8)</f>
        <v/>
      </c>
      <c r="J59" s="38" t="e">
        <f>IF('Zoopl Count'!#REF!="","",'Zoopl Count'!#REF!*(2^'Zoopl Count'!#REF!)/'Zoopl Count'!#REF!)</f>
        <v>#REF!</v>
      </c>
      <c r="K59" s="38" t="e">
        <f>IF('Zoopl Count'!#REF!="","",'Zoopl Count'!#REF!*(2^'Zoopl Count'!#REF!)/'Zoopl Count'!#REF!)</f>
        <v>#REF!</v>
      </c>
      <c r="L59" s="38" t="e">
        <f>IF('Zoopl Count'!#REF!="","",'Zoopl Count'!#REF!*(2^'Zoopl Count'!#REF!)/'Zoopl Count'!#REF!)</f>
        <v>#REF!</v>
      </c>
      <c r="M59" s="74"/>
    </row>
    <row r="60" spans="1:13">
      <c r="A60" s="2"/>
      <c r="D60" s="8"/>
      <c r="F60" s="19"/>
      <c r="G60" s="38" t="str">
        <f>IF('Zoopl Count'!G137="","",'Zoopl Count'!G137*(2^'Zoopl Count'!G$9)/'Zoopl Count'!G$8)</f>
        <v/>
      </c>
      <c r="H60" s="38" t="str">
        <f>IF('Zoopl Count'!H137="","",'Zoopl Count'!H137*(2^'Zoopl Count'!H$9)/'Zoopl Count'!H$8)</f>
        <v/>
      </c>
      <c r="I60" s="38" t="str">
        <f>IF('Zoopl Count'!I137="","",'Zoopl Count'!I137*(2^'Zoopl Count'!I$9)/'Zoopl Count'!I$8)</f>
        <v/>
      </c>
      <c r="J60" s="38" t="e">
        <f>IF('Zoopl Count'!#REF!="","",'Zoopl Count'!#REF!*(2^'Zoopl Count'!#REF!)/'Zoopl Count'!#REF!)</f>
        <v>#REF!</v>
      </c>
      <c r="K60" s="38" t="e">
        <f>IF('Zoopl Count'!#REF!="","",'Zoopl Count'!#REF!*(2^'Zoopl Count'!#REF!)/'Zoopl Count'!#REF!)</f>
        <v>#REF!</v>
      </c>
      <c r="L60" s="38" t="e">
        <f>IF('Zoopl Count'!#REF!="","",'Zoopl Count'!#REF!*(2^'Zoopl Count'!#REF!)/'Zoopl Count'!#REF!)</f>
        <v>#REF!</v>
      </c>
      <c r="M60" s="74"/>
    </row>
    <row r="61" spans="1:13">
      <c r="A61" s="2" t="s">
        <v>9</v>
      </c>
      <c r="B61" s="2" t="s">
        <v>80</v>
      </c>
      <c r="C61" s="2" t="s">
        <v>67</v>
      </c>
      <c r="D61" s="11" t="s">
        <v>71</v>
      </c>
      <c r="E61" s="8"/>
      <c r="F61" s="19" t="s">
        <v>72</v>
      </c>
      <c r="G61" s="38" t="str">
        <f>IF('Zoopl Count'!G138="","",'Zoopl Count'!G138*(2^'Zoopl Count'!G$9)/'Zoopl Count'!G$8)</f>
        <v/>
      </c>
      <c r="H61" s="38" t="str">
        <f>IF('Zoopl Count'!H138="","",'Zoopl Count'!H138*(2^'Zoopl Count'!H$9)/'Zoopl Count'!H$8)</f>
        <v/>
      </c>
      <c r="I61" s="38" t="str">
        <f>IF('Zoopl Count'!I138="","",'Zoopl Count'!I138*(2^'Zoopl Count'!I$9)/'Zoopl Count'!I$8)</f>
        <v/>
      </c>
      <c r="J61" s="38" t="e">
        <f>IF('Zoopl Count'!#REF!="","",'Zoopl Count'!#REF!*(2^'Zoopl Count'!#REF!)/'Zoopl Count'!#REF!)</f>
        <v>#REF!</v>
      </c>
      <c r="K61" s="38" t="e">
        <f>IF('Zoopl Count'!#REF!="","",'Zoopl Count'!#REF!*(2^'Zoopl Count'!#REF!)/'Zoopl Count'!#REF!)</f>
        <v>#REF!</v>
      </c>
      <c r="L61" s="38" t="e">
        <f>IF('Zoopl Count'!#REF!="","",'Zoopl Count'!#REF!*(2^'Zoopl Count'!#REF!)/'Zoopl Count'!#REF!)</f>
        <v>#REF!</v>
      </c>
      <c r="M61" s="74"/>
    </row>
    <row r="62" spans="1:13">
      <c r="E62" s="8"/>
      <c r="F62" s="19"/>
      <c r="G62" s="38" t="str">
        <f>IF('Zoopl Count'!G139="","",'Zoopl Count'!G139*(2^'Zoopl Count'!G$9)/'Zoopl Count'!G$8)</f>
        <v/>
      </c>
      <c r="H62" s="38" t="str">
        <f>IF('Zoopl Count'!H139="","",'Zoopl Count'!H139*(2^'Zoopl Count'!H$9)/'Zoopl Count'!H$8)</f>
        <v/>
      </c>
      <c r="I62" s="38" t="str">
        <f>IF('Zoopl Count'!I139="","",'Zoopl Count'!I139*(2^'Zoopl Count'!I$9)/'Zoopl Count'!I$8)</f>
        <v/>
      </c>
      <c r="J62" s="38" t="e">
        <f>IF('Zoopl Count'!#REF!="","",'Zoopl Count'!#REF!*(2^'Zoopl Count'!#REF!)/'Zoopl Count'!#REF!)</f>
        <v>#REF!</v>
      </c>
      <c r="K62" s="38" t="e">
        <f>IF('Zoopl Count'!#REF!="","",'Zoopl Count'!#REF!*(2^'Zoopl Count'!#REF!)/'Zoopl Count'!#REF!)</f>
        <v>#REF!</v>
      </c>
      <c r="L62" s="38" t="e">
        <f>IF('Zoopl Count'!#REF!="","",'Zoopl Count'!#REF!*(2^'Zoopl Count'!#REF!)/'Zoopl Count'!#REF!)</f>
        <v>#REF!</v>
      </c>
      <c r="M62" s="74"/>
    </row>
    <row r="63" spans="1:13">
      <c r="A63" s="2"/>
      <c r="B63" s="21"/>
      <c r="D63" s="2"/>
      <c r="E63" s="21"/>
      <c r="F63" s="79"/>
      <c r="G63" s="38" t="str">
        <f>IF('Zoopl Count'!G140="","",'Zoopl Count'!G140*(2^'Zoopl Count'!G$9)/'Zoopl Count'!G$8)</f>
        <v/>
      </c>
      <c r="H63" s="38" t="str">
        <f>IF('Zoopl Count'!H140="","",'Zoopl Count'!H140*(2^'Zoopl Count'!H$9)/'Zoopl Count'!H$8)</f>
        <v/>
      </c>
      <c r="I63" s="38" t="str">
        <f>IF('Zoopl Count'!I140="","",'Zoopl Count'!I140*(2^'Zoopl Count'!I$9)/'Zoopl Count'!I$8)</f>
        <v/>
      </c>
      <c r="J63" s="38" t="e">
        <f>IF('Zoopl Count'!#REF!="","",'Zoopl Count'!#REF!*(2^'Zoopl Count'!#REF!)/'Zoopl Count'!#REF!)</f>
        <v>#REF!</v>
      </c>
      <c r="K63" s="38" t="e">
        <f>IF('Zoopl Count'!#REF!="","",'Zoopl Count'!#REF!*(2^'Zoopl Count'!#REF!)/'Zoopl Count'!#REF!)</f>
        <v>#REF!</v>
      </c>
      <c r="L63" s="38" t="e">
        <f>IF('Zoopl Count'!#REF!="","",'Zoopl Count'!#REF!*(2^'Zoopl Count'!#REF!)/'Zoopl Count'!#REF!)</f>
        <v>#REF!</v>
      </c>
      <c r="M63" s="74"/>
    </row>
    <row r="64" spans="1:13">
      <c r="A64" s="2" t="s">
        <v>9</v>
      </c>
      <c r="B64" s="2" t="s">
        <v>81</v>
      </c>
      <c r="C64" s="2"/>
      <c r="D64" s="2"/>
      <c r="E64" s="21"/>
      <c r="F64" s="79" t="s">
        <v>100</v>
      </c>
      <c r="G64" s="38" t="str">
        <f>IF('Zoopl Count'!G141="","",'Zoopl Count'!G141*(2^'Zoopl Count'!G$9)/'Zoopl Count'!G$8)</f>
        <v/>
      </c>
      <c r="H64" s="38" t="str">
        <f>IF('Zoopl Count'!H141="","",'Zoopl Count'!H141*(2^'Zoopl Count'!H$9)/'Zoopl Count'!H$8)</f>
        <v/>
      </c>
      <c r="I64" s="38" t="str">
        <f>IF('Zoopl Count'!I141="","",'Zoopl Count'!I141*(2^'Zoopl Count'!I$9)/'Zoopl Count'!I$8)</f>
        <v/>
      </c>
      <c r="J64" s="38" t="e">
        <f>IF('Zoopl Count'!#REF!="","",'Zoopl Count'!#REF!*(2^'Zoopl Count'!#REF!)/'Zoopl Count'!#REF!)</f>
        <v>#REF!</v>
      </c>
      <c r="K64" s="38" t="e">
        <f>IF('Zoopl Count'!#REF!="","",'Zoopl Count'!#REF!*(2^'Zoopl Count'!#REF!)/'Zoopl Count'!#REF!)</f>
        <v>#REF!</v>
      </c>
      <c r="L64" s="38" t="e">
        <f>IF('Zoopl Count'!#REF!="","",'Zoopl Count'!#REF!*(2^'Zoopl Count'!#REF!)/'Zoopl Count'!#REF!)</f>
        <v>#REF!</v>
      </c>
      <c r="M64" s="74"/>
    </row>
    <row r="65" spans="1:13">
      <c r="A65" s="2"/>
      <c r="B65" s="21"/>
      <c r="C65" s="21"/>
      <c r="E65" s="21"/>
      <c r="F65" s="79"/>
      <c r="G65" s="38" t="str">
        <f>IF('Zoopl Count'!G145="","",'Zoopl Count'!G145*(2^'Zoopl Count'!G$9)/'Zoopl Count'!G$8)</f>
        <v/>
      </c>
      <c r="H65" s="38" t="str">
        <f>IF('Zoopl Count'!H145="","",'Zoopl Count'!H145*(2^'Zoopl Count'!H$9)/'Zoopl Count'!H$8)</f>
        <v/>
      </c>
      <c r="I65" s="38" t="str">
        <f>IF('Zoopl Count'!I145="","",'Zoopl Count'!I145*(2^'Zoopl Count'!I$9)/'Zoopl Count'!I$8)</f>
        <v/>
      </c>
      <c r="J65" s="38" t="e">
        <f>IF('Zoopl Count'!#REF!="","",'Zoopl Count'!#REF!*(2^'Zoopl Count'!#REF!)/'Zoopl Count'!#REF!)</f>
        <v>#REF!</v>
      </c>
      <c r="K65" s="38" t="e">
        <f>IF('Zoopl Count'!#REF!="","",'Zoopl Count'!#REF!*(2^'Zoopl Count'!#REF!)/'Zoopl Count'!#REF!)</f>
        <v>#REF!</v>
      </c>
      <c r="L65" s="38" t="e">
        <f>IF('Zoopl Count'!#REF!="","",'Zoopl Count'!#REF!*(2^'Zoopl Count'!#REF!)/'Zoopl Count'!#REF!)</f>
        <v>#REF!</v>
      </c>
      <c r="M65" s="74"/>
    </row>
    <row r="66" spans="1:13">
      <c r="B66" s="8"/>
      <c r="C66" s="2"/>
      <c r="D66" s="8"/>
      <c r="G66" s="38" t="str">
        <f>IF('Zoopl Count'!G146="","",'Zoopl Count'!G146*(2^'Zoopl Count'!G$9)/'Zoopl Count'!G$8)</f>
        <v/>
      </c>
      <c r="H66" s="38" t="str">
        <f>IF('Zoopl Count'!H146="","",'Zoopl Count'!H146*(2^'Zoopl Count'!H$9)/'Zoopl Count'!H$8)</f>
        <v/>
      </c>
      <c r="I66" s="38" t="str">
        <f>IF('Zoopl Count'!I146="","",'Zoopl Count'!I146*(2^'Zoopl Count'!I$9)/'Zoopl Count'!I$8)</f>
        <v/>
      </c>
      <c r="J66" s="38" t="e">
        <f>IF('Zoopl Count'!#REF!="","",'Zoopl Count'!#REF!*(2^'Zoopl Count'!#REF!)/'Zoopl Count'!#REF!)</f>
        <v>#REF!</v>
      </c>
      <c r="K66" s="38" t="e">
        <f>IF('Zoopl Count'!#REF!="","",'Zoopl Count'!#REF!*(2^'Zoopl Count'!#REF!)/'Zoopl Count'!#REF!)</f>
        <v>#REF!</v>
      </c>
      <c r="L66" s="38" t="e">
        <f>IF('Zoopl Count'!#REF!="","",'Zoopl Count'!#REF!*(2^'Zoopl Count'!#REF!)/'Zoopl Count'!#REF!)</f>
        <v>#REF!</v>
      </c>
      <c r="M66" s="74"/>
    </row>
    <row r="67" spans="1:13">
      <c r="A67" s="2" t="s">
        <v>9</v>
      </c>
      <c r="B67" s="2" t="s">
        <v>81</v>
      </c>
      <c r="C67" s="2" t="s">
        <v>90</v>
      </c>
      <c r="D67" s="11" t="s">
        <v>91</v>
      </c>
      <c r="E67" s="8"/>
      <c r="F67" s="19" t="s">
        <v>89</v>
      </c>
      <c r="G67" s="38" t="str">
        <f>IF('Zoopl Count'!G147="","",'Zoopl Count'!G147*(2^'Zoopl Count'!G$9)/'Zoopl Count'!G$8)</f>
        <v/>
      </c>
      <c r="H67" s="38">
        <f>IF('Zoopl Count'!H147="","",'Zoopl Count'!H147*(2^'Zoopl Count'!H$9)/'Zoopl Count'!H$8)</f>
        <v>0.19556959407132099</v>
      </c>
      <c r="I67" s="38">
        <f>IF('Zoopl Count'!I147="","",'Zoopl Count'!I147*(2^'Zoopl Count'!I$9)/'Zoopl Count'!I$8)</f>
        <v>6.518986469044033E-2</v>
      </c>
      <c r="J67" s="38" t="e">
        <f>IF('Zoopl Count'!#REF!="","",'Zoopl Count'!#REF!*(2^'Zoopl Count'!#REF!)/'Zoopl Count'!#REF!)</f>
        <v>#REF!</v>
      </c>
      <c r="K67" s="38" t="e">
        <f>IF('Zoopl Count'!#REF!="","",'Zoopl Count'!#REF!*(2^'Zoopl Count'!#REF!)/'Zoopl Count'!#REF!)</f>
        <v>#REF!</v>
      </c>
      <c r="L67" s="38" t="e">
        <f>IF('Zoopl Count'!#REF!="","",'Zoopl Count'!#REF!*(2^'Zoopl Count'!#REF!)/'Zoopl Count'!#REF!)</f>
        <v>#REF!</v>
      </c>
      <c r="M67" s="74"/>
    </row>
    <row r="68" spans="1:13">
      <c r="E68" s="8"/>
      <c r="G68" s="38" t="str">
        <f>IF('Zoopl Count'!G148="","",'Zoopl Count'!G148*(2^'Zoopl Count'!G$9)/'Zoopl Count'!G$8)</f>
        <v/>
      </c>
      <c r="H68" s="38" t="str">
        <f>IF('Zoopl Count'!H148="","",'Zoopl Count'!H148*(2^'Zoopl Count'!H$9)/'Zoopl Count'!H$8)</f>
        <v/>
      </c>
      <c r="I68" s="38" t="str">
        <f>IF('Zoopl Count'!I148="","",'Zoopl Count'!I148*(2^'Zoopl Count'!I$9)/'Zoopl Count'!I$8)</f>
        <v/>
      </c>
      <c r="J68" s="38" t="e">
        <f>IF('Zoopl Count'!#REF!="","",'Zoopl Count'!#REF!*(2^'Zoopl Count'!#REF!)/'Zoopl Count'!#REF!)</f>
        <v>#REF!</v>
      </c>
      <c r="K68" s="38" t="e">
        <f>IF('Zoopl Count'!#REF!="","",'Zoopl Count'!#REF!*(2^'Zoopl Count'!#REF!)/'Zoopl Count'!#REF!)</f>
        <v>#REF!</v>
      </c>
      <c r="L68" s="38" t="e">
        <f>IF('Zoopl Count'!#REF!="","",'Zoopl Count'!#REF!*(2^'Zoopl Count'!#REF!)/'Zoopl Count'!#REF!)</f>
        <v>#REF!</v>
      </c>
      <c r="M68" s="74"/>
    </row>
    <row r="69" spans="1:13">
      <c r="E69" s="8"/>
      <c r="F69" s="19"/>
      <c r="G69" s="38" t="str">
        <f>IF('Zoopl Count'!G149="","",'Zoopl Count'!G149*(2^'Zoopl Count'!G$9)/'Zoopl Count'!G$8)</f>
        <v/>
      </c>
      <c r="H69" s="38" t="str">
        <f>IF('Zoopl Count'!H149="","",'Zoopl Count'!H149*(2^'Zoopl Count'!H$9)/'Zoopl Count'!H$8)</f>
        <v/>
      </c>
      <c r="I69" s="38" t="str">
        <f>IF('Zoopl Count'!I149="","",'Zoopl Count'!I149*(2^'Zoopl Count'!I$9)/'Zoopl Count'!I$8)</f>
        <v/>
      </c>
      <c r="J69" s="38" t="e">
        <f>IF('Zoopl Count'!#REF!="","",'Zoopl Count'!#REF!*(2^'Zoopl Count'!#REF!)/'Zoopl Count'!#REF!)</f>
        <v>#REF!</v>
      </c>
      <c r="K69" s="38" t="e">
        <f>IF('Zoopl Count'!#REF!="","",'Zoopl Count'!#REF!*(2^'Zoopl Count'!#REF!)/'Zoopl Count'!#REF!)</f>
        <v>#REF!</v>
      </c>
      <c r="L69" s="38" t="e">
        <f>IF('Zoopl Count'!#REF!="","",'Zoopl Count'!#REF!*(2^'Zoopl Count'!#REF!)/'Zoopl Count'!#REF!)</f>
        <v>#REF!</v>
      </c>
      <c r="M69" s="74"/>
    </row>
    <row r="70" spans="1:13">
      <c r="A70" s="21"/>
      <c r="B70" s="21"/>
      <c r="D70" s="2"/>
      <c r="E70" s="2"/>
      <c r="F70" s="2"/>
      <c r="G70" s="38" t="str">
        <f>IF('Zoopl Count'!G150="","",'Zoopl Count'!G150*(2^'Zoopl Count'!G$9)/'Zoopl Count'!G$8)</f>
        <v/>
      </c>
      <c r="H70" s="38" t="str">
        <f>IF('Zoopl Count'!H150="","",'Zoopl Count'!H150*(2^'Zoopl Count'!H$9)/'Zoopl Count'!H$8)</f>
        <v/>
      </c>
      <c r="I70" s="38" t="str">
        <f>IF('Zoopl Count'!I150="","",'Zoopl Count'!I150*(2^'Zoopl Count'!I$9)/'Zoopl Count'!I$8)</f>
        <v/>
      </c>
      <c r="J70" s="38" t="e">
        <f>IF('Zoopl Count'!#REF!="","",'Zoopl Count'!#REF!*(2^'Zoopl Count'!#REF!)/'Zoopl Count'!#REF!)</f>
        <v>#REF!</v>
      </c>
      <c r="K70" s="38" t="e">
        <f>IF('Zoopl Count'!#REF!="","",'Zoopl Count'!#REF!*(2^'Zoopl Count'!#REF!)/'Zoopl Count'!#REF!)</f>
        <v>#REF!</v>
      </c>
      <c r="L70" s="38" t="e">
        <f>IF('Zoopl Count'!#REF!="","",'Zoopl Count'!#REF!*(2^'Zoopl Count'!#REF!)/'Zoopl Count'!#REF!)</f>
        <v>#REF!</v>
      </c>
      <c r="M70" s="74"/>
    </row>
    <row r="71" spans="1:13">
      <c r="A71" s="2" t="s">
        <v>9</v>
      </c>
      <c r="B71" s="2" t="s">
        <v>84</v>
      </c>
      <c r="C71" s="2"/>
      <c r="F71" s="6" t="s">
        <v>159</v>
      </c>
      <c r="G71" s="38" t="str">
        <f>IF('Zoopl Count'!G151="","",'Zoopl Count'!G151*(2^'Zoopl Count'!G$9)/'Zoopl Count'!G$8)</f>
        <v/>
      </c>
      <c r="H71" s="38" t="str">
        <f>IF('Zoopl Count'!H151="","",'Zoopl Count'!H151*(2^'Zoopl Count'!H$9)/'Zoopl Count'!H$8)</f>
        <v/>
      </c>
      <c r="I71" s="38" t="str">
        <f>IF('Zoopl Count'!I151="","",'Zoopl Count'!I151*(2^'Zoopl Count'!I$9)/'Zoopl Count'!I$8)</f>
        <v/>
      </c>
      <c r="J71" s="38" t="e">
        <f>IF('Zoopl Count'!#REF!="","",'Zoopl Count'!#REF!*(2^'Zoopl Count'!#REF!)/'Zoopl Count'!#REF!)</f>
        <v>#REF!</v>
      </c>
      <c r="K71" s="38" t="e">
        <f>IF('Zoopl Count'!#REF!="","",'Zoopl Count'!#REF!*(2^'Zoopl Count'!#REF!)/'Zoopl Count'!#REF!)</f>
        <v>#REF!</v>
      </c>
      <c r="L71" s="38" t="e">
        <f>IF('Zoopl Count'!#REF!="","",'Zoopl Count'!#REF!*(2^'Zoopl Count'!#REF!)/'Zoopl Count'!#REF!)</f>
        <v>#REF!</v>
      </c>
      <c r="M71" s="74"/>
    </row>
    <row r="72" spans="1:13">
      <c r="A72" s="2" t="s">
        <v>9</v>
      </c>
      <c r="B72" s="2" t="s">
        <v>84</v>
      </c>
      <c r="C72" s="2"/>
      <c r="F72" s="6" t="s">
        <v>156</v>
      </c>
      <c r="G72" s="38" t="str">
        <f>IF('Zoopl Count'!G152="","",'Zoopl Count'!G152*(2^'Zoopl Count'!G$9)/'Zoopl Count'!G$8)</f>
        <v/>
      </c>
      <c r="H72" s="38" t="str">
        <f>IF('Zoopl Count'!H152="","",'Zoopl Count'!H152*(2^'Zoopl Count'!H$9)/'Zoopl Count'!H$8)</f>
        <v/>
      </c>
      <c r="I72" s="38" t="str">
        <f>IF('Zoopl Count'!I152="","",'Zoopl Count'!I152*(2^'Zoopl Count'!I$9)/'Zoopl Count'!I$8)</f>
        <v/>
      </c>
      <c r="J72" s="38" t="e">
        <f>IF('Zoopl Count'!#REF!="","",'Zoopl Count'!#REF!*(2^'Zoopl Count'!#REF!)/'Zoopl Count'!#REF!)</f>
        <v>#REF!</v>
      </c>
      <c r="K72" s="38" t="e">
        <f>IF('Zoopl Count'!#REF!="","",'Zoopl Count'!#REF!*(2^'Zoopl Count'!#REF!)/'Zoopl Count'!#REF!)</f>
        <v>#REF!</v>
      </c>
      <c r="L72" s="38" t="e">
        <f>IF('Zoopl Count'!#REF!="","",'Zoopl Count'!#REF!*(2^'Zoopl Count'!#REF!)/'Zoopl Count'!#REF!)</f>
        <v>#REF!</v>
      </c>
      <c r="M72" s="74"/>
    </row>
    <row r="73" spans="1:13">
      <c r="A73" s="8"/>
      <c r="B73" s="8"/>
      <c r="C73" s="2"/>
      <c r="G73" s="38" t="str">
        <f>IF('Zoopl Count'!G153="","",'Zoopl Count'!G153*(2^'Zoopl Count'!G$9)/'Zoopl Count'!G$8)</f>
        <v/>
      </c>
      <c r="H73" s="38" t="str">
        <f>IF('Zoopl Count'!H153="","",'Zoopl Count'!H153*(2^'Zoopl Count'!H$9)/'Zoopl Count'!H$8)</f>
        <v/>
      </c>
      <c r="I73" s="38" t="str">
        <f>IF('Zoopl Count'!I153="","",'Zoopl Count'!I153*(2^'Zoopl Count'!I$9)/'Zoopl Count'!I$8)</f>
        <v/>
      </c>
      <c r="J73" s="38" t="e">
        <f>IF('Zoopl Count'!#REF!="","",'Zoopl Count'!#REF!*(2^'Zoopl Count'!#REF!)/'Zoopl Count'!#REF!)</f>
        <v>#REF!</v>
      </c>
      <c r="K73" s="38" t="e">
        <f>IF('Zoopl Count'!#REF!="","",'Zoopl Count'!#REF!*(2^'Zoopl Count'!#REF!)/'Zoopl Count'!#REF!)</f>
        <v>#REF!</v>
      </c>
      <c r="L73" s="38" t="e">
        <f>IF('Zoopl Count'!#REF!="","",'Zoopl Count'!#REF!*(2^'Zoopl Count'!#REF!)/'Zoopl Count'!#REF!)</f>
        <v>#REF!</v>
      </c>
      <c r="M73" s="74"/>
    </row>
    <row r="74" spans="1:13">
      <c r="A74" s="2"/>
      <c r="B74" s="2"/>
      <c r="C74" s="21"/>
      <c r="D74" s="2"/>
      <c r="E74" s="2"/>
      <c r="F74" s="2"/>
      <c r="G74" s="38" t="str">
        <f>IF('Zoopl Count'!G154="","",'Zoopl Count'!G154*(2^'Zoopl Count'!G$9)/'Zoopl Count'!G$8)</f>
        <v/>
      </c>
      <c r="H74" s="38" t="str">
        <f>IF('Zoopl Count'!H154="","",'Zoopl Count'!H154*(2^'Zoopl Count'!H$9)/'Zoopl Count'!H$8)</f>
        <v/>
      </c>
      <c r="I74" s="38" t="str">
        <f>IF('Zoopl Count'!I154="","",'Zoopl Count'!I154*(2^'Zoopl Count'!I$9)/'Zoopl Count'!I$8)</f>
        <v/>
      </c>
      <c r="J74" s="38" t="e">
        <f>IF('Zoopl Count'!#REF!="","",'Zoopl Count'!#REF!*(2^'Zoopl Count'!#REF!)/'Zoopl Count'!#REF!)</f>
        <v>#REF!</v>
      </c>
      <c r="K74" s="38" t="e">
        <f>IF('Zoopl Count'!#REF!="","",'Zoopl Count'!#REF!*(2^'Zoopl Count'!#REF!)/'Zoopl Count'!#REF!)</f>
        <v>#REF!</v>
      </c>
      <c r="L74" s="38" t="e">
        <f>IF('Zoopl Count'!#REF!="","",'Zoopl Count'!#REF!*(2^'Zoopl Count'!#REF!)/'Zoopl Count'!#REF!)</f>
        <v>#REF!</v>
      </c>
      <c r="M74" s="74"/>
    </row>
    <row r="75" spans="1:13">
      <c r="A75" s="2" t="s">
        <v>9</v>
      </c>
      <c r="B75" s="2" t="s">
        <v>84</v>
      </c>
      <c r="C75" s="2" t="s">
        <v>11</v>
      </c>
      <c r="D75" s="2"/>
      <c r="F75" s="6" t="s">
        <v>157</v>
      </c>
      <c r="G75" s="38" t="str">
        <f>IF('Zoopl Count'!G155="","",'Zoopl Count'!G155*(2^'Zoopl Count'!G$9)/'Zoopl Count'!G$8)</f>
        <v/>
      </c>
      <c r="H75" s="38" t="str">
        <f>IF('Zoopl Count'!H155="","",'Zoopl Count'!H155*(2^'Zoopl Count'!H$9)/'Zoopl Count'!H$8)</f>
        <v/>
      </c>
      <c r="I75" s="38" t="str">
        <f>IF('Zoopl Count'!I155="","",'Zoopl Count'!I155*(2^'Zoopl Count'!I$9)/'Zoopl Count'!I$8)</f>
        <v/>
      </c>
      <c r="J75" s="38" t="e">
        <f>IF('Zoopl Count'!#REF!="","",'Zoopl Count'!#REF!*(2^'Zoopl Count'!#REF!)/'Zoopl Count'!#REF!)</f>
        <v>#REF!</v>
      </c>
      <c r="K75" s="38" t="e">
        <f>IF('Zoopl Count'!#REF!="","",'Zoopl Count'!#REF!*(2^'Zoopl Count'!#REF!)/'Zoopl Count'!#REF!)</f>
        <v>#REF!</v>
      </c>
      <c r="L75" s="38" t="e">
        <f>IF('Zoopl Count'!#REF!="","",'Zoopl Count'!#REF!*(2^'Zoopl Count'!#REF!)/'Zoopl Count'!#REF!)</f>
        <v>#REF!</v>
      </c>
      <c r="M75" s="74"/>
    </row>
    <row r="76" spans="1:13">
      <c r="A76" s="2" t="s">
        <v>9</v>
      </c>
      <c r="B76" s="2" t="s">
        <v>84</v>
      </c>
      <c r="C76" s="2" t="s">
        <v>11</v>
      </c>
      <c r="D76" s="2"/>
      <c r="F76" s="6" t="s">
        <v>104</v>
      </c>
      <c r="G76" s="38" t="str">
        <f>IF('Zoopl Count'!G156="","",'Zoopl Count'!G156*(2^'Zoopl Count'!G$9)/'Zoopl Count'!G$8)</f>
        <v/>
      </c>
      <c r="H76" s="38" t="str">
        <f>IF('Zoopl Count'!H156="","",'Zoopl Count'!H156*(2^'Zoopl Count'!H$9)/'Zoopl Count'!H$8)</f>
        <v/>
      </c>
      <c r="I76" s="38" t="str">
        <f>IF('Zoopl Count'!I156="","",'Zoopl Count'!I156*(2^'Zoopl Count'!I$9)/'Zoopl Count'!I$8)</f>
        <v/>
      </c>
      <c r="J76" s="38" t="e">
        <f>IF('Zoopl Count'!#REF!="","",'Zoopl Count'!#REF!*(2^'Zoopl Count'!#REF!)/'Zoopl Count'!#REF!)</f>
        <v>#REF!</v>
      </c>
      <c r="K76" s="38" t="e">
        <f>IF('Zoopl Count'!#REF!="","",'Zoopl Count'!#REF!*(2^'Zoopl Count'!#REF!)/'Zoopl Count'!#REF!)</f>
        <v>#REF!</v>
      </c>
      <c r="L76" s="38" t="e">
        <f>IF('Zoopl Count'!#REF!="","",'Zoopl Count'!#REF!*(2^'Zoopl Count'!#REF!)/'Zoopl Count'!#REF!)</f>
        <v>#REF!</v>
      </c>
      <c r="M76" s="74"/>
    </row>
    <row r="77" spans="1:13">
      <c r="D77" s="8"/>
      <c r="G77" s="38" t="str">
        <f>IF('Zoopl Count'!G157="","",'Zoopl Count'!G157*(2^'Zoopl Count'!G$9)/'Zoopl Count'!G$8)</f>
        <v/>
      </c>
      <c r="H77" s="38" t="str">
        <f>IF('Zoopl Count'!H157="","",'Zoopl Count'!H157*(2^'Zoopl Count'!H$9)/'Zoopl Count'!H$8)</f>
        <v/>
      </c>
      <c r="I77" s="38" t="str">
        <f>IF('Zoopl Count'!I157="","",'Zoopl Count'!I157*(2^'Zoopl Count'!I$9)/'Zoopl Count'!I$8)</f>
        <v/>
      </c>
      <c r="J77" s="38" t="e">
        <f>IF('Zoopl Count'!#REF!="","",'Zoopl Count'!#REF!*(2^'Zoopl Count'!#REF!)/'Zoopl Count'!#REF!)</f>
        <v>#REF!</v>
      </c>
      <c r="K77" s="38" t="e">
        <f>IF('Zoopl Count'!#REF!="","",'Zoopl Count'!#REF!*(2^'Zoopl Count'!#REF!)/'Zoopl Count'!#REF!)</f>
        <v>#REF!</v>
      </c>
      <c r="L77" s="38" t="e">
        <f>IF('Zoopl Count'!#REF!="","",'Zoopl Count'!#REF!*(2^'Zoopl Count'!#REF!)/'Zoopl Count'!#REF!)</f>
        <v>#REF!</v>
      </c>
      <c r="M77" s="74"/>
    </row>
    <row r="78" spans="1:13">
      <c r="A78" s="2" t="s">
        <v>9</v>
      </c>
      <c r="B78" s="2" t="s">
        <v>84</v>
      </c>
      <c r="C78" s="2" t="s">
        <v>11</v>
      </c>
      <c r="D78" s="6" t="s">
        <v>13</v>
      </c>
      <c r="E78" s="8"/>
      <c r="F78" s="19" t="s">
        <v>15</v>
      </c>
      <c r="G78" s="38">
        <f>IF('Zoopl Count'!G158="","",'Zoopl Count'!G158*(2^'Zoopl Count'!G$9)/'Zoopl Count'!G$8)</f>
        <v>11.082276997374857</v>
      </c>
      <c r="H78" s="38">
        <f>IF('Zoopl Count'!H158="","",'Zoopl Count'!H158*(2^'Zoopl Count'!H$9)/'Zoopl Count'!H$8)</f>
        <v>5.3455689046161075</v>
      </c>
      <c r="I78" s="38">
        <f>IF('Zoopl Count'!I158="","",'Zoopl Count'!I158*(2^'Zoopl Count'!I$9)/'Zoopl Count'!I$8)</f>
        <v>1.95569594071321</v>
      </c>
      <c r="J78" s="38" t="e">
        <f>IF('Zoopl Count'!#REF!="","",'Zoopl Count'!#REF!*(2^'Zoopl Count'!#REF!)/'Zoopl Count'!#REF!)</f>
        <v>#REF!</v>
      </c>
      <c r="K78" s="38" t="e">
        <f>IF('Zoopl Count'!#REF!="","",'Zoopl Count'!#REF!*(2^'Zoopl Count'!#REF!)/'Zoopl Count'!#REF!)</f>
        <v>#REF!</v>
      </c>
      <c r="L78" s="38" t="e">
        <f>IF('Zoopl Count'!#REF!="","",'Zoopl Count'!#REF!*(2^'Zoopl Count'!#REF!)/'Zoopl Count'!#REF!)</f>
        <v>#REF!</v>
      </c>
      <c r="M78" s="74"/>
    </row>
    <row r="79" spans="1:13">
      <c r="D79" s="8"/>
      <c r="F79" s="19"/>
      <c r="G79" s="38" t="str">
        <f>IF('Zoopl Count'!G161="","",'Zoopl Count'!G161*(2^'Zoopl Count'!G$9)/'Zoopl Count'!G$8)</f>
        <v/>
      </c>
      <c r="H79" s="38" t="str">
        <f>IF('Zoopl Count'!H161="","",'Zoopl Count'!H161*(2^'Zoopl Count'!H$9)/'Zoopl Count'!H$8)</f>
        <v/>
      </c>
      <c r="I79" s="38" t="str">
        <f>IF('Zoopl Count'!I161="","",'Zoopl Count'!I161*(2^'Zoopl Count'!I$9)/'Zoopl Count'!I$8)</f>
        <v/>
      </c>
      <c r="J79" s="38" t="e">
        <f>IF('Zoopl Count'!#REF!="","",'Zoopl Count'!#REF!*(2^'Zoopl Count'!#REF!)/'Zoopl Count'!#REF!)</f>
        <v>#REF!</v>
      </c>
      <c r="K79" s="38" t="e">
        <f>IF('Zoopl Count'!#REF!="","",'Zoopl Count'!#REF!*(2^'Zoopl Count'!#REF!)/'Zoopl Count'!#REF!)</f>
        <v>#REF!</v>
      </c>
      <c r="L79" s="38" t="e">
        <f>IF('Zoopl Count'!#REF!="","",'Zoopl Count'!#REF!*(2^'Zoopl Count'!#REF!)/'Zoopl Count'!#REF!)</f>
        <v>#REF!</v>
      </c>
      <c r="M79" s="74"/>
    </row>
    <row r="80" spans="1:13">
      <c r="A80" s="2" t="s">
        <v>9</v>
      </c>
      <c r="B80" s="2" t="s">
        <v>84</v>
      </c>
      <c r="C80" s="2" t="s">
        <v>11</v>
      </c>
      <c r="D80" s="11" t="s">
        <v>180</v>
      </c>
      <c r="E80" s="8"/>
      <c r="F80" s="19" t="s">
        <v>181</v>
      </c>
      <c r="G80" s="38" t="str">
        <f>IF('Zoopl Count'!G162="","",'Zoopl Count'!G162*(2^'Zoopl Count'!G$9)/'Zoopl Count'!G$8)</f>
        <v/>
      </c>
      <c r="H80" s="38" t="str">
        <f>IF('Zoopl Count'!H162="","",'Zoopl Count'!H162*(2^'Zoopl Count'!H$9)/'Zoopl Count'!H$8)</f>
        <v/>
      </c>
      <c r="I80" s="38" t="str">
        <f>IF('Zoopl Count'!I162="","",'Zoopl Count'!I162*(2^'Zoopl Count'!I$9)/'Zoopl Count'!I$8)</f>
        <v/>
      </c>
      <c r="J80" s="38" t="e">
        <f>IF('Zoopl Count'!#REF!="","",'Zoopl Count'!#REF!*(2^'Zoopl Count'!#REF!)/'Zoopl Count'!#REF!)</f>
        <v>#REF!</v>
      </c>
      <c r="K80" s="38" t="e">
        <f>IF('Zoopl Count'!#REF!="","",'Zoopl Count'!#REF!*(2^'Zoopl Count'!#REF!)/'Zoopl Count'!#REF!)</f>
        <v>#REF!</v>
      </c>
      <c r="L80" s="38" t="e">
        <f>IF('Zoopl Count'!#REF!="","",'Zoopl Count'!#REF!*(2^'Zoopl Count'!#REF!)/'Zoopl Count'!#REF!)</f>
        <v>#REF!</v>
      </c>
      <c r="M80" s="74"/>
    </row>
    <row r="81" spans="1:13">
      <c r="D81" s="8"/>
      <c r="G81" s="38" t="str">
        <f>IF('Zoopl Count'!G166="","",'Zoopl Count'!G166*(2^'Zoopl Count'!G$9)/'Zoopl Count'!G$8)</f>
        <v/>
      </c>
      <c r="H81" s="38" t="str">
        <f>IF('Zoopl Count'!H166="","",'Zoopl Count'!H166*(2^'Zoopl Count'!H$9)/'Zoopl Count'!H$8)</f>
        <v/>
      </c>
      <c r="I81" s="38" t="str">
        <f>IF('Zoopl Count'!I166="","",'Zoopl Count'!I166*(2^'Zoopl Count'!I$9)/'Zoopl Count'!I$8)</f>
        <v/>
      </c>
      <c r="J81" s="38" t="e">
        <f>IF('Zoopl Count'!#REF!="","",'Zoopl Count'!#REF!*(2^'Zoopl Count'!#REF!)/'Zoopl Count'!#REF!)</f>
        <v>#REF!</v>
      </c>
      <c r="K81" s="38" t="e">
        <f>IF('Zoopl Count'!#REF!="","",'Zoopl Count'!#REF!*(2^'Zoopl Count'!#REF!)/'Zoopl Count'!#REF!)</f>
        <v>#REF!</v>
      </c>
      <c r="L81" s="38" t="e">
        <f>IF('Zoopl Count'!#REF!="","",'Zoopl Count'!#REF!*(2^'Zoopl Count'!#REF!)/'Zoopl Count'!#REF!)</f>
        <v>#REF!</v>
      </c>
      <c r="M81" s="74"/>
    </row>
    <row r="82" spans="1:13">
      <c r="A82" s="2" t="s">
        <v>9</v>
      </c>
      <c r="B82" s="2" t="s">
        <v>84</v>
      </c>
      <c r="C82" s="2" t="s">
        <v>11</v>
      </c>
      <c r="D82" s="6" t="s">
        <v>16</v>
      </c>
      <c r="E82" s="8"/>
      <c r="F82" s="19" t="s">
        <v>17</v>
      </c>
      <c r="G82" s="38" t="str">
        <f>IF('Zoopl Count'!G167="","",'Zoopl Count'!G167*(2^'Zoopl Count'!G$9)/'Zoopl Count'!G$8)</f>
        <v/>
      </c>
      <c r="H82" s="38" t="str">
        <f>IF('Zoopl Count'!H167="","",'Zoopl Count'!H167*(2^'Zoopl Count'!H$9)/'Zoopl Count'!H$8)</f>
        <v/>
      </c>
      <c r="I82" s="38" t="str">
        <f>IF('Zoopl Count'!I167="","",'Zoopl Count'!I167*(2^'Zoopl Count'!I$9)/'Zoopl Count'!I$8)</f>
        <v/>
      </c>
      <c r="J82" s="38" t="e">
        <f>IF('Zoopl Count'!#REF!="","",'Zoopl Count'!#REF!*(2^'Zoopl Count'!#REF!)/'Zoopl Count'!#REF!)</f>
        <v>#REF!</v>
      </c>
      <c r="K82" s="38" t="e">
        <f>IF('Zoopl Count'!#REF!="","",'Zoopl Count'!#REF!*(2^'Zoopl Count'!#REF!)/'Zoopl Count'!#REF!)</f>
        <v>#REF!</v>
      </c>
      <c r="L82" s="38" t="e">
        <f>IF('Zoopl Count'!#REF!="","",'Zoopl Count'!#REF!*(2^'Zoopl Count'!#REF!)/'Zoopl Count'!#REF!)</f>
        <v>#REF!</v>
      </c>
      <c r="M82" s="74"/>
    </row>
    <row r="83" spans="1:13">
      <c r="A83" s="2" t="s">
        <v>9</v>
      </c>
      <c r="B83" s="2" t="s">
        <v>84</v>
      </c>
      <c r="C83" s="2" t="s">
        <v>11</v>
      </c>
      <c r="D83" s="6" t="s">
        <v>16</v>
      </c>
      <c r="F83" s="19" t="s">
        <v>18</v>
      </c>
      <c r="G83" s="38" t="str">
        <f>IF('Zoopl Count'!G168="","",'Zoopl Count'!G168*(2^'Zoopl Count'!G$9)/'Zoopl Count'!G$8)</f>
        <v/>
      </c>
      <c r="H83" s="38" t="str">
        <f>IF('Zoopl Count'!H168="","",'Zoopl Count'!H168*(2^'Zoopl Count'!H$9)/'Zoopl Count'!H$8)</f>
        <v/>
      </c>
      <c r="I83" s="38" t="str">
        <f>IF('Zoopl Count'!I168="","",'Zoopl Count'!I168*(2^'Zoopl Count'!I$9)/'Zoopl Count'!I$8)</f>
        <v/>
      </c>
      <c r="J83" s="38" t="e">
        <f>IF('Zoopl Count'!#REF!="","",'Zoopl Count'!#REF!*(2^'Zoopl Count'!#REF!)/'Zoopl Count'!#REF!)</f>
        <v>#REF!</v>
      </c>
      <c r="K83" s="38" t="e">
        <f>IF('Zoopl Count'!#REF!="","",'Zoopl Count'!#REF!*(2^'Zoopl Count'!#REF!)/'Zoopl Count'!#REF!)</f>
        <v>#REF!</v>
      </c>
      <c r="L83" s="38" t="e">
        <f>IF('Zoopl Count'!#REF!="","",'Zoopl Count'!#REF!*(2^'Zoopl Count'!#REF!)/'Zoopl Count'!#REF!)</f>
        <v>#REF!</v>
      </c>
      <c r="M83" s="74"/>
    </row>
    <row r="84" spans="1:13">
      <c r="A84" s="2" t="s">
        <v>9</v>
      </c>
      <c r="B84" s="2" t="s">
        <v>84</v>
      </c>
      <c r="C84" s="2" t="s">
        <v>11</v>
      </c>
      <c r="D84" s="6" t="s">
        <v>16</v>
      </c>
      <c r="F84" s="19" t="s">
        <v>19</v>
      </c>
      <c r="G84" s="38" t="str">
        <f>IF('Zoopl Count'!G169="","",'Zoopl Count'!G169*(2^'Zoopl Count'!G$9)/'Zoopl Count'!G$8)</f>
        <v/>
      </c>
      <c r="H84" s="38" t="str">
        <f>IF('Zoopl Count'!H169="","",'Zoopl Count'!H169*(2^'Zoopl Count'!H$9)/'Zoopl Count'!H$8)</f>
        <v/>
      </c>
      <c r="I84" s="38" t="str">
        <f>IF('Zoopl Count'!I169="","",'Zoopl Count'!I169*(2^'Zoopl Count'!I$9)/'Zoopl Count'!I$8)</f>
        <v/>
      </c>
      <c r="J84" s="38" t="e">
        <f>IF('Zoopl Count'!#REF!="","",'Zoopl Count'!#REF!*(2^'Zoopl Count'!#REF!)/'Zoopl Count'!#REF!)</f>
        <v>#REF!</v>
      </c>
      <c r="K84" s="38" t="e">
        <f>IF('Zoopl Count'!#REF!="","",'Zoopl Count'!#REF!*(2^'Zoopl Count'!#REF!)/'Zoopl Count'!#REF!)</f>
        <v>#REF!</v>
      </c>
      <c r="L84" s="38" t="e">
        <f>IF('Zoopl Count'!#REF!="","",'Zoopl Count'!#REF!*(2^'Zoopl Count'!#REF!)/'Zoopl Count'!#REF!)</f>
        <v>#REF!</v>
      </c>
      <c r="M84" s="74"/>
    </row>
    <row r="85" spans="1:13">
      <c r="A85" s="2" t="s">
        <v>9</v>
      </c>
      <c r="B85" s="2" t="s">
        <v>84</v>
      </c>
      <c r="C85" s="2" t="s">
        <v>11</v>
      </c>
      <c r="D85" s="6" t="s">
        <v>16</v>
      </c>
      <c r="F85" s="19" t="s">
        <v>169</v>
      </c>
      <c r="G85" s="38" t="str">
        <f>IF('Zoopl Count'!G170="","",'Zoopl Count'!G170*(2^'Zoopl Count'!G$9)/'Zoopl Count'!G$8)</f>
        <v/>
      </c>
      <c r="H85" s="38" t="str">
        <f>IF('Zoopl Count'!H170="","",'Zoopl Count'!H170*(2^'Zoopl Count'!H$9)/'Zoopl Count'!H$8)</f>
        <v/>
      </c>
      <c r="I85" s="38" t="str">
        <f>IF('Zoopl Count'!I170="","",'Zoopl Count'!I170*(2^'Zoopl Count'!I$9)/'Zoopl Count'!I$8)</f>
        <v/>
      </c>
      <c r="J85" s="38" t="e">
        <f>IF('Zoopl Count'!#REF!="","",'Zoopl Count'!#REF!*(2^'Zoopl Count'!#REF!)/'Zoopl Count'!#REF!)</f>
        <v>#REF!</v>
      </c>
      <c r="K85" s="38" t="e">
        <f>IF('Zoopl Count'!#REF!="","",'Zoopl Count'!#REF!*(2^'Zoopl Count'!#REF!)/'Zoopl Count'!#REF!)</f>
        <v>#REF!</v>
      </c>
      <c r="L85" s="38" t="e">
        <f>IF('Zoopl Count'!#REF!="","",'Zoopl Count'!#REF!*(2^'Zoopl Count'!#REF!)/'Zoopl Count'!#REF!)</f>
        <v>#REF!</v>
      </c>
      <c r="M85" s="74"/>
    </row>
    <row r="86" spans="1:13">
      <c r="A86" s="2" t="s">
        <v>9</v>
      </c>
      <c r="B86" s="2" t="s">
        <v>84</v>
      </c>
      <c r="C86" s="2" t="s">
        <v>11</v>
      </c>
      <c r="D86" s="6" t="s">
        <v>16</v>
      </c>
      <c r="F86" s="19" t="s">
        <v>171</v>
      </c>
      <c r="G86" s="38" t="str">
        <f>IF('Zoopl Count'!G171="","",'Zoopl Count'!G171*(2^'Zoopl Count'!G$9)/'Zoopl Count'!G$8)</f>
        <v/>
      </c>
      <c r="H86" s="38" t="str">
        <f>IF('Zoopl Count'!H171="","",'Zoopl Count'!H171*(2^'Zoopl Count'!H$9)/'Zoopl Count'!H$8)</f>
        <v/>
      </c>
      <c r="I86" s="38" t="str">
        <f>IF('Zoopl Count'!I171="","",'Zoopl Count'!I171*(2^'Zoopl Count'!I$9)/'Zoopl Count'!I$8)</f>
        <v/>
      </c>
      <c r="J86" s="38" t="e">
        <f>IF('Zoopl Count'!#REF!="","",'Zoopl Count'!#REF!*(2^'Zoopl Count'!#REF!)/'Zoopl Count'!#REF!)</f>
        <v>#REF!</v>
      </c>
      <c r="K86" s="38" t="e">
        <f>IF('Zoopl Count'!#REF!="","",'Zoopl Count'!#REF!*(2^'Zoopl Count'!#REF!)/'Zoopl Count'!#REF!)</f>
        <v>#REF!</v>
      </c>
      <c r="L86" s="38" t="e">
        <f>IF('Zoopl Count'!#REF!="","",'Zoopl Count'!#REF!*(2^'Zoopl Count'!#REF!)/'Zoopl Count'!#REF!)</f>
        <v>#REF!</v>
      </c>
      <c r="M86" s="74"/>
    </row>
    <row r="87" spans="1:13">
      <c r="D87" s="8"/>
      <c r="F87" s="19"/>
      <c r="G87" s="38" t="str">
        <f>IF('Zoopl Count'!G173="","",'Zoopl Count'!G173*(2^'Zoopl Count'!G$9)/'Zoopl Count'!G$8)</f>
        <v/>
      </c>
      <c r="H87" s="38" t="str">
        <f>IF('Zoopl Count'!H173="","",'Zoopl Count'!H173*(2^'Zoopl Count'!H$9)/'Zoopl Count'!H$8)</f>
        <v/>
      </c>
      <c r="I87" s="38" t="str">
        <f>IF('Zoopl Count'!I173="","",'Zoopl Count'!I173*(2^'Zoopl Count'!I$9)/'Zoopl Count'!I$8)</f>
        <v/>
      </c>
      <c r="J87" s="38" t="e">
        <f>IF('Zoopl Count'!#REF!="","",'Zoopl Count'!#REF!*(2^'Zoopl Count'!#REF!)/'Zoopl Count'!#REF!)</f>
        <v>#REF!</v>
      </c>
      <c r="K87" s="38" t="e">
        <f>IF('Zoopl Count'!#REF!="","",'Zoopl Count'!#REF!*(2^'Zoopl Count'!#REF!)/'Zoopl Count'!#REF!)</f>
        <v>#REF!</v>
      </c>
      <c r="L87" s="38" t="e">
        <f>IF('Zoopl Count'!#REF!="","",'Zoopl Count'!#REF!*(2^'Zoopl Count'!#REF!)/'Zoopl Count'!#REF!)</f>
        <v>#REF!</v>
      </c>
      <c r="M87" s="74"/>
    </row>
    <row r="88" spans="1:13">
      <c r="A88" s="2" t="s">
        <v>9</v>
      </c>
      <c r="B88" s="2" t="s">
        <v>84</v>
      </c>
      <c r="C88" s="2" t="s">
        <v>11</v>
      </c>
      <c r="D88" s="6" t="s">
        <v>23</v>
      </c>
      <c r="E88" s="8"/>
      <c r="F88" s="19" t="s">
        <v>20</v>
      </c>
      <c r="G88" s="38">
        <f>IF('Zoopl Count'!G174="","",'Zoopl Count'!G174*(2^'Zoopl Count'!G$9)/'Zoopl Count'!G$8)</f>
        <v>0.26075945876176132</v>
      </c>
      <c r="H88" s="38" t="str">
        <f>IF('Zoopl Count'!H174="","",'Zoopl Count'!H174*(2^'Zoopl Count'!H$9)/'Zoopl Count'!H$8)</f>
        <v/>
      </c>
      <c r="I88" s="38" t="str">
        <f>IF('Zoopl Count'!I174="","",'Zoopl Count'!I174*(2^'Zoopl Count'!I$9)/'Zoopl Count'!I$8)</f>
        <v/>
      </c>
      <c r="J88" s="38" t="e">
        <f>IF('Zoopl Count'!#REF!="","",'Zoopl Count'!#REF!*(2^'Zoopl Count'!#REF!)/'Zoopl Count'!#REF!)</f>
        <v>#REF!</v>
      </c>
      <c r="K88" s="38" t="e">
        <f>IF('Zoopl Count'!#REF!="","",'Zoopl Count'!#REF!*(2^'Zoopl Count'!#REF!)/'Zoopl Count'!#REF!)</f>
        <v>#REF!</v>
      </c>
      <c r="L88" s="38" t="e">
        <f>IF('Zoopl Count'!#REF!="","",'Zoopl Count'!#REF!*(2^'Zoopl Count'!#REF!)/'Zoopl Count'!#REF!)</f>
        <v>#REF!</v>
      </c>
      <c r="M88" s="74"/>
    </row>
    <row r="89" spans="1:13">
      <c r="D89" s="8"/>
      <c r="F89" s="19"/>
      <c r="G89" s="38" t="str">
        <f>IF('Zoopl Count'!G175="","",'Zoopl Count'!G175*(2^'Zoopl Count'!G$9)/'Zoopl Count'!G$8)</f>
        <v/>
      </c>
      <c r="H89" s="38" t="str">
        <f>IF('Zoopl Count'!H175="","",'Zoopl Count'!H175*(2^'Zoopl Count'!H$9)/'Zoopl Count'!H$8)</f>
        <v/>
      </c>
      <c r="I89" s="38" t="str">
        <f>IF('Zoopl Count'!I175="","",'Zoopl Count'!I175*(2^'Zoopl Count'!I$9)/'Zoopl Count'!I$8)</f>
        <v/>
      </c>
      <c r="J89" s="38" t="e">
        <f>IF('Zoopl Count'!#REF!="","",'Zoopl Count'!#REF!*(2^'Zoopl Count'!#REF!)/'Zoopl Count'!#REF!)</f>
        <v>#REF!</v>
      </c>
      <c r="K89" s="38" t="e">
        <f>IF('Zoopl Count'!#REF!="","",'Zoopl Count'!#REF!*(2^'Zoopl Count'!#REF!)/'Zoopl Count'!#REF!)</f>
        <v>#REF!</v>
      </c>
      <c r="L89" s="38" t="e">
        <f>IF('Zoopl Count'!#REF!="","",'Zoopl Count'!#REF!*(2^'Zoopl Count'!#REF!)/'Zoopl Count'!#REF!)</f>
        <v>#REF!</v>
      </c>
      <c r="M89" s="74"/>
    </row>
    <row r="90" spans="1:13">
      <c r="A90" s="2" t="s">
        <v>9</v>
      </c>
      <c r="B90" s="2" t="s">
        <v>84</v>
      </c>
      <c r="C90" s="2" t="s">
        <v>11</v>
      </c>
      <c r="D90" s="6" t="s">
        <v>24</v>
      </c>
      <c r="E90" s="8"/>
      <c r="F90" s="19" t="s">
        <v>21</v>
      </c>
      <c r="G90" s="38">
        <f>IF('Zoopl Count'!G176="","",'Zoopl Count'!G176*(2^'Zoopl Count'!G$9)/'Zoopl Count'!G$8)</f>
        <v>0.13037972938088066</v>
      </c>
      <c r="H90" s="38" t="str">
        <f>IF('Zoopl Count'!H176="","",'Zoopl Count'!H176*(2^'Zoopl Count'!H$9)/'Zoopl Count'!H$8)</f>
        <v/>
      </c>
      <c r="I90" s="38">
        <f>IF('Zoopl Count'!I176="","",'Zoopl Count'!I176*(2^'Zoopl Count'!I$9)/'Zoopl Count'!I$8)</f>
        <v>6.518986469044033E-2</v>
      </c>
      <c r="J90" s="38" t="e">
        <f>IF('Zoopl Count'!#REF!="","",'Zoopl Count'!#REF!*(2^'Zoopl Count'!#REF!)/'Zoopl Count'!#REF!)</f>
        <v>#REF!</v>
      </c>
      <c r="K90" s="38" t="e">
        <f>IF('Zoopl Count'!#REF!="","",'Zoopl Count'!#REF!*(2^'Zoopl Count'!#REF!)/'Zoopl Count'!#REF!)</f>
        <v>#REF!</v>
      </c>
      <c r="L90" s="38" t="e">
        <f>IF('Zoopl Count'!#REF!="","",'Zoopl Count'!#REF!*(2^'Zoopl Count'!#REF!)/'Zoopl Count'!#REF!)</f>
        <v>#REF!</v>
      </c>
      <c r="M90" s="74"/>
    </row>
    <row r="91" spans="1:13">
      <c r="D91" s="8"/>
      <c r="F91" s="19"/>
      <c r="G91" s="38" t="str">
        <f>IF('Zoopl Count'!G177="","",'Zoopl Count'!G177*(2^'Zoopl Count'!G$9)/'Zoopl Count'!G$8)</f>
        <v/>
      </c>
      <c r="H91" s="38" t="str">
        <f>IF('Zoopl Count'!H177="","",'Zoopl Count'!H177*(2^'Zoopl Count'!H$9)/'Zoopl Count'!H$8)</f>
        <v/>
      </c>
      <c r="I91" s="38" t="str">
        <f>IF('Zoopl Count'!I177="","",'Zoopl Count'!I177*(2^'Zoopl Count'!I$9)/'Zoopl Count'!I$8)</f>
        <v/>
      </c>
      <c r="J91" s="38" t="e">
        <f>IF('Zoopl Count'!#REF!="","",'Zoopl Count'!#REF!*(2^'Zoopl Count'!#REF!)/'Zoopl Count'!#REF!)</f>
        <v>#REF!</v>
      </c>
      <c r="K91" s="38" t="e">
        <f>IF('Zoopl Count'!#REF!="","",'Zoopl Count'!#REF!*(2^'Zoopl Count'!#REF!)/'Zoopl Count'!#REF!)</f>
        <v>#REF!</v>
      </c>
      <c r="L91" s="38" t="e">
        <f>IF('Zoopl Count'!#REF!="","",'Zoopl Count'!#REF!*(2^'Zoopl Count'!#REF!)/'Zoopl Count'!#REF!)</f>
        <v>#REF!</v>
      </c>
      <c r="M91" s="74"/>
    </row>
    <row r="92" spans="1:13">
      <c r="A92" s="2" t="s">
        <v>9</v>
      </c>
      <c r="B92" s="2" t="s">
        <v>84</v>
      </c>
      <c r="C92" s="2" t="s">
        <v>11</v>
      </c>
      <c r="D92" s="11" t="s">
        <v>25</v>
      </c>
      <c r="E92" s="8"/>
      <c r="F92" s="19" t="s">
        <v>22</v>
      </c>
      <c r="G92" s="38" t="str">
        <f>IF('Zoopl Count'!G178="","",'Zoopl Count'!G178*(2^'Zoopl Count'!G$9)/'Zoopl Count'!G$8)</f>
        <v/>
      </c>
      <c r="H92" s="38" t="str">
        <f>IF('Zoopl Count'!H178="","",'Zoopl Count'!H178*(2^'Zoopl Count'!H$9)/'Zoopl Count'!H$8)</f>
        <v/>
      </c>
      <c r="I92" s="38" t="str">
        <f>IF('Zoopl Count'!I178="","",'Zoopl Count'!I178*(2^'Zoopl Count'!I$9)/'Zoopl Count'!I$8)</f>
        <v/>
      </c>
      <c r="J92" s="38" t="e">
        <f>IF('Zoopl Count'!#REF!="","",'Zoopl Count'!#REF!*(2^'Zoopl Count'!#REF!)/'Zoopl Count'!#REF!)</f>
        <v>#REF!</v>
      </c>
      <c r="K92" s="38" t="e">
        <f>IF('Zoopl Count'!#REF!="","",'Zoopl Count'!#REF!*(2^'Zoopl Count'!#REF!)/'Zoopl Count'!#REF!)</f>
        <v>#REF!</v>
      </c>
      <c r="L92" s="38" t="e">
        <f>IF('Zoopl Count'!#REF!="","",'Zoopl Count'!#REF!*(2^'Zoopl Count'!#REF!)/'Zoopl Count'!#REF!)</f>
        <v>#REF!</v>
      </c>
      <c r="M92" s="74"/>
    </row>
    <row r="93" spans="1:13">
      <c r="A93" s="2"/>
      <c r="B93" s="2"/>
      <c r="C93" s="2"/>
      <c r="D93" s="8"/>
      <c r="F93" s="19"/>
      <c r="G93" s="38" t="str">
        <f>IF('Zoopl Count'!G180="","",'Zoopl Count'!G180*(2^'Zoopl Count'!G$9)/'Zoopl Count'!G$8)</f>
        <v/>
      </c>
      <c r="H93" s="38" t="str">
        <f>IF('Zoopl Count'!H180="","",'Zoopl Count'!H180*(2^'Zoopl Count'!H$9)/'Zoopl Count'!H$8)</f>
        <v/>
      </c>
      <c r="I93" s="38" t="str">
        <f>IF('Zoopl Count'!I180="","",'Zoopl Count'!I180*(2^'Zoopl Count'!I$9)/'Zoopl Count'!I$8)</f>
        <v/>
      </c>
      <c r="J93" s="38" t="e">
        <f>IF('Zoopl Count'!#REF!="","",'Zoopl Count'!#REF!*(2^'Zoopl Count'!#REF!)/'Zoopl Count'!#REF!)</f>
        <v>#REF!</v>
      </c>
      <c r="K93" s="38" t="e">
        <f>IF('Zoopl Count'!#REF!="","",'Zoopl Count'!#REF!*(2^'Zoopl Count'!#REF!)/'Zoopl Count'!#REF!)</f>
        <v>#REF!</v>
      </c>
      <c r="L93" s="38" t="e">
        <f>IF('Zoopl Count'!#REF!="","",'Zoopl Count'!#REF!*(2^'Zoopl Count'!#REF!)/'Zoopl Count'!#REF!)</f>
        <v>#REF!</v>
      </c>
      <c r="M93" s="74"/>
    </row>
    <row r="94" spans="1:13">
      <c r="A94" s="2" t="s">
        <v>9</v>
      </c>
      <c r="B94" s="2" t="s">
        <v>84</v>
      </c>
      <c r="C94" s="2" t="s">
        <v>11</v>
      </c>
      <c r="D94" s="11" t="s">
        <v>176</v>
      </c>
      <c r="E94" s="8"/>
      <c r="F94" s="19" t="s">
        <v>177</v>
      </c>
      <c r="G94" s="38" t="str">
        <f>IF('Zoopl Count'!G181="","",'Zoopl Count'!G181*(2^'Zoopl Count'!G$9)/'Zoopl Count'!G$8)</f>
        <v/>
      </c>
      <c r="H94" s="38" t="str">
        <f>IF('Zoopl Count'!H181="","",'Zoopl Count'!H181*(2^'Zoopl Count'!H$9)/'Zoopl Count'!H$8)</f>
        <v/>
      </c>
      <c r="I94" s="38" t="str">
        <f>IF('Zoopl Count'!I181="","",'Zoopl Count'!I181*(2^'Zoopl Count'!I$9)/'Zoopl Count'!I$8)</f>
        <v/>
      </c>
      <c r="J94" s="38" t="e">
        <f>IF('Zoopl Count'!#REF!="","",'Zoopl Count'!#REF!*(2^'Zoopl Count'!#REF!)/'Zoopl Count'!#REF!)</f>
        <v>#REF!</v>
      </c>
      <c r="K94" s="38" t="e">
        <f>IF('Zoopl Count'!#REF!="","",'Zoopl Count'!#REF!*(2^'Zoopl Count'!#REF!)/'Zoopl Count'!#REF!)</f>
        <v>#REF!</v>
      </c>
      <c r="L94" s="38" t="e">
        <f>IF('Zoopl Count'!#REF!="","",'Zoopl Count'!#REF!*(2^'Zoopl Count'!#REF!)/'Zoopl Count'!#REF!)</f>
        <v>#REF!</v>
      </c>
      <c r="M94" s="74"/>
    </row>
    <row r="95" spans="1:13">
      <c r="F95" s="19"/>
      <c r="G95" s="38" t="str">
        <f>IF('Zoopl Count'!G183="","",'Zoopl Count'!G183*(2^'Zoopl Count'!G$9)/'Zoopl Count'!G$8)</f>
        <v/>
      </c>
      <c r="H95" s="38" t="str">
        <f>IF('Zoopl Count'!H183="","",'Zoopl Count'!H183*(2^'Zoopl Count'!H$9)/'Zoopl Count'!H$8)</f>
        <v/>
      </c>
      <c r="I95" s="38" t="str">
        <f>IF('Zoopl Count'!I183="","",'Zoopl Count'!I183*(2^'Zoopl Count'!I$9)/'Zoopl Count'!I$8)</f>
        <v/>
      </c>
      <c r="J95" s="38" t="e">
        <f>IF('Zoopl Count'!#REF!="","",'Zoopl Count'!#REF!*(2^'Zoopl Count'!#REF!)/'Zoopl Count'!#REF!)</f>
        <v>#REF!</v>
      </c>
      <c r="K95" s="38" t="e">
        <f>IF('Zoopl Count'!#REF!="","",'Zoopl Count'!#REF!*(2^'Zoopl Count'!#REF!)/'Zoopl Count'!#REF!)</f>
        <v>#REF!</v>
      </c>
      <c r="L95" s="38" t="e">
        <f>IF('Zoopl Count'!#REF!="","",'Zoopl Count'!#REF!*(2^'Zoopl Count'!#REF!)/'Zoopl Count'!#REF!)</f>
        <v>#REF!</v>
      </c>
      <c r="M95" s="74"/>
    </row>
    <row r="96" spans="1:13">
      <c r="A96" s="2" t="s">
        <v>9</v>
      </c>
      <c r="B96" s="2" t="s">
        <v>84</v>
      </c>
      <c r="C96" s="2" t="s">
        <v>11</v>
      </c>
      <c r="D96" s="11" t="s">
        <v>26</v>
      </c>
      <c r="E96" s="8"/>
      <c r="F96" s="19" t="s">
        <v>27</v>
      </c>
      <c r="G96" s="38" t="str">
        <f>IF('Zoopl Count'!G184="","",'Zoopl Count'!G184*(2^'Zoopl Count'!G$9)/'Zoopl Count'!G$8)</f>
        <v/>
      </c>
      <c r="H96" s="38">
        <f>IF('Zoopl Count'!H184="","",'Zoopl Count'!H184*(2^'Zoopl Count'!H$9)/'Zoopl Count'!H$8)</f>
        <v>6.518986469044033E-2</v>
      </c>
      <c r="I96" s="38">
        <f>IF('Zoopl Count'!I184="","",'Zoopl Count'!I184*(2^'Zoopl Count'!I$9)/'Zoopl Count'!I$8)</f>
        <v>0.13037972938088066</v>
      </c>
      <c r="J96" s="38" t="e">
        <f>IF('Zoopl Count'!#REF!="","",'Zoopl Count'!#REF!*(2^'Zoopl Count'!#REF!)/'Zoopl Count'!#REF!)</f>
        <v>#REF!</v>
      </c>
      <c r="K96" s="38" t="e">
        <f>IF('Zoopl Count'!#REF!="","",'Zoopl Count'!#REF!*(2^'Zoopl Count'!#REF!)/'Zoopl Count'!#REF!)</f>
        <v>#REF!</v>
      </c>
      <c r="L96" s="38" t="e">
        <f>IF('Zoopl Count'!#REF!="","",'Zoopl Count'!#REF!*(2^'Zoopl Count'!#REF!)/'Zoopl Count'!#REF!)</f>
        <v>#REF!</v>
      </c>
      <c r="M96" s="74"/>
    </row>
    <row r="97" spans="1:13">
      <c r="D97" s="8"/>
      <c r="G97" s="38" t="e">
        <f>IF('Zoopl Count'!#REF!="","",'Zoopl Count'!#REF!*(2^'Zoopl Count'!G$9)/'Zoopl Count'!G$8)</f>
        <v>#REF!</v>
      </c>
      <c r="H97" s="38" t="e">
        <f>IF('Zoopl Count'!#REF!="","",'Zoopl Count'!#REF!*(2^'Zoopl Count'!H$9)/'Zoopl Count'!H$8)</f>
        <v>#REF!</v>
      </c>
      <c r="I97" s="38" t="e">
        <f>IF('Zoopl Count'!#REF!="","",'Zoopl Count'!#REF!*(2^'Zoopl Count'!I$9)/'Zoopl Count'!I$8)</f>
        <v>#REF!</v>
      </c>
      <c r="J97" s="38" t="e">
        <f>IF('Zoopl Count'!#REF!="","",'Zoopl Count'!#REF!*(2^'Zoopl Count'!#REF!)/'Zoopl Count'!#REF!)</f>
        <v>#REF!</v>
      </c>
      <c r="K97" s="38" t="e">
        <f>IF('Zoopl Count'!#REF!="","",'Zoopl Count'!#REF!*(2^'Zoopl Count'!#REF!)/'Zoopl Count'!#REF!)</f>
        <v>#REF!</v>
      </c>
      <c r="L97" s="38" t="e">
        <f>IF('Zoopl Count'!#REF!="","",'Zoopl Count'!#REF!*(2^'Zoopl Count'!#REF!)/'Zoopl Count'!#REF!)</f>
        <v>#REF!</v>
      </c>
      <c r="M97" s="74"/>
    </row>
    <row r="98" spans="1:13">
      <c r="A98" s="2" t="s">
        <v>9</v>
      </c>
      <c r="B98" s="2" t="s">
        <v>84</v>
      </c>
      <c r="C98" s="2" t="s">
        <v>11</v>
      </c>
      <c r="D98" s="11" t="s">
        <v>28</v>
      </c>
      <c r="E98" s="8"/>
      <c r="F98" s="19" t="s">
        <v>29</v>
      </c>
      <c r="G98" s="38">
        <f>IF('Zoopl Count'!G186="","",'Zoopl Count'!G186*(2^'Zoopl Count'!G$9)/'Zoopl Count'!G$8)</f>
        <v>0.91265810566616468</v>
      </c>
      <c r="H98" s="38" t="str">
        <f>IF('Zoopl Count'!H186="","",'Zoopl Count'!H186*(2^'Zoopl Count'!H$9)/'Zoopl Count'!H$8)</f>
        <v/>
      </c>
      <c r="I98" s="38" t="str">
        <f>IF('Zoopl Count'!I186="","",'Zoopl Count'!I186*(2^'Zoopl Count'!I$9)/'Zoopl Count'!I$8)</f>
        <v/>
      </c>
      <c r="J98" s="38" t="e">
        <f>IF('Zoopl Count'!#REF!="","",'Zoopl Count'!#REF!*(2^'Zoopl Count'!#REF!)/'Zoopl Count'!#REF!)</f>
        <v>#REF!</v>
      </c>
      <c r="K98" s="38" t="e">
        <f>IF('Zoopl Count'!#REF!="","",'Zoopl Count'!#REF!*(2^'Zoopl Count'!#REF!)/'Zoopl Count'!#REF!)</f>
        <v>#REF!</v>
      </c>
      <c r="L98" s="38" t="e">
        <f>IF('Zoopl Count'!#REF!="","",'Zoopl Count'!#REF!*(2^'Zoopl Count'!#REF!)/'Zoopl Count'!#REF!)</f>
        <v>#REF!</v>
      </c>
      <c r="M98" s="74"/>
    </row>
    <row r="99" spans="1:13">
      <c r="A99" s="2" t="s">
        <v>9</v>
      </c>
      <c r="B99" s="2" t="s">
        <v>84</v>
      </c>
      <c r="C99" s="2" t="s">
        <v>11</v>
      </c>
      <c r="D99" s="11" t="s">
        <v>28</v>
      </c>
      <c r="E99" s="8"/>
      <c r="F99" s="19" t="s">
        <v>30</v>
      </c>
      <c r="G99" s="38">
        <f>IF('Zoopl Count'!G187="","",'Zoopl Count'!G187*(2^'Zoopl Count'!G$9)/'Zoopl Count'!G$8)</f>
        <v>3.9113918814264199</v>
      </c>
      <c r="H99" s="38">
        <f>IF('Zoopl Count'!H187="","",'Zoopl Count'!H187*(2^'Zoopl Count'!H$9)/'Zoopl Count'!H$8)</f>
        <v>1.7601263466418888</v>
      </c>
      <c r="I99" s="38">
        <f>IF('Zoopl Count'!I187="","",'Zoopl Count'!I187*(2^'Zoopl Count'!I$9)/'Zoopl Count'!I$8)</f>
        <v>1.0104429027018251</v>
      </c>
      <c r="J99" s="38" t="e">
        <f>IF('Zoopl Count'!#REF!="","",'Zoopl Count'!#REF!*(2^'Zoopl Count'!#REF!)/'Zoopl Count'!#REF!)</f>
        <v>#REF!</v>
      </c>
      <c r="K99" s="38" t="e">
        <f>IF('Zoopl Count'!#REF!="","",'Zoopl Count'!#REF!*(2^'Zoopl Count'!#REF!)/'Zoopl Count'!#REF!)</f>
        <v>#REF!</v>
      </c>
      <c r="L99" s="38" t="e">
        <f>IF('Zoopl Count'!#REF!="","",'Zoopl Count'!#REF!*(2^'Zoopl Count'!#REF!)/'Zoopl Count'!#REF!)</f>
        <v>#REF!</v>
      </c>
      <c r="M99" s="74"/>
    </row>
    <row r="100" spans="1:13">
      <c r="A100" s="2" t="s">
        <v>9</v>
      </c>
      <c r="B100" s="2" t="s">
        <v>84</v>
      </c>
      <c r="C100" s="2" t="s">
        <v>11</v>
      </c>
      <c r="D100" s="11" t="s">
        <v>28</v>
      </c>
      <c r="F100" s="19" t="s">
        <v>173</v>
      </c>
      <c r="G100" s="38">
        <f>IF('Zoopl Count'!G188="","",'Zoopl Count'!G188*(2^'Zoopl Count'!G$9)/'Zoopl Count'!G$8)</f>
        <v>0.26075945876176132</v>
      </c>
      <c r="H100" s="38">
        <f>IF('Zoopl Count'!H188="","",'Zoopl Count'!H188*(2^'Zoopl Count'!H$9)/'Zoopl Count'!H$8)</f>
        <v>0.39113918814264198</v>
      </c>
      <c r="I100" s="38">
        <f>IF('Zoopl Count'!I188="","",'Zoopl Count'!I188*(2^'Zoopl Count'!I$9)/'Zoopl Count'!I$8)</f>
        <v>0.48892398517830249</v>
      </c>
      <c r="J100" s="38" t="e">
        <f>IF('Zoopl Count'!#REF!="","",'Zoopl Count'!#REF!*(2^'Zoopl Count'!#REF!)/'Zoopl Count'!#REF!)</f>
        <v>#REF!</v>
      </c>
      <c r="K100" s="38" t="e">
        <f>IF('Zoopl Count'!#REF!="","",'Zoopl Count'!#REF!*(2^'Zoopl Count'!#REF!)/'Zoopl Count'!#REF!)</f>
        <v>#REF!</v>
      </c>
      <c r="L100" s="38" t="e">
        <f>IF('Zoopl Count'!#REF!="","",'Zoopl Count'!#REF!*(2^'Zoopl Count'!#REF!)/'Zoopl Count'!#REF!)</f>
        <v>#REF!</v>
      </c>
      <c r="M100" s="74"/>
    </row>
    <row r="101" spans="1:13" ht="15" customHeight="1">
      <c r="A101" s="2" t="s">
        <v>9</v>
      </c>
      <c r="B101" s="2" t="s">
        <v>84</v>
      </c>
      <c r="C101" s="2" t="s">
        <v>11</v>
      </c>
      <c r="D101" s="11" t="s">
        <v>28</v>
      </c>
      <c r="F101" s="19" t="s">
        <v>222</v>
      </c>
      <c r="G101" s="38" t="str">
        <f>IF('Zoopl Count'!G189="","",'Zoopl Count'!G189*(2^'Zoopl Count'!G$9)/'Zoopl Count'!G$8)</f>
        <v/>
      </c>
      <c r="H101" s="38" t="str">
        <f>IF('Zoopl Count'!H189="","",'Zoopl Count'!H189*(2^'Zoopl Count'!H$9)/'Zoopl Count'!H$8)</f>
        <v/>
      </c>
      <c r="I101" s="38" t="str">
        <f>IF('Zoopl Count'!I189="","",'Zoopl Count'!I189*(2^'Zoopl Count'!I$9)/'Zoopl Count'!I$8)</f>
        <v/>
      </c>
      <c r="J101" s="38" t="e">
        <f>IF('Zoopl Count'!#REF!="","",'Zoopl Count'!#REF!*(2^'Zoopl Count'!#REF!)/'Zoopl Count'!#REF!)</f>
        <v>#REF!</v>
      </c>
      <c r="K101" s="38" t="e">
        <f>IF('Zoopl Count'!#REF!="","",'Zoopl Count'!#REF!*(2^'Zoopl Count'!#REF!)/'Zoopl Count'!#REF!)</f>
        <v>#REF!</v>
      </c>
      <c r="L101" s="38" t="e">
        <f>IF('Zoopl Count'!#REF!="","",'Zoopl Count'!#REF!*(2^'Zoopl Count'!#REF!)/'Zoopl Count'!#REF!)</f>
        <v>#REF!</v>
      </c>
      <c r="M101" s="74"/>
    </row>
    <row r="102" spans="1:13">
      <c r="D102" s="12"/>
      <c r="G102" s="38" t="str">
        <f>IF('Zoopl Count'!G190="","",'Zoopl Count'!G190*(2^'Zoopl Count'!G$9)/'Zoopl Count'!G$8)</f>
        <v/>
      </c>
      <c r="H102" s="38" t="str">
        <f>IF('Zoopl Count'!H190="","",'Zoopl Count'!H190*(2^'Zoopl Count'!H$9)/'Zoopl Count'!H$8)</f>
        <v/>
      </c>
      <c r="I102" s="38" t="str">
        <f>IF('Zoopl Count'!I190="","",'Zoopl Count'!I190*(2^'Zoopl Count'!I$9)/'Zoopl Count'!I$8)</f>
        <v/>
      </c>
      <c r="J102" s="38" t="e">
        <f>IF('Zoopl Count'!#REF!="","",'Zoopl Count'!#REF!*(2^'Zoopl Count'!#REF!)/'Zoopl Count'!#REF!)</f>
        <v>#REF!</v>
      </c>
      <c r="K102" s="38" t="e">
        <f>IF('Zoopl Count'!#REF!="","",'Zoopl Count'!#REF!*(2^'Zoopl Count'!#REF!)/'Zoopl Count'!#REF!)</f>
        <v>#REF!</v>
      </c>
      <c r="L102" s="38" t="e">
        <f>IF('Zoopl Count'!#REF!="","",'Zoopl Count'!#REF!*(2^'Zoopl Count'!#REF!)/'Zoopl Count'!#REF!)</f>
        <v>#REF!</v>
      </c>
      <c r="M102" s="74"/>
    </row>
    <row r="103" spans="1:13">
      <c r="A103" s="2" t="s">
        <v>9</v>
      </c>
      <c r="B103" s="2" t="s">
        <v>84</v>
      </c>
      <c r="C103" s="2" t="s">
        <v>11</v>
      </c>
      <c r="D103" s="6" t="s">
        <v>31</v>
      </c>
      <c r="E103" s="8"/>
      <c r="F103" s="19" t="s">
        <v>32</v>
      </c>
      <c r="G103" s="38" t="str">
        <f>IF('Zoopl Count'!G191="","",'Zoopl Count'!G191*(2^'Zoopl Count'!G$9)/'Zoopl Count'!G$8)</f>
        <v/>
      </c>
      <c r="H103" s="38" t="str">
        <f>IF('Zoopl Count'!H191="","",'Zoopl Count'!H191*(2^'Zoopl Count'!H$9)/'Zoopl Count'!H$8)</f>
        <v/>
      </c>
      <c r="I103" s="38" t="str">
        <f>IF('Zoopl Count'!I191="","",'Zoopl Count'!I191*(2^'Zoopl Count'!I$9)/'Zoopl Count'!I$8)</f>
        <v/>
      </c>
      <c r="J103" s="38" t="e">
        <f>IF('Zoopl Count'!#REF!="","",'Zoopl Count'!#REF!*(2^'Zoopl Count'!#REF!)/'Zoopl Count'!#REF!)</f>
        <v>#REF!</v>
      </c>
      <c r="K103" s="38" t="e">
        <f>IF('Zoopl Count'!#REF!="","",'Zoopl Count'!#REF!*(2^'Zoopl Count'!#REF!)/'Zoopl Count'!#REF!)</f>
        <v>#REF!</v>
      </c>
      <c r="L103" s="38" t="e">
        <f>IF('Zoopl Count'!#REF!="","",'Zoopl Count'!#REF!*(2^'Zoopl Count'!#REF!)/'Zoopl Count'!#REF!)</f>
        <v>#REF!</v>
      </c>
      <c r="M103" s="74"/>
    </row>
    <row r="104" spans="1:13">
      <c r="A104" s="2" t="s">
        <v>9</v>
      </c>
      <c r="B104" s="2" t="s">
        <v>84</v>
      </c>
      <c r="C104" s="2" t="s">
        <v>11</v>
      </c>
      <c r="D104" s="6" t="s">
        <v>31</v>
      </c>
      <c r="E104" s="8"/>
      <c r="F104" s="19" t="s">
        <v>170</v>
      </c>
      <c r="G104" s="38">
        <f>IF('Zoopl Count'!G192="","",'Zoopl Count'!G192*(2^'Zoopl Count'!G$9)/'Zoopl Count'!G$8)</f>
        <v>0.13037972938088066</v>
      </c>
      <c r="H104" s="38" t="str">
        <f>IF('Zoopl Count'!H192="","",'Zoopl Count'!H192*(2^'Zoopl Count'!H$9)/'Zoopl Count'!H$8)</f>
        <v/>
      </c>
      <c r="I104" s="38" t="str">
        <f>IF('Zoopl Count'!I192="","",'Zoopl Count'!I192*(2^'Zoopl Count'!I$9)/'Zoopl Count'!I$8)</f>
        <v/>
      </c>
      <c r="J104" s="38" t="e">
        <f>IF('Zoopl Count'!#REF!="","",'Zoopl Count'!#REF!*(2^'Zoopl Count'!#REF!)/'Zoopl Count'!#REF!)</f>
        <v>#REF!</v>
      </c>
      <c r="K104" s="38" t="e">
        <f>IF('Zoopl Count'!#REF!="","",'Zoopl Count'!#REF!*(2^'Zoopl Count'!#REF!)/'Zoopl Count'!#REF!)</f>
        <v>#REF!</v>
      </c>
      <c r="L104" s="38" t="e">
        <f>IF('Zoopl Count'!#REF!="","",'Zoopl Count'!#REF!*(2^'Zoopl Count'!#REF!)/'Zoopl Count'!#REF!)</f>
        <v>#REF!</v>
      </c>
      <c r="M104" s="74"/>
    </row>
    <row r="105" spans="1:13">
      <c r="D105" s="8"/>
      <c r="G105" s="38" t="str">
        <f>IF('Zoopl Count'!G195="","",'Zoopl Count'!G195*(2^'Zoopl Count'!G$9)/'Zoopl Count'!G$8)</f>
        <v/>
      </c>
      <c r="H105" s="38" t="str">
        <f>IF('Zoopl Count'!H195="","",'Zoopl Count'!H195*(2^'Zoopl Count'!H$9)/'Zoopl Count'!H$8)</f>
        <v/>
      </c>
      <c r="I105" s="38" t="str">
        <f>IF('Zoopl Count'!I195="","",'Zoopl Count'!I195*(2^'Zoopl Count'!I$9)/'Zoopl Count'!I$8)</f>
        <v/>
      </c>
      <c r="J105" s="38" t="e">
        <f>IF('Zoopl Count'!#REF!="","",'Zoopl Count'!#REF!*(2^'Zoopl Count'!#REF!)/'Zoopl Count'!#REF!)</f>
        <v>#REF!</v>
      </c>
      <c r="K105" s="38" t="e">
        <f>IF('Zoopl Count'!#REF!="","",'Zoopl Count'!#REF!*(2^'Zoopl Count'!#REF!)/'Zoopl Count'!#REF!)</f>
        <v>#REF!</v>
      </c>
      <c r="L105" s="38" t="e">
        <f>IF('Zoopl Count'!#REF!="","",'Zoopl Count'!#REF!*(2^'Zoopl Count'!#REF!)/'Zoopl Count'!#REF!)</f>
        <v>#REF!</v>
      </c>
      <c r="M105" s="74"/>
    </row>
    <row r="106" spans="1:13">
      <c r="A106" s="2" t="s">
        <v>9</v>
      </c>
      <c r="B106" s="2" t="s">
        <v>84</v>
      </c>
      <c r="C106" s="2" t="s">
        <v>11</v>
      </c>
      <c r="D106" s="6" t="s">
        <v>33</v>
      </c>
      <c r="E106" s="8"/>
      <c r="F106" s="19" t="s">
        <v>34</v>
      </c>
      <c r="G106" s="38">
        <f>IF('Zoopl Count'!G196="","",'Zoopl Count'!G196*(2^'Zoopl Count'!G$9)/'Zoopl Count'!G$8)</f>
        <v>0.13037972938088066</v>
      </c>
      <c r="H106" s="38">
        <f>IF('Zoopl Count'!H196="","",'Zoopl Count'!H196*(2^'Zoopl Count'!H$9)/'Zoopl Count'!H$8)</f>
        <v>0.13037972938088066</v>
      </c>
      <c r="I106" s="38" t="str">
        <f>IF('Zoopl Count'!I196="","",'Zoopl Count'!I196*(2^'Zoopl Count'!I$9)/'Zoopl Count'!I$8)</f>
        <v/>
      </c>
      <c r="J106" s="38" t="e">
        <f>IF('Zoopl Count'!#REF!="","",'Zoopl Count'!#REF!*(2^'Zoopl Count'!#REF!)/'Zoopl Count'!#REF!)</f>
        <v>#REF!</v>
      </c>
      <c r="K106" s="38" t="e">
        <f>IF('Zoopl Count'!#REF!="","",'Zoopl Count'!#REF!*(2^'Zoopl Count'!#REF!)/'Zoopl Count'!#REF!)</f>
        <v>#REF!</v>
      </c>
      <c r="L106" s="38" t="e">
        <f>IF('Zoopl Count'!#REF!="","",'Zoopl Count'!#REF!*(2^'Zoopl Count'!#REF!)/'Zoopl Count'!#REF!)</f>
        <v>#REF!</v>
      </c>
      <c r="M106" s="74"/>
    </row>
    <row r="107" spans="1:13">
      <c r="D107" s="8"/>
      <c r="F107" s="19"/>
      <c r="G107" s="38">
        <f>IF('Zoopl Count'!G199="","",'Zoopl Count'!G199*(2^'Zoopl Count'!G$9)/'Zoopl Count'!G$8)</f>
        <v>0.13037972938088066</v>
      </c>
      <c r="H107" s="38" t="str">
        <f>IF('Zoopl Count'!H199="","",'Zoopl Count'!H199*(2^'Zoopl Count'!H$9)/'Zoopl Count'!H$8)</f>
        <v/>
      </c>
      <c r="I107" s="38">
        <f>IF('Zoopl Count'!I199="","",'Zoopl Count'!I199*(2^'Zoopl Count'!I$9)/'Zoopl Count'!I$8)</f>
        <v>3.2594932345220165E-2</v>
      </c>
      <c r="J107" s="38" t="e">
        <f>IF('Zoopl Count'!#REF!="","",'Zoopl Count'!#REF!*(2^'Zoopl Count'!#REF!)/'Zoopl Count'!#REF!)</f>
        <v>#REF!</v>
      </c>
      <c r="K107" s="38" t="e">
        <f>IF('Zoopl Count'!#REF!="","",'Zoopl Count'!#REF!*(2^'Zoopl Count'!#REF!)/'Zoopl Count'!#REF!)</f>
        <v>#REF!</v>
      </c>
      <c r="L107" s="38" t="e">
        <f>IF('Zoopl Count'!#REF!="","",'Zoopl Count'!#REF!*(2^'Zoopl Count'!#REF!)/'Zoopl Count'!#REF!)</f>
        <v>#REF!</v>
      </c>
      <c r="M107" s="74"/>
    </row>
    <row r="108" spans="1:13">
      <c r="A108" s="2" t="s">
        <v>9</v>
      </c>
      <c r="B108" s="2" t="s">
        <v>84</v>
      </c>
      <c r="C108" s="2" t="s">
        <v>11</v>
      </c>
      <c r="D108" s="11" t="s">
        <v>160</v>
      </c>
      <c r="E108" s="8"/>
      <c r="F108" s="19" t="s">
        <v>161</v>
      </c>
      <c r="G108" s="38" t="str">
        <f>IF('Zoopl Count'!G201="","",'Zoopl Count'!G201*(2^'Zoopl Count'!G$9)/'Zoopl Count'!G$8)</f>
        <v/>
      </c>
      <c r="H108" s="38" t="str">
        <f>IF('Zoopl Count'!H201="","",'Zoopl Count'!H201*(2^'Zoopl Count'!H$9)/'Zoopl Count'!H$8)</f>
        <v/>
      </c>
      <c r="I108" s="38" t="str">
        <f>IF('Zoopl Count'!I201="","",'Zoopl Count'!I201*(2^'Zoopl Count'!I$9)/'Zoopl Count'!I$8)</f>
        <v/>
      </c>
      <c r="J108" s="38" t="e">
        <f>IF('Zoopl Count'!#REF!="","",'Zoopl Count'!#REF!*(2^'Zoopl Count'!#REF!)/'Zoopl Count'!#REF!)</f>
        <v>#REF!</v>
      </c>
      <c r="K108" s="38" t="e">
        <f>IF('Zoopl Count'!#REF!="","",'Zoopl Count'!#REF!*(2^'Zoopl Count'!#REF!)/'Zoopl Count'!#REF!)</f>
        <v>#REF!</v>
      </c>
      <c r="L108" s="38" t="e">
        <f>IF('Zoopl Count'!#REF!="","",'Zoopl Count'!#REF!*(2^'Zoopl Count'!#REF!)/'Zoopl Count'!#REF!)</f>
        <v>#REF!</v>
      </c>
      <c r="M108" s="74"/>
    </row>
    <row r="109" spans="1:13">
      <c r="G109" s="38" t="str">
        <f>IF('Zoopl Count'!G202="","",'Zoopl Count'!G202*(2^'Zoopl Count'!G$9)/'Zoopl Count'!G$8)</f>
        <v/>
      </c>
      <c r="H109" s="38" t="str">
        <f>IF('Zoopl Count'!H202="","",'Zoopl Count'!H202*(2^'Zoopl Count'!H$9)/'Zoopl Count'!H$8)</f>
        <v/>
      </c>
      <c r="I109" s="38" t="str">
        <f>IF('Zoopl Count'!I202="","",'Zoopl Count'!I202*(2^'Zoopl Count'!I$9)/'Zoopl Count'!I$8)</f>
        <v/>
      </c>
      <c r="J109" s="38" t="e">
        <f>IF('Zoopl Count'!#REF!="","",'Zoopl Count'!#REF!*(2^'Zoopl Count'!#REF!)/'Zoopl Count'!#REF!)</f>
        <v>#REF!</v>
      </c>
      <c r="K109" s="38" t="e">
        <f>IF('Zoopl Count'!#REF!="","",'Zoopl Count'!#REF!*(2^'Zoopl Count'!#REF!)/'Zoopl Count'!#REF!)</f>
        <v>#REF!</v>
      </c>
      <c r="L109" s="38" t="e">
        <f>IF('Zoopl Count'!#REF!="","",'Zoopl Count'!#REF!*(2^'Zoopl Count'!#REF!)/'Zoopl Count'!#REF!)</f>
        <v>#REF!</v>
      </c>
      <c r="M109" s="74"/>
    </row>
    <row r="110" spans="1:13">
      <c r="A110" s="2"/>
      <c r="B110" s="2"/>
      <c r="C110" s="21"/>
      <c r="E110" s="2"/>
      <c r="F110" s="2"/>
      <c r="G110" s="38" t="str">
        <f>IF('Zoopl Count'!G203="","",'Zoopl Count'!G203*(2^'Zoopl Count'!G$9)/'Zoopl Count'!G$8)</f>
        <v/>
      </c>
      <c r="H110" s="38" t="str">
        <f>IF('Zoopl Count'!H203="","",'Zoopl Count'!H203*(2^'Zoopl Count'!H$9)/'Zoopl Count'!H$8)</f>
        <v/>
      </c>
      <c r="I110" s="38" t="str">
        <f>IF('Zoopl Count'!I203="","",'Zoopl Count'!I203*(2^'Zoopl Count'!I$9)/'Zoopl Count'!I$8)</f>
        <v/>
      </c>
      <c r="J110" s="38" t="e">
        <f>IF('Zoopl Count'!#REF!="","",'Zoopl Count'!#REF!*(2^'Zoopl Count'!#REF!)/'Zoopl Count'!#REF!)</f>
        <v>#REF!</v>
      </c>
      <c r="K110" s="38" t="e">
        <f>IF('Zoopl Count'!#REF!="","",'Zoopl Count'!#REF!*(2^'Zoopl Count'!#REF!)/'Zoopl Count'!#REF!)</f>
        <v>#REF!</v>
      </c>
      <c r="L110" s="38" t="e">
        <f>IF('Zoopl Count'!#REF!="","",'Zoopl Count'!#REF!*(2^'Zoopl Count'!#REF!)/'Zoopl Count'!#REF!)</f>
        <v>#REF!</v>
      </c>
      <c r="M110" s="74"/>
    </row>
    <row r="111" spans="1:13">
      <c r="A111" s="2" t="s">
        <v>9</v>
      </c>
      <c r="B111" s="2" t="s">
        <v>84</v>
      </c>
      <c r="C111" s="2" t="s">
        <v>35</v>
      </c>
      <c r="D111" s="2"/>
      <c r="F111" s="6" t="s">
        <v>158</v>
      </c>
      <c r="G111" s="38" t="str">
        <f>IF('Zoopl Count'!G204="","",'Zoopl Count'!G204*(2^'Zoopl Count'!G$9)/'Zoopl Count'!G$8)</f>
        <v/>
      </c>
      <c r="H111" s="38" t="str">
        <f>IF('Zoopl Count'!H204="","",'Zoopl Count'!H204*(2^'Zoopl Count'!H$9)/'Zoopl Count'!H$8)</f>
        <v/>
      </c>
      <c r="I111" s="38" t="str">
        <f>IF('Zoopl Count'!I204="","",'Zoopl Count'!I204*(2^'Zoopl Count'!I$9)/'Zoopl Count'!I$8)</f>
        <v/>
      </c>
      <c r="J111" s="38" t="e">
        <f>IF('Zoopl Count'!#REF!="","",'Zoopl Count'!#REF!*(2^'Zoopl Count'!#REF!)/'Zoopl Count'!#REF!)</f>
        <v>#REF!</v>
      </c>
      <c r="K111" s="38" t="e">
        <f>IF('Zoopl Count'!#REF!="","",'Zoopl Count'!#REF!*(2^'Zoopl Count'!#REF!)/'Zoopl Count'!#REF!)</f>
        <v>#REF!</v>
      </c>
      <c r="L111" s="38" t="e">
        <f>IF('Zoopl Count'!#REF!="","",'Zoopl Count'!#REF!*(2^'Zoopl Count'!#REF!)/'Zoopl Count'!#REF!)</f>
        <v>#REF!</v>
      </c>
      <c r="M111" s="74"/>
    </row>
    <row r="112" spans="1:13">
      <c r="A112" s="2" t="s">
        <v>9</v>
      </c>
      <c r="B112" s="2" t="s">
        <v>84</v>
      </c>
      <c r="C112" s="2" t="s">
        <v>35</v>
      </c>
      <c r="D112" s="2"/>
      <c r="F112" s="6" t="s">
        <v>105</v>
      </c>
      <c r="G112" s="38" t="str">
        <f>IF('Zoopl Count'!G205="","",'Zoopl Count'!G205*(2^'Zoopl Count'!G$9)/'Zoopl Count'!G$8)</f>
        <v/>
      </c>
      <c r="H112" s="38" t="str">
        <f>IF('Zoopl Count'!H205="","",'Zoopl Count'!H205*(2^'Zoopl Count'!H$9)/'Zoopl Count'!H$8)</f>
        <v/>
      </c>
      <c r="I112" s="38" t="str">
        <f>IF('Zoopl Count'!I205="","",'Zoopl Count'!I205*(2^'Zoopl Count'!I$9)/'Zoopl Count'!I$8)</f>
        <v/>
      </c>
      <c r="J112" s="38" t="e">
        <f>IF('Zoopl Count'!#REF!="","",'Zoopl Count'!#REF!*(2^'Zoopl Count'!#REF!)/'Zoopl Count'!#REF!)</f>
        <v>#REF!</v>
      </c>
      <c r="K112" s="38" t="e">
        <f>IF('Zoopl Count'!#REF!="","",'Zoopl Count'!#REF!*(2^'Zoopl Count'!#REF!)/'Zoopl Count'!#REF!)</f>
        <v>#REF!</v>
      </c>
      <c r="L112" s="38" t="e">
        <f>IF('Zoopl Count'!#REF!="","",'Zoopl Count'!#REF!*(2^'Zoopl Count'!#REF!)/'Zoopl Count'!#REF!)</f>
        <v>#REF!</v>
      </c>
      <c r="M112" s="74"/>
    </row>
    <row r="113" spans="1:13">
      <c r="D113" s="8"/>
      <c r="G113" s="38" t="str">
        <f>IF('Zoopl Count'!G206="","",'Zoopl Count'!G206*(2^'Zoopl Count'!G$9)/'Zoopl Count'!G$8)</f>
        <v/>
      </c>
      <c r="H113" s="38" t="str">
        <f>IF('Zoopl Count'!H206="","",'Zoopl Count'!H206*(2^'Zoopl Count'!H$9)/'Zoopl Count'!H$8)</f>
        <v/>
      </c>
      <c r="I113" s="38" t="str">
        <f>IF('Zoopl Count'!I206="","",'Zoopl Count'!I206*(2^'Zoopl Count'!I$9)/'Zoopl Count'!I$8)</f>
        <v/>
      </c>
      <c r="J113" s="38" t="e">
        <f>IF('Zoopl Count'!#REF!="","",'Zoopl Count'!#REF!*(2^'Zoopl Count'!#REF!)/'Zoopl Count'!#REF!)</f>
        <v>#REF!</v>
      </c>
      <c r="K113" s="38" t="e">
        <f>IF('Zoopl Count'!#REF!="","",'Zoopl Count'!#REF!*(2^'Zoopl Count'!#REF!)/'Zoopl Count'!#REF!)</f>
        <v>#REF!</v>
      </c>
      <c r="L113" s="38" t="e">
        <f>IF('Zoopl Count'!#REF!="","",'Zoopl Count'!#REF!*(2^'Zoopl Count'!#REF!)/'Zoopl Count'!#REF!)</f>
        <v>#REF!</v>
      </c>
      <c r="M113" s="74"/>
    </row>
    <row r="114" spans="1:13">
      <c r="A114" s="2" t="s">
        <v>9</v>
      </c>
      <c r="B114" s="2" t="s">
        <v>84</v>
      </c>
      <c r="C114" s="2" t="s">
        <v>35</v>
      </c>
      <c r="D114" s="6" t="s">
        <v>36</v>
      </c>
      <c r="E114" s="8"/>
      <c r="F114" s="19" t="s">
        <v>37</v>
      </c>
      <c r="G114" s="38">
        <f>IF('Zoopl Count'!G207="","",'Zoopl Count'!G207*(2^'Zoopl Count'!G$9)/'Zoopl Count'!G$8)</f>
        <v>0.65189864690440336</v>
      </c>
      <c r="H114" s="38">
        <f>IF('Zoopl Count'!H207="","",'Zoopl Count'!H207*(2^'Zoopl Count'!H$9)/'Zoopl Count'!H$8)</f>
        <v>0.32594932345220168</v>
      </c>
      <c r="I114" s="38">
        <f>IF('Zoopl Count'!I207="","",'Zoopl Count'!I207*(2^'Zoopl Count'!I$9)/'Zoopl Count'!I$8)</f>
        <v>0.68449357924962351</v>
      </c>
      <c r="J114" s="38" t="e">
        <f>IF('Zoopl Count'!#REF!="","",'Zoopl Count'!#REF!*(2^'Zoopl Count'!#REF!)/'Zoopl Count'!#REF!)</f>
        <v>#REF!</v>
      </c>
      <c r="K114" s="38" t="e">
        <f>IF('Zoopl Count'!#REF!="","",'Zoopl Count'!#REF!*(2^'Zoopl Count'!#REF!)/'Zoopl Count'!#REF!)</f>
        <v>#REF!</v>
      </c>
      <c r="L114" s="38" t="e">
        <f>IF('Zoopl Count'!#REF!="","",'Zoopl Count'!#REF!*(2^'Zoopl Count'!#REF!)/'Zoopl Count'!#REF!)</f>
        <v>#REF!</v>
      </c>
      <c r="M114" s="74"/>
    </row>
    <row r="115" spans="1:13">
      <c r="D115" s="8"/>
      <c r="G115" s="38" t="str">
        <f>IF('Zoopl Count'!G208="","",'Zoopl Count'!G208*(2^'Zoopl Count'!G$9)/'Zoopl Count'!G$8)</f>
        <v/>
      </c>
      <c r="H115" s="38" t="str">
        <f>IF('Zoopl Count'!H208="","",'Zoopl Count'!H208*(2^'Zoopl Count'!H$9)/'Zoopl Count'!H$8)</f>
        <v/>
      </c>
      <c r="I115" s="38" t="str">
        <f>IF('Zoopl Count'!I208="","",'Zoopl Count'!I208*(2^'Zoopl Count'!I$9)/'Zoopl Count'!I$8)</f>
        <v/>
      </c>
      <c r="J115" s="38" t="e">
        <f>IF('Zoopl Count'!#REF!="","",'Zoopl Count'!#REF!*(2^'Zoopl Count'!#REF!)/'Zoopl Count'!#REF!)</f>
        <v>#REF!</v>
      </c>
      <c r="K115" s="38" t="e">
        <f>IF('Zoopl Count'!#REF!="","",'Zoopl Count'!#REF!*(2^'Zoopl Count'!#REF!)/'Zoopl Count'!#REF!)</f>
        <v>#REF!</v>
      </c>
      <c r="L115" s="38" t="e">
        <f>IF('Zoopl Count'!#REF!="","",'Zoopl Count'!#REF!*(2^'Zoopl Count'!#REF!)/'Zoopl Count'!#REF!)</f>
        <v>#REF!</v>
      </c>
      <c r="M115" s="74"/>
    </row>
    <row r="116" spans="1:13">
      <c r="A116" s="2" t="s">
        <v>9</v>
      </c>
      <c r="B116" s="2" t="s">
        <v>84</v>
      </c>
      <c r="C116" s="2" t="s">
        <v>35</v>
      </c>
      <c r="D116" s="6" t="s">
        <v>38</v>
      </c>
      <c r="E116" s="8"/>
      <c r="F116" s="19" t="s">
        <v>39</v>
      </c>
      <c r="G116" s="38">
        <f>IF('Zoopl Count'!G209="","",'Zoopl Count'!G209*(2^'Zoopl Count'!G$9)/'Zoopl Count'!G$8)</f>
        <v>14.341770231896872</v>
      </c>
      <c r="H116" s="38">
        <f>IF('Zoopl Count'!H209="","",'Zoopl Count'!H209*(2^'Zoopl Count'!H$9)/'Zoopl Count'!H$8)</f>
        <v>4.9544297164734648</v>
      </c>
      <c r="I116" s="38">
        <f>IF('Zoopl Count'!I209="","",'Zoopl Count'!I209*(2^'Zoopl Count'!I$9)/'Zoopl Count'!I$8)</f>
        <v>0.52151891752352264</v>
      </c>
      <c r="J116" s="38" t="e">
        <f>IF('Zoopl Count'!#REF!="","",'Zoopl Count'!#REF!*(2^'Zoopl Count'!#REF!)/'Zoopl Count'!#REF!)</f>
        <v>#REF!</v>
      </c>
      <c r="K116" s="38" t="e">
        <f>IF('Zoopl Count'!#REF!="","",'Zoopl Count'!#REF!*(2^'Zoopl Count'!#REF!)/'Zoopl Count'!#REF!)</f>
        <v>#REF!</v>
      </c>
      <c r="L116" s="38" t="e">
        <f>IF('Zoopl Count'!#REF!="","",'Zoopl Count'!#REF!*(2^'Zoopl Count'!#REF!)/'Zoopl Count'!#REF!)</f>
        <v>#REF!</v>
      </c>
      <c r="M116" s="74"/>
    </row>
    <row r="117" spans="1:13">
      <c r="G117" s="38" t="e">
        <f>IF('Zoopl Count'!#REF!="","",'Zoopl Count'!#REF!*(2^'Zoopl Count'!G$9)/'Zoopl Count'!G$8)</f>
        <v>#REF!</v>
      </c>
      <c r="H117" s="38" t="e">
        <f>IF('Zoopl Count'!#REF!="","",'Zoopl Count'!#REF!*(2^'Zoopl Count'!H$9)/'Zoopl Count'!H$8)</f>
        <v>#REF!</v>
      </c>
      <c r="I117" s="38" t="e">
        <f>IF('Zoopl Count'!#REF!="","",'Zoopl Count'!#REF!*(2^'Zoopl Count'!I$9)/'Zoopl Count'!I$8)</f>
        <v>#REF!</v>
      </c>
      <c r="J117" s="38" t="e">
        <f>IF('Zoopl Count'!#REF!="","",'Zoopl Count'!#REF!*(2^'Zoopl Count'!#REF!)/'Zoopl Count'!#REF!)</f>
        <v>#REF!</v>
      </c>
      <c r="K117" s="38" t="e">
        <f>IF('Zoopl Count'!#REF!="","",'Zoopl Count'!#REF!*(2^'Zoopl Count'!#REF!)/'Zoopl Count'!#REF!)</f>
        <v>#REF!</v>
      </c>
      <c r="L117" s="38" t="e">
        <f>IF('Zoopl Count'!#REF!="","",'Zoopl Count'!#REF!*(2^'Zoopl Count'!#REF!)/'Zoopl Count'!#REF!)</f>
        <v>#REF!</v>
      </c>
      <c r="M117" s="74"/>
    </row>
    <row r="118" spans="1:13">
      <c r="A118" s="2"/>
      <c r="B118" s="2"/>
      <c r="C118" s="21"/>
      <c r="E118" s="2"/>
      <c r="F118" s="2"/>
      <c r="G118" s="38" t="e">
        <f>IF('Zoopl Count'!#REF!="","",'Zoopl Count'!#REF!*(2^'Zoopl Count'!G$9)/'Zoopl Count'!G$8)</f>
        <v>#REF!</v>
      </c>
      <c r="H118" s="38" t="e">
        <f>IF('Zoopl Count'!#REF!="","",'Zoopl Count'!#REF!*(2^'Zoopl Count'!H$9)/'Zoopl Count'!H$8)</f>
        <v>#REF!</v>
      </c>
      <c r="I118" s="38" t="e">
        <f>IF('Zoopl Count'!#REF!="","",'Zoopl Count'!#REF!*(2^'Zoopl Count'!I$9)/'Zoopl Count'!I$8)</f>
        <v>#REF!</v>
      </c>
      <c r="J118" s="38" t="e">
        <f>IF('Zoopl Count'!#REF!="","",'Zoopl Count'!#REF!*(2^'Zoopl Count'!#REF!)/'Zoopl Count'!#REF!)</f>
        <v>#REF!</v>
      </c>
      <c r="K118" s="38" t="e">
        <f>IF('Zoopl Count'!#REF!="","",'Zoopl Count'!#REF!*(2^'Zoopl Count'!#REF!)/'Zoopl Count'!#REF!)</f>
        <v>#REF!</v>
      </c>
      <c r="L118" s="38" t="e">
        <f>IF('Zoopl Count'!#REF!="","",'Zoopl Count'!#REF!*(2^'Zoopl Count'!#REF!)/'Zoopl Count'!#REF!)</f>
        <v>#REF!</v>
      </c>
      <c r="M118" s="74"/>
    </row>
    <row r="119" spans="1:13">
      <c r="A119" s="2" t="s">
        <v>9</v>
      </c>
      <c r="B119" s="2" t="s">
        <v>84</v>
      </c>
      <c r="C119" s="2" t="s">
        <v>40</v>
      </c>
      <c r="D119" s="2"/>
      <c r="F119" s="6" t="s">
        <v>106</v>
      </c>
      <c r="G119" s="38" t="e">
        <f>IF('Zoopl Count'!#REF!="","",'Zoopl Count'!#REF!*(2^'Zoopl Count'!G$9)/'Zoopl Count'!G$8)</f>
        <v>#REF!</v>
      </c>
      <c r="H119" s="38" t="e">
        <f>IF('Zoopl Count'!#REF!="","",'Zoopl Count'!#REF!*(2^'Zoopl Count'!H$9)/'Zoopl Count'!H$8)</f>
        <v>#REF!</v>
      </c>
      <c r="I119" s="38" t="e">
        <f>IF('Zoopl Count'!#REF!="","",'Zoopl Count'!#REF!*(2^'Zoopl Count'!I$9)/'Zoopl Count'!I$8)</f>
        <v>#REF!</v>
      </c>
      <c r="J119" s="38" t="e">
        <f>IF('Zoopl Count'!#REF!="","",'Zoopl Count'!#REF!*(2^'Zoopl Count'!#REF!)/'Zoopl Count'!#REF!)</f>
        <v>#REF!</v>
      </c>
      <c r="K119" s="38" t="e">
        <f>IF('Zoopl Count'!#REF!="","",'Zoopl Count'!#REF!*(2^'Zoopl Count'!#REF!)/'Zoopl Count'!#REF!)</f>
        <v>#REF!</v>
      </c>
      <c r="L119" s="38" t="e">
        <f>IF('Zoopl Count'!#REF!="","",'Zoopl Count'!#REF!*(2^'Zoopl Count'!#REF!)/'Zoopl Count'!#REF!)</f>
        <v>#REF!</v>
      </c>
      <c r="M119" s="74"/>
    </row>
    <row r="120" spans="1:13">
      <c r="D120" s="8"/>
      <c r="G120" s="38" t="str">
        <f>IF('Zoopl Count'!G210="","",'Zoopl Count'!G210*(2^'Zoopl Count'!G$9)/'Zoopl Count'!G$8)</f>
        <v/>
      </c>
      <c r="H120" s="38" t="str">
        <f>IF('Zoopl Count'!H210="","",'Zoopl Count'!H210*(2^'Zoopl Count'!H$9)/'Zoopl Count'!H$8)</f>
        <v/>
      </c>
      <c r="I120" s="38" t="str">
        <f>IF('Zoopl Count'!I210="","",'Zoopl Count'!I210*(2^'Zoopl Count'!I$9)/'Zoopl Count'!I$8)</f>
        <v/>
      </c>
      <c r="J120" s="38" t="e">
        <f>IF('Zoopl Count'!#REF!="","",'Zoopl Count'!#REF!*(2^'Zoopl Count'!#REF!)/'Zoopl Count'!#REF!)</f>
        <v>#REF!</v>
      </c>
      <c r="K120" s="38" t="e">
        <f>IF('Zoopl Count'!#REF!="","",'Zoopl Count'!#REF!*(2^'Zoopl Count'!#REF!)/'Zoopl Count'!#REF!)</f>
        <v>#REF!</v>
      </c>
      <c r="L120" s="38" t="e">
        <f>IF('Zoopl Count'!#REF!="","",'Zoopl Count'!#REF!*(2^'Zoopl Count'!#REF!)/'Zoopl Count'!#REF!)</f>
        <v>#REF!</v>
      </c>
      <c r="M120" s="74"/>
    </row>
    <row r="121" spans="1:13">
      <c r="A121" s="2" t="s">
        <v>9</v>
      </c>
      <c r="B121" s="2" t="s">
        <v>84</v>
      </c>
      <c r="C121" s="2" t="s">
        <v>40</v>
      </c>
      <c r="D121" s="6" t="s">
        <v>41</v>
      </c>
      <c r="E121" s="8"/>
      <c r="F121" s="19" t="s">
        <v>42</v>
      </c>
      <c r="G121" s="38" t="str">
        <f>IF('Zoopl Count'!G211="","",'Zoopl Count'!G211*(2^'Zoopl Count'!G$9)/'Zoopl Count'!G$8)</f>
        <v/>
      </c>
      <c r="H121" s="38">
        <f>IF('Zoopl Count'!H211="","",'Zoopl Count'!H211*(2^'Zoopl Count'!H$9)/'Zoopl Count'!H$8)</f>
        <v>0.26075945876176132</v>
      </c>
      <c r="I121" s="38" t="str">
        <f>IF('Zoopl Count'!I211="","",'Zoopl Count'!I211*(2^'Zoopl Count'!I$9)/'Zoopl Count'!I$8)</f>
        <v/>
      </c>
      <c r="J121" s="38" t="e">
        <f>IF('Zoopl Count'!#REF!="","",'Zoopl Count'!#REF!*(2^'Zoopl Count'!#REF!)/'Zoopl Count'!#REF!)</f>
        <v>#REF!</v>
      </c>
      <c r="K121" s="38" t="e">
        <f>IF('Zoopl Count'!#REF!="","",'Zoopl Count'!#REF!*(2^'Zoopl Count'!#REF!)/'Zoopl Count'!#REF!)</f>
        <v>#REF!</v>
      </c>
      <c r="L121" s="38" t="e">
        <f>IF('Zoopl Count'!#REF!="","",'Zoopl Count'!#REF!*(2^'Zoopl Count'!#REF!)/'Zoopl Count'!#REF!)</f>
        <v>#REF!</v>
      </c>
      <c r="M121" s="74"/>
    </row>
    <row r="122" spans="1:13">
      <c r="A122" s="2" t="s">
        <v>9</v>
      </c>
      <c r="B122" s="2" t="s">
        <v>84</v>
      </c>
      <c r="C122" s="2" t="s">
        <v>40</v>
      </c>
      <c r="D122" s="6" t="s">
        <v>41</v>
      </c>
      <c r="E122" s="8"/>
      <c r="F122" s="19" t="s">
        <v>183</v>
      </c>
      <c r="G122" s="38" t="str">
        <f>IF('Zoopl Count'!G212="","",'Zoopl Count'!G212*(2^'Zoopl Count'!G$9)/'Zoopl Count'!G$8)</f>
        <v/>
      </c>
      <c r="H122" s="38" t="str">
        <f>IF('Zoopl Count'!H212="","",'Zoopl Count'!H212*(2^'Zoopl Count'!H$9)/'Zoopl Count'!H$8)</f>
        <v/>
      </c>
      <c r="I122" s="38" t="str">
        <f>IF('Zoopl Count'!I212="","",'Zoopl Count'!I212*(2^'Zoopl Count'!I$9)/'Zoopl Count'!I$8)</f>
        <v/>
      </c>
      <c r="J122" s="38" t="e">
        <f>IF('Zoopl Count'!#REF!="","",'Zoopl Count'!#REF!*(2^'Zoopl Count'!#REF!)/'Zoopl Count'!#REF!)</f>
        <v>#REF!</v>
      </c>
      <c r="K122" s="38" t="e">
        <f>IF('Zoopl Count'!#REF!="","",'Zoopl Count'!#REF!*(2^'Zoopl Count'!#REF!)/'Zoopl Count'!#REF!)</f>
        <v>#REF!</v>
      </c>
      <c r="L122" s="38" t="e">
        <f>IF('Zoopl Count'!#REF!="","",'Zoopl Count'!#REF!*(2^'Zoopl Count'!#REF!)/'Zoopl Count'!#REF!)</f>
        <v>#REF!</v>
      </c>
      <c r="M122" s="74"/>
    </row>
    <row r="123" spans="1:13">
      <c r="G123" s="38" t="str">
        <f>IF('Zoopl Count'!G214="","",'Zoopl Count'!G214*(2^'Zoopl Count'!G$9)/'Zoopl Count'!G$8)</f>
        <v/>
      </c>
      <c r="H123" s="38" t="str">
        <f>IF('Zoopl Count'!H214="","",'Zoopl Count'!H214*(2^'Zoopl Count'!H$9)/'Zoopl Count'!H$8)</f>
        <v/>
      </c>
      <c r="I123" s="38" t="str">
        <f>IF('Zoopl Count'!I214="","",'Zoopl Count'!I214*(2^'Zoopl Count'!I$9)/'Zoopl Count'!I$8)</f>
        <v/>
      </c>
      <c r="J123" s="38" t="e">
        <f>IF('Zoopl Count'!#REF!="","",'Zoopl Count'!#REF!*(2^'Zoopl Count'!#REF!)/'Zoopl Count'!#REF!)</f>
        <v>#REF!</v>
      </c>
      <c r="K123" s="38" t="e">
        <f>IF('Zoopl Count'!#REF!="","",'Zoopl Count'!#REF!*(2^'Zoopl Count'!#REF!)/'Zoopl Count'!#REF!)</f>
        <v>#REF!</v>
      </c>
      <c r="L123" s="38" t="e">
        <f>IF('Zoopl Count'!#REF!="","",'Zoopl Count'!#REF!*(2^'Zoopl Count'!#REF!)/'Zoopl Count'!#REF!)</f>
        <v>#REF!</v>
      </c>
      <c r="M123" s="74"/>
    </row>
    <row r="124" spans="1:13">
      <c r="A124" s="2"/>
      <c r="B124" s="2"/>
      <c r="C124" s="21"/>
      <c r="E124" s="2"/>
      <c r="F124" s="2"/>
      <c r="G124" s="38" t="str">
        <f>IF('Zoopl Count'!G219="","",'Zoopl Count'!G219*(2^'Zoopl Count'!G$9)/'Zoopl Count'!G$8)</f>
        <v/>
      </c>
      <c r="H124" s="38" t="str">
        <f>IF('Zoopl Count'!H219="","",'Zoopl Count'!H219*(2^'Zoopl Count'!H$9)/'Zoopl Count'!H$8)</f>
        <v/>
      </c>
      <c r="I124" s="38" t="str">
        <f>IF('Zoopl Count'!I219="","",'Zoopl Count'!I219*(2^'Zoopl Count'!I$9)/'Zoopl Count'!I$8)</f>
        <v/>
      </c>
      <c r="J124" s="38" t="e">
        <f>IF('Zoopl Count'!#REF!="","",'Zoopl Count'!#REF!*(2^'Zoopl Count'!#REF!)/'Zoopl Count'!#REF!)</f>
        <v>#REF!</v>
      </c>
      <c r="K124" s="38" t="e">
        <f>IF('Zoopl Count'!#REF!="","",'Zoopl Count'!#REF!*(2^'Zoopl Count'!#REF!)/'Zoopl Count'!#REF!)</f>
        <v>#REF!</v>
      </c>
      <c r="L124" s="38" t="e">
        <f>IF('Zoopl Count'!#REF!="","",'Zoopl Count'!#REF!*(2^'Zoopl Count'!#REF!)/'Zoopl Count'!#REF!)</f>
        <v>#REF!</v>
      </c>
      <c r="M124" s="74"/>
    </row>
    <row r="125" spans="1:13">
      <c r="A125" s="2" t="s">
        <v>9</v>
      </c>
      <c r="B125" s="2" t="s">
        <v>84</v>
      </c>
      <c r="C125" s="2" t="s">
        <v>43</v>
      </c>
      <c r="F125" s="6" t="s">
        <v>107</v>
      </c>
      <c r="G125" s="38" t="str">
        <f>IF('Zoopl Count'!G220="","",'Zoopl Count'!G220*(2^'Zoopl Count'!G$9)/'Zoopl Count'!G$8)</f>
        <v/>
      </c>
      <c r="H125" s="38" t="str">
        <f>IF('Zoopl Count'!H220="","",'Zoopl Count'!H220*(2^'Zoopl Count'!H$9)/'Zoopl Count'!H$8)</f>
        <v/>
      </c>
      <c r="I125" s="38" t="str">
        <f>IF('Zoopl Count'!I220="","",'Zoopl Count'!I220*(2^'Zoopl Count'!I$9)/'Zoopl Count'!I$8)</f>
        <v/>
      </c>
      <c r="J125" s="38" t="e">
        <f>IF('Zoopl Count'!#REF!="","",'Zoopl Count'!#REF!*(2^'Zoopl Count'!#REF!)/'Zoopl Count'!#REF!)</f>
        <v>#REF!</v>
      </c>
      <c r="K125" s="38" t="e">
        <f>IF('Zoopl Count'!#REF!="","",'Zoopl Count'!#REF!*(2^'Zoopl Count'!#REF!)/'Zoopl Count'!#REF!)</f>
        <v>#REF!</v>
      </c>
      <c r="L125" s="38" t="e">
        <f>IF('Zoopl Count'!#REF!="","",'Zoopl Count'!#REF!*(2^'Zoopl Count'!#REF!)/'Zoopl Count'!#REF!)</f>
        <v>#REF!</v>
      </c>
      <c r="M125" s="74"/>
    </row>
    <row r="126" spans="1:13">
      <c r="D126" s="8"/>
      <c r="G126" s="38" t="str">
        <f>IF('Zoopl Count'!G221="","",'Zoopl Count'!G221*(2^'Zoopl Count'!G$9)/'Zoopl Count'!G$8)</f>
        <v/>
      </c>
      <c r="H126" s="38" t="str">
        <f>IF('Zoopl Count'!H221="","",'Zoopl Count'!H221*(2^'Zoopl Count'!H$9)/'Zoopl Count'!H$8)</f>
        <v/>
      </c>
      <c r="I126" s="38" t="str">
        <f>IF('Zoopl Count'!I221="","",'Zoopl Count'!I221*(2^'Zoopl Count'!I$9)/'Zoopl Count'!I$8)</f>
        <v/>
      </c>
      <c r="J126" s="38" t="e">
        <f>IF('Zoopl Count'!#REF!="","",'Zoopl Count'!#REF!*(2^'Zoopl Count'!#REF!)/'Zoopl Count'!#REF!)</f>
        <v>#REF!</v>
      </c>
      <c r="K126" s="38" t="e">
        <f>IF('Zoopl Count'!#REF!="","",'Zoopl Count'!#REF!*(2^'Zoopl Count'!#REF!)/'Zoopl Count'!#REF!)</f>
        <v>#REF!</v>
      </c>
      <c r="L126" s="38" t="e">
        <f>IF('Zoopl Count'!#REF!="","",'Zoopl Count'!#REF!*(2^'Zoopl Count'!#REF!)/'Zoopl Count'!#REF!)</f>
        <v>#REF!</v>
      </c>
      <c r="M126" s="74"/>
    </row>
    <row r="127" spans="1:13">
      <c r="A127" s="2" t="s">
        <v>9</v>
      </c>
      <c r="B127" s="2" t="s">
        <v>84</v>
      </c>
      <c r="C127" s="2" t="s">
        <v>43</v>
      </c>
      <c r="D127" s="6" t="s">
        <v>44</v>
      </c>
      <c r="E127" s="8"/>
      <c r="F127" s="19" t="s">
        <v>45</v>
      </c>
      <c r="G127" s="38" t="str">
        <f>IF('Zoopl Count'!G222="","",'Zoopl Count'!G222*(2^'Zoopl Count'!G$9)/'Zoopl Count'!G$8)</f>
        <v/>
      </c>
      <c r="H127" s="38" t="str">
        <f>IF('Zoopl Count'!H222="","",'Zoopl Count'!H222*(2^'Zoopl Count'!H$9)/'Zoopl Count'!H$8)</f>
        <v/>
      </c>
      <c r="I127" s="38">
        <f>IF('Zoopl Count'!I222="","",'Zoopl Count'!I222*(2^'Zoopl Count'!I$9)/'Zoopl Count'!I$8)</f>
        <v>3.2594932345220165E-2</v>
      </c>
      <c r="J127" s="38" t="e">
        <f>IF('Zoopl Count'!#REF!="","",'Zoopl Count'!#REF!*(2^'Zoopl Count'!#REF!)/'Zoopl Count'!#REF!)</f>
        <v>#REF!</v>
      </c>
      <c r="K127" s="38" t="e">
        <f>IF('Zoopl Count'!#REF!="","",'Zoopl Count'!#REF!*(2^'Zoopl Count'!#REF!)/'Zoopl Count'!#REF!)</f>
        <v>#REF!</v>
      </c>
      <c r="L127" s="38" t="e">
        <f>IF('Zoopl Count'!#REF!="","",'Zoopl Count'!#REF!*(2^'Zoopl Count'!#REF!)/'Zoopl Count'!#REF!)</f>
        <v>#REF!</v>
      </c>
      <c r="M127" s="74"/>
    </row>
    <row r="128" spans="1:13">
      <c r="D128" s="8"/>
      <c r="G128" s="38" t="str">
        <f>IF('Zoopl Count'!G223="","",'Zoopl Count'!G223*(2^'Zoopl Count'!G$9)/'Zoopl Count'!G$8)</f>
        <v/>
      </c>
      <c r="H128" s="38" t="str">
        <f>IF('Zoopl Count'!H223="","",'Zoopl Count'!H223*(2^'Zoopl Count'!H$9)/'Zoopl Count'!H$8)</f>
        <v/>
      </c>
      <c r="I128" s="38" t="str">
        <f>IF('Zoopl Count'!I223="","",'Zoopl Count'!I223*(2^'Zoopl Count'!I$9)/'Zoopl Count'!I$8)</f>
        <v/>
      </c>
      <c r="J128" s="38" t="e">
        <f>IF('Zoopl Count'!#REF!="","",'Zoopl Count'!#REF!*(2^'Zoopl Count'!#REF!)/'Zoopl Count'!#REF!)</f>
        <v>#REF!</v>
      </c>
      <c r="K128" s="38" t="e">
        <f>IF('Zoopl Count'!#REF!="","",'Zoopl Count'!#REF!*(2^'Zoopl Count'!#REF!)/'Zoopl Count'!#REF!)</f>
        <v>#REF!</v>
      </c>
      <c r="L128" s="38" t="e">
        <f>IF('Zoopl Count'!#REF!="","",'Zoopl Count'!#REF!*(2^'Zoopl Count'!#REF!)/'Zoopl Count'!#REF!)</f>
        <v>#REF!</v>
      </c>
      <c r="M128" s="74"/>
    </row>
    <row r="129" spans="1:13">
      <c r="A129" s="2" t="s">
        <v>9</v>
      </c>
      <c r="B129" s="2" t="s">
        <v>84</v>
      </c>
      <c r="C129" s="2" t="s">
        <v>43</v>
      </c>
      <c r="D129" s="6" t="s">
        <v>46</v>
      </c>
      <c r="E129" s="8"/>
      <c r="F129" s="19" t="s">
        <v>47</v>
      </c>
      <c r="G129" s="38">
        <f>IF('Zoopl Count'!G224="","",'Zoopl Count'!G224*(2^'Zoopl Count'!G$9)/'Zoopl Count'!G$8)</f>
        <v>0.39113918814264198</v>
      </c>
      <c r="H129" s="38">
        <f>IF('Zoopl Count'!H224="","",'Zoopl Count'!H224*(2^'Zoopl Count'!H$9)/'Zoopl Count'!H$8)</f>
        <v>0.45632905283308234</v>
      </c>
      <c r="I129" s="38">
        <f>IF('Zoopl Count'!I224="","",'Zoopl Count'!I224*(2^'Zoopl Count'!I$9)/'Zoopl Count'!I$8)</f>
        <v>6.518986469044033E-2</v>
      </c>
      <c r="J129" s="38" t="e">
        <f>IF('Zoopl Count'!#REF!="","",'Zoopl Count'!#REF!*(2^'Zoopl Count'!#REF!)/'Zoopl Count'!#REF!)</f>
        <v>#REF!</v>
      </c>
      <c r="K129" s="38" t="e">
        <f>IF('Zoopl Count'!#REF!="","",'Zoopl Count'!#REF!*(2^'Zoopl Count'!#REF!)/'Zoopl Count'!#REF!)</f>
        <v>#REF!</v>
      </c>
      <c r="L129" s="38" t="e">
        <f>IF('Zoopl Count'!#REF!="","",'Zoopl Count'!#REF!*(2^'Zoopl Count'!#REF!)/'Zoopl Count'!#REF!)</f>
        <v>#REF!</v>
      </c>
      <c r="M129" s="74"/>
    </row>
    <row r="130" spans="1:13">
      <c r="E130" s="8"/>
      <c r="F130" s="19"/>
      <c r="G130" s="38" t="str">
        <f>IF('Zoopl Count'!G225="","",'Zoopl Count'!G225*(2^'Zoopl Count'!G$9)/'Zoopl Count'!G$8)</f>
        <v/>
      </c>
      <c r="H130" s="38" t="str">
        <f>IF('Zoopl Count'!H225="","",'Zoopl Count'!H225*(2^'Zoopl Count'!H$9)/'Zoopl Count'!H$8)</f>
        <v/>
      </c>
      <c r="I130" s="38" t="str">
        <f>IF('Zoopl Count'!I225="","",'Zoopl Count'!I225*(2^'Zoopl Count'!I$9)/'Zoopl Count'!I$8)</f>
        <v/>
      </c>
      <c r="J130" s="38" t="e">
        <f>IF('Zoopl Count'!#REF!="","",'Zoopl Count'!#REF!*(2^'Zoopl Count'!#REF!)/'Zoopl Count'!#REF!)</f>
        <v>#REF!</v>
      </c>
      <c r="K130" s="38" t="e">
        <f>IF('Zoopl Count'!#REF!="","",'Zoopl Count'!#REF!*(2^'Zoopl Count'!#REF!)/'Zoopl Count'!#REF!)</f>
        <v>#REF!</v>
      </c>
      <c r="L130" s="38" t="e">
        <f>IF('Zoopl Count'!#REF!="","",'Zoopl Count'!#REF!*(2^'Zoopl Count'!#REF!)/'Zoopl Count'!#REF!)</f>
        <v>#REF!</v>
      </c>
      <c r="M130" s="74"/>
    </row>
    <row r="131" spans="1:13">
      <c r="A131" s="2" t="s">
        <v>9</v>
      </c>
      <c r="B131" s="2" t="s">
        <v>84</v>
      </c>
      <c r="C131" s="2" t="s">
        <v>43</v>
      </c>
      <c r="D131" s="83" t="s">
        <v>236</v>
      </c>
      <c r="E131" s="8"/>
      <c r="F131" s="83" t="s">
        <v>235</v>
      </c>
      <c r="G131" s="38" t="str">
        <f>IF('Zoopl Count'!G226="","",'Zoopl Count'!G226*(2^'Zoopl Count'!G$9)/'Zoopl Count'!G$8)</f>
        <v/>
      </c>
      <c r="H131" s="38" t="str">
        <f>IF('Zoopl Count'!H226="","",'Zoopl Count'!H226*(2^'Zoopl Count'!H$9)/'Zoopl Count'!H$8)</f>
        <v/>
      </c>
      <c r="I131" s="38" t="str">
        <f>IF('Zoopl Count'!I226="","",'Zoopl Count'!I226*(2^'Zoopl Count'!I$9)/'Zoopl Count'!I$8)</f>
        <v/>
      </c>
      <c r="J131" s="38" t="e">
        <f>IF('Zoopl Count'!#REF!="","",'Zoopl Count'!#REF!*(2^'Zoopl Count'!#REF!)/'Zoopl Count'!#REF!)</f>
        <v>#REF!</v>
      </c>
      <c r="K131" s="38" t="e">
        <f>IF('Zoopl Count'!#REF!="","",'Zoopl Count'!#REF!*(2^'Zoopl Count'!#REF!)/'Zoopl Count'!#REF!)</f>
        <v>#REF!</v>
      </c>
      <c r="L131" s="38" t="e">
        <f>IF('Zoopl Count'!#REF!="","",'Zoopl Count'!#REF!*(2^'Zoopl Count'!#REF!)/'Zoopl Count'!#REF!)</f>
        <v>#REF!</v>
      </c>
      <c r="M131" s="74"/>
    </row>
    <row r="132" spans="1:13">
      <c r="C132" s="45"/>
      <c r="E132" s="8"/>
      <c r="F132" s="19"/>
      <c r="G132" s="38" t="str">
        <f>IF('Zoopl Count'!G227="","",'Zoopl Count'!G227*(2^'Zoopl Count'!G$9)/'Zoopl Count'!G$8)</f>
        <v/>
      </c>
      <c r="H132" s="38" t="str">
        <f>IF('Zoopl Count'!H227="","",'Zoopl Count'!H227*(2^'Zoopl Count'!H$9)/'Zoopl Count'!H$8)</f>
        <v/>
      </c>
      <c r="I132" s="38" t="str">
        <f>IF('Zoopl Count'!I227="","",'Zoopl Count'!I227*(2^'Zoopl Count'!I$9)/'Zoopl Count'!I$8)</f>
        <v/>
      </c>
      <c r="J132" s="38" t="e">
        <f>IF('Zoopl Count'!#REF!="","",'Zoopl Count'!#REF!*(2^'Zoopl Count'!#REF!)/'Zoopl Count'!#REF!)</f>
        <v>#REF!</v>
      </c>
      <c r="K132" s="38" t="e">
        <f>IF('Zoopl Count'!#REF!="","",'Zoopl Count'!#REF!*(2^'Zoopl Count'!#REF!)/'Zoopl Count'!#REF!)</f>
        <v>#REF!</v>
      </c>
      <c r="L132" s="38" t="e">
        <f>IF('Zoopl Count'!#REF!="","",'Zoopl Count'!#REF!*(2^'Zoopl Count'!#REF!)/'Zoopl Count'!#REF!)</f>
        <v>#REF!</v>
      </c>
      <c r="M132" s="74"/>
    </row>
    <row r="133" spans="1:13">
      <c r="A133" s="2" t="s">
        <v>9</v>
      </c>
      <c r="B133" s="2" t="s">
        <v>84</v>
      </c>
      <c r="C133" s="2" t="s">
        <v>43</v>
      </c>
      <c r="D133" s="83" t="s">
        <v>238</v>
      </c>
      <c r="E133" s="8"/>
      <c r="F133" s="83" t="s">
        <v>237</v>
      </c>
      <c r="G133" s="38" t="str">
        <f>IF('Zoopl Count'!G228="","",'Zoopl Count'!G228*(2^'Zoopl Count'!G$9)/'Zoopl Count'!G$8)</f>
        <v/>
      </c>
      <c r="H133" s="38" t="str">
        <f>IF('Zoopl Count'!H228="","",'Zoopl Count'!H228*(2^'Zoopl Count'!H$9)/'Zoopl Count'!H$8)</f>
        <v/>
      </c>
      <c r="I133" s="38" t="str">
        <f>IF('Zoopl Count'!I228="","",'Zoopl Count'!I228*(2^'Zoopl Count'!I$9)/'Zoopl Count'!I$8)</f>
        <v/>
      </c>
      <c r="J133" s="38" t="e">
        <f>IF('Zoopl Count'!#REF!="","",'Zoopl Count'!#REF!*(2^'Zoopl Count'!#REF!)/'Zoopl Count'!#REF!)</f>
        <v>#REF!</v>
      </c>
      <c r="K133" s="38" t="e">
        <f>IF('Zoopl Count'!#REF!="","",'Zoopl Count'!#REF!*(2^'Zoopl Count'!#REF!)/'Zoopl Count'!#REF!)</f>
        <v>#REF!</v>
      </c>
      <c r="L133" s="38" t="e">
        <f>IF('Zoopl Count'!#REF!="","",'Zoopl Count'!#REF!*(2^'Zoopl Count'!#REF!)/'Zoopl Count'!#REF!)</f>
        <v>#REF!</v>
      </c>
      <c r="M133" s="74"/>
    </row>
    <row r="134" spans="1:13">
      <c r="E134" s="8"/>
      <c r="G134" s="38" t="str">
        <f>IF('Zoopl Count'!G231="","",'Zoopl Count'!G231*(2^'Zoopl Count'!G$9)/'Zoopl Count'!G$8)</f>
        <v/>
      </c>
      <c r="H134" s="38" t="str">
        <f>IF('Zoopl Count'!H231="","",'Zoopl Count'!H231*(2^'Zoopl Count'!H$9)/'Zoopl Count'!H$8)</f>
        <v/>
      </c>
      <c r="I134" s="38" t="str">
        <f>IF('Zoopl Count'!I231="","",'Zoopl Count'!I231*(2^'Zoopl Count'!I$9)/'Zoopl Count'!I$8)</f>
        <v/>
      </c>
      <c r="J134" s="38" t="e">
        <f>IF('Zoopl Count'!#REF!="","",'Zoopl Count'!#REF!*(2^'Zoopl Count'!#REF!)/'Zoopl Count'!#REF!)</f>
        <v>#REF!</v>
      </c>
      <c r="K134" s="38" t="e">
        <f>IF('Zoopl Count'!#REF!="","",'Zoopl Count'!#REF!*(2^'Zoopl Count'!#REF!)/'Zoopl Count'!#REF!)</f>
        <v>#REF!</v>
      </c>
      <c r="L134" s="38" t="e">
        <f>IF('Zoopl Count'!#REF!="","",'Zoopl Count'!#REF!*(2^'Zoopl Count'!#REF!)/'Zoopl Count'!#REF!)</f>
        <v>#REF!</v>
      </c>
      <c r="M134" s="74"/>
    </row>
    <row r="135" spans="1:13">
      <c r="B135" s="8"/>
      <c r="E135" s="8"/>
      <c r="F135" s="19"/>
      <c r="G135" s="38" t="str">
        <f>IF('Zoopl Count'!G244="","",'Zoopl Count'!G244*(2^'Zoopl Count'!G$9)/'Zoopl Count'!G$8)</f>
        <v/>
      </c>
      <c r="H135" s="38" t="str">
        <f>IF('Zoopl Count'!H244="","",'Zoopl Count'!H244*(2^'Zoopl Count'!H$9)/'Zoopl Count'!H$8)</f>
        <v/>
      </c>
      <c r="I135" s="38" t="str">
        <f>IF('Zoopl Count'!I244="","",'Zoopl Count'!I244*(2^'Zoopl Count'!I$9)/'Zoopl Count'!I$8)</f>
        <v/>
      </c>
      <c r="J135" s="38" t="e">
        <f>IF('Zoopl Count'!#REF!="","",'Zoopl Count'!#REF!*(2^'Zoopl Count'!#REF!)/'Zoopl Count'!#REF!)</f>
        <v>#REF!</v>
      </c>
      <c r="K135" s="38" t="e">
        <f>IF('Zoopl Count'!#REF!="","",'Zoopl Count'!#REF!*(2^'Zoopl Count'!#REF!)/'Zoopl Count'!#REF!)</f>
        <v>#REF!</v>
      </c>
      <c r="L135" s="38" t="e">
        <f>IF('Zoopl Count'!#REF!="","",'Zoopl Count'!#REF!*(2^'Zoopl Count'!#REF!)/'Zoopl Count'!#REF!)</f>
        <v>#REF!</v>
      </c>
      <c r="M135" s="74"/>
    </row>
    <row r="136" spans="1:13">
      <c r="A136" s="2" t="s">
        <v>9</v>
      </c>
      <c r="B136" s="2" t="s">
        <v>92</v>
      </c>
      <c r="E136" s="8"/>
      <c r="F136" s="6" t="s">
        <v>93</v>
      </c>
      <c r="G136" s="38" t="str">
        <f>IF('Zoopl Count'!G245="","",'Zoopl Count'!G245*(2^'Zoopl Count'!G$9)/'Zoopl Count'!G$8)</f>
        <v/>
      </c>
      <c r="H136" s="38" t="str">
        <f>IF('Zoopl Count'!H245="","",'Zoopl Count'!H245*(2^'Zoopl Count'!H$9)/'Zoopl Count'!H$8)</f>
        <v/>
      </c>
      <c r="I136" s="38" t="str">
        <f>IF('Zoopl Count'!I245="","",'Zoopl Count'!I245*(2^'Zoopl Count'!I$9)/'Zoopl Count'!I$8)</f>
        <v/>
      </c>
      <c r="J136" s="38" t="e">
        <f>IF('Zoopl Count'!#REF!="","",'Zoopl Count'!#REF!*(2^'Zoopl Count'!#REF!)/'Zoopl Count'!#REF!)</f>
        <v>#REF!</v>
      </c>
      <c r="K136" s="38" t="e">
        <f>IF('Zoopl Count'!#REF!="","",'Zoopl Count'!#REF!*(2^'Zoopl Count'!#REF!)/'Zoopl Count'!#REF!)</f>
        <v>#REF!</v>
      </c>
      <c r="L136" s="38" t="e">
        <f>IF('Zoopl Count'!#REF!="","",'Zoopl Count'!#REF!*(2^'Zoopl Count'!#REF!)/'Zoopl Count'!#REF!)</f>
        <v>#REF!</v>
      </c>
      <c r="M136" s="74"/>
    </row>
    <row r="137" spans="1:13">
      <c r="E137" s="8"/>
      <c r="F137" s="19"/>
      <c r="G137" s="38" t="str">
        <f>IF('Zoopl Count'!G246="","",'Zoopl Count'!G246*(2^'Zoopl Count'!G$9)/'Zoopl Count'!G$8)</f>
        <v/>
      </c>
      <c r="H137" s="38" t="str">
        <f>IF('Zoopl Count'!H246="","",'Zoopl Count'!H246*(2^'Zoopl Count'!H$9)/'Zoopl Count'!H$8)</f>
        <v/>
      </c>
      <c r="I137" s="38" t="str">
        <f>IF('Zoopl Count'!I246="","",'Zoopl Count'!I246*(2^'Zoopl Count'!I$9)/'Zoopl Count'!I$8)</f>
        <v/>
      </c>
      <c r="J137" s="38" t="e">
        <f>IF('Zoopl Count'!#REF!="","",'Zoopl Count'!#REF!*(2^'Zoopl Count'!#REF!)/'Zoopl Count'!#REF!)</f>
        <v>#REF!</v>
      </c>
      <c r="K137" s="38" t="e">
        <f>IF('Zoopl Count'!#REF!="","",'Zoopl Count'!#REF!*(2^'Zoopl Count'!#REF!)/'Zoopl Count'!#REF!)</f>
        <v>#REF!</v>
      </c>
      <c r="L137" s="38" t="e">
        <f>IF('Zoopl Count'!#REF!="","",'Zoopl Count'!#REF!*(2^'Zoopl Count'!#REF!)/'Zoopl Count'!#REF!)</f>
        <v>#REF!</v>
      </c>
      <c r="M137" s="74"/>
    </row>
    <row r="138" spans="1:13">
      <c r="B138" s="21"/>
      <c r="E138" s="8"/>
      <c r="F138" s="19"/>
      <c r="G138" s="38" t="str">
        <f>IF('Zoopl Count'!G247="","",'Zoopl Count'!G247*(2^'Zoopl Count'!G$9)/'Zoopl Count'!G$8)</f>
        <v/>
      </c>
      <c r="H138" s="38" t="str">
        <f>IF('Zoopl Count'!H247="","",'Zoopl Count'!H247*(2^'Zoopl Count'!H$9)/'Zoopl Count'!H$8)</f>
        <v/>
      </c>
      <c r="I138" s="38" t="str">
        <f>IF('Zoopl Count'!I247="","",'Zoopl Count'!I247*(2^'Zoopl Count'!I$9)/'Zoopl Count'!I$8)</f>
        <v/>
      </c>
      <c r="J138" s="38" t="e">
        <f>IF('Zoopl Count'!#REF!="","",'Zoopl Count'!#REF!*(2^'Zoopl Count'!#REF!)/'Zoopl Count'!#REF!)</f>
        <v>#REF!</v>
      </c>
      <c r="K138" s="38" t="e">
        <f>IF('Zoopl Count'!#REF!="","",'Zoopl Count'!#REF!*(2^'Zoopl Count'!#REF!)/'Zoopl Count'!#REF!)</f>
        <v>#REF!</v>
      </c>
      <c r="L138" s="38" t="e">
        <f>IF('Zoopl Count'!#REF!="","",'Zoopl Count'!#REF!*(2^'Zoopl Count'!#REF!)/'Zoopl Count'!#REF!)</f>
        <v>#REF!</v>
      </c>
      <c r="M138" s="74"/>
    </row>
    <row r="139" spans="1:13">
      <c r="A139" s="2" t="s">
        <v>9</v>
      </c>
      <c r="B139" s="2" t="s">
        <v>94</v>
      </c>
      <c r="E139" s="8"/>
      <c r="F139" s="19" t="s">
        <v>182</v>
      </c>
      <c r="G139" s="38" t="str">
        <f>IF('Zoopl Count'!G248="","",'Zoopl Count'!G248*(2^'Zoopl Count'!G$9)/'Zoopl Count'!G$8)</f>
        <v/>
      </c>
      <c r="H139" s="38" t="str">
        <f>IF('Zoopl Count'!H248="","",'Zoopl Count'!H248*(2^'Zoopl Count'!H$9)/'Zoopl Count'!H$8)</f>
        <v/>
      </c>
      <c r="I139" s="38" t="str">
        <f>IF('Zoopl Count'!I248="","",'Zoopl Count'!I248*(2^'Zoopl Count'!I$9)/'Zoopl Count'!I$8)</f>
        <v/>
      </c>
      <c r="J139" s="38" t="e">
        <f>IF('Zoopl Count'!#REF!="","",'Zoopl Count'!#REF!*(2^'Zoopl Count'!#REF!)/'Zoopl Count'!#REF!)</f>
        <v>#REF!</v>
      </c>
      <c r="K139" s="38" t="e">
        <f>IF('Zoopl Count'!#REF!="","",'Zoopl Count'!#REF!*(2^'Zoopl Count'!#REF!)/'Zoopl Count'!#REF!)</f>
        <v>#REF!</v>
      </c>
      <c r="L139" s="38" t="e">
        <f>IF('Zoopl Count'!#REF!="","",'Zoopl Count'!#REF!*(2^'Zoopl Count'!#REF!)/'Zoopl Count'!#REF!)</f>
        <v>#REF!</v>
      </c>
      <c r="M139" s="74"/>
    </row>
    <row r="140" spans="1:13">
      <c r="C140" s="8"/>
      <c r="E140" s="8"/>
      <c r="F140" s="19"/>
      <c r="G140" s="38" t="str">
        <f>IF('Zoopl Count'!G249="","",'Zoopl Count'!G249*(2^'Zoopl Count'!G$9)/'Zoopl Count'!G$8)</f>
        <v/>
      </c>
      <c r="H140" s="38" t="str">
        <f>IF('Zoopl Count'!H249="","",'Zoopl Count'!H249*(2^'Zoopl Count'!H$9)/'Zoopl Count'!H$8)</f>
        <v/>
      </c>
      <c r="I140" s="38" t="str">
        <f>IF('Zoopl Count'!I249="","",'Zoopl Count'!I249*(2^'Zoopl Count'!I$9)/'Zoopl Count'!I$8)</f>
        <v/>
      </c>
      <c r="J140" s="38" t="e">
        <f>IF('Zoopl Count'!#REF!="","",'Zoopl Count'!#REF!*(2^'Zoopl Count'!#REF!)/'Zoopl Count'!#REF!)</f>
        <v>#REF!</v>
      </c>
      <c r="K140" s="38" t="e">
        <f>IF('Zoopl Count'!#REF!="","",'Zoopl Count'!#REF!*(2^'Zoopl Count'!#REF!)/'Zoopl Count'!#REF!)</f>
        <v>#REF!</v>
      </c>
      <c r="L140" s="38" t="e">
        <f>IF('Zoopl Count'!#REF!="","",'Zoopl Count'!#REF!*(2^'Zoopl Count'!#REF!)/'Zoopl Count'!#REF!)</f>
        <v>#REF!</v>
      </c>
      <c r="M140" s="74"/>
    </row>
    <row r="141" spans="1:13">
      <c r="A141" s="2" t="s">
        <v>9</v>
      </c>
      <c r="B141" s="2" t="s">
        <v>94</v>
      </c>
      <c r="C141" s="2" t="s">
        <v>95</v>
      </c>
      <c r="E141" s="8"/>
      <c r="F141" s="6" t="s">
        <v>96</v>
      </c>
      <c r="G141" s="38" t="str">
        <f>IF('Zoopl Count'!G250="","",'Zoopl Count'!G250*(2^'Zoopl Count'!G$9)/'Zoopl Count'!G$8)</f>
        <v/>
      </c>
      <c r="H141" s="38" t="str">
        <f>IF('Zoopl Count'!H250="","",'Zoopl Count'!H250*(2^'Zoopl Count'!H$9)/'Zoopl Count'!H$8)</f>
        <v/>
      </c>
      <c r="I141" s="38" t="str">
        <f>IF('Zoopl Count'!I250="","",'Zoopl Count'!I250*(2^'Zoopl Count'!I$9)/'Zoopl Count'!I$8)</f>
        <v/>
      </c>
      <c r="J141" s="38" t="e">
        <f>IF('Zoopl Count'!#REF!="","",'Zoopl Count'!#REF!*(2^'Zoopl Count'!#REF!)/'Zoopl Count'!#REF!)</f>
        <v>#REF!</v>
      </c>
      <c r="K141" s="38" t="e">
        <f>IF('Zoopl Count'!#REF!="","",'Zoopl Count'!#REF!*(2^'Zoopl Count'!#REF!)/'Zoopl Count'!#REF!)</f>
        <v>#REF!</v>
      </c>
      <c r="L141" s="38" t="e">
        <f>IF('Zoopl Count'!#REF!="","",'Zoopl Count'!#REF!*(2^'Zoopl Count'!#REF!)/'Zoopl Count'!#REF!)</f>
        <v>#REF!</v>
      </c>
      <c r="M141" s="74"/>
    </row>
    <row r="142" spans="1:13">
      <c r="C142" s="8"/>
      <c r="E142" s="8"/>
      <c r="F142" s="19"/>
      <c r="G142" s="38" t="str">
        <f>IF('Zoopl Count'!G251="","",'Zoopl Count'!G251*(2^'Zoopl Count'!G$9)/'Zoopl Count'!G$8)</f>
        <v/>
      </c>
      <c r="H142" s="38" t="str">
        <f>IF('Zoopl Count'!H251="","",'Zoopl Count'!H251*(2^'Zoopl Count'!H$9)/'Zoopl Count'!H$8)</f>
        <v/>
      </c>
      <c r="I142" s="38" t="str">
        <f>IF('Zoopl Count'!I251="","",'Zoopl Count'!I251*(2^'Zoopl Count'!I$9)/'Zoopl Count'!I$8)</f>
        <v/>
      </c>
      <c r="J142" s="38" t="e">
        <f>IF('Zoopl Count'!#REF!="","",'Zoopl Count'!#REF!*(2^'Zoopl Count'!#REF!)/'Zoopl Count'!#REF!)</f>
        <v>#REF!</v>
      </c>
      <c r="K142" s="38" t="e">
        <f>IF('Zoopl Count'!#REF!="","",'Zoopl Count'!#REF!*(2^'Zoopl Count'!#REF!)/'Zoopl Count'!#REF!)</f>
        <v>#REF!</v>
      </c>
      <c r="L142" s="38" t="e">
        <f>IF('Zoopl Count'!#REF!="","",'Zoopl Count'!#REF!*(2^'Zoopl Count'!#REF!)/'Zoopl Count'!#REF!)</f>
        <v>#REF!</v>
      </c>
      <c r="M142" s="74"/>
    </row>
    <row r="143" spans="1:13">
      <c r="A143" s="2" t="s">
        <v>9</v>
      </c>
      <c r="B143" s="2" t="s">
        <v>94</v>
      </c>
      <c r="C143" s="2" t="s">
        <v>97</v>
      </c>
      <c r="E143" s="55" t="s">
        <v>98</v>
      </c>
      <c r="G143" s="38" t="str">
        <f>IF('Zoopl Count'!G252="","",'Zoopl Count'!G252*(2^'Zoopl Count'!G$9)/'Zoopl Count'!G$8)</f>
        <v/>
      </c>
      <c r="H143" s="38" t="str">
        <f>IF('Zoopl Count'!H252="","",'Zoopl Count'!H252*(2^'Zoopl Count'!H$9)/'Zoopl Count'!H$8)</f>
        <v/>
      </c>
      <c r="I143" s="38" t="str">
        <f>IF('Zoopl Count'!I252="","",'Zoopl Count'!I252*(2^'Zoopl Count'!I$9)/'Zoopl Count'!I$8)</f>
        <v/>
      </c>
      <c r="J143" s="38" t="e">
        <f>IF('Zoopl Count'!#REF!="","",'Zoopl Count'!#REF!*(2^'Zoopl Count'!#REF!)/'Zoopl Count'!#REF!)</f>
        <v>#REF!</v>
      </c>
      <c r="K143" s="38" t="e">
        <f>IF('Zoopl Count'!#REF!="","",'Zoopl Count'!#REF!*(2^'Zoopl Count'!#REF!)/'Zoopl Count'!#REF!)</f>
        <v>#REF!</v>
      </c>
      <c r="L143" s="38" t="e">
        <f>IF('Zoopl Count'!#REF!="","",'Zoopl Count'!#REF!*(2^'Zoopl Count'!#REF!)/'Zoopl Count'!#REF!)</f>
        <v>#REF!</v>
      </c>
      <c r="M143" s="74"/>
    </row>
    <row r="144" spans="1:13">
      <c r="A144" s="2" t="s">
        <v>9</v>
      </c>
      <c r="B144" s="2" t="s">
        <v>94</v>
      </c>
      <c r="C144" s="2" t="s">
        <v>97</v>
      </c>
      <c r="E144" s="8"/>
      <c r="F144" s="56" t="s">
        <v>219</v>
      </c>
      <c r="G144" s="38" t="e">
        <f>IF('Zoopl Count'!#REF!="","",'Zoopl Count'!#REF!*(2^'Zoopl Count'!G$9)/'Zoopl Count'!G$8)</f>
        <v>#REF!</v>
      </c>
      <c r="H144" s="38" t="e">
        <f>IF('Zoopl Count'!#REF!="","",'Zoopl Count'!#REF!*(2^'Zoopl Count'!H$9)/'Zoopl Count'!H$8)</f>
        <v>#REF!</v>
      </c>
      <c r="I144" s="38" t="e">
        <f>IF('Zoopl Count'!#REF!="","",'Zoopl Count'!#REF!*(2^'Zoopl Count'!I$9)/'Zoopl Count'!I$8)</f>
        <v>#REF!</v>
      </c>
      <c r="J144" s="38" t="e">
        <f>IF('Zoopl Count'!#REF!="","",'Zoopl Count'!#REF!*(2^'Zoopl Count'!#REF!)/'Zoopl Count'!#REF!)</f>
        <v>#REF!</v>
      </c>
      <c r="K144" s="38" t="e">
        <f>IF('Zoopl Count'!#REF!="","",'Zoopl Count'!#REF!*(2^'Zoopl Count'!#REF!)/'Zoopl Count'!#REF!)</f>
        <v>#REF!</v>
      </c>
      <c r="L144" s="38" t="e">
        <f>IF('Zoopl Count'!#REF!="","",'Zoopl Count'!#REF!*(2^'Zoopl Count'!#REF!)/'Zoopl Count'!#REF!)</f>
        <v>#REF!</v>
      </c>
      <c r="M144" s="74"/>
    </row>
    <row r="145" spans="1:13">
      <c r="C145" s="21"/>
      <c r="E145" s="8"/>
      <c r="G145" s="38" t="str">
        <f>IF('Zoopl Count'!G254="","",'Zoopl Count'!G254*(2^'Zoopl Count'!G$9)/'Zoopl Count'!G$8)</f>
        <v/>
      </c>
      <c r="H145" s="38" t="str">
        <f>IF('Zoopl Count'!H254="","",'Zoopl Count'!H254*(2^'Zoopl Count'!H$9)/'Zoopl Count'!H$8)</f>
        <v/>
      </c>
      <c r="I145" s="38" t="str">
        <f>IF('Zoopl Count'!I254="","",'Zoopl Count'!I254*(2^'Zoopl Count'!I$9)/'Zoopl Count'!I$8)</f>
        <v/>
      </c>
      <c r="J145" s="38" t="e">
        <f>IF('Zoopl Count'!#REF!="","",'Zoopl Count'!#REF!*(2^'Zoopl Count'!#REF!)/'Zoopl Count'!#REF!)</f>
        <v>#REF!</v>
      </c>
      <c r="K145" s="38" t="e">
        <f>IF('Zoopl Count'!#REF!="","",'Zoopl Count'!#REF!*(2^'Zoopl Count'!#REF!)/'Zoopl Count'!#REF!)</f>
        <v>#REF!</v>
      </c>
      <c r="L145" s="38" t="e">
        <f>IF('Zoopl Count'!#REF!="","",'Zoopl Count'!#REF!*(2^'Zoopl Count'!#REF!)/'Zoopl Count'!#REF!)</f>
        <v>#REF!</v>
      </c>
      <c r="M145" s="74"/>
    </row>
    <row r="146" spans="1:13">
      <c r="A146" s="2" t="s">
        <v>9</v>
      </c>
      <c r="B146" s="2" t="s">
        <v>94</v>
      </c>
      <c r="C146" s="2" t="s">
        <v>186</v>
      </c>
      <c r="E146" s="8"/>
      <c r="F146" s="42" t="s">
        <v>187</v>
      </c>
      <c r="G146" s="38" t="str">
        <f>IF('Zoopl Count'!G255="","",'Zoopl Count'!G255*(2^'Zoopl Count'!G$9)/'Zoopl Count'!G$8)</f>
        <v/>
      </c>
      <c r="H146" s="38" t="str">
        <f>IF('Zoopl Count'!H255="","",'Zoopl Count'!H255*(2^'Zoopl Count'!H$9)/'Zoopl Count'!H$8)</f>
        <v/>
      </c>
      <c r="I146" s="38" t="str">
        <f>IF('Zoopl Count'!I255="","",'Zoopl Count'!I255*(2^'Zoopl Count'!I$9)/'Zoopl Count'!I$8)</f>
        <v/>
      </c>
      <c r="J146" s="38" t="e">
        <f>IF('Zoopl Count'!#REF!="","",'Zoopl Count'!#REF!*(2^'Zoopl Count'!#REF!)/'Zoopl Count'!#REF!)</f>
        <v>#REF!</v>
      </c>
      <c r="K146" s="38" t="e">
        <f>IF('Zoopl Count'!#REF!="","",'Zoopl Count'!#REF!*(2^'Zoopl Count'!#REF!)/'Zoopl Count'!#REF!)</f>
        <v>#REF!</v>
      </c>
      <c r="L146" s="38" t="e">
        <f>IF('Zoopl Count'!#REF!="","",'Zoopl Count'!#REF!*(2^'Zoopl Count'!#REF!)/'Zoopl Count'!#REF!)</f>
        <v>#REF!</v>
      </c>
      <c r="M146" s="74"/>
    </row>
    <row r="147" spans="1:13">
      <c r="C147" s="21"/>
      <c r="E147" s="8"/>
      <c r="F147" s="19"/>
      <c r="G147" s="38" t="str">
        <f>IF('Zoopl Count'!G256="","",'Zoopl Count'!G256*(2^'Zoopl Count'!G$9)/'Zoopl Count'!G$8)</f>
        <v/>
      </c>
      <c r="H147" s="38" t="str">
        <f>IF('Zoopl Count'!H256="","",'Zoopl Count'!H256*(2^'Zoopl Count'!H$9)/'Zoopl Count'!H$8)</f>
        <v/>
      </c>
      <c r="I147" s="38" t="str">
        <f>IF('Zoopl Count'!I256="","",'Zoopl Count'!I256*(2^'Zoopl Count'!I$9)/'Zoopl Count'!I$8)</f>
        <v/>
      </c>
      <c r="J147" s="38" t="e">
        <f>IF('Zoopl Count'!#REF!="","",'Zoopl Count'!#REF!*(2^'Zoopl Count'!#REF!)/'Zoopl Count'!#REF!)</f>
        <v>#REF!</v>
      </c>
      <c r="K147" s="38" t="e">
        <f>IF('Zoopl Count'!#REF!="","",'Zoopl Count'!#REF!*(2^'Zoopl Count'!#REF!)/'Zoopl Count'!#REF!)</f>
        <v>#REF!</v>
      </c>
      <c r="L147" s="38" t="e">
        <f>IF('Zoopl Count'!#REF!="","",'Zoopl Count'!#REF!*(2^'Zoopl Count'!#REF!)/'Zoopl Count'!#REF!)</f>
        <v>#REF!</v>
      </c>
      <c r="M147" s="74"/>
    </row>
    <row r="148" spans="1:13">
      <c r="A148" s="2" t="s">
        <v>9</v>
      </c>
      <c r="B148" s="2" t="s">
        <v>94</v>
      </c>
      <c r="C148" s="2" t="s">
        <v>99</v>
      </c>
      <c r="E148" s="8"/>
      <c r="F148" s="6" t="s">
        <v>110</v>
      </c>
      <c r="G148" s="38" t="str">
        <f>IF('Zoopl Count'!G257="","",'Zoopl Count'!G257*(2^'Zoopl Count'!G$9)/'Zoopl Count'!G$8)</f>
        <v/>
      </c>
      <c r="H148" s="38" t="str">
        <f>IF('Zoopl Count'!H257="","",'Zoopl Count'!H257*(2^'Zoopl Count'!H$9)/'Zoopl Count'!H$8)</f>
        <v/>
      </c>
      <c r="I148" s="38" t="str">
        <f>IF('Zoopl Count'!I257="","",'Zoopl Count'!I257*(2^'Zoopl Count'!I$9)/'Zoopl Count'!I$8)</f>
        <v/>
      </c>
      <c r="J148" s="38" t="e">
        <f>IF('Zoopl Count'!#REF!="","",'Zoopl Count'!#REF!*(2^'Zoopl Count'!#REF!)/'Zoopl Count'!#REF!)</f>
        <v>#REF!</v>
      </c>
      <c r="K148" s="38" t="e">
        <f>IF('Zoopl Count'!#REF!="","",'Zoopl Count'!#REF!*(2^'Zoopl Count'!#REF!)/'Zoopl Count'!#REF!)</f>
        <v>#REF!</v>
      </c>
      <c r="L148" s="38" t="e">
        <f>IF('Zoopl Count'!#REF!="","",'Zoopl Count'!#REF!*(2^'Zoopl Count'!#REF!)/'Zoopl Count'!#REF!)</f>
        <v>#REF!</v>
      </c>
      <c r="M148" s="74"/>
    </row>
    <row r="149" spans="1:13">
      <c r="A149" s="2" t="s">
        <v>9</v>
      </c>
      <c r="B149" s="2" t="s">
        <v>94</v>
      </c>
      <c r="C149" s="2" t="s">
        <v>99</v>
      </c>
      <c r="E149" s="8"/>
      <c r="F149" s="6" t="s">
        <v>109</v>
      </c>
      <c r="G149" s="38" t="str">
        <f>IF('Zoopl Count'!G258="","",'Zoopl Count'!G258*(2^'Zoopl Count'!G$9)/'Zoopl Count'!G$8)</f>
        <v/>
      </c>
      <c r="H149" s="38" t="str">
        <f>IF('Zoopl Count'!H258="","",'Zoopl Count'!H258*(2^'Zoopl Count'!H$9)/'Zoopl Count'!H$8)</f>
        <v/>
      </c>
      <c r="I149" s="38" t="str">
        <f>IF('Zoopl Count'!I258="","",'Zoopl Count'!I258*(2^'Zoopl Count'!I$9)/'Zoopl Count'!I$8)</f>
        <v/>
      </c>
      <c r="J149" s="38" t="e">
        <f>IF('Zoopl Count'!#REF!="","",'Zoopl Count'!#REF!*(2^'Zoopl Count'!#REF!)/'Zoopl Count'!#REF!)</f>
        <v>#REF!</v>
      </c>
      <c r="K149" s="38" t="e">
        <f>IF('Zoopl Count'!#REF!="","",'Zoopl Count'!#REF!*(2^'Zoopl Count'!#REF!)/'Zoopl Count'!#REF!)</f>
        <v>#REF!</v>
      </c>
      <c r="L149" s="38" t="e">
        <f>IF('Zoopl Count'!#REF!="","",'Zoopl Count'!#REF!*(2^'Zoopl Count'!#REF!)/'Zoopl Count'!#REF!)</f>
        <v>#REF!</v>
      </c>
      <c r="M149" s="74"/>
    </row>
    <row r="150" spans="1:13">
      <c r="A150" s="2" t="s">
        <v>9</v>
      </c>
      <c r="B150" s="2" t="s">
        <v>94</v>
      </c>
      <c r="C150" s="2" t="s">
        <v>99</v>
      </c>
      <c r="E150" s="8"/>
      <c r="F150" s="6" t="s">
        <v>108</v>
      </c>
      <c r="G150" s="38" t="str">
        <f>IF('Zoopl Count'!G259="","",'Zoopl Count'!G259*(2^'Zoopl Count'!G$9)/'Zoopl Count'!G$8)</f>
        <v/>
      </c>
      <c r="H150" s="38" t="str">
        <f>IF('Zoopl Count'!H259="","",'Zoopl Count'!H259*(2^'Zoopl Count'!H$9)/'Zoopl Count'!H$8)</f>
        <v/>
      </c>
      <c r="I150" s="38" t="str">
        <f>IF('Zoopl Count'!I259="","",'Zoopl Count'!I259*(2^'Zoopl Count'!I$9)/'Zoopl Count'!I$8)</f>
        <v/>
      </c>
      <c r="J150" s="38" t="e">
        <f>IF('Zoopl Count'!#REF!="","",'Zoopl Count'!#REF!*(2^'Zoopl Count'!#REF!)/'Zoopl Count'!#REF!)</f>
        <v>#REF!</v>
      </c>
      <c r="K150" s="38" t="e">
        <f>IF('Zoopl Count'!#REF!="","",'Zoopl Count'!#REF!*(2^'Zoopl Count'!#REF!)/'Zoopl Count'!#REF!)</f>
        <v>#REF!</v>
      </c>
      <c r="L150" s="38" t="e">
        <f>IF('Zoopl Count'!#REF!="","",'Zoopl Count'!#REF!*(2^'Zoopl Count'!#REF!)/'Zoopl Count'!#REF!)</f>
        <v>#REF!</v>
      </c>
      <c r="M150" s="74"/>
    </row>
    <row r="151" spans="1:13">
      <c r="A151" s="2" t="s">
        <v>9</v>
      </c>
      <c r="B151" s="2" t="s">
        <v>94</v>
      </c>
      <c r="C151" s="2" t="s">
        <v>99</v>
      </c>
      <c r="E151" s="8"/>
      <c r="F151" s="6" t="s">
        <v>121</v>
      </c>
      <c r="G151" s="38" t="str">
        <f>IF('Zoopl Count'!G260="","",'Zoopl Count'!G260*(2^'Zoopl Count'!G$9)/'Zoopl Count'!G$8)</f>
        <v/>
      </c>
      <c r="H151" s="38" t="str">
        <f>IF('Zoopl Count'!H260="","",'Zoopl Count'!H260*(2^'Zoopl Count'!H$9)/'Zoopl Count'!H$8)</f>
        <v/>
      </c>
      <c r="I151" s="38" t="str">
        <f>IF('Zoopl Count'!I260="","",'Zoopl Count'!I260*(2^'Zoopl Count'!I$9)/'Zoopl Count'!I$8)</f>
        <v/>
      </c>
      <c r="J151" s="38" t="e">
        <f>IF('Zoopl Count'!#REF!="","",'Zoopl Count'!#REF!*(2^'Zoopl Count'!#REF!)/'Zoopl Count'!#REF!)</f>
        <v>#REF!</v>
      </c>
      <c r="K151" s="38" t="e">
        <f>IF('Zoopl Count'!#REF!="","",'Zoopl Count'!#REF!*(2^'Zoopl Count'!#REF!)/'Zoopl Count'!#REF!)</f>
        <v>#REF!</v>
      </c>
      <c r="L151" s="38" t="e">
        <f>IF('Zoopl Count'!#REF!="","",'Zoopl Count'!#REF!*(2^'Zoopl Count'!#REF!)/'Zoopl Count'!#REF!)</f>
        <v>#REF!</v>
      </c>
      <c r="M151" s="74"/>
    </row>
    <row r="152" spans="1:13">
      <c r="A152" s="2" t="s">
        <v>9</v>
      </c>
      <c r="B152" s="2" t="s">
        <v>94</v>
      </c>
      <c r="C152" s="2" t="s">
        <v>99</v>
      </c>
      <c r="E152" s="8"/>
      <c r="F152" s="6" t="s">
        <v>111</v>
      </c>
      <c r="G152" s="38" t="str">
        <f>IF('Zoopl Count'!G261="","",'Zoopl Count'!G261*(2^'Zoopl Count'!G$9)/'Zoopl Count'!G$8)</f>
        <v/>
      </c>
      <c r="H152" s="38" t="str">
        <f>IF('Zoopl Count'!H261="","",'Zoopl Count'!H261*(2^'Zoopl Count'!H$9)/'Zoopl Count'!H$8)</f>
        <v/>
      </c>
      <c r="I152" s="38" t="str">
        <f>IF('Zoopl Count'!I261="","",'Zoopl Count'!I261*(2^'Zoopl Count'!I$9)/'Zoopl Count'!I$8)</f>
        <v/>
      </c>
      <c r="J152" s="38" t="e">
        <f>IF('Zoopl Count'!#REF!="","",'Zoopl Count'!#REF!*(2^'Zoopl Count'!#REF!)/'Zoopl Count'!#REF!)</f>
        <v>#REF!</v>
      </c>
      <c r="K152" s="38" t="e">
        <f>IF('Zoopl Count'!#REF!="","",'Zoopl Count'!#REF!*(2^'Zoopl Count'!#REF!)/'Zoopl Count'!#REF!)</f>
        <v>#REF!</v>
      </c>
      <c r="L152" s="38" t="e">
        <f>IF('Zoopl Count'!#REF!="","",'Zoopl Count'!#REF!*(2^'Zoopl Count'!#REF!)/'Zoopl Count'!#REF!)</f>
        <v>#REF!</v>
      </c>
      <c r="M152" s="74"/>
    </row>
    <row r="153" spans="1:13">
      <c r="A153" s="2" t="s">
        <v>9</v>
      </c>
      <c r="B153" s="2" t="s">
        <v>94</v>
      </c>
      <c r="C153" s="2" t="s">
        <v>99</v>
      </c>
      <c r="E153" s="8"/>
      <c r="F153" s="6" t="s">
        <v>174</v>
      </c>
      <c r="G153" s="38" t="str">
        <f>IF('Zoopl Count'!G262="","",'Zoopl Count'!G262*(2^'Zoopl Count'!G$9)/'Zoopl Count'!G$8)</f>
        <v/>
      </c>
      <c r="H153" s="38" t="str">
        <f>IF('Zoopl Count'!H262="","",'Zoopl Count'!H262*(2^'Zoopl Count'!H$9)/'Zoopl Count'!H$8)</f>
        <v/>
      </c>
      <c r="I153" s="38" t="str">
        <f>IF('Zoopl Count'!I262="","",'Zoopl Count'!I262*(2^'Zoopl Count'!I$9)/'Zoopl Count'!I$8)</f>
        <v/>
      </c>
      <c r="J153" s="38" t="e">
        <f>IF('Zoopl Count'!#REF!="","",'Zoopl Count'!#REF!*(2^'Zoopl Count'!#REF!)/'Zoopl Count'!#REF!)</f>
        <v>#REF!</v>
      </c>
      <c r="K153" s="38" t="e">
        <f>IF('Zoopl Count'!#REF!="","",'Zoopl Count'!#REF!*(2^'Zoopl Count'!#REF!)/'Zoopl Count'!#REF!)</f>
        <v>#REF!</v>
      </c>
      <c r="L153" s="38" t="e">
        <f>IF('Zoopl Count'!#REF!="","",'Zoopl Count'!#REF!*(2^'Zoopl Count'!#REF!)/'Zoopl Count'!#REF!)</f>
        <v>#REF!</v>
      </c>
      <c r="M153" s="74"/>
    </row>
    <row r="154" spans="1:13">
      <c r="A154" s="2" t="s">
        <v>9</v>
      </c>
      <c r="B154" s="2" t="s">
        <v>94</v>
      </c>
      <c r="C154" s="2" t="s">
        <v>99</v>
      </c>
      <c r="E154" s="8"/>
      <c r="F154" s="6" t="s">
        <v>113</v>
      </c>
      <c r="G154" s="38" t="str">
        <f>IF('Zoopl Count'!G263="","",'Zoopl Count'!G263*(2^'Zoopl Count'!G$9)/'Zoopl Count'!G$8)</f>
        <v/>
      </c>
      <c r="H154" s="38" t="str">
        <f>IF('Zoopl Count'!H263="","",'Zoopl Count'!H263*(2^'Zoopl Count'!H$9)/'Zoopl Count'!H$8)</f>
        <v/>
      </c>
      <c r="I154" s="38" t="str">
        <f>IF('Zoopl Count'!I263="","",'Zoopl Count'!I263*(2^'Zoopl Count'!I$9)/'Zoopl Count'!I$8)</f>
        <v/>
      </c>
      <c r="J154" s="38" t="e">
        <f>IF('Zoopl Count'!#REF!="","",'Zoopl Count'!#REF!*(2^'Zoopl Count'!#REF!)/'Zoopl Count'!#REF!)</f>
        <v>#REF!</v>
      </c>
      <c r="K154" s="38" t="e">
        <f>IF('Zoopl Count'!#REF!="","",'Zoopl Count'!#REF!*(2^'Zoopl Count'!#REF!)/'Zoopl Count'!#REF!)</f>
        <v>#REF!</v>
      </c>
      <c r="L154" s="38" t="e">
        <f>IF('Zoopl Count'!#REF!="","",'Zoopl Count'!#REF!*(2^'Zoopl Count'!#REF!)/'Zoopl Count'!#REF!)</f>
        <v>#REF!</v>
      </c>
      <c r="M154" s="74"/>
    </row>
    <row r="155" spans="1:13">
      <c r="A155" s="2" t="s">
        <v>9</v>
      </c>
      <c r="B155" s="2" t="s">
        <v>94</v>
      </c>
      <c r="C155" s="2" t="s">
        <v>99</v>
      </c>
      <c r="E155" s="8"/>
      <c r="F155" s="19" t="s">
        <v>112</v>
      </c>
      <c r="G155" s="38" t="e">
        <f>IF('Zoopl Count'!#REF!="","",'Zoopl Count'!#REF!*(2^'Zoopl Count'!G$9)/'Zoopl Count'!G$8)</f>
        <v>#REF!</v>
      </c>
      <c r="H155" s="38" t="e">
        <f>IF('Zoopl Count'!#REF!="","",'Zoopl Count'!#REF!*(2^'Zoopl Count'!H$9)/'Zoopl Count'!H$8)</f>
        <v>#REF!</v>
      </c>
      <c r="I155" s="38" t="e">
        <f>IF('Zoopl Count'!#REF!="","",'Zoopl Count'!#REF!*(2^'Zoopl Count'!I$9)/'Zoopl Count'!I$8)</f>
        <v>#REF!</v>
      </c>
      <c r="J155" s="38" t="e">
        <f>IF('Zoopl Count'!#REF!="","",'Zoopl Count'!#REF!*(2^'Zoopl Count'!#REF!)/'Zoopl Count'!#REF!)</f>
        <v>#REF!</v>
      </c>
      <c r="K155" s="38" t="e">
        <f>IF('Zoopl Count'!#REF!="","",'Zoopl Count'!#REF!*(2^'Zoopl Count'!#REF!)/'Zoopl Count'!#REF!)</f>
        <v>#REF!</v>
      </c>
      <c r="L155" s="38" t="e">
        <f>IF('Zoopl Count'!#REF!="","",'Zoopl Count'!#REF!*(2^'Zoopl Count'!#REF!)/'Zoopl Count'!#REF!)</f>
        <v>#REF!</v>
      </c>
      <c r="M155" s="74"/>
    </row>
    <row r="156" spans="1:13">
      <c r="A156" s="2" t="s">
        <v>9</v>
      </c>
      <c r="B156" s="2" t="s">
        <v>94</v>
      </c>
      <c r="C156" s="2" t="s">
        <v>99</v>
      </c>
      <c r="E156" s="8"/>
      <c r="F156" s="19" t="s">
        <v>184</v>
      </c>
      <c r="G156" s="38">
        <f>IF('Zoopl Count'!G264="","",'Zoopl Count'!G264*(2^'Zoopl Count'!G$9)/'Zoopl Count'!G$8)</f>
        <v>0.26075945876176132</v>
      </c>
      <c r="H156" s="38">
        <f>IF('Zoopl Count'!H264="","",'Zoopl Count'!H264*(2^'Zoopl Count'!H$9)/'Zoopl Count'!H$8)</f>
        <v>0.13037972938088066</v>
      </c>
      <c r="I156" s="38">
        <f>IF('Zoopl Count'!I264="","",'Zoopl Count'!I264*(2^'Zoopl Count'!I$9)/'Zoopl Count'!I$8)</f>
        <v>6.518986469044033E-2</v>
      </c>
      <c r="J156" s="38" t="e">
        <f>IF('Zoopl Count'!#REF!="","",'Zoopl Count'!#REF!*(2^'Zoopl Count'!#REF!)/'Zoopl Count'!#REF!)</f>
        <v>#REF!</v>
      </c>
      <c r="K156" s="38" t="e">
        <f>IF('Zoopl Count'!#REF!="","",'Zoopl Count'!#REF!*(2^'Zoopl Count'!#REF!)/'Zoopl Count'!#REF!)</f>
        <v>#REF!</v>
      </c>
      <c r="L156" s="38" t="e">
        <f>IF('Zoopl Count'!#REF!="","",'Zoopl Count'!#REF!*(2^'Zoopl Count'!#REF!)/'Zoopl Count'!#REF!)</f>
        <v>#REF!</v>
      </c>
      <c r="M156" s="74"/>
    </row>
    <row r="157" spans="1:13">
      <c r="A157" s="2" t="s">
        <v>9</v>
      </c>
      <c r="B157" s="2" t="s">
        <v>94</v>
      </c>
      <c r="C157" s="2" t="s">
        <v>99</v>
      </c>
      <c r="E157" s="8"/>
      <c r="F157" s="19" t="s">
        <v>193</v>
      </c>
      <c r="G157" s="38" t="str">
        <f>IF('Zoopl Count'!G265="","",'Zoopl Count'!G265*(2^'Zoopl Count'!G$9)/'Zoopl Count'!G$8)</f>
        <v/>
      </c>
      <c r="H157" s="38" t="str">
        <f>IF('Zoopl Count'!H265="","",'Zoopl Count'!H265*(2^'Zoopl Count'!H$9)/'Zoopl Count'!H$8)</f>
        <v/>
      </c>
      <c r="I157" s="38" t="str">
        <f>IF('Zoopl Count'!I265="","",'Zoopl Count'!I265*(2^'Zoopl Count'!I$9)/'Zoopl Count'!I$8)</f>
        <v/>
      </c>
      <c r="J157" s="38" t="e">
        <f>IF('Zoopl Count'!#REF!="","",'Zoopl Count'!#REF!*(2^'Zoopl Count'!#REF!)/'Zoopl Count'!#REF!)</f>
        <v>#REF!</v>
      </c>
      <c r="K157" s="38" t="e">
        <f>IF('Zoopl Count'!#REF!="","",'Zoopl Count'!#REF!*(2^'Zoopl Count'!#REF!)/'Zoopl Count'!#REF!)</f>
        <v>#REF!</v>
      </c>
      <c r="L157" s="38" t="e">
        <f>IF('Zoopl Count'!#REF!="","",'Zoopl Count'!#REF!*(2^'Zoopl Count'!#REF!)/'Zoopl Count'!#REF!)</f>
        <v>#REF!</v>
      </c>
      <c r="M157" s="74"/>
    </row>
    <row r="158" spans="1:13">
      <c r="A158" s="2" t="s">
        <v>9</v>
      </c>
      <c r="B158" s="2" t="s">
        <v>94</v>
      </c>
      <c r="C158" s="2" t="s">
        <v>99</v>
      </c>
      <c r="E158" s="8"/>
      <c r="F158" s="19" t="s">
        <v>225</v>
      </c>
      <c r="G158" s="38" t="str">
        <f>IF('Zoopl Count'!G266="","",'Zoopl Count'!G266*(2^'Zoopl Count'!G$9)/'Zoopl Count'!G$8)</f>
        <v/>
      </c>
      <c r="H158" s="38" t="str">
        <f>IF('Zoopl Count'!H266="","",'Zoopl Count'!H266*(2^'Zoopl Count'!H$9)/'Zoopl Count'!H$8)</f>
        <v/>
      </c>
      <c r="I158" s="38" t="str">
        <f>IF('Zoopl Count'!I266="","",'Zoopl Count'!I266*(2^'Zoopl Count'!I$9)/'Zoopl Count'!I$8)</f>
        <v/>
      </c>
      <c r="J158" s="38" t="e">
        <f>IF('Zoopl Count'!#REF!="","",'Zoopl Count'!#REF!*(2^'Zoopl Count'!#REF!)/'Zoopl Count'!#REF!)</f>
        <v>#REF!</v>
      </c>
      <c r="K158" s="38" t="e">
        <f>IF('Zoopl Count'!#REF!="","",'Zoopl Count'!#REF!*(2^'Zoopl Count'!#REF!)/'Zoopl Count'!#REF!)</f>
        <v>#REF!</v>
      </c>
      <c r="L158" s="38" t="e">
        <f>IF('Zoopl Count'!#REF!="","",'Zoopl Count'!#REF!*(2^'Zoopl Count'!#REF!)/'Zoopl Count'!#REF!)</f>
        <v>#REF!</v>
      </c>
      <c r="M158" s="74"/>
    </row>
    <row r="159" spans="1:13">
      <c r="E159" s="8"/>
      <c r="F159" s="19"/>
      <c r="G159" s="38" t="str">
        <f>IF('Zoopl Count'!G274="","",'Zoopl Count'!G274*(2^'Zoopl Count'!G$9)/'Zoopl Count'!G$8)</f>
        <v/>
      </c>
      <c r="H159" s="38" t="str">
        <f>IF('Zoopl Count'!H274="","",'Zoopl Count'!H274*(2^'Zoopl Count'!H$9)/'Zoopl Count'!H$8)</f>
        <v/>
      </c>
      <c r="I159" s="38" t="str">
        <f>IF('Zoopl Count'!I274="","",'Zoopl Count'!I274*(2^'Zoopl Count'!I$9)/'Zoopl Count'!I$8)</f>
        <v/>
      </c>
      <c r="J159" s="38" t="e">
        <f>IF('Zoopl Count'!#REF!="","",'Zoopl Count'!#REF!*(2^'Zoopl Count'!#REF!)/'Zoopl Count'!#REF!)</f>
        <v>#REF!</v>
      </c>
      <c r="K159" s="38" t="e">
        <f>IF('Zoopl Count'!#REF!="","",'Zoopl Count'!#REF!*(2^'Zoopl Count'!#REF!)/'Zoopl Count'!#REF!)</f>
        <v>#REF!</v>
      </c>
      <c r="L159" s="38" t="e">
        <f>IF('Zoopl Count'!#REF!="","",'Zoopl Count'!#REF!*(2^'Zoopl Count'!#REF!)/'Zoopl Count'!#REF!)</f>
        <v>#REF!</v>
      </c>
      <c r="M159" s="74"/>
    </row>
    <row r="160" spans="1:13">
      <c r="A160" s="21"/>
      <c r="C160" s="2"/>
      <c r="D160" s="2"/>
      <c r="E160" s="21"/>
      <c r="F160" s="78"/>
      <c r="G160" s="38" t="str">
        <f>IF('Zoopl Count'!G275="","",'Zoopl Count'!G275*(2^'Zoopl Count'!G$9)/'Zoopl Count'!G$8)</f>
        <v/>
      </c>
      <c r="H160" s="38" t="str">
        <f>IF('Zoopl Count'!H275="","",'Zoopl Count'!H275*(2^'Zoopl Count'!H$9)/'Zoopl Count'!H$8)</f>
        <v/>
      </c>
      <c r="I160" s="38" t="str">
        <f>IF('Zoopl Count'!I275="","",'Zoopl Count'!I275*(2^'Zoopl Count'!I$9)/'Zoopl Count'!I$8)</f>
        <v/>
      </c>
      <c r="J160" s="38" t="e">
        <f>IF('Zoopl Count'!#REF!="","",'Zoopl Count'!#REF!*(2^'Zoopl Count'!#REF!)/'Zoopl Count'!#REF!)</f>
        <v>#REF!</v>
      </c>
      <c r="K160" s="38" t="e">
        <f>IF('Zoopl Count'!#REF!="","",'Zoopl Count'!#REF!*(2^'Zoopl Count'!#REF!)/'Zoopl Count'!#REF!)</f>
        <v>#REF!</v>
      </c>
      <c r="L160" s="38" t="e">
        <f>IF('Zoopl Count'!#REF!="","",'Zoopl Count'!#REF!*(2^'Zoopl Count'!#REF!)/'Zoopl Count'!#REF!)</f>
        <v>#REF!</v>
      </c>
      <c r="M160" s="74"/>
    </row>
    <row r="161" spans="1:13">
      <c r="A161" s="2"/>
      <c r="B161" s="21"/>
      <c r="D161" s="2"/>
      <c r="E161" s="21"/>
      <c r="F161" s="78"/>
      <c r="G161" s="38" t="str">
        <f>IF('Zoopl Count'!G276="","",'Zoopl Count'!G276*(2^'Zoopl Count'!G$9)/'Zoopl Count'!G$8)</f>
        <v/>
      </c>
      <c r="H161" s="38" t="str">
        <f>IF('Zoopl Count'!H276="","",'Zoopl Count'!H276*(2^'Zoopl Count'!H$9)/'Zoopl Count'!H$8)</f>
        <v/>
      </c>
      <c r="I161" s="38" t="str">
        <f>IF('Zoopl Count'!I276="","",'Zoopl Count'!I276*(2^'Zoopl Count'!I$9)/'Zoopl Count'!I$8)</f>
        <v/>
      </c>
      <c r="J161" s="38" t="e">
        <f>IF('Zoopl Count'!#REF!="","",'Zoopl Count'!#REF!*(2^'Zoopl Count'!#REF!)/'Zoopl Count'!#REF!)</f>
        <v>#REF!</v>
      </c>
      <c r="K161" s="38" t="e">
        <f>IF('Zoopl Count'!#REF!="","",'Zoopl Count'!#REF!*(2^'Zoopl Count'!#REF!)/'Zoopl Count'!#REF!)</f>
        <v>#REF!</v>
      </c>
      <c r="L161" s="38" t="e">
        <f>IF('Zoopl Count'!#REF!="","",'Zoopl Count'!#REF!*(2^'Zoopl Count'!#REF!)/'Zoopl Count'!#REF!)</f>
        <v>#REF!</v>
      </c>
      <c r="M161" s="74"/>
    </row>
    <row r="162" spans="1:13">
      <c r="A162" s="2" t="s">
        <v>114</v>
      </c>
      <c r="B162" s="2" t="s">
        <v>115</v>
      </c>
      <c r="E162" s="8"/>
      <c r="F162" s="6" t="s">
        <v>163</v>
      </c>
      <c r="G162" s="38" t="str">
        <f>IF('Zoopl Count'!G277="","",'Zoopl Count'!G277*(2^'Zoopl Count'!G$9)/'Zoopl Count'!G$8)</f>
        <v/>
      </c>
      <c r="H162" s="38">
        <f>IF('Zoopl Count'!H277="","",'Zoopl Count'!H277*(2^'Zoopl Count'!H$9)/'Zoopl Count'!H$8)</f>
        <v>6.518986469044033E-2</v>
      </c>
      <c r="I162" s="38">
        <f>IF('Zoopl Count'!I277="","",'Zoopl Count'!I277*(2^'Zoopl Count'!I$9)/'Zoopl Count'!I$8)</f>
        <v>0.13037972938088066</v>
      </c>
      <c r="J162" s="38" t="e">
        <f>IF('Zoopl Count'!#REF!="","",'Zoopl Count'!#REF!*(2^'Zoopl Count'!#REF!)/'Zoopl Count'!#REF!)</f>
        <v>#REF!</v>
      </c>
      <c r="K162" s="38" t="e">
        <f>IF('Zoopl Count'!#REF!="","",'Zoopl Count'!#REF!*(2^'Zoopl Count'!#REF!)/'Zoopl Count'!#REF!)</f>
        <v>#REF!</v>
      </c>
      <c r="L162" s="38" t="e">
        <f>IF('Zoopl Count'!#REF!="","",'Zoopl Count'!#REF!*(2^'Zoopl Count'!#REF!)/'Zoopl Count'!#REF!)</f>
        <v>#REF!</v>
      </c>
      <c r="M162" s="74"/>
    </row>
    <row r="163" spans="1:13">
      <c r="E163" s="8"/>
      <c r="G163" s="38" t="str">
        <f>IF('Zoopl Count'!G278="","",'Zoopl Count'!G278*(2^'Zoopl Count'!G$9)/'Zoopl Count'!G$8)</f>
        <v/>
      </c>
      <c r="H163" s="38" t="str">
        <f>IF('Zoopl Count'!H278="","",'Zoopl Count'!H278*(2^'Zoopl Count'!H$9)/'Zoopl Count'!H$8)</f>
        <v/>
      </c>
      <c r="I163" s="38" t="str">
        <f>IF('Zoopl Count'!I278="","",'Zoopl Count'!I278*(2^'Zoopl Count'!I$9)/'Zoopl Count'!I$8)</f>
        <v/>
      </c>
      <c r="J163" s="38" t="e">
        <f>IF('Zoopl Count'!#REF!="","",'Zoopl Count'!#REF!*(2^'Zoopl Count'!#REF!)/'Zoopl Count'!#REF!)</f>
        <v>#REF!</v>
      </c>
      <c r="K163" s="38" t="e">
        <f>IF('Zoopl Count'!#REF!="","",'Zoopl Count'!#REF!*(2^'Zoopl Count'!#REF!)/'Zoopl Count'!#REF!)</f>
        <v>#REF!</v>
      </c>
      <c r="L163" s="38" t="e">
        <f>IF('Zoopl Count'!#REF!="","",'Zoopl Count'!#REF!*(2^'Zoopl Count'!#REF!)/'Zoopl Count'!#REF!)</f>
        <v>#REF!</v>
      </c>
      <c r="M163" s="74"/>
    </row>
    <row r="164" spans="1:13">
      <c r="A164" s="2"/>
      <c r="B164" s="21"/>
      <c r="D164" s="2"/>
      <c r="E164" s="21"/>
      <c r="F164" s="79"/>
      <c r="G164" s="38" t="str">
        <f>IF('Zoopl Count'!G284="","",'Zoopl Count'!G284*(2^'Zoopl Count'!G$9)/'Zoopl Count'!G$8)</f>
        <v/>
      </c>
      <c r="H164" s="38" t="str">
        <f>IF('Zoopl Count'!H284="","",'Zoopl Count'!H284*(2^'Zoopl Count'!H$9)/'Zoopl Count'!H$8)</f>
        <v/>
      </c>
      <c r="I164" s="38" t="str">
        <f>IF('Zoopl Count'!I284="","",'Zoopl Count'!I284*(2^'Zoopl Count'!I$9)/'Zoopl Count'!I$8)</f>
        <v/>
      </c>
      <c r="J164" s="38" t="e">
        <f>IF('Zoopl Count'!#REF!="","",'Zoopl Count'!#REF!*(2^'Zoopl Count'!#REF!)/'Zoopl Count'!#REF!)</f>
        <v>#REF!</v>
      </c>
      <c r="K164" s="38" t="e">
        <f>IF('Zoopl Count'!#REF!="","",'Zoopl Count'!#REF!*(2^'Zoopl Count'!#REF!)/'Zoopl Count'!#REF!)</f>
        <v>#REF!</v>
      </c>
      <c r="L164" s="38" t="e">
        <f>IF('Zoopl Count'!#REF!="","",'Zoopl Count'!#REF!*(2^'Zoopl Count'!#REF!)/'Zoopl Count'!#REF!)</f>
        <v>#REF!</v>
      </c>
      <c r="M164" s="74"/>
    </row>
    <row r="165" spans="1:13">
      <c r="A165" s="2" t="s">
        <v>114</v>
      </c>
      <c r="B165" s="2" t="s">
        <v>116</v>
      </c>
      <c r="E165" s="8"/>
      <c r="F165" s="6" t="s">
        <v>164</v>
      </c>
      <c r="G165" s="38">
        <f>IF('Zoopl Count'!G285="","",'Zoopl Count'!G285*(2^'Zoopl Count'!G$9)/'Zoopl Count'!G$8)</f>
        <v>0.52151891752352264</v>
      </c>
      <c r="H165" s="38" t="str">
        <f>IF('Zoopl Count'!H285="","",'Zoopl Count'!H285*(2^'Zoopl Count'!H$9)/'Zoopl Count'!H$8)</f>
        <v/>
      </c>
      <c r="I165" s="38">
        <f>IF('Zoopl Count'!I285="","",'Zoopl Count'!I285*(2^'Zoopl Count'!I$9)/'Zoopl Count'!I$8)</f>
        <v>0.13037972938088066</v>
      </c>
      <c r="J165" s="38" t="e">
        <f>IF('Zoopl Count'!#REF!="","",'Zoopl Count'!#REF!*(2^'Zoopl Count'!#REF!)/'Zoopl Count'!#REF!)</f>
        <v>#REF!</v>
      </c>
      <c r="K165" s="38" t="e">
        <f>IF('Zoopl Count'!#REF!="","",'Zoopl Count'!#REF!*(2^'Zoopl Count'!#REF!)/'Zoopl Count'!#REF!)</f>
        <v>#REF!</v>
      </c>
      <c r="L165" s="38" t="e">
        <f>IF('Zoopl Count'!#REF!="","",'Zoopl Count'!#REF!*(2^'Zoopl Count'!#REF!)/'Zoopl Count'!#REF!)</f>
        <v>#REF!</v>
      </c>
      <c r="M165" s="74"/>
    </row>
    <row r="166" spans="1:13">
      <c r="E166" s="8"/>
      <c r="G166" s="38" t="str">
        <f>IF('Zoopl Count'!G286="","",'Zoopl Count'!G286*(2^'Zoopl Count'!G$9)/'Zoopl Count'!G$8)</f>
        <v/>
      </c>
      <c r="H166" s="38" t="str">
        <f>IF('Zoopl Count'!H286="","",'Zoopl Count'!H286*(2^'Zoopl Count'!H$9)/'Zoopl Count'!H$8)</f>
        <v/>
      </c>
      <c r="I166" s="38" t="str">
        <f>IF('Zoopl Count'!I286="","",'Zoopl Count'!I286*(2^'Zoopl Count'!I$9)/'Zoopl Count'!I$8)</f>
        <v/>
      </c>
      <c r="J166" s="38" t="e">
        <f>IF('Zoopl Count'!#REF!="","",'Zoopl Count'!#REF!*(2^'Zoopl Count'!#REF!)/'Zoopl Count'!#REF!)</f>
        <v>#REF!</v>
      </c>
      <c r="K166" s="38" t="e">
        <f>IF('Zoopl Count'!#REF!="","",'Zoopl Count'!#REF!*(2^'Zoopl Count'!#REF!)/'Zoopl Count'!#REF!)</f>
        <v>#REF!</v>
      </c>
      <c r="L166" s="38" t="e">
        <f>IF('Zoopl Count'!#REF!="","",'Zoopl Count'!#REF!*(2^'Zoopl Count'!#REF!)/'Zoopl Count'!#REF!)</f>
        <v>#REF!</v>
      </c>
      <c r="M166" s="74"/>
    </row>
    <row r="167" spans="1:13">
      <c r="B167" s="8"/>
      <c r="E167" s="8"/>
      <c r="F167" s="19"/>
      <c r="G167" s="38" t="str">
        <f>IF('Zoopl Count'!G287="","",'Zoopl Count'!G287*(2^'Zoopl Count'!G$9)/'Zoopl Count'!G$8)</f>
        <v/>
      </c>
      <c r="H167" s="38" t="str">
        <f>IF('Zoopl Count'!H287="","",'Zoopl Count'!H287*(2^'Zoopl Count'!H$9)/'Zoopl Count'!H$8)</f>
        <v/>
      </c>
      <c r="I167" s="38" t="str">
        <f>IF('Zoopl Count'!I287="","",'Zoopl Count'!I287*(2^'Zoopl Count'!I$9)/'Zoopl Count'!I$8)</f>
        <v/>
      </c>
      <c r="J167" s="38" t="e">
        <f>IF('Zoopl Count'!#REF!="","",'Zoopl Count'!#REF!*(2^'Zoopl Count'!#REF!)/'Zoopl Count'!#REF!)</f>
        <v>#REF!</v>
      </c>
      <c r="K167" s="38" t="e">
        <f>IF('Zoopl Count'!#REF!="","",'Zoopl Count'!#REF!*(2^'Zoopl Count'!#REF!)/'Zoopl Count'!#REF!)</f>
        <v>#REF!</v>
      </c>
      <c r="L167" s="38" t="e">
        <f>IF('Zoopl Count'!#REF!="","",'Zoopl Count'!#REF!*(2^'Zoopl Count'!#REF!)/'Zoopl Count'!#REF!)</f>
        <v>#REF!</v>
      </c>
      <c r="M167" s="74"/>
    </row>
    <row r="168" spans="1:13">
      <c r="A168" s="2" t="s">
        <v>114</v>
      </c>
      <c r="B168" s="2" t="s">
        <v>117</v>
      </c>
      <c r="E168" s="8"/>
      <c r="F168" s="6" t="s">
        <v>118</v>
      </c>
      <c r="G168" s="38" t="str">
        <f>IF('Zoopl Count'!G288="","",'Zoopl Count'!G288*(2^'Zoopl Count'!G$9)/'Zoopl Count'!G$8)</f>
        <v/>
      </c>
      <c r="H168" s="38" t="str">
        <f>IF('Zoopl Count'!H288="","",'Zoopl Count'!H288*(2^'Zoopl Count'!H$9)/'Zoopl Count'!H$8)</f>
        <v/>
      </c>
      <c r="I168" s="38" t="str">
        <f>IF('Zoopl Count'!I288="","",'Zoopl Count'!I288*(2^'Zoopl Count'!I$9)/'Zoopl Count'!I$8)</f>
        <v/>
      </c>
      <c r="J168" s="38" t="e">
        <f>IF('Zoopl Count'!#REF!="","",'Zoopl Count'!#REF!*(2^'Zoopl Count'!#REF!)/'Zoopl Count'!#REF!)</f>
        <v>#REF!</v>
      </c>
      <c r="K168" s="38" t="e">
        <f>IF('Zoopl Count'!#REF!="","",'Zoopl Count'!#REF!*(2^'Zoopl Count'!#REF!)/'Zoopl Count'!#REF!)</f>
        <v>#REF!</v>
      </c>
      <c r="L168" s="38" t="e">
        <f>IF('Zoopl Count'!#REF!="","",'Zoopl Count'!#REF!*(2^'Zoopl Count'!#REF!)/'Zoopl Count'!#REF!)</f>
        <v>#REF!</v>
      </c>
      <c r="M168" s="74"/>
    </row>
    <row r="169" spans="1:13">
      <c r="E169" s="8"/>
      <c r="F169" s="19"/>
      <c r="G169" s="38" t="str">
        <f>IF('Zoopl Count'!G289="","",'Zoopl Count'!G289*(2^'Zoopl Count'!G$9)/'Zoopl Count'!G$8)</f>
        <v/>
      </c>
      <c r="H169" s="38" t="str">
        <f>IF('Zoopl Count'!H289="","",'Zoopl Count'!H289*(2^'Zoopl Count'!H$9)/'Zoopl Count'!H$8)</f>
        <v/>
      </c>
      <c r="I169" s="38" t="str">
        <f>IF('Zoopl Count'!I289="","",'Zoopl Count'!I289*(2^'Zoopl Count'!I$9)/'Zoopl Count'!I$8)</f>
        <v/>
      </c>
      <c r="J169" s="38" t="e">
        <f>IF('Zoopl Count'!#REF!="","",'Zoopl Count'!#REF!*(2^'Zoopl Count'!#REF!)/'Zoopl Count'!#REF!)</f>
        <v>#REF!</v>
      </c>
      <c r="K169" s="38" t="e">
        <f>IF('Zoopl Count'!#REF!="","",'Zoopl Count'!#REF!*(2^'Zoopl Count'!#REF!)/'Zoopl Count'!#REF!)</f>
        <v>#REF!</v>
      </c>
      <c r="L169" s="38" t="e">
        <f>IF('Zoopl Count'!#REF!="","",'Zoopl Count'!#REF!*(2^'Zoopl Count'!#REF!)/'Zoopl Count'!#REF!)</f>
        <v>#REF!</v>
      </c>
      <c r="M169" s="74"/>
    </row>
    <row r="170" spans="1:13">
      <c r="A170" s="80"/>
      <c r="E170" s="8"/>
      <c r="F170" s="19"/>
      <c r="G170" s="38" t="str">
        <f>IF('Zoopl Count'!G290="","",'Zoopl Count'!G290*(2^'Zoopl Count'!G$9)/'Zoopl Count'!G$8)</f>
        <v/>
      </c>
      <c r="H170" s="38" t="str">
        <f>IF('Zoopl Count'!H290="","",'Zoopl Count'!H290*(2^'Zoopl Count'!H$9)/'Zoopl Count'!H$8)</f>
        <v/>
      </c>
      <c r="I170" s="38" t="str">
        <f>IF('Zoopl Count'!I290="","",'Zoopl Count'!I290*(2^'Zoopl Count'!I$9)/'Zoopl Count'!I$8)</f>
        <v/>
      </c>
      <c r="J170" s="38" t="e">
        <f>IF('Zoopl Count'!#REF!="","",'Zoopl Count'!#REF!*(2^'Zoopl Count'!#REF!)/'Zoopl Count'!#REF!)</f>
        <v>#REF!</v>
      </c>
      <c r="K170" s="38" t="e">
        <f>IF('Zoopl Count'!#REF!="","",'Zoopl Count'!#REF!*(2^'Zoopl Count'!#REF!)/'Zoopl Count'!#REF!)</f>
        <v>#REF!</v>
      </c>
      <c r="L170" s="38" t="e">
        <f>IF('Zoopl Count'!#REF!="","",'Zoopl Count'!#REF!*(2^'Zoopl Count'!#REF!)/'Zoopl Count'!#REF!)</f>
        <v>#REF!</v>
      </c>
      <c r="M170" s="74"/>
    </row>
    <row r="171" spans="1:13">
      <c r="A171" s="2" t="s">
        <v>119</v>
      </c>
      <c r="E171" s="8"/>
      <c r="F171" s="6" t="s">
        <v>120</v>
      </c>
      <c r="G171" s="38" t="str">
        <f>IF('Zoopl Count'!G291="","",'Zoopl Count'!G291*(2^'Zoopl Count'!G$9)/'Zoopl Count'!G$8)</f>
        <v/>
      </c>
      <c r="H171" s="38" t="str">
        <f>IF('Zoopl Count'!H291="","",'Zoopl Count'!H291*(2^'Zoopl Count'!H$9)/'Zoopl Count'!H$8)</f>
        <v/>
      </c>
      <c r="I171" s="38" t="str">
        <f>IF('Zoopl Count'!I291="","",'Zoopl Count'!I291*(2^'Zoopl Count'!I$9)/'Zoopl Count'!I$8)</f>
        <v/>
      </c>
      <c r="J171" s="38" t="e">
        <f>IF('Zoopl Count'!#REF!="","",'Zoopl Count'!#REF!*(2^'Zoopl Count'!#REF!)/'Zoopl Count'!#REF!)</f>
        <v>#REF!</v>
      </c>
      <c r="K171" s="38" t="e">
        <f>IF('Zoopl Count'!#REF!="","",'Zoopl Count'!#REF!*(2^'Zoopl Count'!#REF!)/'Zoopl Count'!#REF!)</f>
        <v>#REF!</v>
      </c>
      <c r="L171" s="38" t="e">
        <f>IF('Zoopl Count'!#REF!="","",'Zoopl Count'!#REF!*(2^'Zoopl Count'!#REF!)/'Zoopl Count'!#REF!)</f>
        <v>#REF!</v>
      </c>
      <c r="M171" s="74"/>
    </row>
    <row r="172" spans="1:13">
      <c r="E172" s="8"/>
      <c r="F172" s="19"/>
      <c r="G172" s="38" t="str">
        <f>IF('Zoopl Count'!G292="","",'Zoopl Count'!G292*(2^'Zoopl Count'!G$9)/'Zoopl Count'!G$8)</f>
        <v/>
      </c>
      <c r="H172" s="38" t="str">
        <f>IF('Zoopl Count'!H292="","",'Zoopl Count'!H292*(2^'Zoopl Count'!H$9)/'Zoopl Count'!H$8)</f>
        <v/>
      </c>
      <c r="I172" s="38" t="str">
        <f>IF('Zoopl Count'!I292="","",'Zoopl Count'!I292*(2^'Zoopl Count'!I$9)/'Zoopl Count'!I$8)</f>
        <v/>
      </c>
      <c r="J172" s="38" t="e">
        <f>IF('Zoopl Count'!#REF!="","",'Zoopl Count'!#REF!*(2^'Zoopl Count'!#REF!)/'Zoopl Count'!#REF!)</f>
        <v>#REF!</v>
      </c>
      <c r="K172" s="38" t="e">
        <f>IF('Zoopl Count'!#REF!="","",'Zoopl Count'!#REF!*(2^'Zoopl Count'!#REF!)/'Zoopl Count'!#REF!)</f>
        <v>#REF!</v>
      </c>
      <c r="L172" s="38" t="e">
        <f>IF('Zoopl Count'!#REF!="","",'Zoopl Count'!#REF!*(2^'Zoopl Count'!#REF!)/'Zoopl Count'!#REF!)</f>
        <v>#REF!</v>
      </c>
      <c r="M172" s="74"/>
    </row>
    <row r="173" spans="1:13">
      <c r="A173" s="21"/>
      <c r="E173" s="8"/>
      <c r="F173" s="19"/>
      <c r="G173" s="38" t="str">
        <f>IF('Zoopl Count'!G298="","",'Zoopl Count'!G298*(2^'Zoopl Count'!G$9)/'Zoopl Count'!G$8)</f>
        <v/>
      </c>
      <c r="H173" s="38" t="str">
        <f>IF('Zoopl Count'!H298="","",'Zoopl Count'!H298*(2^'Zoopl Count'!H$9)/'Zoopl Count'!H$8)</f>
        <v/>
      </c>
      <c r="I173" s="38" t="str">
        <f>IF('Zoopl Count'!I298="","",'Zoopl Count'!I298*(2^'Zoopl Count'!I$9)/'Zoopl Count'!I$8)</f>
        <v/>
      </c>
      <c r="J173" s="38" t="e">
        <f>IF('Zoopl Count'!#REF!="","",'Zoopl Count'!#REF!*(2^'Zoopl Count'!#REF!)/'Zoopl Count'!#REF!)</f>
        <v>#REF!</v>
      </c>
      <c r="K173" s="38" t="e">
        <f>IF('Zoopl Count'!#REF!="","",'Zoopl Count'!#REF!*(2^'Zoopl Count'!#REF!)/'Zoopl Count'!#REF!)</f>
        <v>#REF!</v>
      </c>
      <c r="L173" s="38" t="e">
        <f>IF('Zoopl Count'!#REF!="","",'Zoopl Count'!#REF!*(2^'Zoopl Count'!#REF!)/'Zoopl Count'!#REF!)</f>
        <v>#REF!</v>
      </c>
      <c r="M173" s="74"/>
    </row>
    <row r="174" spans="1:13">
      <c r="A174" s="2" t="s">
        <v>122</v>
      </c>
      <c r="E174" s="8"/>
      <c r="F174" s="41" t="s">
        <v>123</v>
      </c>
      <c r="G174" s="38" t="str">
        <f>IF('Zoopl Count'!G299="","",'Zoopl Count'!G299*(2^'Zoopl Count'!G$9)/'Zoopl Count'!G$8)</f>
        <v/>
      </c>
      <c r="H174" s="38" t="str">
        <f>IF('Zoopl Count'!H299="","",'Zoopl Count'!H299*(2^'Zoopl Count'!H$9)/'Zoopl Count'!H$8)</f>
        <v/>
      </c>
      <c r="I174" s="38" t="str">
        <f>IF('Zoopl Count'!I299="","",'Zoopl Count'!I299*(2^'Zoopl Count'!I$9)/'Zoopl Count'!I$8)</f>
        <v/>
      </c>
      <c r="J174" s="38" t="e">
        <f>IF('Zoopl Count'!#REF!="","",'Zoopl Count'!#REF!*(2^'Zoopl Count'!#REF!)/'Zoopl Count'!#REF!)</f>
        <v>#REF!</v>
      </c>
      <c r="K174" s="38" t="e">
        <f>IF('Zoopl Count'!#REF!="","",'Zoopl Count'!#REF!*(2^'Zoopl Count'!#REF!)/'Zoopl Count'!#REF!)</f>
        <v>#REF!</v>
      </c>
      <c r="L174" s="38" t="e">
        <f>IF('Zoopl Count'!#REF!="","",'Zoopl Count'!#REF!*(2^'Zoopl Count'!#REF!)/'Zoopl Count'!#REF!)</f>
        <v>#REF!</v>
      </c>
      <c r="M174" s="74"/>
    </row>
    <row r="175" spans="1:13">
      <c r="E175" s="8"/>
      <c r="F175" s="19"/>
      <c r="G175" s="38" t="str">
        <f>IF('Zoopl Count'!G300="","",'Zoopl Count'!G300*(2^'Zoopl Count'!G$9)/'Zoopl Count'!G$8)</f>
        <v/>
      </c>
      <c r="H175" s="38" t="str">
        <f>IF('Zoopl Count'!H300="","",'Zoopl Count'!H300*(2^'Zoopl Count'!H$9)/'Zoopl Count'!H$8)</f>
        <v/>
      </c>
      <c r="I175" s="38" t="str">
        <f>IF('Zoopl Count'!I300="","",'Zoopl Count'!I300*(2^'Zoopl Count'!I$9)/'Zoopl Count'!I$8)</f>
        <v/>
      </c>
      <c r="J175" s="38" t="e">
        <f>IF('Zoopl Count'!#REF!="","",'Zoopl Count'!#REF!*(2^'Zoopl Count'!#REF!)/'Zoopl Count'!#REF!)</f>
        <v>#REF!</v>
      </c>
      <c r="K175" s="38" t="e">
        <f>IF('Zoopl Count'!#REF!="","",'Zoopl Count'!#REF!*(2^'Zoopl Count'!#REF!)/'Zoopl Count'!#REF!)</f>
        <v>#REF!</v>
      </c>
      <c r="L175" s="38" t="e">
        <f>IF('Zoopl Count'!#REF!="","",'Zoopl Count'!#REF!*(2^'Zoopl Count'!#REF!)/'Zoopl Count'!#REF!)</f>
        <v>#REF!</v>
      </c>
      <c r="M175" s="74"/>
    </row>
    <row r="176" spans="1:13">
      <c r="A176" s="21"/>
      <c r="E176" s="8"/>
      <c r="F176" s="19"/>
      <c r="G176" s="38" t="str">
        <f>IF('Zoopl Count'!G301="","",'Zoopl Count'!G301*(2^'Zoopl Count'!G$9)/'Zoopl Count'!G$8)</f>
        <v/>
      </c>
      <c r="H176" s="38" t="str">
        <f>IF('Zoopl Count'!H301="","",'Zoopl Count'!H301*(2^'Zoopl Count'!H$9)/'Zoopl Count'!H$8)</f>
        <v/>
      </c>
      <c r="I176" s="38" t="str">
        <f>IF('Zoopl Count'!I301="","",'Zoopl Count'!I301*(2^'Zoopl Count'!I$9)/'Zoopl Count'!I$8)</f>
        <v/>
      </c>
      <c r="J176" s="38" t="e">
        <f>IF('Zoopl Count'!#REF!="","",'Zoopl Count'!#REF!*(2^'Zoopl Count'!#REF!)/'Zoopl Count'!#REF!)</f>
        <v>#REF!</v>
      </c>
      <c r="K176" s="38" t="e">
        <f>IF('Zoopl Count'!#REF!="","",'Zoopl Count'!#REF!*(2^'Zoopl Count'!#REF!)/'Zoopl Count'!#REF!)</f>
        <v>#REF!</v>
      </c>
      <c r="L176" s="38" t="e">
        <f>IF('Zoopl Count'!#REF!="","",'Zoopl Count'!#REF!*(2^'Zoopl Count'!#REF!)/'Zoopl Count'!#REF!)</f>
        <v>#REF!</v>
      </c>
      <c r="M176" s="74"/>
    </row>
    <row r="177" spans="1:13">
      <c r="A177" s="2" t="s">
        <v>124</v>
      </c>
      <c r="E177" s="8"/>
      <c r="F177" s="6" t="s">
        <v>125</v>
      </c>
      <c r="G177" s="38" t="str">
        <f>IF('Zoopl Count'!G302="","",'Zoopl Count'!G302*(2^'Zoopl Count'!G$9)/'Zoopl Count'!G$8)</f>
        <v/>
      </c>
      <c r="H177" s="38" t="str">
        <f>IF('Zoopl Count'!H302="","",'Zoopl Count'!H302*(2^'Zoopl Count'!H$9)/'Zoopl Count'!H$8)</f>
        <v/>
      </c>
      <c r="I177" s="38" t="str">
        <f>IF('Zoopl Count'!I302="","",'Zoopl Count'!I302*(2^'Zoopl Count'!I$9)/'Zoopl Count'!I$8)</f>
        <v/>
      </c>
      <c r="J177" s="38" t="e">
        <f>IF('Zoopl Count'!#REF!="","",'Zoopl Count'!#REF!*(2^'Zoopl Count'!#REF!)/'Zoopl Count'!#REF!)</f>
        <v>#REF!</v>
      </c>
      <c r="K177" s="38" t="e">
        <f>IF('Zoopl Count'!#REF!="","",'Zoopl Count'!#REF!*(2^'Zoopl Count'!#REF!)/'Zoopl Count'!#REF!)</f>
        <v>#REF!</v>
      </c>
      <c r="L177" s="38" t="e">
        <f>IF('Zoopl Count'!#REF!="","",'Zoopl Count'!#REF!*(2^'Zoopl Count'!#REF!)/'Zoopl Count'!#REF!)</f>
        <v>#REF!</v>
      </c>
      <c r="M177" s="74"/>
    </row>
    <row r="178" spans="1:13">
      <c r="E178" s="8"/>
      <c r="G178" s="38" t="str">
        <f>IF('Zoopl Count'!G303="","",'Zoopl Count'!G303*(2^'Zoopl Count'!G$9)/'Zoopl Count'!G$8)</f>
        <v/>
      </c>
      <c r="H178" s="38" t="str">
        <f>IF('Zoopl Count'!H303="","",'Zoopl Count'!H303*(2^'Zoopl Count'!H$9)/'Zoopl Count'!H$8)</f>
        <v/>
      </c>
      <c r="I178" s="38" t="str">
        <f>IF('Zoopl Count'!I303="","",'Zoopl Count'!I303*(2^'Zoopl Count'!I$9)/'Zoopl Count'!I$8)</f>
        <v/>
      </c>
      <c r="J178" s="38" t="e">
        <f>IF('Zoopl Count'!#REF!="","",'Zoopl Count'!#REF!*(2^'Zoopl Count'!#REF!)/'Zoopl Count'!#REF!)</f>
        <v>#REF!</v>
      </c>
      <c r="K178" s="38" t="e">
        <f>IF('Zoopl Count'!#REF!="","",'Zoopl Count'!#REF!*(2^'Zoopl Count'!#REF!)/'Zoopl Count'!#REF!)</f>
        <v>#REF!</v>
      </c>
      <c r="L178" s="38" t="e">
        <f>IF('Zoopl Count'!#REF!="","",'Zoopl Count'!#REF!*(2^'Zoopl Count'!#REF!)/'Zoopl Count'!#REF!)</f>
        <v>#REF!</v>
      </c>
      <c r="M178" s="74"/>
    </row>
    <row r="179" spans="1:13">
      <c r="A179" s="21"/>
      <c r="G179" s="38" t="str">
        <f>IF('Zoopl Count'!G304="","",'Zoopl Count'!G304*(2^'Zoopl Count'!G$9)/'Zoopl Count'!G$8)</f>
        <v/>
      </c>
      <c r="H179" s="38" t="str">
        <f>IF('Zoopl Count'!H304="","",'Zoopl Count'!H304*(2^'Zoopl Count'!H$9)/'Zoopl Count'!H$8)</f>
        <v/>
      </c>
      <c r="I179" s="38" t="str">
        <f>IF('Zoopl Count'!I304="","",'Zoopl Count'!I304*(2^'Zoopl Count'!I$9)/'Zoopl Count'!I$8)</f>
        <v/>
      </c>
      <c r="J179" s="38" t="e">
        <f>IF('Zoopl Count'!#REF!="","",'Zoopl Count'!#REF!*(2^'Zoopl Count'!#REF!)/'Zoopl Count'!#REF!)</f>
        <v>#REF!</v>
      </c>
      <c r="K179" s="38" t="e">
        <f>IF('Zoopl Count'!#REF!="","",'Zoopl Count'!#REF!*(2^'Zoopl Count'!#REF!)/'Zoopl Count'!#REF!)</f>
        <v>#REF!</v>
      </c>
      <c r="L179" s="38" t="e">
        <f>IF('Zoopl Count'!#REF!="","",'Zoopl Count'!#REF!*(2^'Zoopl Count'!#REF!)/'Zoopl Count'!#REF!)</f>
        <v>#REF!</v>
      </c>
      <c r="M179" s="74"/>
    </row>
    <row r="180" spans="1:13">
      <c r="A180" s="8"/>
      <c r="B180" s="8"/>
      <c r="G180" s="38" t="str">
        <f>IF('Zoopl Count'!G305="","",'Zoopl Count'!G305*(2^'Zoopl Count'!G$9)/'Zoopl Count'!G$8)</f>
        <v/>
      </c>
      <c r="H180" s="38" t="str">
        <f>IF('Zoopl Count'!H305="","",'Zoopl Count'!H305*(2^'Zoopl Count'!H$9)/'Zoopl Count'!H$8)</f>
        <v/>
      </c>
      <c r="I180" s="38" t="str">
        <f>IF('Zoopl Count'!I305="","",'Zoopl Count'!I305*(2^'Zoopl Count'!I$9)/'Zoopl Count'!I$8)</f>
        <v/>
      </c>
      <c r="J180" s="38" t="e">
        <f>IF('Zoopl Count'!#REF!="","",'Zoopl Count'!#REF!*(2^'Zoopl Count'!#REF!)/'Zoopl Count'!#REF!)</f>
        <v>#REF!</v>
      </c>
      <c r="K180" s="38" t="e">
        <f>IF('Zoopl Count'!#REF!="","",'Zoopl Count'!#REF!*(2^'Zoopl Count'!#REF!)/'Zoopl Count'!#REF!)</f>
        <v>#REF!</v>
      </c>
      <c r="L180" s="38" t="e">
        <f>IF('Zoopl Count'!#REF!="","",'Zoopl Count'!#REF!*(2^'Zoopl Count'!#REF!)/'Zoopl Count'!#REF!)</f>
        <v>#REF!</v>
      </c>
      <c r="M180" s="74"/>
    </row>
    <row r="181" spans="1:13">
      <c r="C181" s="8"/>
      <c r="G181" s="38" t="str">
        <f>IF('Zoopl Count'!G306="","",'Zoopl Count'!G306*(2^'Zoopl Count'!G$9)/'Zoopl Count'!G$8)</f>
        <v/>
      </c>
      <c r="H181" s="38" t="str">
        <f>IF('Zoopl Count'!H306="","",'Zoopl Count'!H306*(2^'Zoopl Count'!H$9)/'Zoopl Count'!H$8)</f>
        <v/>
      </c>
      <c r="I181" s="38" t="str">
        <f>IF('Zoopl Count'!I306="","",'Zoopl Count'!I306*(2^'Zoopl Count'!I$9)/'Zoopl Count'!I$8)</f>
        <v/>
      </c>
      <c r="J181" s="38" t="e">
        <f>IF('Zoopl Count'!#REF!="","",'Zoopl Count'!#REF!*(2^'Zoopl Count'!#REF!)/'Zoopl Count'!#REF!)</f>
        <v>#REF!</v>
      </c>
      <c r="K181" s="38" t="e">
        <f>IF('Zoopl Count'!#REF!="","",'Zoopl Count'!#REF!*(2^'Zoopl Count'!#REF!)/'Zoopl Count'!#REF!)</f>
        <v>#REF!</v>
      </c>
      <c r="L181" s="38" t="e">
        <f>IF('Zoopl Count'!#REF!="","",'Zoopl Count'!#REF!*(2^'Zoopl Count'!#REF!)/'Zoopl Count'!#REF!)</f>
        <v>#REF!</v>
      </c>
      <c r="M181" s="74"/>
    </row>
    <row r="182" spans="1:13">
      <c r="D182" s="8"/>
      <c r="G182" s="38" t="str">
        <f>IF('Zoopl Count'!G307="","",'Zoopl Count'!G307*(2^'Zoopl Count'!G$9)/'Zoopl Count'!G$8)</f>
        <v/>
      </c>
      <c r="H182" s="38" t="str">
        <f>IF('Zoopl Count'!H307="","",'Zoopl Count'!H307*(2^'Zoopl Count'!H$9)/'Zoopl Count'!H$8)</f>
        <v/>
      </c>
      <c r="I182" s="38" t="str">
        <f>IF('Zoopl Count'!I307="","",'Zoopl Count'!I307*(2^'Zoopl Count'!I$9)/'Zoopl Count'!I$8)</f>
        <v/>
      </c>
      <c r="J182" s="38" t="e">
        <f>IF('Zoopl Count'!#REF!="","",'Zoopl Count'!#REF!*(2^'Zoopl Count'!#REF!)/'Zoopl Count'!#REF!)</f>
        <v>#REF!</v>
      </c>
      <c r="K182" s="38" t="e">
        <f>IF('Zoopl Count'!#REF!="","",'Zoopl Count'!#REF!*(2^'Zoopl Count'!#REF!)/'Zoopl Count'!#REF!)</f>
        <v>#REF!</v>
      </c>
      <c r="L182" s="38" t="e">
        <f>IF('Zoopl Count'!#REF!="","",'Zoopl Count'!#REF!*(2^'Zoopl Count'!#REF!)/'Zoopl Count'!#REF!)</f>
        <v>#REF!</v>
      </c>
      <c r="M182" s="74"/>
    </row>
    <row r="183" spans="1:13">
      <c r="A183" s="2" t="s">
        <v>48</v>
      </c>
      <c r="B183" s="6" t="s">
        <v>178</v>
      </c>
      <c r="C183" s="2" t="s">
        <v>49</v>
      </c>
      <c r="D183" s="6" t="s">
        <v>50</v>
      </c>
      <c r="E183" s="8"/>
      <c r="F183" s="19" t="s">
        <v>51</v>
      </c>
      <c r="G183" s="38" t="str">
        <f>IF('Zoopl Count'!G308="","",'Zoopl Count'!G308*(2^'Zoopl Count'!G$9)/'Zoopl Count'!G$8)</f>
        <v/>
      </c>
      <c r="H183" s="38" t="str">
        <f>IF('Zoopl Count'!H308="","",'Zoopl Count'!H308*(2^'Zoopl Count'!H$9)/'Zoopl Count'!H$8)</f>
        <v/>
      </c>
      <c r="I183" s="38" t="str">
        <f>IF('Zoopl Count'!I308="","",'Zoopl Count'!I308*(2^'Zoopl Count'!I$9)/'Zoopl Count'!I$8)</f>
        <v/>
      </c>
      <c r="J183" s="38" t="e">
        <f>IF('Zoopl Count'!#REF!="","",'Zoopl Count'!#REF!*(2^'Zoopl Count'!#REF!)/'Zoopl Count'!#REF!)</f>
        <v>#REF!</v>
      </c>
      <c r="K183" s="38" t="e">
        <f>IF('Zoopl Count'!#REF!="","",'Zoopl Count'!#REF!*(2^'Zoopl Count'!#REF!)/'Zoopl Count'!#REF!)</f>
        <v>#REF!</v>
      </c>
      <c r="L183" s="38" t="e">
        <f>IF('Zoopl Count'!#REF!="","",'Zoopl Count'!#REF!*(2^'Zoopl Count'!#REF!)/'Zoopl Count'!#REF!)</f>
        <v>#REF!</v>
      </c>
      <c r="M183" s="74"/>
    </row>
    <row r="184" spans="1:13">
      <c r="A184" s="2" t="s">
        <v>48</v>
      </c>
      <c r="B184" s="6" t="s">
        <v>178</v>
      </c>
      <c r="C184" s="2" t="s">
        <v>49</v>
      </c>
      <c r="D184" s="6" t="s">
        <v>50</v>
      </c>
      <c r="F184" s="19" t="s">
        <v>52</v>
      </c>
      <c r="G184" s="38">
        <f>IF('Zoopl Count'!G309="","",'Zoopl Count'!G309*(2^'Zoopl Count'!G$9)/'Zoopl Count'!G$8)</f>
        <v>0.52151891752352264</v>
      </c>
      <c r="H184" s="38">
        <f>IF('Zoopl Count'!H309="","",'Zoopl Count'!H309*(2^'Zoopl Count'!H$9)/'Zoopl Count'!H$8)</f>
        <v>0.13037972938088066</v>
      </c>
      <c r="I184" s="38">
        <f>IF('Zoopl Count'!I309="","",'Zoopl Count'!I309*(2^'Zoopl Count'!I$9)/'Zoopl Count'!I$8)</f>
        <v>0.19556959407132099</v>
      </c>
      <c r="J184" s="38" t="e">
        <f>IF('Zoopl Count'!#REF!="","",'Zoopl Count'!#REF!*(2^'Zoopl Count'!#REF!)/'Zoopl Count'!#REF!)</f>
        <v>#REF!</v>
      </c>
      <c r="K184" s="38" t="e">
        <f>IF('Zoopl Count'!#REF!="","",'Zoopl Count'!#REF!*(2^'Zoopl Count'!#REF!)/'Zoopl Count'!#REF!)</f>
        <v>#REF!</v>
      </c>
      <c r="L184" s="38" t="e">
        <f>IF('Zoopl Count'!#REF!="","",'Zoopl Count'!#REF!*(2^'Zoopl Count'!#REF!)/'Zoopl Count'!#REF!)</f>
        <v>#REF!</v>
      </c>
      <c r="M184" s="74"/>
    </row>
    <row r="185" spans="1:13">
      <c r="A185" s="2" t="s">
        <v>48</v>
      </c>
      <c r="B185" s="6" t="s">
        <v>178</v>
      </c>
      <c r="C185" s="2" t="s">
        <v>49</v>
      </c>
      <c r="D185" s="6" t="s">
        <v>50</v>
      </c>
      <c r="F185" s="19" t="s">
        <v>53</v>
      </c>
      <c r="G185" s="38">
        <f>IF('Zoopl Count'!G310="","",'Zoopl Count'!G310*(2^'Zoopl Count'!G$9)/'Zoopl Count'!G$8)</f>
        <v>0.78227837628528396</v>
      </c>
      <c r="H185" s="38">
        <f>IF('Zoopl Count'!H310="","",'Zoopl Count'!H310*(2^'Zoopl Count'!H$9)/'Zoopl Count'!H$8)</f>
        <v>0.32594932345220168</v>
      </c>
      <c r="I185" s="38">
        <f>IF('Zoopl Count'!I310="","",'Zoopl Count'!I310*(2^'Zoopl Count'!I$9)/'Zoopl Count'!I$8)</f>
        <v>0.39113918814264198</v>
      </c>
      <c r="J185" s="38" t="e">
        <f>IF('Zoopl Count'!#REF!="","",'Zoopl Count'!#REF!*(2^'Zoopl Count'!#REF!)/'Zoopl Count'!#REF!)</f>
        <v>#REF!</v>
      </c>
      <c r="K185" s="38" t="e">
        <f>IF('Zoopl Count'!#REF!="","",'Zoopl Count'!#REF!*(2^'Zoopl Count'!#REF!)/'Zoopl Count'!#REF!)</f>
        <v>#REF!</v>
      </c>
      <c r="L185" s="38" t="e">
        <f>IF('Zoopl Count'!#REF!="","",'Zoopl Count'!#REF!*(2^'Zoopl Count'!#REF!)/'Zoopl Count'!#REF!)</f>
        <v>#REF!</v>
      </c>
      <c r="M185" s="74"/>
    </row>
    <row r="186" spans="1:13">
      <c r="F186" s="19"/>
      <c r="G186" s="38" t="str">
        <f>IF('Zoopl Count'!G311="","",'Zoopl Count'!G311*(2^'Zoopl Count'!G$9)/'Zoopl Count'!G$8)</f>
        <v/>
      </c>
      <c r="H186" s="38" t="str">
        <f>IF('Zoopl Count'!H311="","",'Zoopl Count'!H311*(2^'Zoopl Count'!H$9)/'Zoopl Count'!H$8)</f>
        <v/>
      </c>
      <c r="I186" s="38" t="str">
        <f>IF('Zoopl Count'!I311="","",'Zoopl Count'!I311*(2^'Zoopl Count'!I$9)/'Zoopl Count'!I$8)</f>
        <v/>
      </c>
      <c r="J186" s="38" t="e">
        <f>IF('Zoopl Count'!#REF!="","",'Zoopl Count'!#REF!*(2^'Zoopl Count'!#REF!)/'Zoopl Count'!#REF!)</f>
        <v>#REF!</v>
      </c>
      <c r="K186" s="38" t="e">
        <f>IF('Zoopl Count'!#REF!="","",'Zoopl Count'!#REF!*(2^'Zoopl Count'!#REF!)/'Zoopl Count'!#REF!)</f>
        <v>#REF!</v>
      </c>
      <c r="L186" s="38" t="e">
        <f>IF('Zoopl Count'!#REF!="","",'Zoopl Count'!#REF!*(2^'Zoopl Count'!#REF!)/'Zoopl Count'!#REF!)</f>
        <v>#REF!</v>
      </c>
      <c r="M186" s="74"/>
    </row>
    <row r="187" spans="1:13">
      <c r="F187" s="19"/>
      <c r="G187" s="38" t="str">
        <f>IF('Zoopl Count'!G312="","",'Zoopl Count'!G312*(2^'Zoopl Count'!G$9)/'Zoopl Count'!G$8)</f>
        <v/>
      </c>
      <c r="H187" s="38" t="str">
        <f>IF('Zoopl Count'!H312="","",'Zoopl Count'!H312*(2^'Zoopl Count'!H$9)/'Zoopl Count'!H$8)</f>
        <v/>
      </c>
      <c r="I187" s="38" t="str">
        <f>IF('Zoopl Count'!I312="","",'Zoopl Count'!I312*(2^'Zoopl Count'!I$9)/'Zoopl Count'!I$8)</f>
        <v/>
      </c>
      <c r="J187" s="38" t="e">
        <f>IF('Zoopl Count'!#REF!="","",'Zoopl Count'!#REF!*(2^'Zoopl Count'!#REF!)/'Zoopl Count'!#REF!)</f>
        <v>#REF!</v>
      </c>
      <c r="K187" s="38" t="e">
        <f>IF('Zoopl Count'!#REF!="","",'Zoopl Count'!#REF!*(2^'Zoopl Count'!#REF!)/'Zoopl Count'!#REF!)</f>
        <v>#REF!</v>
      </c>
      <c r="L187" s="38" t="e">
        <f>IF('Zoopl Count'!#REF!="","",'Zoopl Count'!#REF!*(2^'Zoopl Count'!#REF!)/'Zoopl Count'!#REF!)</f>
        <v>#REF!</v>
      </c>
      <c r="M187" s="74"/>
    </row>
    <row r="188" spans="1:13">
      <c r="F188" s="19"/>
      <c r="G188" s="38" t="str">
        <f>IF('Zoopl Count'!G313="","",'Zoopl Count'!G313*(2^'Zoopl Count'!G$9)/'Zoopl Count'!G$8)</f>
        <v/>
      </c>
      <c r="H188" s="38" t="str">
        <f>IF('Zoopl Count'!H313="","",'Zoopl Count'!H313*(2^'Zoopl Count'!H$9)/'Zoopl Count'!H$8)</f>
        <v/>
      </c>
      <c r="I188" s="38" t="str">
        <f>IF('Zoopl Count'!I313="","",'Zoopl Count'!I313*(2^'Zoopl Count'!I$9)/'Zoopl Count'!I$8)</f>
        <v/>
      </c>
      <c r="J188" s="38" t="e">
        <f>IF('Zoopl Count'!#REF!="","",'Zoopl Count'!#REF!*(2^'Zoopl Count'!#REF!)/'Zoopl Count'!#REF!)</f>
        <v>#REF!</v>
      </c>
      <c r="K188" s="38" t="e">
        <f>IF('Zoopl Count'!#REF!="","",'Zoopl Count'!#REF!*(2^'Zoopl Count'!#REF!)/'Zoopl Count'!#REF!)</f>
        <v>#REF!</v>
      </c>
      <c r="L188" s="38" t="e">
        <f>IF('Zoopl Count'!#REF!="","",'Zoopl Count'!#REF!*(2^'Zoopl Count'!#REF!)/'Zoopl Count'!#REF!)</f>
        <v>#REF!</v>
      </c>
      <c r="M188" s="74"/>
    </row>
    <row r="189" spans="1:13">
      <c r="F189" s="19"/>
      <c r="G189" s="38" t="str">
        <f>IF('Zoopl Count'!G315="","",'Zoopl Count'!G315*(2^'Zoopl Count'!G$9)/'Zoopl Count'!G$8)</f>
        <v/>
      </c>
      <c r="H189" s="38" t="str">
        <f>IF('Zoopl Count'!H315="","",'Zoopl Count'!H315*(2^'Zoopl Count'!H$9)/'Zoopl Count'!H$8)</f>
        <v/>
      </c>
      <c r="I189" s="38" t="str">
        <f>IF('Zoopl Count'!I315="","",'Zoopl Count'!I315*(2^'Zoopl Count'!I$9)/'Zoopl Count'!I$8)</f>
        <v/>
      </c>
      <c r="J189" s="38" t="e">
        <f>IF('Zoopl Count'!#REF!="","",'Zoopl Count'!#REF!*(2^'Zoopl Count'!#REF!)/'Zoopl Count'!#REF!)</f>
        <v>#REF!</v>
      </c>
      <c r="K189" s="38" t="e">
        <f>IF('Zoopl Count'!#REF!="","",'Zoopl Count'!#REF!*(2^'Zoopl Count'!#REF!)/'Zoopl Count'!#REF!)</f>
        <v>#REF!</v>
      </c>
      <c r="L189" s="38" t="e">
        <f>IF('Zoopl Count'!#REF!="","",'Zoopl Count'!#REF!*(2^'Zoopl Count'!#REF!)/'Zoopl Count'!#REF!)</f>
        <v>#REF!</v>
      </c>
      <c r="M189" s="74"/>
    </row>
    <row r="190" spans="1:13">
      <c r="A190" s="21"/>
      <c r="E190" s="8"/>
      <c r="G190" s="38" t="str">
        <f>IF('Zoopl Count'!G316="","",'Zoopl Count'!G316*(2^'Zoopl Count'!G$9)/'Zoopl Count'!G$8)</f>
        <v/>
      </c>
      <c r="H190" s="38" t="str">
        <f>IF('Zoopl Count'!H316="","",'Zoopl Count'!H316*(2^'Zoopl Count'!H$9)/'Zoopl Count'!H$8)</f>
        <v/>
      </c>
      <c r="I190" s="38">
        <f>IF('Zoopl Count'!I316="","",'Zoopl Count'!I316*(2^'Zoopl Count'!I$9)/'Zoopl Count'!I$8)</f>
        <v>3.2594932345220165E-2</v>
      </c>
      <c r="J190" s="38" t="e">
        <f>IF('Zoopl Count'!#REF!="","",'Zoopl Count'!#REF!*(2^'Zoopl Count'!#REF!)/'Zoopl Count'!#REF!)</f>
        <v>#REF!</v>
      </c>
      <c r="K190" s="38" t="e">
        <f>IF('Zoopl Count'!#REF!="","",'Zoopl Count'!#REF!*(2^'Zoopl Count'!#REF!)/'Zoopl Count'!#REF!)</f>
        <v>#REF!</v>
      </c>
      <c r="L190" s="38" t="e">
        <f>IF('Zoopl Count'!#REF!="","",'Zoopl Count'!#REF!*(2^'Zoopl Count'!#REF!)/'Zoopl Count'!#REF!)</f>
        <v>#REF!</v>
      </c>
      <c r="M190" s="74"/>
    </row>
    <row r="191" spans="1:13">
      <c r="A191" s="2" t="s">
        <v>126</v>
      </c>
      <c r="E191" s="8"/>
      <c r="F191" s="6" t="s">
        <v>127</v>
      </c>
      <c r="G191" s="38" t="str">
        <f>IF('Zoopl Count'!G317="","",'Zoopl Count'!G317*(2^'Zoopl Count'!G$9)/'Zoopl Count'!G$8)</f>
        <v/>
      </c>
      <c r="H191" s="38" t="str">
        <f>IF('Zoopl Count'!H317="","",'Zoopl Count'!H317*(2^'Zoopl Count'!H$9)/'Zoopl Count'!H$8)</f>
        <v/>
      </c>
      <c r="I191" s="38" t="str">
        <f>IF('Zoopl Count'!I317="","",'Zoopl Count'!I317*(2^'Zoopl Count'!I$9)/'Zoopl Count'!I$8)</f>
        <v/>
      </c>
      <c r="J191" s="38" t="e">
        <f>IF('Zoopl Count'!#REF!="","",'Zoopl Count'!#REF!*(2^'Zoopl Count'!#REF!)/'Zoopl Count'!#REF!)</f>
        <v>#REF!</v>
      </c>
      <c r="K191" s="38" t="e">
        <f>IF('Zoopl Count'!#REF!="","",'Zoopl Count'!#REF!*(2^'Zoopl Count'!#REF!)/'Zoopl Count'!#REF!)</f>
        <v>#REF!</v>
      </c>
      <c r="L191" s="38" t="e">
        <f>IF('Zoopl Count'!#REF!="","",'Zoopl Count'!#REF!*(2^'Zoopl Count'!#REF!)/'Zoopl Count'!#REF!)</f>
        <v>#REF!</v>
      </c>
      <c r="M191" s="74"/>
    </row>
    <row r="192" spans="1:13">
      <c r="A192" s="2" t="s">
        <v>126</v>
      </c>
      <c r="E192" s="8"/>
      <c r="F192" s="6" t="s">
        <v>128</v>
      </c>
      <c r="G192" s="38" t="str">
        <f>IF('Zoopl Count'!G318="","",'Zoopl Count'!G318*(2^'Zoopl Count'!G$9)/'Zoopl Count'!G$8)</f>
        <v/>
      </c>
      <c r="H192" s="38" t="str">
        <f>IF('Zoopl Count'!H318="","",'Zoopl Count'!H318*(2^'Zoopl Count'!H$9)/'Zoopl Count'!H$8)</f>
        <v/>
      </c>
      <c r="I192" s="38" t="str">
        <f>IF('Zoopl Count'!I318="","",'Zoopl Count'!I318*(2^'Zoopl Count'!I$9)/'Zoopl Count'!I$8)</f>
        <v/>
      </c>
      <c r="J192" s="38" t="e">
        <f>IF('Zoopl Count'!#REF!="","",'Zoopl Count'!#REF!*(2^'Zoopl Count'!#REF!)/'Zoopl Count'!#REF!)</f>
        <v>#REF!</v>
      </c>
      <c r="K192" s="38" t="e">
        <f>IF('Zoopl Count'!#REF!="","",'Zoopl Count'!#REF!*(2^'Zoopl Count'!#REF!)/'Zoopl Count'!#REF!)</f>
        <v>#REF!</v>
      </c>
      <c r="L192" s="38" t="e">
        <f>IF('Zoopl Count'!#REF!="","",'Zoopl Count'!#REF!*(2^'Zoopl Count'!#REF!)/'Zoopl Count'!#REF!)</f>
        <v>#REF!</v>
      </c>
      <c r="M192" s="74"/>
    </row>
    <row r="193" spans="1:13">
      <c r="A193" s="2" t="s">
        <v>126</v>
      </c>
      <c r="E193" s="8"/>
      <c r="F193" s="42" t="s">
        <v>185</v>
      </c>
      <c r="G193" s="38" t="str">
        <f>IF('Zoopl Count'!G319="","",'Zoopl Count'!G319*(2^'Zoopl Count'!G$9)/'Zoopl Count'!G$8)</f>
        <v/>
      </c>
      <c r="H193" s="38" t="str">
        <f>IF('Zoopl Count'!H319="","",'Zoopl Count'!H319*(2^'Zoopl Count'!H$9)/'Zoopl Count'!H$8)</f>
        <v/>
      </c>
      <c r="I193" s="38" t="str">
        <f>IF('Zoopl Count'!I319="","",'Zoopl Count'!I319*(2^'Zoopl Count'!I$9)/'Zoopl Count'!I$8)</f>
        <v/>
      </c>
      <c r="J193" s="38" t="e">
        <f>IF('Zoopl Count'!#REF!="","",'Zoopl Count'!#REF!*(2^'Zoopl Count'!#REF!)/'Zoopl Count'!#REF!)</f>
        <v>#REF!</v>
      </c>
      <c r="K193" s="38" t="e">
        <f>IF('Zoopl Count'!#REF!="","",'Zoopl Count'!#REF!*(2^'Zoopl Count'!#REF!)/'Zoopl Count'!#REF!)</f>
        <v>#REF!</v>
      </c>
      <c r="L193" s="38" t="e">
        <f>IF('Zoopl Count'!#REF!="","",'Zoopl Count'!#REF!*(2^'Zoopl Count'!#REF!)/'Zoopl Count'!#REF!)</f>
        <v>#REF!</v>
      </c>
      <c r="M193" s="74"/>
    </row>
    <row r="194" spans="1:13">
      <c r="G194" s="38" t="str">
        <f>IF('Zoopl Count'!G320="","",'Zoopl Count'!G320*(2^'Zoopl Count'!G$9)/'Zoopl Count'!G$8)</f>
        <v/>
      </c>
      <c r="H194" s="38" t="str">
        <f>IF('Zoopl Count'!H320="","",'Zoopl Count'!H320*(2^'Zoopl Count'!H$9)/'Zoopl Count'!H$8)</f>
        <v/>
      </c>
      <c r="I194" s="38" t="str">
        <f>IF('Zoopl Count'!I320="","",'Zoopl Count'!I320*(2^'Zoopl Count'!I$9)/'Zoopl Count'!I$8)</f>
        <v/>
      </c>
      <c r="J194" s="38" t="e">
        <f>IF('Zoopl Count'!#REF!="","",'Zoopl Count'!#REF!*(2^'Zoopl Count'!#REF!)/'Zoopl Count'!#REF!)</f>
        <v>#REF!</v>
      </c>
      <c r="K194" s="38" t="e">
        <f>IF('Zoopl Count'!#REF!="","",'Zoopl Count'!#REF!*(2^'Zoopl Count'!#REF!)/'Zoopl Count'!#REF!)</f>
        <v>#REF!</v>
      </c>
      <c r="L194" s="38" t="e">
        <f>IF('Zoopl Count'!#REF!="","",'Zoopl Count'!#REF!*(2^'Zoopl Count'!#REF!)/'Zoopl Count'!#REF!)</f>
        <v>#REF!</v>
      </c>
      <c r="M194" s="74"/>
    </row>
    <row r="195" spans="1:13">
      <c r="A195" s="21"/>
      <c r="F195" s="9"/>
      <c r="G195" s="38" t="str">
        <f>IF('Zoopl Count'!G321="","",'Zoopl Count'!G321*(2^'Zoopl Count'!G$9)/'Zoopl Count'!G$8)</f>
        <v/>
      </c>
      <c r="H195" s="38" t="str">
        <f>IF('Zoopl Count'!H321="","",'Zoopl Count'!H321*(2^'Zoopl Count'!H$9)/'Zoopl Count'!H$8)</f>
        <v/>
      </c>
      <c r="I195" s="38" t="str">
        <f>IF('Zoopl Count'!I321="","",'Zoopl Count'!I321*(2^'Zoopl Count'!I$9)/'Zoopl Count'!I$8)</f>
        <v/>
      </c>
      <c r="J195" s="38" t="e">
        <f>IF('Zoopl Count'!#REF!="","",'Zoopl Count'!#REF!*(2^'Zoopl Count'!#REF!)/'Zoopl Count'!#REF!)</f>
        <v>#REF!</v>
      </c>
      <c r="K195" s="38" t="e">
        <f>IF('Zoopl Count'!#REF!="","",'Zoopl Count'!#REF!*(2^'Zoopl Count'!#REF!)/'Zoopl Count'!#REF!)</f>
        <v>#REF!</v>
      </c>
      <c r="L195" s="38" t="e">
        <f>IF('Zoopl Count'!#REF!="","",'Zoopl Count'!#REF!*(2^'Zoopl Count'!#REF!)/'Zoopl Count'!#REF!)</f>
        <v>#REF!</v>
      </c>
      <c r="M195" s="74"/>
    </row>
    <row r="196" spans="1:13">
      <c r="A196" s="8"/>
      <c r="B196" s="21"/>
      <c r="G196" s="38" t="str">
        <f>IF('Zoopl Count'!G322="","",'Zoopl Count'!G322*(2^'Zoopl Count'!G$9)/'Zoopl Count'!G$8)</f>
        <v/>
      </c>
      <c r="H196" s="38" t="str">
        <f>IF('Zoopl Count'!H322="","",'Zoopl Count'!H322*(2^'Zoopl Count'!H$9)/'Zoopl Count'!H$8)</f>
        <v/>
      </c>
      <c r="I196" s="38">
        <f>IF('Zoopl Count'!I322="","",'Zoopl Count'!I322*(2^'Zoopl Count'!I$9)/'Zoopl Count'!I$8)</f>
        <v>3.2594932345220165E-2</v>
      </c>
      <c r="J196" s="38" t="e">
        <f>IF('Zoopl Count'!#REF!="","",'Zoopl Count'!#REF!*(2^'Zoopl Count'!#REF!)/'Zoopl Count'!#REF!)</f>
        <v>#REF!</v>
      </c>
      <c r="K196" s="38" t="e">
        <f>IF('Zoopl Count'!#REF!="","",'Zoopl Count'!#REF!*(2^'Zoopl Count'!#REF!)/'Zoopl Count'!#REF!)</f>
        <v>#REF!</v>
      </c>
      <c r="L196" s="38" t="e">
        <f>IF('Zoopl Count'!#REF!="","",'Zoopl Count'!#REF!*(2^'Zoopl Count'!#REF!)/'Zoopl Count'!#REF!)</f>
        <v>#REF!</v>
      </c>
      <c r="M196" s="74"/>
    </row>
    <row r="197" spans="1:13">
      <c r="C197" s="21"/>
      <c r="G197" s="38" t="e">
        <f>IF('Zoopl Count'!#REF!="","",'Zoopl Count'!#REF!*(2^'Zoopl Count'!G$9)/'Zoopl Count'!G$8)</f>
        <v>#REF!</v>
      </c>
      <c r="H197" s="38" t="e">
        <f>IF('Zoopl Count'!#REF!="","",'Zoopl Count'!#REF!*(2^'Zoopl Count'!H$9)/'Zoopl Count'!H$8)</f>
        <v>#REF!</v>
      </c>
      <c r="I197" s="38" t="e">
        <f>IF('Zoopl Count'!#REF!="","",'Zoopl Count'!#REF!*(2^'Zoopl Count'!I$9)/'Zoopl Count'!I$8)</f>
        <v>#REF!</v>
      </c>
      <c r="J197" s="38" t="e">
        <f>IF('Zoopl Count'!#REF!="","",'Zoopl Count'!#REF!*(2^'Zoopl Count'!#REF!)/'Zoopl Count'!#REF!)</f>
        <v>#REF!</v>
      </c>
      <c r="K197" s="38" t="e">
        <f>IF('Zoopl Count'!#REF!="","",'Zoopl Count'!#REF!*(2^'Zoopl Count'!#REF!)/'Zoopl Count'!#REF!)</f>
        <v>#REF!</v>
      </c>
      <c r="L197" s="38" t="e">
        <f>IF('Zoopl Count'!#REF!="","",'Zoopl Count'!#REF!*(2^'Zoopl Count'!#REF!)/'Zoopl Count'!#REF!)</f>
        <v>#REF!</v>
      </c>
      <c r="M197" s="74"/>
    </row>
    <row r="198" spans="1:13">
      <c r="D198" s="8"/>
      <c r="G198" s="38" t="str">
        <f>IF('Zoopl Count'!G323="","",'Zoopl Count'!G323*(2^'Zoopl Count'!G$9)/'Zoopl Count'!G$8)</f>
        <v/>
      </c>
      <c r="H198" s="38" t="str">
        <f>IF('Zoopl Count'!H323="","",'Zoopl Count'!H323*(2^'Zoopl Count'!H$9)/'Zoopl Count'!H$8)</f>
        <v/>
      </c>
      <c r="I198" s="38" t="str">
        <f>IF('Zoopl Count'!I323="","",'Zoopl Count'!I323*(2^'Zoopl Count'!I$9)/'Zoopl Count'!I$8)</f>
        <v/>
      </c>
      <c r="J198" s="38" t="e">
        <f>IF('Zoopl Count'!#REF!="","",'Zoopl Count'!#REF!*(2^'Zoopl Count'!#REF!)/'Zoopl Count'!#REF!)</f>
        <v>#REF!</v>
      </c>
      <c r="K198" s="38" t="e">
        <f>IF('Zoopl Count'!#REF!="","",'Zoopl Count'!#REF!*(2^'Zoopl Count'!#REF!)/'Zoopl Count'!#REF!)</f>
        <v>#REF!</v>
      </c>
      <c r="L198" s="38" t="e">
        <f>IF('Zoopl Count'!#REF!="","",'Zoopl Count'!#REF!*(2^'Zoopl Count'!#REF!)/'Zoopl Count'!#REF!)</f>
        <v>#REF!</v>
      </c>
      <c r="M198" s="74"/>
    </row>
    <row r="199" spans="1:13">
      <c r="A199" s="2" t="s">
        <v>54</v>
      </c>
      <c r="B199" s="2" t="s">
        <v>129</v>
      </c>
      <c r="C199" s="2" t="s">
        <v>55</v>
      </c>
      <c r="D199" s="6" t="s">
        <v>56</v>
      </c>
      <c r="E199" s="8"/>
      <c r="F199" s="19" t="s">
        <v>57</v>
      </c>
      <c r="G199" s="38">
        <f>IF('Zoopl Count'!G324="","",'Zoopl Count'!G324*(2^'Zoopl Count'!G$9)/'Zoopl Count'!G$8)</f>
        <v>2.737974316998494</v>
      </c>
      <c r="H199" s="38">
        <f>IF('Zoopl Count'!H324="","",'Zoopl Count'!H324*(2^'Zoopl Count'!H$9)/'Zoopl Count'!H$8)</f>
        <v>1.5645567525705679</v>
      </c>
      <c r="I199" s="38">
        <f>IF('Zoopl Count'!I324="","",'Zoopl Count'!I324*(2^'Zoopl Count'!I$9)/'Zoopl Count'!I$8)</f>
        <v>1.4993668878801276</v>
      </c>
      <c r="J199" s="38" t="e">
        <f>IF('Zoopl Count'!#REF!="","",'Zoopl Count'!#REF!*(2^'Zoopl Count'!#REF!)/'Zoopl Count'!#REF!)</f>
        <v>#REF!</v>
      </c>
      <c r="K199" s="38" t="e">
        <f>IF('Zoopl Count'!#REF!="","",'Zoopl Count'!#REF!*(2^'Zoopl Count'!#REF!)/'Zoopl Count'!#REF!)</f>
        <v>#REF!</v>
      </c>
      <c r="L199" s="38" t="e">
        <f>IF('Zoopl Count'!#REF!="","",'Zoopl Count'!#REF!*(2^'Zoopl Count'!#REF!)/'Zoopl Count'!#REF!)</f>
        <v>#REF!</v>
      </c>
      <c r="M199" s="74"/>
    </row>
    <row r="200" spans="1:13">
      <c r="C200" s="21"/>
      <c r="G200" s="38" t="str">
        <f>IF('Zoopl Count'!G325="","",'Zoopl Count'!G325*(2^'Zoopl Count'!G$9)/'Zoopl Count'!G$8)</f>
        <v/>
      </c>
      <c r="H200" s="38" t="str">
        <f>IF('Zoopl Count'!H325="","",'Zoopl Count'!H325*(2^'Zoopl Count'!H$9)/'Zoopl Count'!H$8)</f>
        <v/>
      </c>
      <c r="I200" s="38" t="str">
        <f>IF('Zoopl Count'!I325="","",'Zoopl Count'!I325*(2^'Zoopl Count'!I$9)/'Zoopl Count'!I$8)</f>
        <v/>
      </c>
      <c r="J200" s="38" t="e">
        <f>IF('Zoopl Count'!#REF!="","",'Zoopl Count'!#REF!*(2^'Zoopl Count'!#REF!)/'Zoopl Count'!#REF!)</f>
        <v>#REF!</v>
      </c>
      <c r="K200" s="38" t="e">
        <f>IF('Zoopl Count'!#REF!="","",'Zoopl Count'!#REF!*(2^'Zoopl Count'!#REF!)/'Zoopl Count'!#REF!)</f>
        <v>#REF!</v>
      </c>
      <c r="L200" s="38" t="e">
        <f>IF('Zoopl Count'!#REF!="","",'Zoopl Count'!#REF!*(2^'Zoopl Count'!#REF!)/'Zoopl Count'!#REF!)</f>
        <v>#REF!</v>
      </c>
      <c r="M200" s="74"/>
    </row>
    <row r="201" spans="1:13">
      <c r="D201" s="8"/>
      <c r="G201" s="38" t="str">
        <f>IF('Zoopl Count'!G326="","",'Zoopl Count'!G326*(2^'Zoopl Count'!G$9)/'Zoopl Count'!G$8)</f>
        <v/>
      </c>
      <c r="H201" s="38" t="str">
        <f>IF('Zoopl Count'!H326="","",'Zoopl Count'!H326*(2^'Zoopl Count'!H$9)/'Zoopl Count'!H$8)</f>
        <v/>
      </c>
      <c r="I201" s="38" t="str">
        <f>IF('Zoopl Count'!I326="","",'Zoopl Count'!I326*(2^'Zoopl Count'!I$9)/'Zoopl Count'!I$8)</f>
        <v/>
      </c>
      <c r="J201" s="38" t="e">
        <f>IF('Zoopl Count'!#REF!="","",'Zoopl Count'!#REF!*(2^'Zoopl Count'!#REF!)/'Zoopl Count'!#REF!)</f>
        <v>#REF!</v>
      </c>
      <c r="K201" s="38" t="e">
        <f>IF('Zoopl Count'!#REF!="","",'Zoopl Count'!#REF!*(2^'Zoopl Count'!#REF!)/'Zoopl Count'!#REF!)</f>
        <v>#REF!</v>
      </c>
      <c r="L201" s="38" t="e">
        <f>IF('Zoopl Count'!#REF!="","",'Zoopl Count'!#REF!*(2^'Zoopl Count'!#REF!)/'Zoopl Count'!#REF!)</f>
        <v>#REF!</v>
      </c>
      <c r="M201" s="74"/>
    </row>
    <row r="202" spans="1:13">
      <c r="A202" s="2" t="s">
        <v>54</v>
      </c>
      <c r="B202" s="2" t="s">
        <v>129</v>
      </c>
      <c r="C202" s="2" t="s">
        <v>58</v>
      </c>
      <c r="D202" s="6" t="s">
        <v>59</v>
      </c>
      <c r="E202" s="8"/>
      <c r="F202" s="19" t="s">
        <v>60</v>
      </c>
      <c r="G202" s="38" t="str">
        <f>IF('Zoopl Count'!G327="","",'Zoopl Count'!G327*(2^'Zoopl Count'!G$9)/'Zoopl Count'!G$8)</f>
        <v/>
      </c>
      <c r="H202" s="38" t="str">
        <f>IF('Zoopl Count'!H327="","",'Zoopl Count'!H327*(2^'Zoopl Count'!H$9)/'Zoopl Count'!H$8)</f>
        <v/>
      </c>
      <c r="I202" s="38" t="str">
        <f>IF('Zoopl Count'!I327="","",'Zoopl Count'!I327*(2^'Zoopl Count'!I$9)/'Zoopl Count'!I$8)</f>
        <v/>
      </c>
      <c r="J202" s="38" t="e">
        <f>IF('Zoopl Count'!#REF!="","",'Zoopl Count'!#REF!*(2^'Zoopl Count'!#REF!)/'Zoopl Count'!#REF!)</f>
        <v>#REF!</v>
      </c>
      <c r="K202" s="38" t="e">
        <f>IF('Zoopl Count'!#REF!="","",'Zoopl Count'!#REF!*(2^'Zoopl Count'!#REF!)/'Zoopl Count'!#REF!)</f>
        <v>#REF!</v>
      </c>
      <c r="L202" s="38" t="e">
        <f>IF('Zoopl Count'!#REF!="","",'Zoopl Count'!#REF!*(2^'Zoopl Count'!#REF!)/'Zoopl Count'!#REF!)</f>
        <v>#REF!</v>
      </c>
      <c r="M202" s="74"/>
    </row>
    <row r="203" spans="1:13" ht="15" customHeight="1">
      <c r="E203" s="8"/>
      <c r="F203" s="19"/>
      <c r="G203" s="38" t="str">
        <f>IF('Zoopl Count'!G328="","",'Zoopl Count'!G328*(2^'Zoopl Count'!G$9)/'Zoopl Count'!G$8)</f>
        <v/>
      </c>
      <c r="H203" s="38" t="str">
        <f>IF('Zoopl Count'!H328="","",'Zoopl Count'!H328*(2^'Zoopl Count'!H$9)/'Zoopl Count'!H$8)</f>
        <v/>
      </c>
      <c r="I203" s="38" t="str">
        <f>IF('Zoopl Count'!I328="","",'Zoopl Count'!I328*(2^'Zoopl Count'!I$9)/'Zoopl Count'!I$8)</f>
        <v/>
      </c>
      <c r="J203" s="38" t="e">
        <f>IF('Zoopl Count'!#REF!="","",'Zoopl Count'!#REF!*(2^'Zoopl Count'!#REF!)/'Zoopl Count'!#REF!)</f>
        <v>#REF!</v>
      </c>
      <c r="K203" s="38" t="e">
        <f>IF('Zoopl Count'!#REF!="","",'Zoopl Count'!#REF!*(2^'Zoopl Count'!#REF!)/'Zoopl Count'!#REF!)</f>
        <v>#REF!</v>
      </c>
      <c r="L203" s="38" t="e">
        <f>IF('Zoopl Count'!#REF!="","",'Zoopl Count'!#REF!*(2^'Zoopl Count'!#REF!)/'Zoopl Count'!#REF!)</f>
        <v>#REF!</v>
      </c>
      <c r="M203" s="74"/>
    </row>
    <row r="204" spans="1:13" ht="15" customHeight="1">
      <c r="B204" s="21"/>
      <c r="E204" s="8"/>
      <c r="F204" s="19"/>
      <c r="G204" s="38" t="str">
        <f>IF('Zoopl Count'!G329="","",'Zoopl Count'!G329*(2^'Zoopl Count'!G$9)/'Zoopl Count'!G$8)</f>
        <v/>
      </c>
      <c r="H204" s="38" t="str">
        <f>IF('Zoopl Count'!H329="","",'Zoopl Count'!H329*(2^'Zoopl Count'!H$9)/'Zoopl Count'!H$8)</f>
        <v/>
      </c>
      <c r="I204" s="38" t="str">
        <f>IF('Zoopl Count'!I329="","",'Zoopl Count'!I329*(2^'Zoopl Count'!I$9)/'Zoopl Count'!I$8)</f>
        <v/>
      </c>
      <c r="J204" s="38" t="e">
        <f>IF('Zoopl Count'!#REF!="","",'Zoopl Count'!#REF!*(2^'Zoopl Count'!#REF!)/'Zoopl Count'!#REF!)</f>
        <v>#REF!</v>
      </c>
      <c r="K204" s="38" t="e">
        <f>IF('Zoopl Count'!#REF!="","",'Zoopl Count'!#REF!*(2^'Zoopl Count'!#REF!)/'Zoopl Count'!#REF!)</f>
        <v>#REF!</v>
      </c>
      <c r="L204" s="38" t="e">
        <f>IF('Zoopl Count'!#REF!="","",'Zoopl Count'!#REF!*(2^'Zoopl Count'!#REF!)/'Zoopl Count'!#REF!)</f>
        <v>#REF!</v>
      </c>
      <c r="M204" s="74"/>
    </row>
    <row r="205" spans="1:13" ht="15" customHeight="1">
      <c r="C205" s="8"/>
      <c r="G205" s="38" t="str">
        <f>IF('Zoopl Count'!G330="","",'Zoopl Count'!G330*(2^'Zoopl Count'!G$9)/'Zoopl Count'!G$8)</f>
        <v/>
      </c>
      <c r="H205" s="38" t="str">
        <f>IF('Zoopl Count'!H330="","",'Zoopl Count'!H330*(2^'Zoopl Count'!H$9)/'Zoopl Count'!H$8)</f>
        <v/>
      </c>
      <c r="I205" s="38" t="str">
        <f>IF('Zoopl Count'!I330="","",'Zoopl Count'!I330*(2^'Zoopl Count'!I$9)/'Zoopl Count'!I$8)</f>
        <v/>
      </c>
      <c r="J205" s="38" t="e">
        <f>IF('Zoopl Count'!#REF!="","",'Zoopl Count'!#REF!*(2^'Zoopl Count'!#REF!)/'Zoopl Count'!#REF!)</f>
        <v>#REF!</v>
      </c>
      <c r="K205" s="38" t="e">
        <f>IF('Zoopl Count'!#REF!="","",'Zoopl Count'!#REF!*(2^'Zoopl Count'!#REF!)/'Zoopl Count'!#REF!)</f>
        <v>#REF!</v>
      </c>
      <c r="L205" s="38" t="e">
        <f>IF('Zoopl Count'!#REF!="","",'Zoopl Count'!#REF!*(2^'Zoopl Count'!#REF!)/'Zoopl Count'!#REF!)</f>
        <v>#REF!</v>
      </c>
      <c r="M205" s="74"/>
    </row>
    <row r="206" spans="1:13" ht="15" customHeight="1">
      <c r="D206" s="8"/>
      <c r="G206" s="38" t="str">
        <f>IF('Zoopl Count'!G331="","",'Zoopl Count'!G331*(2^'Zoopl Count'!G$9)/'Zoopl Count'!G$8)</f>
        <v/>
      </c>
      <c r="H206" s="38" t="str">
        <f>IF('Zoopl Count'!H331="","",'Zoopl Count'!H331*(2^'Zoopl Count'!H$9)/'Zoopl Count'!H$8)</f>
        <v/>
      </c>
      <c r="I206" s="38" t="str">
        <f>IF('Zoopl Count'!I331="","",'Zoopl Count'!I331*(2^'Zoopl Count'!I$9)/'Zoopl Count'!I$8)</f>
        <v/>
      </c>
      <c r="J206" s="38" t="e">
        <f>IF('Zoopl Count'!#REF!="","",'Zoopl Count'!#REF!*(2^'Zoopl Count'!#REF!)/'Zoopl Count'!#REF!)</f>
        <v>#REF!</v>
      </c>
      <c r="K206" s="38" t="e">
        <f>IF('Zoopl Count'!#REF!="","",'Zoopl Count'!#REF!*(2^'Zoopl Count'!#REF!)/'Zoopl Count'!#REF!)</f>
        <v>#REF!</v>
      </c>
      <c r="L206" s="38" t="e">
        <f>IF('Zoopl Count'!#REF!="","",'Zoopl Count'!#REF!*(2^'Zoopl Count'!#REF!)/'Zoopl Count'!#REF!)</f>
        <v>#REF!</v>
      </c>
      <c r="M206" s="74"/>
    </row>
    <row r="207" spans="1:13" ht="15" customHeight="1">
      <c r="A207" s="2" t="s">
        <v>54</v>
      </c>
      <c r="B207" s="2" t="s">
        <v>130</v>
      </c>
      <c r="C207" s="13" t="s">
        <v>61</v>
      </c>
      <c r="D207" s="6" t="s">
        <v>62</v>
      </c>
      <c r="E207" s="8"/>
      <c r="F207" s="19" t="s">
        <v>63</v>
      </c>
      <c r="G207" s="38" t="str">
        <f>IF('Zoopl Count'!G332="","",'Zoopl Count'!G332*(2^'Zoopl Count'!G$9)/'Zoopl Count'!G$8)</f>
        <v/>
      </c>
      <c r="H207" s="38" t="str">
        <f>IF('Zoopl Count'!H332="","",'Zoopl Count'!H332*(2^'Zoopl Count'!H$9)/'Zoopl Count'!H$8)</f>
        <v/>
      </c>
      <c r="I207" s="38" t="str">
        <f>IF('Zoopl Count'!I332="","",'Zoopl Count'!I332*(2^'Zoopl Count'!I$9)/'Zoopl Count'!I$8)</f>
        <v/>
      </c>
      <c r="J207" s="38" t="e">
        <f>IF('Zoopl Count'!#REF!="","",'Zoopl Count'!#REF!*(2^'Zoopl Count'!#REF!)/'Zoopl Count'!#REF!)</f>
        <v>#REF!</v>
      </c>
      <c r="K207" s="38" t="e">
        <f>IF('Zoopl Count'!#REF!="","",'Zoopl Count'!#REF!*(2^'Zoopl Count'!#REF!)/'Zoopl Count'!#REF!)</f>
        <v>#REF!</v>
      </c>
      <c r="L207" s="38" t="e">
        <f>IF('Zoopl Count'!#REF!="","",'Zoopl Count'!#REF!*(2^'Zoopl Count'!#REF!)/'Zoopl Count'!#REF!)</f>
        <v>#REF!</v>
      </c>
      <c r="M207" s="74"/>
    </row>
    <row r="208" spans="1:13" ht="15" customHeight="1">
      <c r="C208" s="8"/>
      <c r="G208" s="38" t="str">
        <f>IF('Zoopl Count'!G333="","",'Zoopl Count'!G333*(2^'Zoopl Count'!G$9)/'Zoopl Count'!G$8)</f>
        <v/>
      </c>
      <c r="H208" s="38" t="str">
        <f>IF('Zoopl Count'!H333="","",'Zoopl Count'!H333*(2^'Zoopl Count'!H$9)/'Zoopl Count'!H$8)</f>
        <v/>
      </c>
      <c r="I208" s="38" t="str">
        <f>IF('Zoopl Count'!I333="","",'Zoopl Count'!I333*(2^'Zoopl Count'!I$9)/'Zoopl Count'!I$8)</f>
        <v/>
      </c>
      <c r="J208" s="38" t="e">
        <f>IF('Zoopl Count'!#REF!="","",'Zoopl Count'!#REF!*(2^'Zoopl Count'!#REF!)/'Zoopl Count'!#REF!)</f>
        <v>#REF!</v>
      </c>
      <c r="K208" s="38" t="e">
        <f>IF('Zoopl Count'!#REF!="","",'Zoopl Count'!#REF!*(2^'Zoopl Count'!#REF!)/'Zoopl Count'!#REF!)</f>
        <v>#REF!</v>
      </c>
      <c r="L208" s="38" t="e">
        <f>IF('Zoopl Count'!#REF!="","",'Zoopl Count'!#REF!*(2^'Zoopl Count'!#REF!)/'Zoopl Count'!#REF!)</f>
        <v>#REF!</v>
      </c>
      <c r="M208" s="74"/>
    </row>
    <row r="209" spans="1:14" ht="15" customHeight="1">
      <c r="D209" s="8"/>
      <c r="G209" s="38" t="str">
        <f>IF('Zoopl Count'!G334="","",'Zoopl Count'!G334*(2^'Zoopl Count'!G$9)/'Zoopl Count'!G$8)</f>
        <v/>
      </c>
      <c r="H209" s="38" t="str">
        <f>IF('Zoopl Count'!H334="","",'Zoopl Count'!H334*(2^'Zoopl Count'!H$9)/'Zoopl Count'!H$8)</f>
        <v/>
      </c>
      <c r="I209" s="38" t="str">
        <f>IF('Zoopl Count'!I334="","",'Zoopl Count'!I334*(2^'Zoopl Count'!I$9)/'Zoopl Count'!I$8)</f>
        <v/>
      </c>
      <c r="J209" s="38" t="e">
        <f>IF('Zoopl Count'!#REF!="","",'Zoopl Count'!#REF!*(2^'Zoopl Count'!#REF!)/'Zoopl Count'!#REF!)</f>
        <v>#REF!</v>
      </c>
      <c r="K209" s="38" t="e">
        <f>IF('Zoopl Count'!#REF!="","",'Zoopl Count'!#REF!*(2^'Zoopl Count'!#REF!)/'Zoopl Count'!#REF!)</f>
        <v>#REF!</v>
      </c>
      <c r="L209" s="38" t="e">
        <f>IF('Zoopl Count'!#REF!="","",'Zoopl Count'!#REF!*(2^'Zoopl Count'!#REF!)/'Zoopl Count'!#REF!)</f>
        <v>#REF!</v>
      </c>
      <c r="M209" s="74"/>
    </row>
    <row r="210" spans="1:14" ht="15" customHeight="1">
      <c r="A210" s="2" t="s">
        <v>54</v>
      </c>
      <c r="B210" s="2" t="s">
        <v>130</v>
      </c>
      <c r="C210" s="2" t="s">
        <v>64</v>
      </c>
      <c r="D210" s="6" t="s">
        <v>65</v>
      </c>
      <c r="E210" s="8"/>
      <c r="F210" s="19" t="s">
        <v>66</v>
      </c>
      <c r="G210" s="38" t="str">
        <f>IF('Zoopl Count'!G335="","",'Zoopl Count'!G335*(2^'Zoopl Count'!G$9)/'Zoopl Count'!G$8)</f>
        <v/>
      </c>
      <c r="H210" s="38" t="str">
        <f>IF('Zoopl Count'!H335="","",'Zoopl Count'!H335*(2^'Zoopl Count'!H$9)/'Zoopl Count'!H$8)</f>
        <v/>
      </c>
      <c r="I210" s="38" t="str">
        <f>IF('Zoopl Count'!I335="","",'Zoopl Count'!I335*(2^'Zoopl Count'!I$9)/'Zoopl Count'!I$8)</f>
        <v/>
      </c>
      <c r="J210" s="38" t="e">
        <f>IF('Zoopl Count'!#REF!="","",'Zoopl Count'!#REF!*(2^'Zoopl Count'!#REF!)/'Zoopl Count'!#REF!)</f>
        <v>#REF!</v>
      </c>
      <c r="K210" s="38" t="e">
        <f>IF('Zoopl Count'!#REF!="","",'Zoopl Count'!#REF!*(2^'Zoopl Count'!#REF!)/'Zoopl Count'!#REF!)</f>
        <v>#REF!</v>
      </c>
      <c r="L210" s="38" t="e">
        <f>IF('Zoopl Count'!#REF!="","",'Zoopl Count'!#REF!*(2^'Zoopl Count'!#REF!)/'Zoopl Count'!#REF!)</f>
        <v>#REF!</v>
      </c>
      <c r="M210" s="74"/>
    </row>
    <row r="211" spans="1:14" ht="15" customHeight="1">
      <c r="B211" s="21"/>
      <c r="E211" s="8"/>
      <c r="F211" s="10"/>
      <c r="G211" s="38" t="str">
        <f>IF('Zoopl Count'!G337="","",'Zoopl Count'!G337*(2^'Zoopl Count'!G$9)/'Zoopl Count'!G$8)</f>
        <v/>
      </c>
      <c r="H211" s="38" t="str">
        <f>IF('Zoopl Count'!H337="","",'Zoopl Count'!H337*(2^'Zoopl Count'!H$9)/'Zoopl Count'!H$8)</f>
        <v/>
      </c>
      <c r="I211" s="38" t="str">
        <f>IF('Zoopl Count'!I337="","",'Zoopl Count'!I337*(2^'Zoopl Count'!I$9)/'Zoopl Count'!I$8)</f>
        <v/>
      </c>
      <c r="J211" s="38" t="e">
        <f>IF('Zoopl Count'!#REF!="","",'Zoopl Count'!#REF!*(2^'Zoopl Count'!#REF!)/'Zoopl Count'!#REF!)</f>
        <v>#REF!</v>
      </c>
      <c r="K211" s="38" t="e">
        <f>IF('Zoopl Count'!#REF!="","",'Zoopl Count'!#REF!*(2^'Zoopl Count'!#REF!)/'Zoopl Count'!#REF!)</f>
        <v>#REF!</v>
      </c>
      <c r="L211" s="38" t="e">
        <f>IF('Zoopl Count'!#REF!="","",'Zoopl Count'!#REF!*(2^'Zoopl Count'!#REF!)/'Zoopl Count'!#REF!)</f>
        <v>#REF!</v>
      </c>
      <c r="M211" s="74"/>
    </row>
    <row r="212" spans="1:14" ht="15" customHeight="1">
      <c r="A212" s="2" t="s">
        <v>54</v>
      </c>
      <c r="B212" s="2" t="s">
        <v>131</v>
      </c>
      <c r="C212" s="2"/>
      <c r="E212" s="8"/>
      <c r="F212" s="9" t="s">
        <v>132</v>
      </c>
      <c r="G212" s="38">
        <f>IF('Zoopl Count'!G338="","",'Zoopl Count'!G338*(2^'Zoopl Count'!G$9)/'Zoopl Count'!G$8)</f>
        <v>2.8683540463793746</v>
      </c>
      <c r="H212" s="38">
        <f>IF('Zoopl Count'!H338="","",'Zoopl Count'!H338*(2^'Zoopl Count'!H$9)/'Zoopl Count'!H$8)</f>
        <v>1.1082276997374856</v>
      </c>
      <c r="I212" s="38">
        <f>IF('Zoopl Count'!I338="","",'Zoopl Count'!I338*(2^'Zoopl Count'!I$9)/'Zoopl Count'!I$8)</f>
        <v>0.68449357924962351</v>
      </c>
      <c r="J212" s="38" t="e">
        <f>IF('Zoopl Count'!#REF!="","",'Zoopl Count'!#REF!*(2^'Zoopl Count'!#REF!)/'Zoopl Count'!#REF!)</f>
        <v>#REF!</v>
      </c>
      <c r="K212" s="38" t="e">
        <f>IF('Zoopl Count'!#REF!="","",'Zoopl Count'!#REF!*(2^'Zoopl Count'!#REF!)/'Zoopl Count'!#REF!)</f>
        <v>#REF!</v>
      </c>
      <c r="L212" s="38" t="e">
        <f>IF('Zoopl Count'!#REF!="","",'Zoopl Count'!#REF!*(2^'Zoopl Count'!#REF!)/'Zoopl Count'!#REF!)</f>
        <v>#REF!</v>
      </c>
      <c r="M212" s="74"/>
    </row>
    <row r="213" spans="1:14" ht="14.15" customHeight="1">
      <c r="A213" s="2" t="s">
        <v>54</v>
      </c>
      <c r="B213" s="2" t="s">
        <v>131</v>
      </c>
      <c r="C213" s="2"/>
      <c r="E213" s="8"/>
      <c r="F213" s="9" t="s">
        <v>133</v>
      </c>
      <c r="G213" s="38">
        <f>IF('Zoopl Count'!G339="","",'Zoopl Count'!G339*(2^'Zoopl Count'!G$9)/'Zoopl Count'!G$8)</f>
        <v>38.462020167359796</v>
      </c>
      <c r="H213" s="38">
        <f>IF('Zoopl Count'!H339="","",'Zoopl Count'!H339*(2^'Zoopl Count'!H$9)/'Zoopl Count'!H$8)</f>
        <v>16.427845901990963</v>
      </c>
      <c r="I213" s="38">
        <f>IF('Zoopl Count'!I339="","",'Zoopl Count'!I339*(2^'Zoopl Count'!I$9)/'Zoopl Count'!I$8)</f>
        <v>7.9531634922337204</v>
      </c>
      <c r="J213" s="38" t="e">
        <f>IF('Zoopl Count'!#REF!="","",'Zoopl Count'!#REF!*(2^'Zoopl Count'!#REF!)/'Zoopl Count'!#REF!)</f>
        <v>#REF!</v>
      </c>
      <c r="K213" s="38" t="e">
        <f>IF('Zoopl Count'!#REF!="","",'Zoopl Count'!#REF!*(2^'Zoopl Count'!#REF!)/'Zoopl Count'!#REF!)</f>
        <v>#REF!</v>
      </c>
      <c r="L213" s="38" t="e">
        <f>IF('Zoopl Count'!#REF!="","",'Zoopl Count'!#REF!*(2^'Zoopl Count'!#REF!)/'Zoopl Count'!#REF!)</f>
        <v>#REF!</v>
      </c>
      <c r="M213" s="74"/>
    </row>
    <row r="214" spans="1:14" ht="15" thickBot="1">
      <c r="B214" s="8" t="s">
        <v>162</v>
      </c>
      <c r="C214" s="2"/>
      <c r="E214" s="8"/>
      <c r="G214" s="38" t="str">
        <f>IF('Zoopl Count'!G340="","",'Zoopl Count'!G340*(2^'Zoopl Count'!G$9)/'Zoopl Count'!G$8)</f>
        <v/>
      </c>
      <c r="H214" s="38" t="str">
        <f>IF('Zoopl Count'!H340="","",'Zoopl Count'!H340*(2^'Zoopl Count'!H$9)/'Zoopl Count'!H$8)</f>
        <v/>
      </c>
      <c r="I214" s="38" t="str">
        <f>IF('Zoopl Count'!I340="","",'Zoopl Count'!I340*(2^'Zoopl Count'!I$9)/'Zoopl Count'!I$8)</f>
        <v/>
      </c>
      <c r="J214" s="38" t="e">
        <f>IF('Zoopl Count'!#REF!="","",'Zoopl Count'!#REF!*(2^'Zoopl Count'!#REF!)/'Zoopl Count'!#REF!)</f>
        <v>#REF!</v>
      </c>
      <c r="K214" s="38" t="e">
        <f>IF('Zoopl Count'!#REF!="","",'Zoopl Count'!#REF!*(2^'Zoopl Count'!#REF!)/'Zoopl Count'!#REF!)</f>
        <v>#REF!</v>
      </c>
      <c r="L214" s="38" t="e">
        <f>IF('Zoopl Count'!#REF!="","",'Zoopl Count'!#REF!*(2^'Zoopl Count'!#REF!)/'Zoopl Count'!#REF!)</f>
        <v>#REF!</v>
      </c>
      <c r="M214" s="74"/>
    </row>
    <row r="215" spans="1:14" s="14" customFormat="1" ht="15" thickBot="1">
      <c r="F215" s="20" t="s">
        <v>82</v>
      </c>
      <c r="G215" s="25">
        <f>COUNT(G10:G214)</f>
        <v>21</v>
      </c>
      <c r="H215" s="25">
        <f t="shared" ref="H215:L215" si="0">COUNT(H10:H214)</f>
        <v>18</v>
      </c>
      <c r="I215" s="25">
        <f t="shared" si="0"/>
        <v>22</v>
      </c>
      <c r="J215" s="25">
        <f t="shared" si="0"/>
        <v>0</v>
      </c>
      <c r="K215" s="25">
        <f t="shared" si="0"/>
        <v>0</v>
      </c>
      <c r="L215" s="25">
        <f t="shared" si="0"/>
        <v>0</v>
      </c>
      <c r="N215" s="6"/>
    </row>
    <row r="216" spans="1:14">
      <c r="F216" s="21" t="s">
        <v>165</v>
      </c>
      <c r="G216" s="24" t="e">
        <f>SUM(G10:G214)</f>
        <v>#REF!</v>
      </c>
      <c r="H216" s="24" t="e">
        <f t="shared" ref="H216:L216" si="1">SUM(H10:H214)</f>
        <v>#REF!</v>
      </c>
      <c r="I216" s="24" t="e">
        <f t="shared" si="1"/>
        <v>#REF!</v>
      </c>
      <c r="J216" s="24" t="e">
        <f t="shared" si="1"/>
        <v>#REF!</v>
      </c>
      <c r="K216" s="24" t="e">
        <f t="shared" si="1"/>
        <v>#REF!</v>
      </c>
      <c r="L216" s="24" t="e">
        <f t="shared" si="1"/>
        <v>#REF!</v>
      </c>
      <c r="M216" s="75"/>
    </row>
    <row r="217" spans="1:14">
      <c r="F217" s="21" t="s">
        <v>134</v>
      </c>
      <c r="G217" s="24" t="e">
        <f>(G216*LN(G216)-'LN Data'!G338)/G216</f>
        <v>#REF!</v>
      </c>
      <c r="H217" s="24" t="e">
        <f>(H216*LN(H216)-'LN Data'!H338)/H216</f>
        <v>#REF!</v>
      </c>
      <c r="I217" s="24" t="e">
        <f>(I216*LN(I216)-'LN Data'!I338)/I216</f>
        <v>#REF!</v>
      </c>
      <c r="J217" s="24" t="e">
        <f>(J216*LN(J216)-'LN Data'!#REF!)/J216</f>
        <v>#REF!</v>
      </c>
      <c r="K217" s="24" t="e">
        <f>(K216*LN(K216)-'LN Data'!#REF!)/K216</f>
        <v>#REF!</v>
      </c>
      <c r="L217" s="24" t="e">
        <f>(L216*LN(L216)-'LN Data'!#REF!)/L216</f>
        <v>#REF!</v>
      </c>
      <c r="M217" s="75"/>
    </row>
    <row r="218" spans="1:14">
      <c r="F218" s="21" t="s">
        <v>135</v>
      </c>
      <c r="G218" s="24" t="e">
        <f t="shared" ref="G218:L218" si="2">G217/LN(G215)</f>
        <v>#REF!</v>
      </c>
      <c r="H218" s="24" t="e">
        <f t="shared" si="2"/>
        <v>#REF!</v>
      </c>
      <c r="I218" s="24" t="e">
        <f t="shared" si="2"/>
        <v>#REF!</v>
      </c>
      <c r="J218" s="24" t="e">
        <f t="shared" si="2"/>
        <v>#REF!</v>
      </c>
      <c r="K218" s="24" t="e">
        <f t="shared" si="2"/>
        <v>#REF!</v>
      </c>
      <c r="L218" s="24" t="e">
        <f t="shared" si="2"/>
        <v>#REF!</v>
      </c>
      <c r="M218" s="75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15"/>
  <sheetViews>
    <sheetView workbookViewId="0">
      <selection activeCell="H10" sqref="H10"/>
    </sheetView>
  </sheetViews>
  <sheetFormatPr defaultRowHeight="15.5"/>
  <cols>
    <col min="1" max="1" width="6.9140625" style="6" customWidth="1"/>
    <col min="2" max="2" width="1.9140625" style="6" customWidth="1"/>
    <col min="3" max="5" width="2" style="6" customWidth="1"/>
    <col min="6" max="6" width="20.58203125" style="6" customWidth="1"/>
  </cols>
  <sheetData>
    <row r="1" spans="1:9" ht="18.5">
      <c r="A1" s="22" t="s">
        <v>167</v>
      </c>
      <c r="B1" s="22"/>
      <c r="C1" s="22"/>
      <c r="D1" s="22"/>
      <c r="E1" s="22"/>
      <c r="F1" s="22"/>
    </row>
    <row r="2" spans="1:9">
      <c r="A2" s="2" t="s">
        <v>230</v>
      </c>
      <c r="B2" s="2"/>
      <c r="C2" s="2"/>
      <c r="D2" s="2"/>
      <c r="E2" s="2"/>
      <c r="F2" s="2"/>
    </row>
    <row r="3" spans="1:9" hidden="1">
      <c r="A3" s="2"/>
      <c r="B3" s="2"/>
      <c r="C3" s="2"/>
      <c r="D3" s="2"/>
      <c r="E3" s="2"/>
      <c r="F3" s="2"/>
    </row>
    <row r="4" spans="1:9">
      <c r="A4" s="2"/>
      <c r="B4" s="2"/>
      <c r="C4" s="2"/>
      <c r="D4" s="2"/>
      <c r="E4" s="2"/>
      <c r="F4" s="3" t="str">
        <f>'Zoopl Count'!F4</f>
        <v>Sample Marking:</v>
      </c>
      <c r="G4" s="114" t="s">
        <v>254</v>
      </c>
      <c r="H4" s="114" t="s">
        <v>261</v>
      </c>
      <c r="I4" s="115" t="s">
        <v>262</v>
      </c>
    </row>
    <row r="5" spans="1:9" hidden="1">
      <c r="A5" s="2"/>
      <c r="B5" s="2"/>
      <c r="C5" s="2"/>
      <c r="D5" s="2"/>
      <c r="E5" s="2"/>
      <c r="F5" s="100" t="s">
        <v>166</v>
      </c>
      <c r="G5" s="114"/>
      <c r="H5" s="114"/>
      <c r="I5" s="115"/>
    </row>
    <row r="6" spans="1:9" hidden="1">
      <c r="A6" s="2"/>
      <c r="B6" s="2"/>
      <c r="C6" s="2"/>
      <c r="D6" s="2"/>
      <c r="E6" s="2"/>
      <c r="F6" s="3" t="str">
        <f>'Zoopl Count'!F3</f>
        <v>Reference ID:</v>
      </c>
      <c r="G6" s="114"/>
      <c r="H6" s="114"/>
      <c r="I6" s="115"/>
    </row>
    <row r="7" spans="1:9">
      <c r="A7" s="2"/>
      <c r="B7" s="2"/>
      <c r="C7" s="2"/>
      <c r="D7" s="2"/>
      <c r="E7" s="2"/>
      <c r="F7" s="3" t="s">
        <v>256</v>
      </c>
      <c r="G7" s="114">
        <v>4</v>
      </c>
      <c r="H7" s="114">
        <v>4</v>
      </c>
      <c r="I7" s="115">
        <v>4</v>
      </c>
    </row>
    <row r="8" spans="1:9">
      <c r="A8" s="2"/>
      <c r="B8" s="2"/>
      <c r="C8" s="2"/>
      <c r="D8" s="2"/>
      <c r="E8" s="2"/>
      <c r="F8" s="3" t="s">
        <v>255</v>
      </c>
      <c r="G8" s="114">
        <f>'Zoopl Count'!G8*4</f>
        <v>981.74770424681037</v>
      </c>
      <c r="H8" s="114" t="e">
        <f>'Zoopl Count'!#REF!*4</f>
        <v>#REF!</v>
      </c>
      <c r="I8" s="115" t="e">
        <f>'Zoopl Analysis'!#REF!*4</f>
        <v>#REF!</v>
      </c>
    </row>
    <row r="9" spans="1:9" ht="16" hidden="1" thickBot="1">
      <c r="A9" s="4"/>
      <c r="B9" s="4"/>
      <c r="C9" s="4"/>
      <c r="D9" s="4"/>
      <c r="E9" s="4"/>
      <c r="F9" s="5" t="s">
        <v>143</v>
      </c>
    </row>
    <row r="10" spans="1:9">
      <c r="A10" s="21" t="s">
        <v>7</v>
      </c>
      <c r="B10" s="2" t="s">
        <v>203</v>
      </c>
      <c r="C10" s="2"/>
      <c r="D10" s="2"/>
      <c r="E10" s="2"/>
      <c r="F10" s="103"/>
      <c r="G10" t="str">
        <f>IF(SUM('Zoopl Analysis'!G10:I10)/4=0,"",(SUM('Zoopl Analysis'!G10:I10)/4))</f>
        <v/>
      </c>
      <c r="H10" t="e">
        <f>IF(SUM('Zoopl Analysis'!#REF!)/4=0,"",(SUM('Zoopl Analysis'!#REF!)/4))</f>
        <v>#REF!</v>
      </c>
    </row>
    <row r="11" spans="1:9">
      <c r="A11" s="46"/>
      <c r="B11" s="47" t="s">
        <v>79</v>
      </c>
      <c r="C11" s="2" t="s">
        <v>204</v>
      </c>
      <c r="D11" s="46"/>
      <c r="E11" s="46"/>
      <c r="F11" s="104"/>
      <c r="G11" t="str">
        <f>IF(SUM('Zoopl Analysis'!G11:I11)/4=0,"",(SUM('Zoopl Analysis'!G11:I11)/4))</f>
        <v/>
      </c>
      <c r="H11" t="e">
        <f>IF(SUM('Zoopl Analysis'!#REF!)/4=0,"",(SUM('Zoopl Analysis'!#REF!)/4))</f>
        <v>#REF!</v>
      </c>
    </row>
    <row r="12" spans="1:9">
      <c r="A12" s="46"/>
      <c r="B12" s="46"/>
      <c r="C12" s="47" t="s">
        <v>10</v>
      </c>
      <c r="D12" s="2" t="s">
        <v>205</v>
      </c>
      <c r="E12" s="46"/>
      <c r="F12" s="104"/>
      <c r="G12" t="str">
        <f>IF(SUM('Zoopl Analysis'!G12:I12)/4=0,"",(SUM('Zoopl Analysis'!G12:I12)/4))</f>
        <v/>
      </c>
      <c r="H12" t="e">
        <f>IF(SUM('Zoopl Analysis'!#REF!)/4=0,"",(SUM('Zoopl Analysis'!#REF!)/4))</f>
        <v>#REF!</v>
      </c>
    </row>
    <row r="13" spans="1:9">
      <c r="A13" s="46"/>
      <c r="B13" s="46"/>
      <c r="C13" s="46"/>
      <c r="D13" s="47" t="s">
        <v>12</v>
      </c>
      <c r="E13" s="46" t="s">
        <v>206</v>
      </c>
      <c r="F13" s="104"/>
      <c r="G13" t="str">
        <f>IF(SUM('Zoopl Analysis'!G15:I15)/4=0,"",(SUM('Zoopl Analysis'!G15:I15)/4))</f>
        <v/>
      </c>
      <c r="H13" t="e">
        <f>IF(SUM('Zoopl Analysis'!#REF!)/4=0,"",(SUM('Zoopl Analysis'!#REF!)/4))</f>
        <v>#REF!</v>
      </c>
    </row>
    <row r="14" spans="1:9">
      <c r="A14" s="46"/>
      <c r="B14" s="46"/>
      <c r="C14" s="46"/>
      <c r="D14" s="46"/>
      <c r="E14" s="47" t="s">
        <v>14</v>
      </c>
      <c r="F14" s="105" t="s">
        <v>207</v>
      </c>
      <c r="G14" t="str">
        <f>IF(SUM('Zoopl Analysis'!G16:I16)/4=0,"",(SUM('Zoopl Analysis'!G16:I16)/4))</f>
        <v/>
      </c>
      <c r="H14" t="e">
        <f>IF(SUM('Zoopl Analysis'!#REF!)/4=0,"",(SUM('Zoopl Analysis'!#REF!)/4))</f>
        <v>#REF!</v>
      </c>
    </row>
    <row r="15" spans="1:9">
      <c r="A15" s="2"/>
      <c r="B15" s="2"/>
      <c r="C15" s="2"/>
      <c r="D15" s="2"/>
      <c r="E15" s="2"/>
      <c r="F15" s="3"/>
      <c r="G15" t="str">
        <f>IF(SUM('Zoopl Analysis'!G35:I35)/4=0,"",(SUM('Zoopl Analysis'!G35:I35)/4))</f>
        <v/>
      </c>
      <c r="H15" t="e">
        <f>IF(SUM('Zoopl Analysis'!#REF!)/4=0,"",(SUM('Zoopl Analysis'!#REF!)/4))</f>
        <v>#REF!</v>
      </c>
    </row>
    <row r="16" spans="1:9">
      <c r="A16" s="21" t="s">
        <v>7</v>
      </c>
      <c r="B16" s="2" t="s">
        <v>188</v>
      </c>
      <c r="C16" s="2"/>
      <c r="D16" s="2"/>
      <c r="E16" s="2"/>
      <c r="F16" s="3"/>
      <c r="G16" t="str">
        <f>IF(SUM('Zoopl Analysis'!G36:I36)/4=0,"",(SUM('Zoopl Analysis'!G36:I36)/4))</f>
        <v/>
      </c>
      <c r="H16" t="e">
        <f>IF(SUM('Zoopl Analysis'!#REF!)/4=0,"",(SUM('Zoopl Analysis'!#REF!)/4))</f>
        <v>#REF!</v>
      </c>
    </row>
    <row r="17" spans="1:8">
      <c r="A17" s="2"/>
      <c r="B17" s="40" t="s">
        <v>79</v>
      </c>
      <c r="C17" s="2" t="s">
        <v>189</v>
      </c>
      <c r="D17" s="2"/>
      <c r="E17" s="2"/>
      <c r="F17" s="3"/>
      <c r="G17" t="str">
        <f>IF(SUM('Zoopl Analysis'!G37:I37)/4=0,"",(SUM('Zoopl Analysis'!G37:I37)/4))</f>
        <v/>
      </c>
      <c r="H17" t="e">
        <f>IF(SUM('Zoopl Analysis'!#REF!)/4=0,"",(SUM('Zoopl Analysis'!#REF!)/4))</f>
        <v>#REF!</v>
      </c>
    </row>
    <row r="18" spans="1:8">
      <c r="A18" s="2"/>
      <c r="B18" s="2"/>
      <c r="C18" s="40" t="s">
        <v>10</v>
      </c>
      <c r="D18" s="2" t="s">
        <v>190</v>
      </c>
      <c r="E18" s="2"/>
      <c r="F18" s="3"/>
      <c r="G18" t="str">
        <f>IF(SUM('Zoopl Analysis'!G38:I38)/4=0,"",(SUM('Zoopl Analysis'!G38:I38)/4))</f>
        <v/>
      </c>
      <c r="H18" t="e">
        <f>IF(SUM('Zoopl Analysis'!#REF!)/4=0,"",(SUM('Zoopl Analysis'!#REF!)/4))</f>
        <v>#REF!</v>
      </c>
    </row>
    <row r="19" spans="1:8">
      <c r="A19" s="2"/>
      <c r="B19" s="2"/>
      <c r="C19" s="2"/>
      <c r="D19" s="40" t="s">
        <v>12</v>
      </c>
      <c r="E19" s="42" t="s">
        <v>191</v>
      </c>
      <c r="F19" s="106"/>
      <c r="G19" t="str">
        <f>IF(SUM('Zoopl Analysis'!G39:I39)/4=0,"",(SUM('Zoopl Analysis'!G39:I39)/4))</f>
        <v/>
      </c>
      <c r="H19" t="e">
        <f>IF(SUM('Zoopl Analysis'!#REF!)/4=0,"",(SUM('Zoopl Analysis'!#REF!)/4))</f>
        <v>#REF!</v>
      </c>
    </row>
    <row r="20" spans="1:8">
      <c r="A20" s="2"/>
      <c r="B20" s="2"/>
      <c r="C20" s="2"/>
      <c r="D20" s="2"/>
      <c r="E20" s="40" t="s">
        <v>14</v>
      </c>
      <c r="F20" s="107" t="s">
        <v>192</v>
      </c>
      <c r="G20" t="str">
        <f>IF(SUM('Zoopl Analysis'!G40:I40)/4=0,"",(SUM('Zoopl Analysis'!G40:I40)/4))</f>
        <v/>
      </c>
      <c r="H20" t="e">
        <f>IF(SUM('Zoopl Analysis'!#REF!)/4=0,"",(SUM('Zoopl Analysis'!#REF!)/4))</f>
        <v>#REF!</v>
      </c>
    </row>
    <row r="21" spans="1:8">
      <c r="A21" s="2"/>
      <c r="B21" s="2"/>
      <c r="C21" s="2"/>
      <c r="D21" s="2"/>
      <c r="E21" s="40"/>
      <c r="F21" s="3"/>
      <c r="G21" t="str">
        <f>IF(SUM('Zoopl Analysis'!G41:I41)/4=0,"",(SUM('Zoopl Analysis'!G41:I41)/4))</f>
        <v/>
      </c>
      <c r="H21" t="e">
        <f>IF(SUM('Zoopl Analysis'!#REF!)/4=0,"",(SUM('Zoopl Analysis'!#REF!)/4))</f>
        <v>#REF!</v>
      </c>
    </row>
    <row r="22" spans="1:8">
      <c r="A22" s="2"/>
      <c r="B22" s="2"/>
      <c r="C22" s="2"/>
      <c r="D22" s="2"/>
      <c r="E22" s="2"/>
      <c r="F22" s="3"/>
      <c r="G22" t="str">
        <f>IF(SUM('Zoopl Analysis'!G42:I42)/4=0,"",(SUM('Zoopl Analysis'!G42:I42)/4))</f>
        <v/>
      </c>
      <c r="H22" t="e">
        <f>IF(SUM('Zoopl Analysis'!#REF!)/4=0,"",(SUM('Zoopl Analysis'!#REF!)/4))</f>
        <v>#REF!</v>
      </c>
    </row>
    <row r="23" spans="1:8">
      <c r="A23" s="21" t="s">
        <v>7</v>
      </c>
      <c r="B23" s="2" t="s">
        <v>151</v>
      </c>
      <c r="C23" s="2"/>
      <c r="D23" s="2"/>
      <c r="E23" s="2"/>
      <c r="F23" s="3"/>
      <c r="G23" t="str">
        <f>IF(SUM('Zoopl Analysis'!G43:I43)/4=0,"",(SUM('Zoopl Analysis'!G43:I43)/4))</f>
        <v/>
      </c>
      <c r="H23" t="e">
        <f>IF(SUM('Zoopl Analysis'!#REF!)/4=0,"",(SUM('Zoopl Analysis'!#REF!)/4))</f>
        <v>#REF!</v>
      </c>
    </row>
    <row r="24" spans="1:8">
      <c r="A24" s="2"/>
      <c r="B24" s="21" t="s">
        <v>79</v>
      </c>
      <c r="C24" s="2" t="s">
        <v>152</v>
      </c>
      <c r="D24" s="2"/>
      <c r="E24" s="2"/>
      <c r="F24" s="3"/>
      <c r="G24" t="str">
        <f>IF(SUM('Zoopl Analysis'!G44:I44)/4=0,"",(SUM('Zoopl Analysis'!G44:I44)/4))</f>
        <v/>
      </c>
      <c r="H24" t="e">
        <f>IF(SUM('Zoopl Analysis'!#REF!)/4=0,"",(SUM('Zoopl Analysis'!#REF!)/4))</f>
        <v>#REF!</v>
      </c>
    </row>
    <row r="25" spans="1:8">
      <c r="A25" s="2"/>
      <c r="B25" s="21"/>
      <c r="C25" s="21" t="s">
        <v>10</v>
      </c>
      <c r="D25" s="2" t="s">
        <v>153</v>
      </c>
      <c r="E25" s="2"/>
      <c r="F25" s="3"/>
      <c r="G25" t="str">
        <f>IF(SUM('Zoopl Analysis'!G45:I45)/4=0,"",(SUM('Zoopl Analysis'!G45:I45)/4))</f>
        <v/>
      </c>
      <c r="H25" t="e">
        <f>IF(SUM('Zoopl Analysis'!#REF!)/4=0,"",(SUM('Zoopl Analysis'!#REF!)/4))</f>
        <v>#REF!</v>
      </c>
    </row>
    <row r="26" spans="1:8">
      <c r="D26" s="8" t="s">
        <v>12</v>
      </c>
      <c r="E26" s="6" t="s">
        <v>154</v>
      </c>
      <c r="F26" s="9"/>
      <c r="G26" t="str">
        <f>IF(SUM('Zoopl Analysis'!G46:I46)/4=0,"",(SUM('Zoopl Analysis'!G46:I46)/4))</f>
        <v/>
      </c>
      <c r="H26" t="e">
        <f>IF(SUM('Zoopl Analysis'!#REF!)/4=0,"",(SUM('Zoopl Analysis'!#REF!)/4))</f>
        <v>#REF!</v>
      </c>
    </row>
    <row r="27" spans="1:8">
      <c r="D27" s="8"/>
      <c r="E27" s="8" t="s">
        <v>14</v>
      </c>
      <c r="F27" s="9" t="s">
        <v>155</v>
      </c>
      <c r="G27" t="str">
        <f>IF(SUM('Zoopl Analysis'!G47:I47)/4=0,"",(SUM('Zoopl Analysis'!G47:I47)/4))</f>
        <v/>
      </c>
      <c r="H27" t="e">
        <f>IF(SUM('Zoopl Analysis'!#REF!)/4=0,"",(SUM('Zoopl Analysis'!#REF!)/4))</f>
        <v>#REF!</v>
      </c>
    </row>
    <row r="28" spans="1:8">
      <c r="D28" s="8"/>
      <c r="F28" s="9" t="s">
        <v>168</v>
      </c>
      <c r="G28" t="str">
        <f>IF(SUM('Zoopl Analysis'!G48:I48)/4=0,"",(SUM('Zoopl Analysis'!G48:I48)/4))</f>
        <v/>
      </c>
      <c r="H28" t="e">
        <f>IF(SUM('Zoopl Analysis'!#REF!)/4=0,"",(SUM('Zoopl Analysis'!#REF!)/4))</f>
        <v>#REF!</v>
      </c>
    </row>
    <row r="29" spans="1:8">
      <c r="D29" s="8"/>
      <c r="F29" s="9"/>
      <c r="G29" t="str">
        <f>IF(SUM('Zoopl Analysis'!G70:I70)/4=0,"",(SUM('Zoopl Analysis'!G70:I70)/4))</f>
        <v/>
      </c>
      <c r="H29" t="e">
        <f>IF(SUM('Zoopl Analysis'!#REF!)/4=0,"",(SUM('Zoopl Analysis'!#REF!)/4))</f>
        <v>#REF!</v>
      </c>
    </row>
    <row r="30" spans="1:8">
      <c r="A30" s="21" t="s">
        <v>7</v>
      </c>
      <c r="B30" s="2" t="s">
        <v>8</v>
      </c>
      <c r="C30" s="2"/>
      <c r="D30" s="2"/>
      <c r="E30" s="2"/>
      <c r="F30" s="100"/>
      <c r="G30" t="str">
        <f>IF(SUM('Zoopl Analysis'!G71:I71)/4=0,"",(SUM('Zoopl Analysis'!G71:I71)/4))</f>
        <v/>
      </c>
      <c r="H30" t="e">
        <f>IF(SUM('Zoopl Analysis'!#REF!)/4=0,"",(SUM('Zoopl Analysis'!#REF!)/4))</f>
        <v>#REF!</v>
      </c>
    </row>
    <row r="31" spans="1:8">
      <c r="A31" s="8"/>
      <c r="B31" s="2"/>
      <c r="F31" s="9" t="s">
        <v>172</v>
      </c>
      <c r="G31">
        <f>IF(SUM('Zoopl Analysis'!G84:I84)/4=0,"",(SUM('Zoopl Analysis'!G84:I84)/4))</f>
        <v>3.2594932345220165E-2</v>
      </c>
      <c r="H31" t="e">
        <f>IF(SUM('Zoopl Analysis'!#REF!)/4=0,"",(SUM('Zoopl Analysis'!#REF!)/4))</f>
        <v>#REF!</v>
      </c>
    </row>
    <row r="32" spans="1:8">
      <c r="A32" s="8"/>
      <c r="B32" s="21" t="s">
        <v>79</v>
      </c>
      <c r="C32" s="2" t="s">
        <v>85</v>
      </c>
      <c r="F32" s="9"/>
      <c r="G32" t="str">
        <f>IF(SUM('Zoopl Analysis'!G85:I85)/4=0,"",(SUM('Zoopl Analysis'!G85:I85)/4))</f>
        <v/>
      </c>
      <c r="H32" t="e">
        <f>IF(SUM('Zoopl Analysis'!#REF!)/4=0,"",(SUM('Zoopl Analysis'!#REF!)/4))</f>
        <v>#REF!</v>
      </c>
    </row>
    <row r="33" spans="1:8">
      <c r="F33" s="10" t="s">
        <v>5</v>
      </c>
      <c r="G33" t="str">
        <f>IF(SUM('Zoopl Analysis'!G86:I86)/4=0,"",(SUM('Zoopl Analysis'!G86:I86)/4))</f>
        <v/>
      </c>
      <c r="H33" t="e">
        <f>IF(SUM('Zoopl Analysis'!#REF!)/4=0,"",(SUM('Zoopl Analysis'!#REF!)/4))</f>
        <v>#REF!</v>
      </c>
    </row>
    <row r="34" spans="1:8">
      <c r="F34" s="10" t="s">
        <v>6</v>
      </c>
      <c r="G34" t="str">
        <f>IF(SUM('Zoopl Analysis'!G87:I87)/4=0,"",(SUM('Zoopl Analysis'!G87:I87)/4))</f>
        <v/>
      </c>
      <c r="H34" t="e">
        <f>IF(SUM('Zoopl Analysis'!#REF!)/4=0,"",(SUM('Zoopl Analysis'!#REF!)/4))</f>
        <v>#REF!</v>
      </c>
    </row>
    <row r="35" spans="1:8">
      <c r="F35" s="108"/>
      <c r="G35" t="str">
        <f>IF(SUM('Zoopl Analysis'!G88:I88)/4=0,"",(SUM('Zoopl Analysis'!G88:I88)/4))</f>
        <v/>
      </c>
      <c r="H35" t="e">
        <f>IF(SUM('Zoopl Analysis'!#REF!)/4=0,"",(SUM('Zoopl Analysis'!#REF!)/4))</f>
        <v>#REF!</v>
      </c>
    </row>
    <row r="36" spans="1:8">
      <c r="F36" s="9"/>
      <c r="G36" t="str">
        <f>IF(SUM('Zoopl Analysis'!G92:I92)/4=0,"",(SUM('Zoopl Analysis'!G92:I92)/4))</f>
        <v/>
      </c>
      <c r="H36" t="e">
        <f>IF(SUM('Zoopl Analysis'!#REF!)/4=0,"",(SUM('Zoopl Analysis'!#REF!)/4))</f>
        <v>#REF!</v>
      </c>
    </row>
    <row r="37" spans="1:8">
      <c r="A37" s="21" t="s">
        <v>7</v>
      </c>
      <c r="B37" s="2" t="s">
        <v>73</v>
      </c>
      <c r="C37" s="2"/>
      <c r="D37" s="2"/>
      <c r="E37" s="2"/>
      <c r="F37" s="100"/>
      <c r="G37" t="str">
        <f>IF(SUM('Zoopl Analysis'!G94:I94)/4=0,"",(SUM('Zoopl Analysis'!G94:I94)/4))</f>
        <v/>
      </c>
      <c r="H37" t="e">
        <f>IF(SUM('Zoopl Analysis'!#REF!)/4=0,"",(SUM('Zoopl Analysis'!#REF!)/4))</f>
        <v>#REF!</v>
      </c>
    </row>
    <row r="38" spans="1:8">
      <c r="A38" s="8"/>
      <c r="B38" s="2"/>
      <c r="F38" s="9" t="s">
        <v>102</v>
      </c>
      <c r="G38" t="str">
        <f>IF(SUM('Zoopl Analysis'!G95:I95)/4=0,"",(SUM('Zoopl Analysis'!G95:I95)/4))</f>
        <v/>
      </c>
      <c r="H38" t="e">
        <f>IF(SUM('Zoopl Analysis'!#REF!)/4=0,"",(SUM('Zoopl Analysis'!#REF!)/4))</f>
        <v>#REF!</v>
      </c>
    </row>
    <row r="39" spans="1:8">
      <c r="A39" s="8"/>
      <c r="B39" s="8" t="s">
        <v>79</v>
      </c>
      <c r="C39" s="2" t="s">
        <v>86</v>
      </c>
      <c r="F39" s="9"/>
      <c r="G39" t="str">
        <f>IF(SUM('Zoopl Analysis'!G96:I96)/4=0,"",(SUM('Zoopl Analysis'!G96:I96)/4))</f>
        <v/>
      </c>
      <c r="H39" t="e">
        <f>IF(SUM('Zoopl Analysis'!#REF!)/4=0,"",(SUM('Zoopl Analysis'!#REF!)/4))</f>
        <v>#REF!</v>
      </c>
    </row>
    <row r="40" spans="1:8">
      <c r="B40" s="8"/>
      <c r="F40" s="10" t="s">
        <v>74</v>
      </c>
      <c r="G40" t="e">
        <f>IF(SUM('Zoopl Analysis'!#REF!)/4=0,"",(SUM('Zoopl Analysis'!#REF!)/4))</f>
        <v>#REF!</v>
      </c>
      <c r="H40" t="e">
        <f>IF(SUM('Zoopl Analysis'!#REF!)/4=0,"",(SUM('Zoopl Analysis'!#REF!)/4))</f>
        <v>#REF!</v>
      </c>
    </row>
    <row r="41" spans="1:8">
      <c r="B41" s="8"/>
      <c r="F41" s="10"/>
      <c r="G41" t="str">
        <f>IF(SUM('Zoopl Analysis'!G100:I100)/4=0,"",(SUM('Zoopl Analysis'!G100:I100)/4))</f>
        <v/>
      </c>
      <c r="H41" t="e">
        <f>IF(SUM('Zoopl Analysis'!#REF!)/4=0,"",(SUM('Zoopl Analysis'!#REF!)/4))</f>
        <v>#REF!</v>
      </c>
    </row>
    <row r="42" spans="1:8">
      <c r="B42" s="8" t="s">
        <v>79</v>
      </c>
      <c r="C42" s="2" t="s">
        <v>87</v>
      </c>
      <c r="F42" s="9"/>
      <c r="G42" t="str">
        <f>IF(SUM('Zoopl Analysis'!G105:I105)/4=0,"",(SUM('Zoopl Analysis'!G105:I105)/4))</f>
        <v/>
      </c>
      <c r="H42" t="e">
        <f>IF(SUM('Zoopl Analysis'!#REF!)/4=0,"",(SUM('Zoopl Analysis'!#REF!)/4))</f>
        <v>#REF!</v>
      </c>
    </row>
    <row r="43" spans="1:8">
      <c r="F43" s="10" t="s">
        <v>75</v>
      </c>
      <c r="G43" t="str">
        <f>IF(SUM('Zoopl Analysis'!G106:I106)/4=0,"",(SUM('Zoopl Analysis'!G106:I106)/4))</f>
        <v/>
      </c>
      <c r="H43" t="e">
        <f>IF(SUM('Zoopl Analysis'!#REF!)/4=0,"",(SUM('Zoopl Analysis'!#REF!)/4))</f>
        <v>#REF!</v>
      </c>
    </row>
    <row r="44" spans="1:8">
      <c r="F44" s="9"/>
      <c r="G44" t="str">
        <f>IF(SUM('Zoopl Analysis'!G109:I109)/4=0,"",(SUM('Zoopl Analysis'!G109:I109)/4))</f>
        <v/>
      </c>
      <c r="H44" t="e">
        <f>IF(SUM('Zoopl Analysis'!#REF!)/4=0,"",(SUM('Zoopl Analysis'!#REF!)/4))</f>
        <v>#REF!</v>
      </c>
    </row>
    <row r="45" spans="1:8">
      <c r="A45" s="21" t="s">
        <v>7</v>
      </c>
      <c r="B45" s="2" t="s">
        <v>76</v>
      </c>
      <c r="C45" s="2"/>
      <c r="D45" s="2"/>
      <c r="E45" s="2"/>
      <c r="F45" s="100"/>
      <c r="G45" t="str">
        <f>IF(SUM('Zoopl Analysis'!G110:I110)/4=0,"",(SUM('Zoopl Analysis'!G110:I110)/4))</f>
        <v/>
      </c>
      <c r="H45" t="e">
        <f>IF(SUM('Zoopl Analysis'!#REF!)/4=0,"",(SUM('Zoopl Analysis'!#REF!)/4))</f>
        <v>#REF!</v>
      </c>
    </row>
    <row r="46" spans="1:8">
      <c r="A46" s="21"/>
      <c r="B46" s="2"/>
      <c r="C46" s="2"/>
      <c r="D46" s="2"/>
      <c r="E46" s="2"/>
      <c r="F46" s="100" t="s">
        <v>101</v>
      </c>
      <c r="G46" t="str">
        <f>IF(SUM('Zoopl Analysis'!G111:I111)/4=0,"",(SUM('Zoopl Analysis'!G111:I111)/4))</f>
        <v/>
      </c>
      <c r="H46" t="e">
        <f>IF(SUM('Zoopl Analysis'!#REF!)/4=0,"",(SUM('Zoopl Analysis'!#REF!)/4))</f>
        <v>#REF!</v>
      </c>
    </row>
    <row r="47" spans="1:8">
      <c r="A47" s="21"/>
      <c r="B47" s="21" t="s">
        <v>79</v>
      </c>
      <c r="C47" s="2" t="s">
        <v>88</v>
      </c>
      <c r="D47" s="2"/>
      <c r="E47" s="2"/>
      <c r="F47" s="100"/>
      <c r="G47" t="str">
        <f>IF(SUM('Zoopl Analysis'!G112:I112)/4=0,"",(SUM('Zoopl Analysis'!G112:I112)/4))</f>
        <v/>
      </c>
      <c r="H47" t="e">
        <f>IF(SUM('Zoopl Analysis'!#REF!)/4=0,"",(SUM('Zoopl Analysis'!#REF!)/4))</f>
        <v>#REF!</v>
      </c>
    </row>
    <row r="48" spans="1:8">
      <c r="F48" s="10" t="s">
        <v>77</v>
      </c>
      <c r="G48">
        <f>IF(SUM('Zoopl Analysis'!G113:I113)/4=0,"",(SUM('Zoopl Analysis'!G113:I113)/4))</f>
        <v>0.25261072567545628</v>
      </c>
      <c r="H48" t="e">
        <f>IF(SUM('Zoopl Analysis'!#REF!)/4=0,"",(SUM('Zoopl Analysis'!#REF!)/4))</f>
        <v>#REF!</v>
      </c>
    </row>
    <row r="49" spans="1:8">
      <c r="F49" s="9" t="s">
        <v>78</v>
      </c>
      <c r="G49" t="str">
        <f>IF(SUM('Zoopl Analysis'!G117:I117)/4=0,"",(SUM('Zoopl Analysis'!G117:I117)/4))</f>
        <v/>
      </c>
      <c r="H49" t="e">
        <f>IF(SUM('Zoopl Analysis'!#REF!)/4=0,"",(SUM('Zoopl Analysis'!#REF!)/4))</f>
        <v>#REF!</v>
      </c>
    </row>
    <row r="50" spans="1:8">
      <c r="A50" s="98"/>
      <c r="B50" s="98"/>
      <c r="C50" s="98" t="s">
        <v>223</v>
      </c>
      <c r="D50" s="98"/>
      <c r="E50" s="98"/>
      <c r="F50" s="109"/>
      <c r="G50" t="str">
        <f>IF(SUM('Zoopl Analysis'!G119:I119)/4=0,"",(SUM('Zoopl Analysis'!G119:I119)/4))</f>
        <v/>
      </c>
      <c r="H50" t="e">
        <f>IF(SUM('Zoopl Analysis'!#REF!)/4=0,"",(SUM('Zoopl Analysis'!#REF!)/4))</f>
        <v>#REF!</v>
      </c>
    </row>
    <row r="51" spans="1:8">
      <c r="A51" s="98"/>
      <c r="B51" s="98"/>
      <c r="C51" s="98"/>
      <c r="D51" s="98" t="s">
        <v>224</v>
      </c>
      <c r="E51" s="98"/>
      <c r="F51" s="109"/>
      <c r="G51" t="str">
        <f>IF(SUM('Zoopl Analysis'!G120:I120)/4=0,"",(SUM('Zoopl Analysis'!G120:I120)/4))</f>
        <v/>
      </c>
      <c r="H51" t="e">
        <f>IF(SUM('Zoopl Analysis'!#REF!)/4=0,"",(SUM('Zoopl Analysis'!#REF!)/4))</f>
        <v>#REF!</v>
      </c>
    </row>
    <row r="52" spans="1:8">
      <c r="F52" s="9"/>
      <c r="G52" t="str">
        <f>IF(SUM('Zoopl Analysis'!G124:I124)/4=0,"",(SUM('Zoopl Analysis'!G124:I124)/4))</f>
        <v/>
      </c>
      <c r="H52" t="e">
        <f>IF(SUM('Zoopl Analysis'!#REF!)/4=0,"",(SUM('Zoopl Analysis'!#REF!)/4))</f>
        <v>#REF!</v>
      </c>
    </row>
    <row r="53" spans="1:8">
      <c r="A53" s="21" t="s">
        <v>7</v>
      </c>
      <c r="B53" s="2" t="s">
        <v>9</v>
      </c>
      <c r="C53" s="2"/>
      <c r="D53" s="2"/>
      <c r="E53" s="2"/>
      <c r="F53" s="100"/>
      <c r="G53" t="str">
        <f>IF(SUM('Zoopl Analysis'!G128:I128)/4=0,"",(SUM('Zoopl Analysis'!G128:I128)/4))</f>
        <v/>
      </c>
      <c r="H53" t="e">
        <f>IF(SUM('Zoopl Analysis'!#REF!)/4=0,"",(SUM('Zoopl Analysis'!#REF!)/4))</f>
        <v>#REF!</v>
      </c>
    </row>
    <row r="54" spans="1:8">
      <c r="A54" s="8"/>
      <c r="B54" s="21" t="s">
        <v>79</v>
      </c>
      <c r="C54" s="2" t="s">
        <v>80</v>
      </c>
      <c r="F54" s="9"/>
      <c r="G54" t="str">
        <f>IF(SUM('Zoopl Analysis'!G129:I129)/4=0,"",(SUM('Zoopl Analysis'!G129:I129)/4))</f>
        <v/>
      </c>
      <c r="H54" t="e">
        <f>IF(SUM('Zoopl Analysis'!#REF!)/4=0,"",(SUM('Zoopl Analysis'!#REF!)/4))</f>
        <v>#REF!</v>
      </c>
    </row>
    <row r="55" spans="1:8">
      <c r="A55" s="8"/>
      <c r="B55" s="8"/>
      <c r="C55" s="2"/>
      <c r="F55" s="10" t="s">
        <v>103</v>
      </c>
      <c r="G55" t="str">
        <f>IF(SUM('Zoopl Analysis'!G130:I130)/4=0,"",(SUM('Zoopl Analysis'!G130:I130)/4))</f>
        <v/>
      </c>
      <c r="H55" t="e">
        <f>IF(SUM('Zoopl Analysis'!#REF!)/4=0,"",(SUM('Zoopl Analysis'!#REF!)/4))</f>
        <v>#REF!</v>
      </c>
    </row>
    <row r="56" spans="1:8">
      <c r="C56" s="21" t="s">
        <v>10</v>
      </c>
      <c r="D56" s="2" t="s">
        <v>67</v>
      </c>
      <c r="E56" s="8"/>
      <c r="F56" s="10"/>
      <c r="G56" t="str">
        <f>IF(SUM('Zoopl Analysis'!G131:I131)/4=0,"",(SUM('Zoopl Analysis'!G131:I131)/4))</f>
        <v/>
      </c>
      <c r="H56" t="e">
        <f>IF(SUM('Zoopl Analysis'!#REF!)/4=0,"",(SUM('Zoopl Analysis'!#REF!)/4))</f>
        <v>#REF!</v>
      </c>
    </row>
    <row r="57" spans="1:8">
      <c r="D57" s="8" t="s">
        <v>12</v>
      </c>
      <c r="E57" s="11" t="s">
        <v>68</v>
      </c>
      <c r="F57" s="10"/>
      <c r="G57" t="str">
        <f>IF(SUM('Zoopl Analysis'!G132:I132)/4=0,"",(SUM('Zoopl Analysis'!G132:I132)/4))</f>
        <v/>
      </c>
      <c r="H57" t="e">
        <f>IF(SUM('Zoopl Analysis'!#REF!)/4=0,"",(SUM('Zoopl Analysis'!#REF!)/4))</f>
        <v>#REF!</v>
      </c>
    </row>
    <row r="58" spans="1:8">
      <c r="E58" s="8" t="s">
        <v>14</v>
      </c>
      <c r="F58" s="10" t="s">
        <v>69</v>
      </c>
      <c r="G58" t="str">
        <f>IF(SUM('Zoopl Analysis'!G133:I133)/4=0,"",(SUM('Zoopl Analysis'!G133:I133)/4))</f>
        <v/>
      </c>
      <c r="H58" t="e">
        <f>IF(SUM('Zoopl Analysis'!#REF!)/4=0,"",(SUM('Zoopl Analysis'!#REF!)/4))</f>
        <v>#REF!</v>
      </c>
    </row>
    <row r="59" spans="1:8">
      <c r="E59" s="8"/>
      <c r="F59" s="10" t="s">
        <v>70</v>
      </c>
      <c r="G59" t="str">
        <f>IF(SUM('Zoopl Analysis'!G134:I134)/4=0,"",(SUM('Zoopl Analysis'!G134:I134)/4))</f>
        <v/>
      </c>
      <c r="H59" t="e">
        <f>IF(SUM('Zoopl Analysis'!#REF!)/4=0,"",(SUM('Zoopl Analysis'!#REF!)/4))</f>
        <v>#REF!</v>
      </c>
    </row>
    <row r="60" spans="1:8">
      <c r="D60" s="8" t="s">
        <v>12</v>
      </c>
      <c r="E60" s="11" t="s">
        <v>71</v>
      </c>
      <c r="F60" s="10"/>
      <c r="G60" t="str">
        <f>IF(SUM('Zoopl Analysis'!G137:I137)/4=0,"",(SUM('Zoopl Analysis'!G137:I137)/4))</f>
        <v/>
      </c>
      <c r="H60" t="e">
        <f>IF(SUM('Zoopl Analysis'!#REF!)/4=0,"",(SUM('Zoopl Analysis'!#REF!)/4))</f>
        <v>#REF!</v>
      </c>
    </row>
    <row r="61" spans="1:8">
      <c r="E61" s="8" t="s">
        <v>14</v>
      </c>
      <c r="F61" s="10" t="s">
        <v>72</v>
      </c>
      <c r="G61" t="str">
        <f>IF(SUM('Zoopl Analysis'!G138:I138)/4=0,"",(SUM('Zoopl Analysis'!G138:I138)/4))</f>
        <v/>
      </c>
      <c r="H61" t="e">
        <f>IF(SUM('Zoopl Analysis'!#REF!)/4=0,"",(SUM('Zoopl Analysis'!#REF!)/4))</f>
        <v>#REF!</v>
      </c>
    </row>
    <row r="62" spans="1:8">
      <c r="E62" s="8"/>
      <c r="F62" s="10"/>
      <c r="G62" t="str">
        <f>IF(SUM('Zoopl Analysis'!G139:I139)/4=0,"",(SUM('Zoopl Analysis'!G139:I139)/4))</f>
        <v/>
      </c>
      <c r="H62" t="e">
        <f>IF(SUM('Zoopl Analysis'!#REF!)/4=0,"",(SUM('Zoopl Analysis'!#REF!)/4))</f>
        <v>#REF!</v>
      </c>
    </row>
    <row r="63" spans="1:8">
      <c r="A63" s="2"/>
      <c r="B63" s="21" t="s">
        <v>79</v>
      </c>
      <c r="C63" s="2" t="s">
        <v>81</v>
      </c>
      <c r="D63" s="2"/>
      <c r="E63" s="21"/>
      <c r="F63" s="78"/>
      <c r="G63" t="str">
        <f>IF(SUM('Zoopl Analysis'!G140:I140)/4=0,"",(SUM('Zoopl Analysis'!G140:I140)/4))</f>
        <v/>
      </c>
      <c r="H63" t="e">
        <f>IF(SUM('Zoopl Analysis'!#REF!)/4=0,"",(SUM('Zoopl Analysis'!#REF!)/4))</f>
        <v>#REF!</v>
      </c>
    </row>
    <row r="64" spans="1:8">
      <c r="A64" s="2"/>
      <c r="B64" s="21"/>
      <c r="C64" s="2"/>
      <c r="D64" s="2"/>
      <c r="E64" s="21"/>
      <c r="F64" s="78" t="s">
        <v>100</v>
      </c>
      <c r="G64" t="str">
        <f>IF(SUM('Zoopl Analysis'!G141:I141)/4=0,"",(SUM('Zoopl Analysis'!G141:I141)/4))</f>
        <v/>
      </c>
      <c r="H64" t="e">
        <f>IF(SUM('Zoopl Analysis'!#REF!)/4=0,"",(SUM('Zoopl Analysis'!#REF!)/4))</f>
        <v>#REF!</v>
      </c>
    </row>
    <row r="65" spans="1:8">
      <c r="A65" s="2"/>
      <c r="B65" s="21"/>
      <c r="C65" s="21" t="s">
        <v>10</v>
      </c>
      <c r="D65" s="2" t="s">
        <v>90</v>
      </c>
      <c r="E65" s="21"/>
      <c r="F65" s="78"/>
      <c r="G65" t="str">
        <f>IF(SUM('Zoopl Analysis'!G145:I145)/4=0,"",(SUM('Zoopl Analysis'!G145:I145)/4))</f>
        <v/>
      </c>
      <c r="H65" t="e">
        <f>IF(SUM('Zoopl Analysis'!#REF!)/4=0,"",(SUM('Zoopl Analysis'!#REF!)/4))</f>
        <v>#REF!</v>
      </c>
    </row>
    <row r="66" spans="1:8">
      <c r="B66" s="8"/>
      <c r="C66" s="2"/>
      <c r="D66" s="8" t="s">
        <v>12</v>
      </c>
      <c r="E66" s="11" t="s">
        <v>91</v>
      </c>
      <c r="F66" s="9"/>
      <c r="G66" t="str">
        <f>IF(SUM('Zoopl Analysis'!G146:I146)/4=0,"",(SUM('Zoopl Analysis'!G146:I146)/4))</f>
        <v/>
      </c>
      <c r="H66" t="e">
        <f>IF(SUM('Zoopl Analysis'!#REF!)/4=0,"",(SUM('Zoopl Analysis'!#REF!)/4))</f>
        <v>#REF!</v>
      </c>
    </row>
    <row r="67" spans="1:8">
      <c r="E67" s="8" t="s">
        <v>14</v>
      </c>
      <c r="F67" s="10" t="s">
        <v>89</v>
      </c>
      <c r="G67">
        <f>IF(SUM('Zoopl Analysis'!G147:I147)/4=0,"",(SUM('Zoopl Analysis'!G147:I147)/4))</f>
        <v>6.518986469044033E-2</v>
      </c>
      <c r="H67" t="e">
        <f>IF(SUM('Zoopl Analysis'!#REF!)/4=0,"",(SUM('Zoopl Analysis'!#REF!)/4))</f>
        <v>#REF!</v>
      </c>
    </row>
    <row r="68" spans="1:8">
      <c r="E68" s="8"/>
      <c r="F68" s="9"/>
      <c r="G68" t="str">
        <f>IF(SUM('Zoopl Analysis'!G148:I148)/4=0,"",(SUM('Zoopl Analysis'!G148:I148)/4))</f>
        <v/>
      </c>
      <c r="H68" t="e">
        <f>IF(SUM('Zoopl Analysis'!#REF!)/4=0,"",(SUM('Zoopl Analysis'!#REF!)/4))</f>
        <v>#REF!</v>
      </c>
    </row>
    <row r="69" spans="1:8">
      <c r="E69" s="8"/>
      <c r="F69" s="10"/>
      <c r="G69" t="str">
        <f>IF(SUM('Zoopl Analysis'!G149:I149)/4=0,"",(SUM('Zoopl Analysis'!G149:I149)/4))</f>
        <v/>
      </c>
      <c r="H69" t="e">
        <f>IF(SUM('Zoopl Analysis'!#REF!)/4=0,"",(SUM('Zoopl Analysis'!#REF!)/4))</f>
        <v>#REF!</v>
      </c>
    </row>
    <row r="70" spans="1:8">
      <c r="A70" s="21"/>
      <c r="B70" s="21" t="s">
        <v>79</v>
      </c>
      <c r="C70" s="2" t="s">
        <v>252</v>
      </c>
      <c r="D70" s="2"/>
      <c r="E70" s="2"/>
      <c r="F70" s="100"/>
      <c r="G70" t="str">
        <f>IF(SUM('Zoopl Analysis'!G150:I150)/4=0,"",(SUM('Zoopl Analysis'!G150:I150)/4))</f>
        <v/>
      </c>
      <c r="H70" t="e">
        <f>IF(SUM('Zoopl Analysis'!#REF!)/4=0,"",(SUM('Zoopl Analysis'!#REF!)/4))</f>
        <v>#REF!</v>
      </c>
    </row>
    <row r="71" spans="1:8">
      <c r="A71" s="8"/>
      <c r="B71" s="8"/>
      <c r="C71" s="2"/>
      <c r="F71" s="9" t="s">
        <v>159</v>
      </c>
      <c r="G71" t="str">
        <f>IF(SUM('Zoopl Analysis'!G151:I151)/4=0,"",(SUM('Zoopl Analysis'!G151:I151)/4))</f>
        <v/>
      </c>
      <c r="H71" t="e">
        <f>IF(SUM('Zoopl Analysis'!#REF!)/4=0,"",(SUM('Zoopl Analysis'!#REF!)/4))</f>
        <v>#REF!</v>
      </c>
    </row>
    <row r="72" spans="1:8">
      <c r="A72" s="8"/>
      <c r="B72" s="8"/>
      <c r="C72" s="2"/>
      <c r="F72" s="9" t="s">
        <v>156</v>
      </c>
      <c r="G72" t="str">
        <f>IF(SUM('Zoopl Analysis'!G152:I152)/4=0,"",(SUM('Zoopl Analysis'!G152:I152)/4))</f>
        <v/>
      </c>
      <c r="H72" t="e">
        <f>IF(SUM('Zoopl Analysis'!#REF!)/4=0,"",(SUM('Zoopl Analysis'!#REF!)/4))</f>
        <v>#REF!</v>
      </c>
    </row>
    <row r="73" spans="1:8">
      <c r="A73" s="8"/>
      <c r="B73" s="8"/>
      <c r="C73" s="2"/>
      <c r="F73" s="9"/>
      <c r="G73" t="str">
        <f>IF(SUM('Zoopl Analysis'!G153:I153)/4=0,"",(SUM('Zoopl Analysis'!G153:I153)/4))</f>
        <v/>
      </c>
      <c r="H73" t="e">
        <f>IF(SUM('Zoopl Analysis'!#REF!)/4=0,"",(SUM('Zoopl Analysis'!#REF!)/4))</f>
        <v>#REF!</v>
      </c>
    </row>
    <row r="74" spans="1:8">
      <c r="A74" s="2"/>
      <c r="B74" s="2"/>
      <c r="C74" s="21" t="s">
        <v>10</v>
      </c>
      <c r="D74" s="2" t="s">
        <v>11</v>
      </c>
      <c r="E74" s="2"/>
      <c r="F74" s="100"/>
      <c r="G74" t="str">
        <f>IF(SUM('Zoopl Analysis'!G154:I154)/4=0,"",(SUM('Zoopl Analysis'!G154:I154)/4))</f>
        <v/>
      </c>
      <c r="H74" t="e">
        <f>IF(SUM('Zoopl Analysis'!#REF!)/4=0,"",(SUM('Zoopl Analysis'!#REF!)/4))</f>
        <v>#REF!</v>
      </c>
    </row>
    <row r="75" spans="1:8">
      <c r="C75" s="8"/>
      <c r="D75" s="2"/>
      <c r="F75" s="9" t="s">
        <v>157</v>
      </c>
      <c r="G75" t="str">
        <f>IF(SUM('Zoopl Analysis'!G155:I155)/4=0,"",(SUM('Zoopl Analysis'!G155:I155)/4))</f>
        <v/>
      </c>
      <c r="H75" t="e">
        <f>IF(SUM('Zoopl Analysis'!#REF!)/4=0,"",(SUM('Zoopl Analysis'!#REF!)/4))</f>
        <v>#REF!</v>
      </c>
    </row>
    <row r="76" spans="1:8">
      <c r="C76" s="8"/>
      <c r="D76" s="2"/>
      <c r="F76" s="110" t="s">
        <v>104</v>
      </c>
      <c r="G76" t="str">
        <f>IF(SUM('Zoopl Analysis'!G156:I156)/4=0,"",(SUM('Zoopl Analysis'!G156:I156)/4))</f>
        <v/>
      </c>
      <c r="H76" t="e">
        <f>IF(SUM('Zoopl Analysis'!#REF!)/4=0,"",(SUM('Zoopl Analysis'!#REF!)/4))</f>
        <v>#REF!</v>
      </c>
    </row>
    <row r="77" spans="1:8">
      <c r="D77" s="8" t="s">
        <v>12</v>
      </c>
      <c r="E77" s="6" t="s">
        <v>13</v>
      </c>
      <c r="F77" s="9"/>
      <c r="G77" t="str">
        <f>IF(SUM('Zoopl Analysis'!G157:I157)/4=0,"",(SUM('Zoopl Analysis'!G157:I157)/4))</f>
        <v/>
      </c>
      <c r="H77" t="e">
        <f>IF(SUM('Zoopl Analysis'!#REF!)/4=0,"",(SUM('Zoopl Analysis'!#REF!)/4))</f>
        <v>#REF!</v>
      </c>
    </row>
    <row r="78" spans="1:8">
      <c r="E78" s="8" t="s">
        <v>14</v>
      </c>
      <c r="F78" s="10" t="s">
        <v>15</v>
      </c>
      <c r="G78">
        <f>IF(SUM('Zoopl Analysis'!G158:I158)/4=0,"",(SUM('Zoopl Analysis'!G158:I158)/4))</f>
        <v>4.5958854606760431</v>
      </c>
      <c r="H78" t="e">
        <f>IF(SUM('Zoopl Analysis'!#REF!)/4=0,"",(SUM('Zoopl Analysis'!#REF!)/4))</f>
        <v>#REF!</v>
      </c>
    </row>
    <row r="79" spans="1:8">
      <c r="D79" s="8" t="s">
        <v>12</v>
      </c>
      <c r="E79" s="11" t="s">
        <v>180</v>
      </c>
      <c r="F79" s="10"/>
      <c r="G79" t="str">
        <f>IF(SUM('Zoopl Analysis'!G161:I161)/4=0,"",(SUM('Zoopl Analysis'!G161:I161)/4))</f>
        <v/>
      </c>
      <c r="H79" t="e">
        <f>IF(SUM('Zoopl Analysis'!#REF!)/4=0,"",(SUM('Zoopl Analysis'!#REF!)/4))</f>
        <v>#REF!</v>
      </c>
    </row>
    <row r="80" spans="1:8">
      <c r="E80" s="8" t="s">
        <v>14</v>
      </c>
      <c r="F80" s="10" t="s">
        <v>181</v>
      </c>
      <c r="G80" t="str">
        <f>IF(SUM('Zoopl Analysis'!G162:I162)/4=0,"",(SUM('Zoopl Analysis'!G162:I162)/4))</f>
        <v/>
      </c>
      <c r="H80" t="e">
        <f>IF(SUM('Zoopl Analysis'!#REF!)/4=0,"",(SUM('Zoopl Analysis'!#REF!)/4))</f>
        <v>#REF!</v>
      </c>
    </row>
    <row r="81" spans="4:8">
      <c r="D81" s="8" t="s">
        <v>12</v>
      </c>
      <c r="E81" s="6" t="s">
        <v>16</v>
      </c>
      <c r="F81" s="9"/>
      <c r="G81" t="str">
        <f>IF(SUM('Zoopl Analysis'!G166:I166)/4=0,"",(SUM('Zoopl Analysis'!G166:I166)/4))</f>
        <v/>
      </c>
      <c r="H81" t="e">
        <f>IF(SUM('Zoopl Analysis'!#REF!)/4=0,"",(SUM('Zoopl Analysis'!#REF!)/4))</f>
        <v>#REF!</v>
      </c>
    </row>
    <row r="82" spans="4:8">
      <c r="E82" s="8" t="s">
        <v>14</v>
      </c>
      <c r="F82" s="10" t="s">
        <v>17</v>
      </c>
      <c r="G82" t="str">
        <f>IF(SUM('Zoopl Analysis'!G167:I167)/4=0,"",(SUM('Zoopl Analysis'!G167:I167)/4))</f>
        <v/>
      </c>
      <c r="H82" t="e">
        <f>IF(SUM('Zoopl Analysis'!#REF!)/4=0,"",(SUM('Zoopl Analysis'!#REF!)/4))</f>
        <v>#REF!</v>
      </c>
    </row>
    <row r="83" spans="4:8">
      <c r="E83" s="8"/>
      <c r="F83" s="10" t="s">
        <v>18</v>
      </c>
      <c r="G83" t="str">
        <f>IF(SUM('Zoopl Analysis'!G168:I168)/4=0,"",(SUM('Zoopl Analysis'!G168:I168)/4))</f>
        <v/>
      </c>
      <c r="H83" t="e">
        <f>IF(SUM('Zoopl Analysis'!#REF!)/4=0,"",(SUM('Zoopl Analysis'!#REF!)/4))</f>
        <v>#REF!</v>
      </c>
    </row>
    <row r="84" spans="4:8">
      <c r="F84" s="10" t="s">
        <v>19</v>
      </c>
      <c r="G84" t="str">
        <f>IF(SUM('Zoopl Analysis'!G169:I169)/4=0,"",(SUM('Zoopl Analysis'!G169:I169)/4))</f>
        <v/>
      </c>
      <c r="H84" t="e">
        <f>IF(SUM('Zoopl Analysis'!#REF!)/4=0,"",(SUM('Zoopl Analysis'!#REF!)/4))</f>
        <v>#REF!</v>
      </c>
    </row>
    <row r="85" spans="4:8">
      <c r="F85" s="10" t="s">
        <v>169</v>
      </c>
      <c r="G85" t="str">
        <f>IF(SUM('Zoopl Analysis'!G170:I170)/4=0,"",(SUM('Zoopl Analysis'!G170:I170)/4))</f>
        <v/>
      </c>
      <c r="H85" t="e">
        <f>IF(SUM('Zoopl Analysis'!#REF!)/4=0,"",(SUM('Zoopl Analysis'!#REF!)/4))</f>
        <v>#REF!</v>
      </c>
    </row>
    <row r="86" spans="4:8">
      <c r="F86" s="10" t="s">
        <v>171</v>
      </c>
      <c r="G86" t="str">
        <f>IF(SUM('Zoopl Analysis'!G171:I171)/4=0,"",(SUM('Zoopl Analysis'!G171:I171)/4))</f>
        <v/>
      </c>
      <c r="H86" t="e">
        <f>IF(SUM('Zoopl Analysis'!#REF!)/4=0,"",(SUM('Zoopl Analysis'!#REF!)/4))</f>
        <v>#REF!</v>
      </c>
    </row>
    <row r="87" spans="4:8">
      <c r="D87" s="8" t="s">
        <v>12</v>
      </c>
      <c r="E87" s="6" t="s">
        <v>23</v>
      </c>
      <c r="F87" s="10"/>
      <c r="G87" t="str">
        <f>IF(SUM('Zoopl Analysis'!G173:I173)/4=0,"",(SUM('Zoopl Analysis'!G173:I173)/4))</f>
        <v/>
      </c>
      <c r="H87" t="e">
        <f>IF(SUM('Zoopl Analysis'!#REF!)/4=0,"",(SUM('Zoopl Analysis'!#REF!)/4))</f>
        <v>#REF!</v>
      </c>
    </row>
    <row r="88" spans="4:8">
      <c r="E88" s="8" t="s">
        <v>14</v>
      </c>
      <c r="F88" s="10" t="s">
        <v>20</v>
      </c>
      <c r="G88">
        <f>IF(SUM('Zoopl Analysis'!G174:I174)/4=0,"",(SUM('Zoopl Analysis'!G174:I174)/4))</f>
        <v>6.518986469044033E-2</v>
      </c>
      <c r="H88" t="e">
        <f>IF(SUM('Zoopl Analysis'!#REF!)/4=0,"",(SUM('Zoopl Analysis'!#REF!)/4))</f>
        <v>#REF!</v>
      </c>
    </row>
    <row r="89" spans="4:8">
      <c r="D89" s="8" t="s">
        <v>12</v>
      </c>
      <c r="E89" s="6" t="s">
        <v>24</v>
      </c>
      <c r="F89" s="10"/>
      <c r="G89" t="str">
        <f>IF(SUM('Zoopl Analysis'!G175:I175)/4=0,"",(SUM('Zoopl Analysis'!G175:I175)/4))</f>
        <v/>
      </c>
      <c r="H89" t="e">
        <f>IF(SUM('Zoopl Analysis'!#REF!)/4=0,"",(SUM('Zoopl Analysis'!#REF!)/4))</f>
        <v>#REF!</v>
      </c>
    </row>
    <row r="90" spans="4:8">
      <c r="E90" s="8" t="s">
        <v>14</v>
      </c>
      <c r="F90" s="10" t="s">
        <v>21</v>
      </c>
      <c r="G90">
        <f>IF(SUM('Zoopl Analysis'!G176:I176)/4=0,"",(SUM('Zoopl Analysis'!G176:I176)/4))</f>
        <v>4.8892398517830248E-2</v>
      </c>
      <c r="H90" t="e">
        <f>IF(SUM('Zoopl Analysis'!#REF!)/4=0,"",(SUM('Zoopl Analysis'!#REF!)/4))</f>
        <v>#REF!</v>
      </c>
    </row>
    <row r="91" spans="4:8">
      <c r="D91" s="8" t="s">
        <v>12</v>
      </c>
      <c r="E91" s="11" t="s">
        <v>25</v>
      </c>
      <c r="F91" s="10"/>
      <c r="G91" t="str">
        <f>IF(SUM('Zoopl Analysis'!G177:I177)/4=0,"",(SUM('Zoopl Analysis'!G177:I177)/4))</f>
        <v/>
      </c>
      <c r="H91" t="e">
        <f>IF(SUM('Zoopl Analysis'!#REF!)/4=0,"",(SUM('Zoopl Analysis'!#REF!)/4))</f>
        <v>#REF!</v>
      </c>
    </row>
    <row r="92" spans="4:8">
      <c r="E92" s="8" t="s">
        <v>14</v>
      </c>
      <c r="F92" s="10" t="s">
        <v>22</v>
      </c>
      <c r="G92" t="str">
        <f>IF(SUM('Zoopl Analysis'!G178:I178)/4=0,"",(SUM('Zoopl Analysis'!G178:I178)/4))</f>
        <v/>
      </c>
      <c r="H92" t="e">
        <f>IF(SUM('Zoopl Analysis'!#REF!)/4=0,"",(SUM('Zoopl Analysis'!#REF!)/4))</f>
        <v>#REF!</v>
      </c>
    </row>
    <row r="93" spans="4:8">
      <c r="D93" s="8" t="s">
        <v>12</v>
      </c>
      <c r="E93" s="11" t="s">
        <v>176</v>
      </c>
      <c r="F93" s="10"/>
      <c r="G93" t="str">
        <f>IF(SUM('Zoopl Analysis'!G180:I180)/4=0,"",(SUM('Zoopl Analysis'!G180:I180)/4))</f>
        <v/>
      </c>
      <c r="H93" t="e">
        <f>IF(SUM('Zoopl Analysis'!#REF!)/4=0,"",(SUM('Zoopl Analysis'!#REF!)/4))</f>
        <v>#REF!</v>
      </c>
    </row>
    <row r="94" spans="4:8">
      <c r="E94" s="8" t="s">
        <v>14</v>
      </c>
      <c r="F94" s="10" t="s">
        <v>177</v>
      </c>
      <c r="G94" t="str">
        <f>IF(SUM('Zoopl Analysis'!G181:I181)/4=0,"",(SUM('Zoopl Analysis'!G181:I181)/4))</f>
        <v/>
      </c>
      <c r="H94" t="e">
        <f>IF(SUM('Zoopl Analysis'!#REF!)/4=0,"",(SUM('Zoopl Analysis'!#REF!)/4))</f>
        <v>#REF!</v>
      </c>
    </row>
    <row r="95" spans="4:8">
      <c r="D95" s="8" t="s">
        <v>12</v>
      </c>
      <c r="E95" s="11" t="s">
        <v>26</v>
      </c>
      <c r="F95" s="10"/>
      <c r="G95" t="str">
        <f>IF(SUM('Zoopl Analysis'!G183:I183)/4=0,"",(SUM('Zoopl Analysis'!G183:I183)/4))</f>
        <v/>
      </c>
      <c r="H95" t="e">
        <f>IF(SUM('Zoopl Analysis'!#REF!)/4=0,"",(SUM('Zoopl Analysis'!#REF!)/4))</f>
        <v>#REF!</v>
      </c>
    </row>
    <row r="96" spans="4:8">
      <c r="E96" s="8" t="s">
        <v>14</v>
      </c>
      <c r="F96" s="10" t="s">
        <v>27</v>
      </c>
      <c r="G96">
        <f>IF(SUM('Zoopl Analysis'!G184:I184)/4=0,"",(SUM('Zoopl Analysis'!G184:I184)/4))</f>
        <v>4.8892398517830248E-2</v>
      </c>
      <c r="H96" t="e">
        <f>IF(SUM('Zoopl Analysis'!#REF!)/4=0,"",(SUM('Zoopl Analysis'!#REF!)/4))</f>
        <v>#REF!</v>
      </c>
    </row>
    <row r="97" spans="1:8">
      <c r="D97" s="8" t="s">
        <v>12</v>
      </c>
      <c r="E97" s="11" t="s">
        <v>28</v>
      </c>
      <c r="F97" s="9"/>
      <c r="G97" t="e">
        <f>IF(SUM('Zoopl Analysis'!#REF!)/4=0,"",(SUM('Zoopl Analysis'!#REF!)/4))</f>
        <v>#REF!</v>
      </c>
      <c r="H97" t="e">
        <f>IF(SUM('Zoopl Analysis'!#REF!)/4=0,"",(SUM('Zoopl Analysis'!#REF!)/4))</f>
        <v>#REF!</v>
      </c>
    </row>
    <row r="98" spans="1:8">
      <c r="E98" s="8" t="s">
        <v>14</v>
      </c>
      <c r="F98" s="10" t="s">
        <v>29</v>
      </c>
      <c r="G98">
        <f>IF(SUM('Zoopl Analysis'!G186:I186)/4=0,"",(SUM('Zoopl Analysis'!G186:I186)/4))</f>
        <v>0.22816452641654117</v>
      </c>
      <c r="H98" t="e">
        <f>IF(SUM('Zoopl Analysis'!#REF!)/4=0,"",(SUM('Zoopl Analysis'!#REF!)/4))</f>
        <v>#REF!</v>
      </c>
    </row>
    <row r="99" spans="1:8">
      <c r="E99" s="8" t="s">
        <v>14</v>
      </c>
      <c r="F99" s="10" t="s">
        <v>30</v>
      </c>
      <c r="G99">
        <f>IF(SUM('Zoopl Analysis'!G187:I187)/4=0,"",(SUM('Zoopl Analysis'!G187:I187)/4))</f>
        <v>1.6704902826925334</v>
      </c>
      <c r="H99" t="e">
        <f>IF(SUM('Zoopl Analysis'!#REF!)/4=0,"",(SUM('Zoopl Analysis'!#REF!)/4))</f>
        <v>#REF!</v>
      </c>
    </row>
    <row r="100" spans="1:8">
      <c r="F100" s="10" t="s">
        <v>173</v>
      </c>
      <c r="G100">
        <f>IF(SUM('Zoopl Analysis'!G188:I188)/4=0,"",(SUM('Zoopl Analysis'!G188:I188)/4))</f>
        <v>0.28520565802067643</v>
      </c>
      <c r="H100" t="e">
        <f>IF(SUM('Zoopl Analysis'!#REF!)/4=0,"",(SUM('Zoopl Analysis'!#REF!)/4))</f>
        <v>#REF!</v>
      </c>
    </row>
    <row r="101" spans="1:8">
      <c r="F101" s="10" t="s">
        <v>222</v>
      </c>
      <c r="G101" t="str">
        <f>IF(SUM('Zoopl Analysis'!G189:I189)/4=0,"",(SUM('Zoopl Analysis'!G189:I189)/4))</f>
        <v/>
      </c>
      <c r="H101" t="e">
        <f>IF(SUM('Zoopl Analysis'!#REF!)/4=0,"",(SUM('Zoopl Analysis'!#REF!)/4))</f>
        <v>#REF!</v>
      </c>
    </row>
    <row r="102" spans="1:8">
      <c r="D102" s="12" t="s">
        <v>12</v>
      </c>
      <c r="E102" s="6" t="s">
        <v>31</v>
      </c>
      <c r="F102" s="9"/>
      <c r="G102" t="str">
        <f>IF(SUM('Zoopl Analysis'!G190:I190)/4=0,"",(SUM('Zoopl Analysis'!G190:I190)/4))</f>
        <v/>
      </c>
      <c r="H102" t="e">
        <f>IF(SUM('Zoopl Analysis'!#REF!)/4=0,"",(SUM('Zoopl Analysis'!#REF!)/4))</f>
        <v>#REF!</v>
      </c>
    </row>
    <row r="103" spans="1:8">
      <c r="E103" s="8" t="s">
        <v>14</v>
      </c>
      <c r="F103" s="10" t="s">
        <v>32</v>
      </c>
      <c r="G103" t="str">
        <f>IF(SUM('Zoopl Analysis'!G191:I191)/4=0,"",(SUM('Zoopl Analysis'!G191:I191)/4))</f>
        <v/>
      </c>
      <c r="H103" t="e">
        <f>IF(SUM('Zoopl Analysis'!#REF!)/4=0,"",(SUM('Zoopl Analysis'!#REF!)/4))</f>
        <v>#REF!</v>
      </c>
    </row>
    <row r="104" spans="1:8">
      <c r="E104" s="8"/>
      <c r="F104" s="10" t="s">
        <v>170</v>
      </c>
      <c r="G104">
        <f>IF(SUM('Zoopl Analysis'!G192:I192)/4=0,"",(SUM('Zoopl Analysis'!G192:I192)/4))</f>
        <v>3.2594932345220165E-2</v>
      </c>
      <c r="H104" t="e">
        <f>IF(SUM('Zoopl Analysis'!#REF!)/4=0,"",(SUM('Zoopl Analysis'!#REF!)/4))</f>
        <v>#REF!</v>
      </c>
    </row>
    <row r="105" spans="1:8">
      <c r="D105" s="8" t="s">
        <v>12</v>
      </c>
      <c r="E105" s="6" t="s">
        <v>33</v>
      </c>
      <c r="F105" s="9"/>
      <c r="G105" t="str">
        <f>IF(SUM('Zoopl Analysis'!G195:I195)/4=0,"",(SUM('Zoopl Analysis'!G195:I195)/4))</f>
        <v/>
      </c>
      <c r="H105" t="e">
        <f>IF(SUM('Zoopl Analysis'!#REF!)/4=0,"",(SUM('Zoopl Analysis'!#REF!)/4))</f>
        <v>#REF!</v>
      </c>
    </row>
    <row r="106" spans="1:8">
      <c r="E106" s="8" t="s">
        <v>14</v>
      </c>
      <c r="F106" s="10" t="s">
        <v>34</v>
      </c>
      <c r="G106">
        <f>IF(SUM('Zoopl Analysis'!G196:I196)/4=0,"",(SUM('Zoopl Analysis'!G196:I196)/4))</f>
        <v>6.518986469044033E-2</v>
      </c>
      <c r="H106" t="e">
        <f>IF(SUM('Zoopl Analysis'!#REF!)/4=0,"",(SUM('Zoopl Analysis'!#REF!)/4))</f>
        <v>#REF!</v>
      </c>
    </row>
    <row r="107" spans="1:8">
      <c r="D107" s="8" t="s">
        <v>12</v>
      </c>
      <c r="E107" s="11" t="s">
        <v>160</v>
      </c>
      <c r="F107" s="10"/>
      <c r="G107">
        <f>IF(SUM('Zoopl Analysis'!G199:I199)/4=0,"",(SUM('Zoopl Analysis'!G199:I199)/4))</f>
        <v>4.0743665431525203E-2</v>
      </c>
      <c r="H107" t="e">
        <f>IF(SUM('Zoopl Analysis'!#REF!)/4=0,"",(SUM('Zoopl Analysis'!#REF!)/4))</f>
        <v>#REF!</v>
      </c>
    </row>
    <row r="108" spans="1:8">
      <c r="E108" s="8" t="s">
        <v>14</v>
      </c>
      <c r="F108" s="10" t="s">
        <v>161</v>
      </c>
      <c r="G108" t="str">
        <f>IF(SUM('Zoopl Analysis'!G201:I201)/4=0,"",(SUM('Zoopl Analysis'!G201:I201)/4))</f>
        <v/>
      </c>
      <c r="H108" t="e">
        <f>IF(SUM('Zoopl Analysis'!#REF!)/4=0,"",(SUM('Zoopl Analysis'!#REF!)/4))</f>
        <v>#REF!</v>
      </c>
    </row>
    <row r="109" spans="1:8">
      <c r="F109" s="9"/>
      <c r="G109" t="str">
        <f>IF(SUM('Zoopl Analysis'!G202:I202)/4=0,"",(SUM('Zoopl Analysis'!G202:I202)/4))</f>
        <v/>
      </c>
      <c r="H109" t="e">
        <f>IF(SUM('Zoopl Analysis'!#REF!)/4=0,"",(SUM('Zoopl Analysis'!#REF!)/4))</f>
        <v>#REF!</v>
      </c>
    </row>
    <row r="110" spans="1:8">
      <c r="A110" s="2"/>
      <c r="B110" s="2"/>
      <c r="C110" s="21" t="s">
        <v>10</v>
      </c>
      <c r="D110" s="2" t="s">
        <v>35</v>
      </c>
      <c r="E110" s="2"/>
      <c r="F110" s="100"/>
      <c r="G110" t="str">
        <f>IF(SUM('Zoopl Analysis'!G203:I203)/4=0,"",(SUM('Zoopl Analysis'!G203:I203)/4))</f>
        <v/>
      </c>
      <c r="H110" t="e">
        <f>IF(SUM('Zoopl Analysis'!#REF!)/4=0,"",(SUM('Zoopl Analysis'!#REF!)/4))</f>
        <v>#REF!</v>
      </c>
    </row>
    <row r="111" spans="1:8">
      <c r="C111" s="8"/>
      <c r="D111" s="2"/>
      <c r="F111" s="111" t="s">
        <v>158</v>
      </c>
      <c r="G111" t="str">
        <f>IF(SUM('Zoopl Analysis'!G204:I204)/4=0,"",(SUM('Zoopl Analysis'!G204:I204)/4))</f>
        <v/>
      </c>
      <c r="H111" t="e">
        <f>IF(SUM('Zoopl Analysis'!#REF!)/4=0,"",(SUM('Zoopl Analysis'!#REF!)/4))</f>
        <v>#REF!</v>
      </c>
    </row>
    <row r="112" spans="1:8">
      <c r="C112" s="8"/>
      <c r="D112" s="2"/>
      <c r="F112" s="9" t="s">
        <v>105</v>
      </c>
      <c r="G112" t="str">
        <f>IF(SUM('Zoopl Analysis'!G205:I205)/4=0,"",(SUM('Zoopl Analysis'!G205:I205)/4))</f>
        <v/>
      </c>
      <c r="H112" t="e">
        <f>IF(SUM('Zoopl Analysis'!#REF!)/4=0,"",(SUM('Zoopl Analysis'!#REF!)/4))</f>
        <v>#REF!</v>
      </c>
    </row>
    <row r="113" spans="1:8">
      <c r="D113" s="8" t="s">
        <v>12</v>
      </c>
      <c r="E113" s="6" t="s">
        <v>36</v>
      </c>
      <c r="F113" s="9"/>
      <c r="G113" t="str">
        <f>IF(SUM('Zoopl Analysis'!G206:I206)/4=0,"",(SUM('Zoopl Analysis'!G206:I206)/4))</f>
        <v/>
      </c>
      <c r="H113" t="e">
        <f>IF(SUM('Zoopl Analysis'!#REF!)/4=0,"",(SUM('Zoopl Analysis'!#REF!)/4))</f>
        <v>#REF!</v>
      </c>
    </row>
    <row r="114" spans="1:8">
      <c r="E114" s="8" t="s">
        <v>14</v>
      </c>
      <c r="F114" s="10" t="s">
        <v>37</v>
      </c>
      <c r="G114">
        <f>IF(SUM('Zoopl Analysis'!G207:I207)/4=0,"",(SUM('Zoopl Analysis'!G207:I207)/4))</f>
        <v>0.41558538740155715</v>
      </c>
      <c r="H114" t="e">
        <f>IF(SUM('Zoopl Analysis'!#REF!)/4=0,"",(SUM('Zoopl Analysis'!#REF!)/4))</f>
        <v>#REF!</v>
      </c>
    </row>
    <row r="115" spans="1:8">
      <c r="D115" s="8" t="s">
        <v>12</v>
      </c>
      <c r="E115" s="6" t="s">
        <v>38</v>
      </c>
      <c r="F115" s="9"/>
      <c r="G115" t="str">
        <f>IF(SUM('Zoopl Analysis'!G208:I208)/4=0,"",(SUM('Zoopl Analysis'!G208:I208)/4))</f>
        <v/>
      </c>
      <c r="H115" t="e">
        <f>IF(SUM('Zoopl Analysis'!#REF!)/4=0,"",(SUM('Zoopl Analysis'!#REF!)/4))</f>
        <v>#REF!</v>
      </c>
    </row>
    <row r="116" spans="1:8">
      <c r="E116" s="8" t="s">
        <v>14</v>
      </c>
      <c r="F116" s="10" t="s">
        <v>39</v>
      </c>
      <c r="G116">
        <f>IF(SUM('Zoopl Analysis'!G209:I209)/4=0,"",(SUM('Zoopl Analysis'!G209:I209)/4))</f>
        <v>4.9544297164734648</v>
      </c>
      <c r="H116" t="e">
        <f>IF(SUM('Zoopl Analysis'!#REF!)/4=0,"",(SUM('Zoopl Analysis'!#REF!)/4))</f>
        <v>#REF!</v>
      </c>
    </row>
    <row r="117" spans="1:8">
      <c r="D117" s="8" t="s">
        <v>12</v>
      </c>
      <c r="E117" s="6" t="s">
        <v>41</v>
      </c>
      <c r="F117" s="9"/>
      <c r="G117" t="str">
        <f>IF(SUM('Zoopl Analysis'!G210:I210)/4=0,"",(SUM('Zoopl Analysis'!G210:I210)/4))</f>
        <v/>
      </c>
      <c r="H117" t="e">
        <f>IF(SUM('Zoopl Analysis'!#REF!)/4=0,"",(SUM('Zoopl Analysis'!#REF!)/4))</f>
        <v>#REF!</v>
      </c>
    </row>
    <row r="118" spans="1:8">
      <c r="E118" s="8" t="s">
        <v>14</v>
      </c>
      <c r="F118" s="10" t="s">
        <v>42</v>
      </c>
      <c r="G118">
        <f>IF(SUM('Zoopl Analysis'!G211:I211)/4=0,"",(SUM('Zoopl Analysis'!G211:I211)/4))</f>
        <v>6.518986469044033E-2</v>
      </c>
      <c r="H118" t="e">
        <f>IF(SUM('Zoopl Analysis'!#REF!)/4=0,"",(SUM('Zoopl Analysis'!#REF!)/4))</f>
        <v>#REF!</v>
      </c>
    </row>
    <row r="119" spans="1:8">
      <c r="E119" s="8" t="s">
        <v>14</v>
      </c>
      <c r="F119" s="10" t="s">
        <v>183</v>
      </c>
      <c r="G119" t="str">
        <f>IF(SUM('Zoopl Analysis'!G212:I212)/4=0,"",(SUM('Zoopl Analysis'!G212:I212)/4))</f>
        <v/>
      </c>
      <c r="H119" t="e">
        <f>IF(SUM('Zoopl Analysis'!#REF!)/4=0,"",(SUM('Zoopl Analysis'!#REF!)/4))</f>
        <v>#REF!</v>
      </c>
    </row>
    <row r="120" spans="1:8">
      <c r="F120" s="9"/>
      <c r="G120" t="str">
        <f>IF(SUM('Zoopl Analysis'!G214:I214)/4=0,"",(SUM('Zoopl Analysis'!G214:I214)/4))</f>
        <v/>
      </c>
      <c r="H120" t="e">
        <f>IF(SUM('Zoopl Analysis'!#REF!)/4=0,"",(SUM('Zoopl Analysis'!#REF!)/4))</f>
        <v>#REF!</v>
      </c>
    </row>
    <row r="121" spans="1:8">
      <c r="A121" s="2"/>
      <c r="B121" s="2"/>
      <c r="C121" s="21" t="s">
        <v>10</v>
      </c>
      <c r="D121" s="2" t="s">
        <v>43</v>
      </c>
      <c r="E121" s="2"/>
      <c r="F121" s="100"/>
      <c r="G121" t="str">
        <f>IF(SUM('Zoopl Analysis'!G219:I219)/4=0,"",(SUM('Zoopl Analysis'!G219:I219)/4))</f>
        <v/>
      </c>
      <c r="H121" t="e">
        <f>IF(SUM('Zoopl Analysis'!#REF!)/4=0,"",(SUM('Zoopl Analysis'!#REF!)/4))</f>
        <v>#REF!</v>
      </c>
    </row>
    <row r="122" spans="1:8">
      <c r="C122" s="8"/>
      <c r="D122" s="2"/>
      <c r="F122" s="9" t="s">
        <v>107</v>
      </c>
      <c r="G122" t="str">
        <f>IF(SUM('Zoopl Analysis'!G220:I220)/4=0,"",(SUM('Zoopl Analysis'!G220:I220)/4))</f>
        <v/>
      </c>
      <c r="H122" t="e">
        <f>IF(SUM('Zoopl Analysis'!#REF!)/4=0,"",(SUM('Zoopl Analysis'!#REF!)/4))</f>
        <v>#REF!</v>
      </c>
    </row>
    <row r="123" spans="1:8">
      <c r="D123" s="8" t="s">
        <v>12</v>
      </c>
      <c r="E123" s="6" t="s">
        <v>44</v>
      </c>
      <c r="F123" s="9"/>
      <c r="G123" t="str">
        <f>IF(SUM('Zoopl Analysis'!G221:I221)/4=0,"",(SUM('Zoopl Analysis'!G221:I221)/4))</f>
        <v/>
      </c>
      <c r="H123" t="e">
        <f>IF(SUM('Zoopl Analysis'!#REF!)/4=0,"",(SUM('Zoopl Analysis'!#REF!)/4))</f>
        <v>#REF!</v>
      </c>
    </row>
    <row r="124" spans="1:8">
      <c r="E124" s="8" t="s">
        <v>14</v>
      </c>
      <c r="F124" s="10" t="s">
        <v>45</v>
      </c>
      <c r="G124">
        <f>IF(SUM('Zoopl Analysis'!G222:I222)/4=0,"",(SUM('Zoopl Analysis'!G222:I222)/4))</f>
        <v>8.1487330863050413E-3</v>
      </c>
      <c r="H124" t="e">
        <f>IF(SUM('Zoopl Analysis'!#REF!)/4=0,"",(SUM('Zoopl Analysis'!#REF!)/4))</f>
        <v>#REF!</v>
      </c>
    </row>
    <row r="125" spans="1:8">
      <c r="D125" s="8" t="s">
        <v>12</v>
      </c>
      <c r="E125" s="6" t="s">
        <v>46</v>
      </c>
      <c r="F125" s="9"/>
      <c r="G125" t="str">
        <f>IF(SUM('Zoopl Analysis'!G223:I223)/4=0,"",(SUM('Zoopl Analysis'!G223:I223)/4))</f>
        <v/>
      </c>
      <c r="H125" t="e">
        <f>IF(SUM('Zoopl Analysis'!#REF!)/4=0,"",(SUM('Zoopl Analysis'!#REF!)/4))</f>
        <v>#REF!</v>
      </c>
    </row>
    <row r="126" spans="1:8">
      <c r="E126" s="8" t="s">
        <v>14</v>
      </c>
      <c r="F126" s="10" t="s">
        <v>47</v>
      </c>
      <c r="G126">
        <f>IF(SUM('Zoopl Analysis'!G224:I224)/4=0,"",(SUM('Zoopl Analysis'!G224:I224)/4))</f>
        <v>0.22816452641654117</v>
      </c>
      <c r="H126" t="e">
        <f>IF(SUM('Zoopl Analysis'!#REF!)/4=0,"",(SUM('Zoopl Analysis'!#REF!)/4))</f>
        <v>#REF!</v>
      </c>
    </row>
    <row r="127" spans="1:8">
      <c r="B127" s="45" t="s">
        <v>194</v>
      </c>
      <c r="E127" s="8"/>
      <c r="F127" s="10"/>
      <c r="G127" t="str">
        <f>IF(SUM('Zoopl Analysis'!G225:I225)/4=0,"",(SUM('Zoopl Analysis'!G225:I225)/4))</f>
        <v/>
      </c>
      <c r="H127" t="e">
        <f>IF(SUM('Zoopl Analysis'!#REF!)/4=0,"",(SUM('Zoopl Analysis'!#REF!)/4))</f>
        <v>#REF!</v>
      </c>
    </row>
    <row r="128" spans="1:8">
      <c r="C128" s="45" t="s">
        <v>195</v>
      </c>
      <c r="E128" s="8"/>
      <c r="F128" s="10"/>
      <c r="G128" t="str">
        <f>IF(SUM('Zoopl Analysis'!G226:I226)/4=0,"",(SUM('Zoopl Analysis'!G226:I226)/4))</f>
        <v/>
      </c>
      <c r="H128" t="e">
        <f>IF(SUM('Zoopl Analysis'!#REF!)/4=0,"",(SUM('Zoopl Analysis'!#REF!)/4))</f>
        <v>#REF!</v>
      </c>
    </row>
    <row r="129" spans="2:8">
      <c r="B129" s="57" t="s">
        <v>220</v>
      </c>
      <c r="C129" s="45"/>
      <c r="E129" s="8"/>
      <c r="F129" s="10"/>
      <c r="G129" t="str">
        <f>IF(SUM('Zoopl Analysis'!G227:I227)/4=0,"",(SUM('Zoopl Analysis'!G227:I227)/4))</f>
        <v/>
      </c>
      <c r="H129" t="e">
        <f>IF(SUM('Zoopl Analysis'!#REF!)/4=0,"",(SUM('Zoopl Analysis'!#REF!)/4))</f>
        <v>#REF!</v>
      </c>
    </row>
    <row r="130" spans="2:8">
      <c r="C130" s="57" t="s">
        <v>221</v>
      </c>
      <c r="E130" s="8"/>
      <c r="F130" s="10"/>
      <c r="G130" t="str">
        <f>IF(SUM('Zoopl Analysis'!G228:I228)/4=0,"",(SUM('Zoopl Analysis'!G228:I228)/4))</f>
        <v/>
      </c>
      <c r="H130" t="e">
        <f>IF(SUM('Zoopl Analysis'!#REF!)/4=0,"",(SUM('Zoopl Analysis'!#REF!)/4))</f>
        <v>#REF!</v>
      </c>
    </row>
    <row r="131" spans="2:8">
      <c r="C131" s="57"/>
      <c r="E131" s="8"/>
      <c r="F131" s="10"/>
      <c r="G131" t="str">
        <f>IF(SUM('Zoopl Analysis'!G229:I229)/4=0,"",(SUM('Zoopl Analysis'!G229:I229)/4))</f>
        <v/>
      </c>
      <c r="H131" t="e">
        <f>IF(SUM('Zoopl Analysis'!#REF!)/4=0,"",(SUM('Zoopl Analysis'!#REF!)/4))</f>
        <v>#REF!</v>
      </c>
    </row>
    <row r="132" spans="2:8">
      <c r="B132" s="8" t="s">
        <v>79</v>
      </c>
      <c r="C132" s="2" t="s">
        <v>92</v>
      </c>
      <c r="E132" s="8"/>
      <c r="F132" s="10"/>
      <c r="G132" t="str">
        <f>IF(SUM('Zoopl Analysis'!G244:I244)/4=0,"",(SUM('Zoopl Analysis'!G244:I244)/4))</f>
        <v/>
      </c>
      <c r="H132" t="e">
        <f>IF(SUM('Zoopl Analysis'!#REF!)/4=0,"",(SUM('Zoopl Analysis'!#REF!)/4))</f>
        <v>#REF!</v>
      </c>
    </row>
    <row r="133" spans="2:8">
      <c r="E133" s="8"/>
      <c r="F133" s="9" t="s">
        <v>93</v>
      </c>
      <c r="G133" t="str">
        <f>IF(SUM('Zoopl Analysis'!G245:I245)/4=0,"",(SUM('Zoopl Analysis'!G245:I245)/4))</f>
        <v/>
      </c>
      <c r="H133" t="e">
        <f>IF(SUM('Zoopl Analysis'!#REF!)/4=0,"",(SUM('Zoopl Analysis'!#REF!)/4))</f>
        <v>#REF!</v>
      </c>
    </row>
    <row r="134" spans="2:8">
      <c r="E134" s="8"/>
      <c r="F134" s="9"/>
      <c r="G134" t="str">
        <f>IF(SUM('Zoopl Analysis'!G246:I246)/4=0,"",(SUM('Zoopl Analysis'!G246:I246)/4))</f>
        <v/>
      </c>
      <c r="H134" t="e">
        <f>IF(SUM('Zoopl Analysis'!#REF!)/4=0,"",(SUM('Zoopl Analysis'!#REF!)/4))</f>
        <v>#REF!</v>
      </c>
    </row>
    <row r="135" spans="2:8">
      <c r="B135" s="21" t="s">
        <v>79</v>
      </c>
      <c r="C135" s="2" t="s">
        <v>94</v>
      </c>
      <c r="E135" s="8"/>
      <c r="F135" s="10"/>
      <c r="G135" t="str">
        <f>IF(SUM('Zoopl Analysis'!G247:I247)/4=0,"",(SUM('Zoopl Analysis'!G247:I247)/4))</f>
        <v/>
      </c>
      <c r="H135" t="e">
        <f>IF(SUM('Zoopl Analysis'!#REF!)/4=0,"",(SUM('Zoopl Analysis'!#REF!)/4))</f>
        <v>#REF!</v>
      </c>
    </row>
    <row r="136" spans="2:8">
      <c r="B136" s="8"/>
      <c r="C136" s="2"/>
      <c r="E136" s="8"/>
      <c r="F136" s="10" t="s">
        <v>182</v>
      </c>
      <c r="G136" t="str">
        <f>IF(SUM('Zoopl Analysis'!G248:I248)/4=0,"",(SUM('Zoopl Analysis'!G248:I248)/4))</f>
        <v/>
      </c>
      <c r="H136" t="e">
        <f>IF(SUM('Zoopl Analysis'!#REF!)/4=0,"",(SUM('Zoopl Analysis'!#REF!)/4))</f>
        <v>#REF!</v>
      </c>
    </row>
    <row r="137" spans="2:8">
      <c r="C137" s="8" t="s">
        <v>10</v>
      </c>
      <c r="D137" s="2" t="s">
        <v>95</v>
      </c>
      <c r="E137" s="8"/>
      <c r="F137" s="10"/>
      <c r="G137" t="str">
        <f>IF(SUM('Zoopl Analysis'!G249:I249)/4=0,"",(SUM('Zoopl Analysis'!G249:I249)/4))</f>
        <v/>
      </c>
      <c r="H137" t="e">
        <f>IF(SUM('Zoopl Analysis'!#REF!)/4=0,"",(SUM('Zoopl Analysis'!#REF!)/4))</f>
        <v>#REF!</v>
      </c>
    </row>
    <row r="138" spans="2:8">
      <c r="E138" s="8"/>
      <c r="F138" s="9" t="s">
        <v>96</v>
      </c>
      <c r="G138" t="str">
        <f>IF(SUM('Zoopl Analysis'!G250:I250)/4=0,"",(SUM('Zoopl Analysis'!G250:I250)/4))</f>
        <v/>
      </c>
      <c r="H138" t="e">
        <f>IF(SUM('Zoopl Analysis'!#REF!)/4=0,"",(SUM('Zoopl Analysis'!#REF!)/4))</f>
        <v>#REF!</v>
      </c>
    </row>
    <row r="139" spans="2:8">
      <c r="C139" s="21" t="s">
        <v>10</v>
      </c>
      <c r="D139" s="2" t="s">
        <v>97</v>
      </c>
      <c r="E139" s="8"/>
      <c r="F139" s="10"/>
      <c r="G139" t="str">
        <f>IF(SUM('Zoopl Analysis'!G251:I251)/4=0,"",(SUM('Zoopl Analysis'!G251:I251)/4))</f>
        <v/>
      </c>
      <c r="H139" t="e">
        <f>IF(SUM('Zoopl Analysis'!#REF!)/4=0,"",(SUM('Zoopl Analysis'!#REF!)/4))</f>
        <v>#REF!</v>
      </c>
    </row>
    <row r="140" spans="2:8">
      <c r="E140" s="55" t="s">
        <v>98</v>
      </c>
      <c r="F140" s="9"/>
      <c r="G140" t="str">
        <f>IF(SUM('Zoopl Analysis'!G252:I252)/4=0,"",(SUM('Zoopl Analysis'!G252:I252)/4))</f>
        <v/>
      </c>
      <c r="H140" t="e">
        <f>IF(SUM('Zoopl Analysis'!#REF!)/4=0,"",(SUM('Zoopl Analysis'!#REF!)/4))</f>
        <v>#REF!</v>
      </c>
    </row>
    <row r="141" spans="2:8">
      <c r="E141" s="8"/>
      <c r="F141" s="66" t="s">
        <v>253</v>
      </c>
      <c r="G141" t="str">
        <f>IF(SUM('Zoopl Analysis'!G253:I253)/4=0,"",(SUM('Zoopl Analysis'!G253:I253)/4))</f>
        <v/>
      </c>
      <c r="H141" t="e">
        <f>IF(SUM('Zoopl Analysis'!#REF!)/4=0,"",(SUM('Zoopl Analysis'!#REF!)/4))</f>
        <v>#REF!</v>
      </c>
    </row>
    <row r="142" spans="2:8">
      <c r="C142" s="21" t="s">
        <v>10</v>
      </c>
      <c r="D142" s="2" t="s">
        <v>186</v>
      </c>
      <c r="E142" s="8"/>
      <c r="F142" s="9"/>
      <c r="G142" t="str">
        <f>IF(SUM('Zoopl Analysis'!G254:I254)/4=0,"",(SUM('Zoopl Analysis'!G254:I254)/4))</f>
        <v/>
      </c>
      <c r="H142" t="e">
        <f>IF(SUM('Zoopl Analysis'!#REF!)/4=0,"",(SUM('Zoopl Analysis'!#REF!)/4))</f>
        <v>#REF!</v>
      </c>
    </row>
    <row r="143" spans="2:8">
      <c r="E143" s="8"/>
      <c r="F143" s="112" t="s">
        <v>187</v>
      </c>
      <c r="G143" t="str">
        <f>IF(SUM('Zoopl Analysis'!G255:I255)/4=0,"",(SUM('Zoopl Analysis'!G255:I255)/4))</f>
        <v/>
      </c>
      <c r="H143" t="e">
        <f>IF(SUM('Zoopl Analysis'!#REF!)/4=0,"",(SUM('Zoopl Analysis'!#REF!)/4))</f>
        <v>#REF!</v>
      </c>
    </row>
    <row r="144" spans="2:8">
      <c r="C144" s="21" t="s">
        <v>10</v>
      </c>
      <c r="D144" s="2" t="s">
        <v>99</v>
      </c>
      <c r="E144" s="8"/>
      <c r="F144" s="10"/>
      <c r="G144" t="str">
        <f>IF(SUM('Zoopl Analysis'!G256:I256)/4=0,"",(SUM('Zoopl Analysis'!G256:I256)/4))</f>
        <v/>
      </c>
      <c r="H144" t="e">
        <f>IF(SUM('Zoopl Analysis'!#REF!)/4=0,"",(SUM('Zoopl Analysis'!#REF!)/4))</f>
        <v>#REF!</v>
      </c>
    </row>
    <row r="145" spans="1:8">
      <c r="E145" s="8"/>
      <c r="F145" s="9" t="s">
        <v>110</v>
      </c>
      <c r="G145" t="str">
        <f>IF(SUM('Zoopl Analysis'!G257:I257)/4=0,"",(SUM('Zoopl Analysis'!G257:I257)/4))</f>
        <v/>
      </c>
      <c r="H145" t="e">
        <f>IF(SUM('Zoopl Analysis'!#REF!)/4=0,"",(SUM('Zoopl Analysis'!#REF!)/4))</f>
        <v>#REF!</v>
      </c>
    </row>
    <row r="146" spans="1:8">
      <c r="E146" s="8"/>
      <c r="F146" s="9" t="s">
        <v>109</v>
      </c>
      <c r="G146" t="str">
        <f>IF(SUM('Zoopl Analysis'!G258:I258)/4=0,"",(SUM('Zoopl Analysis'!G258:I258)/4))</f>
        <v/>
      </c>
      <c r="H146" t="e">
        <f>IF(SUM('Zoopl Analysis'!#REF!)/4=0,"",(SUM('Zoopl Analysis'!#REF!)/4))</f>
        <v>#REF!</v>
      </c>
    </row>
    <row r="147" spans="1:8">
      <c r="E147" s="8"/>
      <c r="F147" s="9" t="s">
        <v>108</v>
      </c>
      <c r="G147" t="str">
        <f>IF(SUM('Zoopl Analysis'!G259:I259)/4=0,"",(SUM('Zoopl Analysis'!G259:I259)/4))</f>
        <v/>
      </c>
      <c r="H147" t="e">
        <f>IF(SUM('Zoopl Analysis'!#REF!)/4=0,"",(SUM('Zoopl Analysis'!#REF!)/4))</f>
        <v>#REF!</v>
      </c>
    </row>
    <row r="148" spans="1:8">
      <c r="E148" s="8"/>
      <c r="F148" s="9" t="s">
        <v>121</v>
      </c>
      <c r="G148" t="str">
        <f>IF(SUM('Zoopl Analysis'!G260:I260)/4=0,"",(SUM('Zoopl Analysis'!G260:I260)/4))</f>
        <v/>
      </c>
      <c r="H148" t="e">
        <f>IF(SUM('Zoopl Analysis'!#REF!)/4=0,"",(SUM('Zoopl Analysis'!#REF!)/4))</f>
        <v>#REF!</v>
      </c>
    </row>
    <row r="149" spans="1:8">
      <c r="E149" s="8"/>
      <c r="F149" s="9" t="s">
        <v>111</v>
      </c>
      <c r="G149" t="str">
        <f>IF(SUM('Zoopl Analysis'!G261:I261)/4=0,"",(SUM('Zoopl Analysis'!G261:I261)/4))</f>
        <v/>
      </c>
      <c r="H149" t="e">
        <f>IF(SUM('Zoopl Analysis'!#REF!)/4=0,"",(SUM('Zoopl Analysis'!#REF!)/4))</f>
        <v>#REF!</v>
      </c>
    </row>
    <row r="150" spans="1:8">
      <c r="E150" s="8"/>
      <c r="F150" s="9" t="s">
        <v>174</v>
      </c>
      <c r="G150" t="str">
        <f>IF(SUM('Zoopl Analysis'!G262:I262)/4=0,"",(SUM('Zoopl Analysis'!G262:I262)/4))</f>
        <v/>
      </c>
      <c r="H150" t="e">
        <f>IF(SUM('Zoopl Analysis'!#REF!)/4=0,"",(SUM('Zoopl Analysis'!#REF!)/4))</f>
        <v>#REF!</v>
      </c>
    </row>
    <row r="151" spans="1:8">
      <c r="E151" s="8"/>
      <c r="F151" s="9" t="s">
        <v>113</v>
      </c>
      <c r="G151" t="str">
        <f>IF(SUM('Zoopl Analysis'!G263:I263)/4=0,"",(SUM('Zoopl Analysis'!G263:I263)/4))</f>
        <v/>
      </c>
      <c r="H151" t="e">
        <f>IF(SUM('Zoopl Analysis'!#REF!)/4=0,"",(SUM('Zoopl Analysis'!#REF!)/4))</f>
        <v>#REF!</v>
      </c>
    </row>
    <row r="152" spans="1:8">
      <c r="E152" s="8"/>
      <c r="F152" s="10" t="s">
        <v>112</v>
      </c>
      <c r="G152" t="e">
        <f>IF(SUM('Zoopl Analysis'!#REF!)/4=0,"",(SUM('Zoopl Analysis'!#REF!)/4))</f>
        <v>#REF!</v>
      </c>
      <c r="H152" t="e">
        <f>IF(SUM('Zoopl Analysis'!#REF!)/4=0,"",(SUM('Zoopl Analysis'!#REF!)/4))</f>
        <v>#REF!</v>
      </c>
    </row>
    <row r="153" spans="1:8">
      <c r="E153" s="8"/>
      <c r="F153" s="10" t="s">
        <v>184</v>
      </c>
      <c r="G153">
        <f>IF(SUM('Zoopl Analysis'!G264:I264)/4=0,"",(SUM('Zoopl Analysis'!G264:I264)/4))</f>
        <v>0.11408226320827058</v>
      </c>
      <c r="H153" t="e">
        <f>IF(SUM('Zoopl Analysis'!#REF!)/4=0,"",(SUM('Zoopl Analysis'!#REF!)/4))</f>
        <v>#REF!</v>
      </c>
    </row>
    <row r="154" spans="1:8">
      <c r="E154" s="8"/>
      <c r="F154" s="10" t="s">
        <v>193</v>
      </c>
      <c r="G154" t="str">
        <f>IF(SUM('Zoopl Analysis'!G265:I265)/4=0,"",(SUM('Zoopl Analysis'!G265:I265)/4))</f>
        <v/>
      </c>
      <c r="H154" t="e">
        <f>IF(SUM('Zoopl Analysis'!#REF!)/4=0,"",(SUM('Zoopl Analysis'!#REF!)/4))</f>
        <v>#REF!</v>
      </c>
    </row>
    <row r="155" spans="1:8">
      <c r="E155" s="8"/>
      <c r="F155" s="10" t="s">
        <v>225</v>
      </c>
      <c r="G155" t="str">
        <f>IF(SUM('Zoopl Analysis'!G266:I266)/4=0,"",(SUM('Zoopl Analysis'!G266:I266)/4))</f>
        <v/>
      </c>
      <c r="H155" t="e">
        <f>IF(SUM('Zoopl Analysis'!#REF!)/4=0,"",(SUM('Zoopl Analysis'!#REF!)/4))</f>
        <v>#REF!</v>
      </c>
    </row>
    <row r="156" spans="1:8">
      <c r="E156" s="8"/>
      <c r="F156" s="10"/>
      <c r="G156" t="str">
        <f>IF(SUM('Zoopl Analysis'!G274:I274)/4=0,"",(SUM('Zoopl Analysis'!G274:I274)/4))</f>
        <v/>
      </c>
      <c r="H156" t="e">
        <f>IF(SUM('Zoopl Analysis'!#REF!)/4=0,"",(SUM('Zoopl Analysis'!#REF!)/4))</f>
        <v>#REF!</v>
      </c>
    </row>
    <row r="157" spans="1:8">
      <c r="A157" s="21" t="s">
        <v>7</v>
      </c>
      <c r="B157" s="2" t="s">
        <v>114</v>
      </c>
      <c r="C157" s="2"/>
      <c r="D157" s="2"/>
      <c r="E157" s="21"/>
      <c r="F157" s="78"/>
      <c r="G157" t="str">
        <f>IF(SUM('Zoopl Analysis'!G275:I275)/4=0,"",(SUM('Zoopl Analysis'!G275:I275)/4))</f>
        <v/>
      </c>
      <c r="H157" t="e">
        <f>IF(SUM('Zoopl Analysis'!#REF!)/4=0,"",(SUM('Zoopl Analysis'!#REF!)/4))</f>
        <v>#REF!</v>
      </c>
    </row>
    <row r="158" spans="1:8">
      <c r="A158" s="2"/>
      <c r="B158" s="21" t="s">
        <v>79</v>
      </c>
      <c r="C158" s="2" t="s">
        <v>115</v>
      </c>
      <c r="D158" s="2"/>
      <c r="E158" s="21"/>
      <c r="F158" s="78"/>
      <c r="G158" t="str">
        <f>IF(SUM('Zoopl Analysis'!G276:I276)/4=0,"",(SUM('Zoopl Analysis'!G276:I276)/4))</f>
        <v/>
      </c>
      <c r="H158" t="e">
        <f>IF(SUM('Zoopl Analysis'!#REF!)/4=0,"",(SUM('Zoopl Analysis'!#REF!)/4))</f>
        <v>#REF!</v>
      </c>
    </row>
    <row r="159" spans="1:8">
      <c r="E159" s="8"/>
      <c r="F159" s="9" t="s">
        <v>163</v>
      </c>
      <c r="G159">
        <f>IF(SUM('Zoopl Analysis'!G277:I277)/4=0,"",(SUM('Zoopl Analysis'!G277:I277)/4))</f>
        <v>4.8892398517830248E-2</v>
      </c>
      <c r="H159" t="e">
        <f>IF(SUM('Zoopl Analysis'!#REF!)/4=0,"",(SUM('Zoopl Analysis'!#REF!)/4))</f>
        <v>#REF!</v>
      </c>
    </row>
    <row r="160" spans="1:8">
      <c r="E160" s="8"/>
      <c r="F160" s="9"/>
      <c r="G160" t="str">
        <f>IF(SUM('Zoopl Analysis'!G278:I278)/4=0,"",(SUM('Zoopl Analysis'!G278:I278)/4))</f>
        <v/>
      </c>
      <c r="H160" t="e">
        <f>IF(SUM('Zoopl Analysis'!#REF!)/4=0,"",(SUM('Zoopl Analysis'!#REF!)/4))</f>
        <v>#REF!</v>
      </c>
    </row>
    <row r="161" spans="1:8">
      <c r="A161" s="2"/>
      <c r="B161" s="21" t="s">
        <v>79</v>
      </c>
      <c r="C161" s="2" t="s">
        <v>116</v>
      </c>
      <c r="D161" s="2"/>
      <c r="E161" s="21"/>
      <c r="F161" s="78"/>
      <c r="G161" t="str">
        <f>IF(SUM('Zoopl Analysis'!G284:I284)/4=0,"",(SUM('Zoopl Analysis'!G284:I284)/4))</f>
        <v/>
      </c>
      <c r="H161" t="e">
        <f>IF(SUM('Zoopl Analysis'!#REF!)/4=0,"",(SUM('Zoopl Analysis'!#REF!)/4))</f>
        <v>#REF!</v>
      </c>
    </row>
    <row r="162" spans="1:8">
      <c r="E162" s="8"/>
      <c r="F162" s="9" t="s">
        <v>164</v>
      </c>
      <c r="G162">
        <f>IF(SUM('Zoopl Analysis'!G285:I285)/4=0,"",(SUM('Zoopl Analysis'!G285:I285)/4))</f>
        <v>0.16297466172610081</v>
      </c>
      <c r="H162" t="e">
        <f>IF(SUM('Zoopl Analysis'!#REF!)/4=0,"",(SUM('Zoopl Analysis'!#REF!)/4))</f>
        <v>#REF!</v>
      </c>
    </row>
    <row r="163" spans="1:8">
      <c r="E163" s="8"/>
      <c r="F163" s="9"/>
      <c r="G163" t="str">
        <f>IF(SUM('Zoopl Analysis'!G286:I286)/4=0,"",(SUM('Zoopl Analysis'!G286:I286)/4))</f>
        <v/>
      </c>
      <c r="H163" t="e">
        <f>IF(SUM('Zoopl Analysis'!#REF!)/4=0,"",(SUM('Zoopl Analysis'!#REF!)/4))</f>
        <v>#REF!</v>
      </c>
    </row>
    <row r="164" spans="1:8">
      <c r="B164" s="8" t="s">
        <v>79</v>
      </c>
      <c r="C164" s="2" t="s">
        <v>117</v>
      </c>
      <c r="E164" s="8"/>
      <c r="F164" s="10"/>
      <c r="G164" t="str">
        <f>IF(SUM('Zoopl Analysis'!G287:I287)/4=0,"",(SUM('Zoopl Analysis'!G287:I287)/4))</f>
        <v/>
      </c>
      <c r="H164" t="e">
        <f>IF(SUM('Zoopl Analysis'!#REF!)/4=0,"",(SUM('Zoopl Analysis'!#REF!)/4))</f>
        <v>#REF!</v>
      </c>
    </row>
    <row r="165" spans="1:8">
      <c r="E165" s="8"/>
      <c r="F165" s="9" t="s">
        <v>118</v>
      </c>
      <c r="G165" t="str">
        <f>IF(SUM('Zoopl Analysis'!G288:I288)/4=0,"",(SUM('Zoopl Analysis'!G288:I288)/4))</f>
        <v/>
      </c>
      <c r="H165" t="e">
        <f>IF(SUM('Zoopl Analysis'!#REF!)/4=0,"",(SUM('Zoopl Analysis'!#REF!)/4))</f>
        <v>#REF!</v>
      </c>
    </row>
    <row r="166" spans="1:8">
      <c r="E166" s="8"/>
      <c r="F166" s="10"/>
      <c r="G166" t="str">
        <f>IF(SUM('Zoopl Analysis'!G289:I289)/4=0,"",(SUM('Zoopl Analysis'!G289:I289)/4))</f>
        <v/>
      </c>
      <c r="H166" t="e">
        <f>IF(SUM('Zoopl Analysis'!#REF!)/4=0,"",(SUM('Zoopl Analysis'!#REF!)/4))</f>
        <v>#REF!</v>
      </c>
    </row>
    <row r="167" spans="1:8">
      <c r="A167" s="80" t="s">
        <v>7</v>
      </c>
      <c r="B167" s="2" t="s">
        <v>119</v>
      </c>
      <c r="E167" s="8"/>
      <c r="F167" s="10"/>
      <c r="G167" t="str">
        <f>IF(SUM('Zoopl Analysis'!G290:I290)/4=0,"",(SUM('Zoopl Analysis'!G290:I290)/4))</f>
        <v/>
      </c>
      <c r="H167" t="e">
        <f>IF(SUM('Zoopl Analysis'!#REF!)/4=0,"",(SUM('Zoopl Analysis'!#REF!)/4))</f>
        <v>#REF!</v>
      </c>
    </row>
    <row r="168" spans="1:8">
      <c r="E168" s="8"/>
      <c r="F168" s="9" t="s">
        <v>120</v>
      </c>
      <c r="G168" t="str">
        <f>IF(SUM('Zoopl Analysis'!G291:I291)/4=0,"",(SUM('Zoopl Analysis'!G291:I291)/4))</f>
        <v/>
      </c>
      <c r="H168" t="e">
        <f>IF(SUM('Zoopl Analysis'!#REF!)/4=0,"",(SUM('Zoopl Analysis'!#REF!)/4))</f>
        <v>#REF!</v>
      </c>
    </row>
    <row r="169" spans="1:8">
      <c r="E169" s="8"/>
      <c r="F169" s="10"/>
      <c r="G169" t="str">
        <f>IF(SUM('Zoopl Analysis'!G292:I292)/4=0,"",(SUM('Zoopl Analysis'!G292:I292)/4))</f>
        <v/>
      </c>
      <c r="H169" t="e">
        <f>IF(SUM('Zoopl Analysis'!#REF!)/4=0,"",(SUM('Zoopl Analysis'!#REF!)/4))</f>
        <v>#REF!</v>
      </c>
    </row>
    <row r="170" spans="1:8">
      <c r="A170" s="21" t="s">
        <v>7</v>
      </c>
      <c r="B170" s="2" t="s">
        <v>122</v>
      </c>
      <c r="E170" s="8"/>
      <c r="F170" s="10"/>
      <c r="G170" t="str">
        <f>IF(SUM('Zoopl Analysis'!G298:I298)/4=0,"",(SUM('Zoopl Analysis'!G298:I298)/4))</f>
        <v/>
      </c>
      <c r="H170" t="e">
        <f>IF(SUM('Zoopl Analysis'!#REF!)/4=0,"",(SUM('Zoopl Analysis'!#REF!)/4))</f>
        <v>#REF!</v>
      </c>
    </row>
    <row r="171" spans="1:8">
      <c r="E171" s="8"/>
      <c r="F171" s="113" t="s">
        <v>123</v>
      </c>
      <c r="G171" t="str">
        <f>IF(SUM('Zoopl Analysis'!G299:I299)/4=0,"",(SUM('Zoopl Analysis'!G299:I299)/4))</f>
        <v/>
      </c>
      <c r="H171" t="e">
        <f>IF(SUM('Zoopl Analysis'!#REF!)/4=0,"",(SUM('Zoopl Analysis'!#REF!)/4))</f>
        <v>#REF!</v>
      </c>
    </row>
    <row r="172" spans="1:8">
      <c r="E172" s="8"/>
      <c r="F172" s="113"/>
      <c r="G172" t="str">
        <f>IF(SUM('Zoopl Analysis'!G300:I300)/4=0,"",(SUM('Zoopl Analysis'!G300:I300)/4))</f>
        <v/>
      </c>
      <c r="H172" t="e">
        <f>IF(SUM('Zoopl Analysis'!#REF!)/4=0,"",(SUM('Zoopl Analysis'!#REF!)/4))</f>
        <v>#REF!</v>
      </c>
    </row>
    <row r="173" spans="1:8">
      <c r="A173" s="21" t="s">
        <v>7</v>
      </c>
      <c r="B173" s="2" t="s">
        <v>124</v>
      </c>
      <c r="E173" s="8"/>
      <c r="F173" s="10"/>
      <c r="G173" t="str">
        <f>IF(SUM('Zoopl Analysis'!G301:I301)/4=0,"",(SUM('Zoopl Analysis'!G301:I301)/4))</f>
        <v/>
      </c>
      <c r="H173" t="e">
        <f>IF(SUM('Zoopl Analysis'!#REF!)/4=0,"",(SUM('Zoopl Analysis'!#REF!)/4))</f>
        <v>#REF!</v>
      </c>
    </row>
    <row r="174" spans="1:8">
      <c r="E174" s="8"/>
      <c r="F174" s="9" t="s">
        <v>125</v>
      </c>
      <c r="G174" t="str">
        <f>IF(SUM('Zoopl Analysis'!G302:I302)/4=0,"",(SUM('Zoopl Analysis'!G302:I302)/4))</f>
        <v/>
      </c>
      <c r="H174" t="e">
        <f>IF(SUM('Zoopl Analysis'!#REF!)/4=0,"",(SUM('Zoopl Analysis'!#REF!)/4))</f>
        <v>#REF!</v>
      </c>
    </row>
    <row r="175" spans="1:8">
      <c r="E175" s="8"/>
      <c r="F175" s="9"/>
      <c r="G175" t="str">
        <f>IF(SUM('Zoopl Analysis'!G303:I303)/4=0,"",(SUM('Zoopl Analysis'!G303:I303)/4))</f>
        <v/>
      </c>
      <c r="H175" t="e">
        <f>IF(SUM('Zoopl Analysis'!#REF!)/4=0,"",(SUM('Zoopl Analysis'!#REF!)/4))</f>
        <v>#REF!</v>
      </c>
    </row>
    <row r="176" spans="1:8">
      <c r="A176" s="21" t="s">
        <v>7</v>
      </c>
      <c r="B176" s="2" t="s">
        <v>48</v>
      </c>
      <c r="F176" s="9"/>
      <c r="G176" t="str">
        <f>IF(SUM('Zoopl Analysis'!G304:I304)/4=0,"",(SUM('Zoopl Analysis'!G304:I304)/4))</f>
        <v/>
      </c>
      <c r="H176" t="e">
        <f>IF(SUM('Zoopl Analysis'!#REF!)/4=0,"",(SUM('Zoopl Analysis'!#REF!)/4))</f>
        <v>#REF!</v>
      </c>
    </row>
    <row r="177" spans="1:8">
      <c r="A177" s="8"/>
      <c r="B177" s="21" t="s">
        <v>79</v>
      </c>
      <c r="C177" s="2" t="s">
        <v>178</v>
      </c>
      <c r="F177" s="9"/>
      <c r="G177" t="str">
        <f>IF(SUM('Zoopl Analysis'!G305:I305)/4=0,"",(SUM('Zoopl Analysis'!G305:I305)/4))</f>
        <v/>
      </c>
      <c r="H177" t="e">
        <f>IF(SUM('Zoopl Analysis'!#REF!)/4=0,"",(SUM('Zoopl Analysis'!#REF!)/4))</f>
        <v>#REF!</v>
      </c>
    </row>
    <row r="178" spans="1:8">
      <c r="C178" s="21" t="s">
        <v>10</v>
      </c>
      <c r="D178" s="2" t="s">
        <v>49</v>
      </c>
      <c r="F178" s="9"/>
      <c r="G178" t="str">
        <f>IF(SUM('Zoopl Analysis'!G306:I306)/4=0,"",(SUM('Zoopl Analysis'!G306:I306)/4))</f>
        <v/>
      </c>
      <c r="H178" t="e">
        <f>IF(SUM('Zoopl Analysis'!#REF!)/4=0,"",(SUM('Zoopl Analysis'!#REF!)/4))</f>
        <v>#REF!</v>
      </c>
    </row>
    <row r="179" spans="1:8">
      <c r="D179" s="8" t="s">
        <v>12</v>
      </c>
      <c r="E179" s="6" t="s">
        <v>50</v>
      </c>
      <c r="F179" s="9"/>
      <c r="G179" t="str">
        <f>IF(SUM('Zoopl Analysis'!G307:I307)/4=0,"",(SUM('Zoopl Analysis'!G307:I307)/4))</f>
        <v/>
      </c>
      <c r="H179" t="e">
        <f>IF(SUM('Zoopl Analysis'!#REF!)/4=0,"",(SUM('Zoopl Analysis'!#REF!)/4))</f>
        <v>#REF!</v>
      </c>
    </row>
    <row r="180" spans="1:8">
      <c r="E180" s="8" t="s">
        <v>14</v>
      </c>
      <c r="F180" s="10" t="s">
        <v>51</v>
      </c>
      <c r="G180" t="str">
        <f>IF(SUM('Zoopl Analysis'!G308:I308)/4=0,"",(SUM('Zoopl Analysis'!G308:I308)/4))</f>
        <v/>
      </c>
      <c r="H180" t="e">
        <f>IF(SUM('Zoopl Analysis'!#REF!)/4=0,"",(SUM('Zoopl Analysis'!#REF!)/4))</f>
        <v>#REF!</v>
      </c>
    </row>
    <row r="181" spans="1:8">
      <c r="E181" s="8" t="s">
        <v>14</v>
      </c>
      <c r="F181" s="10" t="s">
        <v>52</v>
      </c>
      <c r="G181">
        <f>IF(SUM('Zoopl Analysis'!G309:I309)/4=0,"",(SUM('Zoopl Analysis'!G309:I309)/4))</f>
        <v>0.21186706024393107</v>
      </c>
      <c r="H181" t="e">
        <f>IF(SUM('Zoopl Analysis'!#REF!)/4=0,"",(SUM('Zoopl Analysis'!#REF!)/4))</f>
        <v>#REF!</v>
      </c>
    </row>
    <row r="182" spans="1:8">
      <c r="F182" s="10" t="s">
        <v>53</v>
      </c>
      <c r="G182">
        <f>IF(SUM('Zoopl Analysis'!G310:I310)/4=0,"",(SUM('Zoopl Analysis'!G310:I310)/4))</f>
        <v>0.3748417219700319</v>
      </c>
      <c r="H182" t="e">
        <f>IF(SUM('Zoopl Analysis'!#REF!)/4=0,"",(SUM('Zoopl Analysis'!#REF!)/4))</f>
        <v>#REF!</v>
      </c>
    </row>
    <row r="183" spans="1:8">
      <c r="F183" s="10"/>
      <c r="G183" t="str">
        <f>IF(SUM('Zoopl Analysis'!G311:I311)/4=0,"",(SUM('Zoopl Analysis'!G311:I311)/4))</f>
        <v/>
      </c>
      <c r="H183" t="e">
        <f>IF(SUM('Zoopl Analysis'!#REF!)/4=0,"",(SUM('Zoopl Analysis'!#REF!)/4))</f>
        <v>#REF!</v>
      </c>
    </row>
    <row r="184" spans="1:8">
      <c r="A184" s="21" t="s">
        <v>7</v>
      </c>
      <c r="B184" s="2" t="s">
        <v>126</v>
      </c>
      <c r="E184" s="8"/>
      <c r="F184" s="9"/>
      <c r="G184" t="str">
        <f>IF(SUM('Zoopl Analysis'!G312:I312)/4=0,"",(SUM('Zoopl Analysis'!G312:I312)/4))</f>
        <v/>
      </c>
      <c r="H184" t="e">
        <f>IF(SUM('Zoopl Analysis'!#REF!)/4=0,"",(SUM('Zoopl Analysis'!#REF!)/4))</f>
        <v>#REF!</v>
      </c>
    </row>
    <row r="185" spans="1:8">
      <c r="E185" s="8"/>
      <c r="F185" s="9" t="s">
        <v>127</v>
      </c>
      <c r="G185" t="str">
        <f>IF(SUM('Zoopl Analysis'!G313:I313)/4=0,"",(SUM('Zoopl Analysis'!G313:I313)/4))</f>
        <v/>
      </c>
      <c r="H185" t="e">
        <f>IF(SUM('Zoopl Analysis'!#REF!)/4=0,"",(SUM('Zoopl Analysis'!#REF!)/4))</f>
        <v>#REF!</v>
      </c>
    </row>
    <row r="186" spans="1:8">
      <c r="E186" s="8"/>
      <c r="F186" s="9" t="s">
        <v>128</v>
      </c>
      <c r="G186" t="str">
        <f>IF(SUM('Zoopl Analysis'!G315:I315)/4=0,"",(SUM('Zoopl Analysis'!G315:I315)/4))</f>
        <v/>
      </c>
      <c r="H186" t="e">
        <f>IF(SUM('Zoopl Analysis'!#REF!)/4=0,"",(SUM('Zoopl Analysis'!#REF!)/4))</f>
        <v>#REF!</v>
      </c>
    </row>
    <row r="187" spans="1:8">
      <c r="E187" s="8"/>
      <c r="F187" s="112" t="s">
        <v>185</v>
      </c>
      <c r="G187">
        <f>IF(SUM('Zoopl Analysis'!G316:I316)/4=0,"",(SUM('Zoopl Analysis'!G316:I316)/4))</f>
        <v>8.1487330863050413E-3</v>
      </c>
      <c r="H187" t="e">
        <f>IF(SUM('Zoopl Analysis'!#REF!)/4=0,"",(SUM('Zoopl Analysis'!#REF!)/4))</f>
        <v>#REF!</v>
      </c>
    </row>
    <row r="188" spans="1:8">
      <c r="F188" s="9"/>
      <c r="G188" t="str">
        <f>IF(SUM('Zoopl Analysis'!G317:I317)/4=0,"",(SUM('Zoopl Analysis'!G317:I317)/4))</f>
        <v/>
      </c>
      <c r="H188" t="e">
        <f>IF(SUM('Zoopl Analysis'!#REF!)/4=0,"",(SUM('Zoopl Analysis'!#REF!)/4))</f>
        <v>#REF!</v>
      </c>
    </row>
    <row r="189" spans="1:8">
      <c r="A189" s="21" t="s">
        <v>7</v>
      </c>
      <c r="B189" s="2" t="s">
        <v>54</v>
      </c>
      <c r="C189" s="96"/>
      <c r="D189" s="96"/>
      <c r="E189" s="96"/>
      <c r="F189" s="97"/>
      <c r="G189" t="str">
        <f>IF(SUM('Zoopl Analysis'!G318:I318)/4=0,"",(SUM('Zoopl Analysis'!G318:I318)/4))</f>
        <v/>
      </c>
      <c r="H189" t="e">
        <f>IF(SUM('Zoopl Analysis'!#REF!)/4=0,"",(SUM('Zoopl Analysis'!#REF!)/4))</f>
        <v>#REF!</v>
      </c>
    </row>
    <row r="190" spans="1:8">
      <c r="A190" s="95"/>
      <c r="B190" s="21" t="s">
        <v>79</v>
      </c>
      <c r="C190" s="2" t="s">
        <v>250</v>
      </c>
      <c r="D190" s="96"/>
      <c r="E190" s="96"/>
      <c r="F190" s="97"/>
      <c r="G190" t="str">
        <f>IF(SUM('Zoopl Analysis'!G319:I319)/4=0,"",(SUM('Zoopl Analysis'!G319:I319)/4))</f>
        <v/>
      </c>
      <c r="H190" t="e">
        <f>IF(SUM('Zoopl Analysis'!#REF!)/4=0,"",(SUM('Zoopl Analysis'!#REF!)/4))</f>
        <v>#REF!</v>
      </c>
    </row>
    <row r="191" spans="1:8">
      <c r="A191" s="96"/>
      <c r="B191" s="96"/>
      <c r="C191" s="21" t="s">
        <v>10</v>
      </c>
      <c r="D191" s="2" t="s">
        <v>251</v>
      </c>
      <c r="E191" s="96"/>
      <c r="F191" s="97"/>
      <c r="G191" t="str">
        <f>IF(SUM('Zoopl Analysis'!G320:I320)/4=0,"",(SUM('Zoopl Analysis'!G320:I320)/4))</f>
        <v/>
      </c>
      <c r="H191" t="e">
        <f>IF(SUM('Zoopl Analysis'!#REF!)/4=0,"",(SUM('Zoopl Analysis'!#REF!)/4))</f>
        <v>#REF!</v>
      </c>
    </row>
    <row r="192" spans="1:8">
      <c r="A192" s="96"/>
      <c r="B192" s="96"/>
      <c r="C192" s="96"/>
      <c r="D192" s="95" t="s">
        <v>12</v>
      </c>
      <c r="E192" s="96" t="s">
        <v>55</v>
      </c>
      <c r="F192" s="97"/>
      <c r="G192" t="str">
        <f>IF(SUM('Zoopl Analysis'!G321:I321)/4=0,"",(SUM('Zoopl Analysis'!G321:I321)/4))</f>
        <v/>
      </c>
      <c r="H192" t="e">
        <f>IF(SUM('Zoopl Analysis'!#REF!)/4=0,"",(SUM('Zoopl Analysis'!#REF!)/4))</f>
        <v>#REF!</v>
      </c>
    </row>
    <row r="193" spans="1:8">
      <c r="A193" s="96"/>
      <c r="B193" s="96"/>
      <c r="C193" s="96"/>
      <c r="D193" s="95"/>
      <c r="E193" s="95" t="s">
        <v>14</v>
      </c>
      <c r="F193" s="10" t="s">
        <v>57</v>
      </c>
      <c r="G193">
        <f>IF(SUM('Zoopl Analysis'!G322:I322)/4=0,"",(SUM('Zoopl Analysis'!G322:I322)/4))</f>
        <v>8.1487330863050413E-3</v>
      </c>
      <c r="H193" t="e">
        <f>IF(SUM('Zoopl Analysis'!#REF!)/4=0,"",(SUM('Zoopl Analysis'!#REF!)/4))</f>
        <v>#REF!</v>
      </c>
    </row>
    <row r="194" spans="1:8">
      <c r="A194" s="96"/>
      <c r="B194" s="96"/>
      <c r="C194" s="96"/>
      <c r="D194" s="95" t="s">
        <v>12</v>
      </c>
      <c r="E194" s="96" t="s">
        <v>58</v>
      </c>
      <c r="F194" s="97"/>
      <c r="G194" t="str">
        <f>IF(SUM('Zoopl Analysis'!G323:I323)/4=0,"",(SUM('Zoopl Analysis'!G323:I323)/4))</f>
        <v/>
      </c>
      <c r="H194" t="e">
        <f>IF(SUM('Zoopl Analysis'!#REF!)/4=0,"",(SUM('Zoopl Analysis'!#REF!)/4))</f>
        <v>#REF!</v>
      </c>
    </row>
    <row r="195" spans="1:8">
      <c r="A195" s="96"/>
      <c r="B195" s="96"/>
      <c r="C195" s="96"/>
      <c r="D195" s="96"/>
      <c r="E195" s="95" t="s">
        <v>14</v>
      </c>
      <c r="F195" s="10" t="s">
        <v>60</v>
      </c>
      <c r="G195">
        <f>IF(SUM('Zoopl Analysis'!G324:I324)/4=0,"",(SUM('Zoopl Analysis'!G324:I324)/4))</f>
        <v>1.4504744893622974</v>
      </c>
      <c r="H195" t="e">
        <f>IF(SUM('Zoopl Analysis'!#REF!)/4=0,"",(SUM('Zoopl Analysis'!#REF!)/4))</f>
        <v>#REF!</v>
      </c>
    </row>
    <row r="196" spans="1:8">
      <c r="E196" s="8"/>
      <c r="F196" s="10"/>
      <c r="G196" t="str">
        <f>IF(SUM('Zoopl Analysis'!G325:I325)/4=0,"",(SUM('Zoopl Analysis'!G325:I325)/4))</f>
        <v/>
      </c>
      <c r="H196" t="e">
        <f>IF(SUM('Zoopl Analysis'!#REF!)/4=0,"",(SUM('Zoopl Analysis'!#REF!)/4))</f>
        <v>#REF!</v>
      </c>
    </row>
    <row r="197" spans="1:8">
      <c r="B197" s="21" t="s">
        <v>79</v>
      </c>
      <c r="C197" s="2" t="s">
        <v>130</v>
      </c>
      <c r="E197" s="8"/>
      <c r="F197" s="10"/>
      <c r="G197" t="str">
        <f>IF(SUM('Zoopl Analysis'!G326:I326)/4=0,"",(SUM('Zoopl Analysis'!G326:I326)/4))</f>
        <v/>
      </c>
      <c r="H197" t="e">
        <f>IF(SUM('Zoopl Analysis'!#REF!)/4=0,"",(SUM('Zoopl Analysis'!#REF!)/4))</f>
        <v>#REF!</v>
      </c>
    </row>
    <row r="198" spans="1:8">
      <c r="C198" s="8" t="s">
        <v>10</v>
      </c>
      <c r="D198" s="13" t="s">
        <v>61</v>
      </c>
      <c r="F198" s="9"/>
      <c r="G198" t="str">
        <f>IF(SUM('Zoopl Analysis'!G327:I327)/4=0,"",(SUM('Zoopl Analysis'!G327:I327)/4))</f>
        <v/>
      </c>
      <c r="H198" t="e">
        <f>IF(SUM('Zoopl Analysis'!#REF!)/4=0,"",(SUM('Zoopl Analysis'!#REF!)/4))</f>
        <v>#REF!</v>
      </c>
    </row>
    <row r="199" spans="1:8">
      <c r="D199" s="8" t="s">
        <v>12</v>
      </c>
      <c r="E199" s="6" t="s">
        <v>62</v>
      </c>
      <c r="F199" s="9"/>
      <c r="G199" t="str">
        <f>IF(SUM('Zoopl Analysis'!G328:I328)/4=0,"",(SUM('Zoopl Analysis'!G328:I328)/4))</f>
        <v/>
      </c>
      <c r="H199" t="e">
        <f>IF(SUM('Zoopl Analysis'!#REF!)/4=0,"",(SUM('Zoopl Analysis'!#REF!)/4))</f>
        <v>#REF!</v>
      </c>
    </row>
    <row r="200" spans="1:8">
      <c r="E200" s="8" t="s">
        <v>14</v>
      </c>
      <c r="F200" s="10" t="s">
        <v>63</v>
      </c>
      <c r="G200" t="str">
        <f>IF(SUM('Zoopl Analysis'!G329:I329)/4=0,"",(SUM('Zoopl Analysis'!G329:I329)/4))</f>
        <v/>
      </c>
      <c r="H200" t="e">
        <f>IF(SUM('Zoopl Analysis'!#REF!)/4=0,"",(SUM('Zoopl Analysis'!#REF!)/4))</f>
        <v>#REF!</v>
      </c>
    </row>
    <row r="201" spans="1:8">
      <c r="C201" s="8" t="s">
        <v>10</v>
      </c>
      <c r="D201" s="2" t="s">
        <v>64</v>
      </c>
      <c r="F201" s="9"/>
      <c r="G201" t="str">
        <f>IF(SUM('Zoopl Analysis'!G330:I330)/4=0,"",(SUM('Zoopl Analysis'!G330:I330)/4))</f>
        <v/>
      </c>
      <c r="H201" t="e">
        <f>IF(SUM('Zoopl Analysis'!#REF!)/4=0,"",(SUM('Zoopl Analysis'!#REF!)/4))</f>
        <v>#REF!</v>
      </c>
    </row>
    <row r="202" spans="1:8">
      <c r="D202" s="8" t="s">
        <v>12</v>
      </c>
      <c r="E202" s="6" t="s">
        <v>65</v>
      </c>
      <c r="F202" s="9"/>
      <c r="G202" t="str">
        <f>IF(SUM('Zoopl Analysis'!G331:I331)/4=0,"",(SUM('Zoopl Analysis'!G331:I331)/4))</f>
        <v/>
      </c>
      <c r="H202" t="e">
        <f>IF(SUM('Zoopl Analysis'!#REF!)/4=0,"",(SUM('Zoopl Analysis'!#REF!)/4))</f>
        <v>#REF!</v>
      </c>
    </row>
    <row r="203" spans="1:8">
      <c r="E203" s="8" t="s">
        <v>14</v>
      </c>
      <c r="F203" s="10" t="s">
        <v>66</v>
      </c>
      <c r="G203" t="str">
        <f>IF(SUM('Zoopl Analysis'!G332:I332)/4=0,"",(SUM('Zoopl Analysis'!G332:I332)/4))</f>
        <v/>
      </c>
      <c r="H203" t="e">
        <f>IF(SUM('Zoopl Analysis'!#REF!)/4=0,"",(SUM('Zoopl Analysis'!#REF!)/4))</f>
        <v>#REF!</v>
      </c>
    </row>
    <row r="204" spans="1:8">
      <c r="E204" s="8"/>
      <c r="F204" s="10"/>
      <c r="G204" t="str">
        <f>IF(SUM('Zoopl Analysis'!G333:I333)/4=0,"",(SUM('Zoopl Analysis'!G333:I333)/4))</f>
        <v/>
      </c>
      <c r="H204" t="e">
        <f>IF(SUM('Zoopl Analysis'!#REF!)/4=0,"",(SUM('Zoopl Analysis'!#REF!)/4))</f>
        <v>#REF!</v>
      </c>
    </row>
    <row r="205" spans="1:8">
      <c r="B205" s="21" t="s">
        <v>79</v>
      </c>
      <c r="C205" s="2" t="s">
        <v>131</v>
      </c>
      <c r="E205" s="8"/>
      <c r="F205" s="10"/>
      <c r="G205" t="str">
        <f>IF(SUM('Zoopl Analysis'!G334:I334)/4=0,"",(SUM('Zoopl Analysis'!G334:I334)/4))</f>
        <v/>
      </c>
      <c r="H205" t="e">
        <f>IF(SUM('Zoopl Analysis'!#REF!)/4=0,"",(SUM('Zoopl Analysis'!#REF!)/4))</f>
        <v>#REF!</v>
      </c>
    </row>
    <row r="206" spans="1:8">
      <c r="B206" s="8"/>
      <c r="C206" s="2"/>
      <c r="E206" s="8"/>
      <c r="F206" s="9" t="s">
        <v>132</v>
      </c>
      <c r="G206" t="str">
        <f>IF(SUM('Zoopl Analysis'!G335:I335)/4=0,"",(SUM('Zoopl Analysis'!G335:I335)/4))</f>
        <v/>
      </c>
      <c r="H206" t="e">
        <f>IF(SUM('Zoopl Analysis'!#REF!)/4=0,"",(SUM('Zoopl Analysis'!#REF!)/4))</f>
        <v>#REF!</v>
      </c>
    </row>
    <row r="207" spans="1:8">
      <c r="B207" s="8"/>
      <c r="C207" s="2"/>
      <c r="E207" s="8"/>
      <c r="F207" s="9" t="s">
        <v>133</v>
      </c>
      <c r="G207" t="str">
        <f>IF(SUM('Zoopl Analysis'!G336:I336)/4=0,"",(SUM('Zoopl Analysis'!G336:I336)/4))</f>
        <v/>
      </c>
      <c r="H207" t="e">
        <f>IF(SUM('Zoopl Analysis'!#REF!)/4=0,"",(SUM('Zoopl Analysis'!#REF!)/4))</f>
        <v>#REF!</v>
      </c>
    </row>
    <row r="208" spans="1:8" ht="16" thickBot="1">
      <c r="B208" s="8" t="s">
        <v>162</v>
      </c>
      <c r="C208" s="2"/>
      <c r="E208" s="8"/>
      <c r="F208" s="9"/>
      <c r="G208" t="str">
        <f>IF(SUM('Zoopl Analysis'!G337:I337)/4=0,"",(SUM('Zoopl Analysis'!G337:I337)/4))</f>
        <v/>
      </c>
      <c r="H208" t="e">
        <f>IF(SUM('Zoopl Analysis'!#REF!)/4=0,"",(SUM('Zoopl Analysis'!#REF!)/4))</f>
        <v>#REF!</v>
      </c>
    </row>
    <row r="209" spans="1:8" ht="16" thickBot="1">
      <c r="A209" s="14"/>
      <c r="B209" s="14"/>
      <c r="C209" s="14"/>
      <c r="D209" s="14"/>
      <c r="E209" s="14"/>
      <c r="F209" s="15" t="s">
        <v>82</v>
      </c>
      <c r="G209">
        <f>COUNT(G10:G208)</f>
        <v>26</v>
      </c>
      <c r="H209">
        <f>COUNT(H10:H208)</f>
        <v>0</v>
      </c>
    </row>
    <row r="210" spans="1:8">
      <c r="F210" s="3" t="s">
        <v>257</v>
      </c>
      <c r="G210" s="101">
        <f>AVERAGE('Zoopl Analysis'!G339:I339)</f>
        <v>20.947676520528162</v>
      </c>
      <c r="H210" s="101" t="e">
        <f>AVERAGE('Zoopl Analysis'!#REF!)</f>
        <v>#REF!</v>
      </c>
    </row>
    <row r="211" spans="1:8">
      <c r="F211" s="3" t="s">
        <v>258</v>
      </c>
      <c r="G211" s="101">
        <f>STDEV('Zoopl Analysis'!G339:I339)</f>
        <v>15.748626464585605</v>
      </c>
      <c r="H211" s="101" t="e">
        <f>STDEV('Zoopl Analysis'!#REF!)</f>
        <v>#REF!</v>
      </c>
    </row>
    <row r="212" spans="1:8">
      <c r="F212" s="3" t="s">
        <v>259</v>
      </c>
      <c r="G212" s="101">
        <f>AVERAGE('Zoopl Analysis'!G340:I340)</f>
        <v>2.0516473611704487</v>
      </c>
      <c r="H212" s="101" t="e">
        <f>AVERAGE('Zoopl Analysis'!#REF!)</f>
        <v>#REF!</v>
      </c>
    </row>
    <row r="213" spans="1:8">
      <c r="F213" s="3" t="s">
        <v>258</v>
      </c>
      <c r="G213" s="101">
        <f>STDEV('Zoopl Analysis'!G340:I340)</f>
        <v>0.2713293869054143</v>
      </c>
      <c r="H213" s="101" t="e">
        <f>STDEV('Zoopl Analysis'!#REF!)</f>
        <v>#REF!</v>
      </c>
    </row>
    <row r="214" spans="1:8">
      <c r="F214" s="3" t="s">
        <v>260</v>
      </c>
      <c r="G214" s="101">
        <f>AVERAGE('Zoopl Analysis'!G341:I341)</f>
        <v>0.68627662943162882</v>
      </c>
      <c r="H214" s="101" t="e">
        <f>AVERAGE('Zoopl Analysis'!#REF!)</f>
        <v>#REF!</v>
      </c>
    </row>
    <row r="215" spans="1:8">
      <c r="F215" s="3" t="s">
        <v>258</v>
      </c>
      <c r="G215" s="102">
        <f>STDEV('Zoopl Analysis'!G341:I341)</f>
        <v>8.37033250098288E-2</v>
      </c>
      <c r="H215" s="102" t="e">
        <f>STDEV('Zoopl Analysis'!#REF!)</f>
        <v>#REF!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5</vt:i4>
      </vt:variant>
    </vt:vector>
  </HeadingPairs>
  <TitlesOfParts>
    <vt:vector size="14" baseType="lpstr">
      <vt:lpstr>Sample Info</vt:lpstr>
      <vt:lpstr>Sample List</vt:lpstr>
      <vt:lpstr>Zoopl Count</vt:lpstr>
      <vt:lpstr>Zoopl Analysis</vt:lpstr>
      <vt:lpstr>LN Data</vt:lpstr>
      <vt:lpstr>Sheet2</vt:lpstr>
      <vt:lpstr>PivotTable</vt:lpstr>
      <vt:lpstr>Sheet1</vt:lpstr>
      <vt:lpstr>Sheet3</vt:lpstr>
      <vt:lpstr>'Sample Info'!Print_Area</vt:lpstr>
      <vt:lpstr>'Sample List'!Print_Area</vt:lpstr>
      <vt:lpstr>'Zoopl Analysis'!Print_Area</vt:lpstr>
      <vt:lpstr>'Zoopl Count'!Print_Area</vt:lpstr>
      <vt:lpstr>'Zoopl Analysis'!Print_Titles</vt:lpstr>
    </vt:vector>
  </TitlesOfParts>
  <Company>Dept Mar Sci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Hock Chark Liew</dc:creator>
  <cp:lastModifiedBy>YS Hii</cp:lastModifiedBy>
  <cp:lastPrinted>2025-10-23T08:59:20Z</cp:lastPrinted>
  <dcterms:created xsi:type="dcterms:W3CDTF">2014-03-16T04:57:16Z</dcterms:created>
  <dcterms:modified xsi:type="dcterms:W3CDTF">2025-12-11T09:58:49Z</dcterms:modified>
</cp:coreProperties>
</file>