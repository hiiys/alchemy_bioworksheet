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FBE650-E76E-4D84-8B22-DC015B2042FB}" xr6:coauthVersionLast="47" xr6:coauthVersionMax="47" xr10:uidLastSave="{00000000-0000-0000-0000-000000000000}"/>
  <bookViews>
    <workbookView xWindow="-108" yWindow="-108" windowWidth="23256" windowHeight="12456" tabRatio="647" activeTab="2" xr2:uid="{00000000-000D-0000-FFFF-FFFF00000000}"/>
  </bookViews>
  <sheets>
    <sheet name="Sample Info" sheetId="1" r:id="rId1"/>
    <sheet name="Sample List" sheetId="5" r:id="rId2"/>
    <sheet name="Phytopl Count" sheetId="2" r:id="rId3"/>
    <sheet name="Phytopl Analysis" sheetId="4" r:id="rId4"/>
    <sheet name="Ln Data" sheetId="3" r:id="rId5"/>
    <sheet name="PivotTable" sheetId="7" state="hidden" r:id="rId6"/>
    <sheet name="TaxaGroup" sheetId="6" state="hidden" r:id="rId7"/>
    <sheet name="Sheet1" sheetId="8" state="hidden" r:id="rId8"/>
  </sheets>
  <definedNames>
    <definedName name="_xlnm.Print_Area" localSheetId="3">'Phytopl Analysis'!$A$1:$AF$306</definedName>
    <definedName name="_xlnm.Print_Area" localSheetId="0">'Sample Info'!$A$1:$F$45</definedName>
    <definedName name="_xlnm.Print_Area" localSheetId="1">'Sample List'!$A$1:$F$33</definedName>
    <definedName name="_xlnm.Print_Titles" localSheetId="3">'Phytopl Analysis'!$A:$F,'Phytopl Analysis'!$1:$6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1" i="3" l="1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I271" i="3"/>
  <c r="O271" i="3"/>
  <c r="T271" i="3"/>
  <c r="AB271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I271" i="4"/>
  <c r="O271" i="4"/>
  <c r="T271" i="4"/>
  <c r="AB271" i="4"/>
  <c r="AC271" i="4"/>
  <c r="AC271" i="3" s="1"/>
  <c r="AD271" i="4"/>
  <c r="AD271" i="3" s="1"/>
  <c r="AE271" i="4"/>
  <c r="AE271" i="3" s="1"/>
  <c r="AF271" i="4"/>
  <c r="AF271" i="3" s="1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F116" i="3"/>
  <c r="AE116" i="3"/>
  <c r="AD116" i="3"/>
  <c r="AC116" i="3"/>
  <c r="AA116" i="3"/>
  <c r="Z116" i="3"/>
  <c r="Y116" i="3"/>
  <c r="X116" i="3"/>
  <c r="W116" i="3"/>
  <c r="U116" i="3"/>
  <c r="T116" i="3"/>
  <c r="R116" i="3"/>
  <c r="N116" i="3"/>
  <c r="M116" i="3"/>
  <c r="L116" i="3"/>
  <c r="K116" i="3"/>
  <c r="J116" i="3"/>
  <c r="H116" i="3"/>
  <c r="G116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AF116" i="4"/>
  <c r="AE116" i="4"/>
  <c r="AD116" i="4"/>
  <c r="AC116" i="4"/>
  <c r="AA116" i="4"/>
  <c r="Z116" i="4"/>
  <c r="Y116" i="4"/>
  <c r="X116" i="4"/>
  <c r="W116" i="4"/>
  <c r="U116" i="4"/>
  <c r="T116" i="4"/>
  <c r="R116" i="4"/>
  <c r="N116" i="4"/>
  <c r="M116" i="4"/>
  <c r="L116" i="4"/>
  <c r="K116" i="4"/>
  <c r="J116" i="4"/>
  <c r="H116" i="4"/>
  <c r="G116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AF264" i="3" l="1"/>
  <c r="AE264" i="3"/>
  <c r="AD264" i="3"/>
  <c r="AC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AF264" i="4"/>
  <c r="AE264" i="4"/>
  <c r="AD264" i="4"/>
  <c r="AC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AF213" i="3"/>
  <c r="AE213" i="3"/>
  <c r="AD213" i="3"/>
  <c r="AC213" i="3"/>
  <c r="AB213" i="3"/>
  <c r="AA213" i="3"/>
  <c r="Z213" i="3"/>
  <c r="Y213" i="3"/>
  <c r="X213" i="3"/>
  <c r="W213" i="3"/>
  <c r="V213" i="3"/>
  <c r="T213" i="3"/>
  <c r="S213" i="3"/>
  <c r="R213" i="3"/>
  <c r="Q213" i="3"/>
  <c r="P213" i="3"/>
  <c r="M213" i="3"/>
  <c r="L213" i="3"/>
  <c r="K213" i="3"/>
  <c r="J213" i="3"/>
  <c r="I213" i="3"/>
  <c r="H213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AF213" i="4"/>
  <c r="AE213" i="4"/>
  <c r="AD213" i="4"/>
  <c r="AC213" i="4"/>
  <c r="AB213" i="4"/>
  <c r="AA213" i="4"/>
  <c r="Z213" i="4"/>
  <c r="Y213" i="4"/>
  <c r="X213" i="4"/>
  <c r="W213" i="4"/>
  <c r="V213" i="4"/>
  <c r="T213" i="4"/>
  <c r="S213" i="4"/>
  <c r="R213" i="4"/>
  <c r="Q213" i="4"/>
  <c r="P213" i="4"/>
  <c r="M213" i="4"/>
  <c r="L213" i="4"/>
  <c r="K213" i="4"/>
  <c r="J213" i="4"/>
  <c r="I213" i="4"/>
  <c r="H213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AF164" i="3" l="1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G28" i="4" l="1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G39" i="4"/>
  <c r="W39" i="4"/>
  <c r="Y39" i="4"/>
  <c r="Z39" i="4"/>
  <c r="AB39" i="4"/>
  <c r="AC39" i="4"/>
  <c r="AD39" i="4"/>
  <c r="AE39" i="4"/>
  <c r="AF39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G47" i="4"/>
  <c r="H47" i="4"/>
  <c r="I47" i="4"/>
  <c r="K47" i="4"/>
  <c r="L47" i="4"/>
  <c r="M47" i="4"/>
  <c r="N47" i="4"/>
  <c r="O47" i="4"/>
  <c r="P47" i="4"/>
  <c r="Q47" i="4"/>
  <c r="S47" i="4"/>
  <c r="U47" i="4"/>
  <c r="X47" i="4"/>
  <c r="Y47" i="4"/>
  <c r="AB47" i="4"/>
  <c r="AC47" i="4"/>
  <c r="AD47" i="4"/>
  <c r="AE47" i="4"/>
  <c r="AF47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U53" i="4"/>
  <c r="X53" i="4"/>
  <c r="AB53" i="4"/>
  <c r="AC53" i="4"/>
  <c r="AD53" i="4"/>
  <c r="AE53" i="4"/>
  <c r="AF53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V56" i="4"/>
  <c r="W56" i="4"/>
  <c r="X56" i="4"/>
  <c r="Y56" i="4"/>
  <c r="Z56" i="4"/>
  <c r="AA56" i="4"/>
  <c r="AB56" i="4"/>
  <c r="AC56" i="4"/>
  <c r="AD56" i="4"/>
  <c r="AE56" i="4"/>
  <c r="AF56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G64" i="4"/>
  <c r="H64" i="4"/>
  <c r="I64" i="4"/>
  <c r="J64" i="4"/>
  <c r="L64" i="4"/>
  <c r="P64" i="4"/>
  <c r="R64" i="4"/>
  <c r="S64" i="4"/>
  <c r="T64" i="4"/>
  <c r="U64" i="4"/>
  <c r="V64" i="4"/>
  <c r="X64" i="4"/>
  <c r="Y64" i="4"/>
  <c r="Z64" i="4"/>
  <c r="AA64" i="4"/>
  <c r="AC64" i="4"/>
  <c r="AD64" i="4"/>
  <c r="AE64" i="4"/>
  <c r="AF64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G72" i="4"/>
  <c r="H72" i="4"/>
  <c r="I72" i="4"/>
  <c r="J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G77" i="4"/>
  <c r="I77" i="4"/>
  <c r="J77" i="4"/>
  <c r="L77" i="4"/>
  <c r="M77" i="4"/>
  <c r="Q77" i="4"/>
  <c r="T77" i="4"/>
  <c r="W77" i="4"/>
  <c r="X77" i="4"/>
  <c r="Y77" i="4"/>
  <c r="AA77" i="4"/>
  <c r="AC77" i="4"/>
  <c r="AD77" i="4"/>
  <c r="AE77" i="4"/>
  <c r="AF77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W78" i="4"/>
  <c r="X78" i="4"/>
  <c r="Y78" i="4"/>
  <c r="Z78" i="4"/>
  <c r="AA78" i="4"/>
  <c r="AB78" i="4"/>
  <c r="AC78" i="4"/>
  <c r="AD78" i="4"/>
  <c r="AE78" i="4"/>
  <c r="AF78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G86" i="4"/>
  <c r="H86" i="4"/>
  <c r="I86" i="4"/>
  <c r="J86" i="4"/>
  <c r="K86" i="4"/>
  <c r="L86" i="4"/>
  <c r="M86" i="4"/>
  <c r="N86" i="4"/>
  <c r="O86" i="4"/>
  <c r="P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G92" i="4"/>
  <c r="H92" i="4"/>
  <c r="I92" i="4"/>
  <c r="J92" i="4"/>
  <c r="K92" i="4"/>
  <c r="L92" i="4"/>
  <c r="M92" i="4"/>
  <c r="N92" i="4"/>
  <c r="O92" i="4"/>
  <c r="P92" i="4"/>
  <c r="Q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M95" i="4"/>
  <c r="X95" i="4"/>
  <c r="Z95" i="4"/>
  <c r="AC95" i="4"/>
  <c r="AD95" i="4"/>
  <c r="AE95" i="4"/>
  <c r="AF95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C104" i="4"/>
  <c r="AD104" i="4"/>
  <c r="AE104" i="4"/>
  <c r="AF104" i="4"/>
  <c r="H105" i="4"/>
  <c r="I105" i="4"/>
  <c r="M105" i="4"/>
  <c r="O105" i="4"/>
  <c r="S105" i="4"/>
  <c r="Z105" i="4"/>
  <c r="AC105" i="4"/>
  <c r="AD105" i="4"/>
  <c r="AE105" i="4"/>
  <c r="AF105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H130" i="4"/>
  <c r="I130" i="4"/>
  <c r="J130" i="4"/>
  <c r="L130" i="4"/>
  <c r="M130" i="4"/>
  <c r="N130" i="4"/>
  <c r="O130" i="4"/>
  <c r="P130" i="4"/>
  <c r="Q130" i="4"/>
  <c r="S130" i="4"/>
  <c r="U130" i="4"/>
  <c r="W130" i="4"/>
  <c r="X130" i="4"/>
  <c r="Y130" i="4"/>
  <c r="Z130" i="4"/>
  <c r="AA130" i="4"/>
  <c r="AB130" i="4"/>
  <c r="AC130" i="4"/>
  <c r="AD130" i="4"/>
  <c r="AE130" i="4"/>
  <c r="AF130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C132" i="4"/>
  <c r="AD132" i="4"/>
  <c r="AE132" i="4"/>
  <c r="AF132" i="4"/>
  <c r="K133" i="4"/>
  <c r="M133" i="4"/>
  <c r="N133" i="4"/>
  <c r="AC133" i="4"/>
  <c r="AD133" i="4"/>
  <c r="AE133" i="4"/>
  <c r="AF133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H137" i="4"/>
  <c r="I137" i="4"/>
  <c r="L137" i="4"/>
  <c r="P137" i="4"/>
  <c r="S137" i="4"/>
  <c r="Z137" i="4"/>
  <c r="AC137" i="4"/>
  <c r="AD137" i="4"/>
  <c r="AE137" i="4"/>
  <c r="AF137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G145" i="4"/>
  <c r="H145" i="4"/>
  <c r="I145" i="4"/>
  <c r="K145" i="4"/>
  <c r="L145" i="4"/>
  <c r="M145" i="4"/>
  <c r="P145" i="4"/>
  <c r="Q145" i="4"/>
  <c r="R145" i="4"/>
  <c r="S145" i="4"/>
  <c r="T145" i="4"/>
  <c r="W145" i="4"/>
  <c r="X145" i="4"/>
  <c r="Y145" i="4"/>
  <c r="Z145" i="4"/>
  <c r="AA145" i="4"/>
  <c r="AB145" i="4"/>
  <c r="AC145" i="4"/>
  <c r="AD145" i="4"/>
  <c r="AE145" i="4"/>
  <c r="AF145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G152" i="4"/>
  <c r="H152" i="4"/>
  <c r="I152" i="4"/>
  <c r="J152" i="4"/>
  <c r="K152" i="4"/>
  <c r="L152" i="4"/>
  <c r="M152" i="4"/>
  <c r="N152" i="4"/>
  <c r="O152" i="4"/>
  <c r="P152" i="4"/>
  <c r="Q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H158" i="4"/>
  <c r="I158" i="4"/>
  <c r="K158" i="4"/>
  <c r="L158" i="4"/>
  <c r="N158" i="4"/>
  <c r="O158" i="4"/>
  <c r="P158" i="4"/>
  <c r="Q158" i="4"/>
  <c r="R158" i="4"/>
  <c r="S158" i="4"/>
  <c r="T158" i="4"/>
  <c r="U158" i="4"/>
  <c r="W158" i="4"/>
  <c r="X158" i="4"/>
  <c r="Y158" i="4"/>
  <c r="Z158" i="4"/>
  <c r="AA158" i="4"/>
  <c r="AB158" i="4"/>
  <c r="AC158" i="4"/>
  <c r="AD158" i="4"/>
  <c r="AE158" i="4"/>
  <c r="AF158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G194" i="4"/>
  <c r="H194" i="4"/>
  <c r="I194" i="4"/>
  <c r="L194" i="4"/>
  <c r="M194" i="4"/>
  <c r="O194" i="4"/>
  <c r="Q194" i="4"/>
  <c r="S194" i="4"/>
  <c r="W194" i="4"/>
  <c r="X194" i="4"/>
  <c r="Y194" i="4"/>
  <c r="Z194" i="4"/>
  <c r="AA194" i="4"/>
  <c r="AB194" i="4"/>
  <c r="AC194" i="4"/>
  <c r="AD194" i="4"/>
  <c r="AE194" i="4"/>
  <c r="AF194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G196" i="4"/>
  <c r="H196" i="4"/>
  <c r="I196" i="4"/>
  <c r="J196" i="4"/>
  <c r="K196" i="4"/>
  <c r="L196" i="4"/>
  <c r="N196" i="4"/>
  <c r="O196" i="4"/>
  <c r="P196" i="4"/>
  <c r="Q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W198" i="4"/>
  <c r="X198" i="4"/>
  <c r="Y198" i="4"/>
  <c r="Z198" i="4"/>
  <c r="AB198" i="4"/>
  <c r="AC198" i="4"/>
  <c r="AD198" i="4"/>
  <c r="AE198" i="4"/>
  <c r="AF198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G202" i="4"/>
  <c r="H202" i="4"/>
  <c r="I202" i="4"/>
  <c r="K202" i="4"/>
  <c r="L202" i="4"/>
  <c r="M202" i="4"/>
  <c r="N202" i="4"/>
  <c r="O202" i="4"/>
  <c r="P202" i="4"/>
  <c r="Q202" i="4"/>
  <c r="R202" i="4"/>
  <c r="S202" i="4"/>
  <c r="T202" i="4"/>
  <c r="Y202" i="4"/>
  <c r="Z202" i="4"/>
  <c r="AB202" i="4"/>
  <c r="AC202" i="4"/>
  <c r="AD202" i="4"/>
  <c r="AE202" i="4"/>
  <c r="AF202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G205" i="4"/>
  <c r="H205" i="4"/>
  <c r="I205" i="4"/>
  <c r="J205" i="4"/>
  <c r="K205" i="4"/>
  <c r="L205" i="4"/>
  <c r="N205" i="4"/>
  <c r="O205" i="4"/>
  <c r="P205" i="4"/>
  <c r="R205" i="4"/>
  <c r="S205" i="4"/>
  <c r="T205" i="4"/>
  <c r="U205" i="4"/>
  <c r="V205" i="4"/>
  <c r="W205" i="4"/>
  <c r="X205" i="4"/>
  <c r="Y205" i="4"/>
  <c r="AA205" i="4"/>
  <c r="AB205" i="4"/>
  <c r="AC205" i="4"/>
  <c r="AD205" i="4"/>
  <c r="AE205" i="4"/>
  <c r="AF205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G208" i="4"/>
  <c r="J208" i="4"/>
  <c r="L208" i="4"/>
  <c r="N208" i="4"/>
  <c r="O208" i="4"/>
  <c r="S208" i="4"/>
  <c r="U208" i="4"/>
  <c r="W208" i="4"/>
  <c r="X208" i="4"/>
  <c r="AA208" i="4"/>
  <c r="AB208" i="4"/>
  <c r="AC208" i="4"/>
  <c r="AD208" i="4"/>
  <c r="AE208" i="4"/>
  <c r="AF208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C210" i="4"/>
  <c r="AD210" i="4"/>
  <c r="AE210" i="4"/>
  <c r="AF210" i="4"/>
  <c r="G211" i="4"/>
  <c r="I211" i="4"/>
  <c r="K211" i="4"/>
  <c r="N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B216" i="4"/>
  <c r="AC216" i="4"/>
  <c r="AD216" i="4"/>
  <c r="AE216" i="4"/>
  <c r="AF216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V218" i="4"/>
  <c r="W218" i="4"/>
  <c r="X218" i="4"/>
  <c r="Y218" i="4"/>
  <c r="Z218" i="4"/>
  <c r="AA218" i="4"/>
  <c r="AB218" i="4"/>
  <c r="AC218" i="4"/>
  <c r="AD218" i="4"/>
  <c r="AE218" i="4"/>
  <c r="AF218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L225" i="4"/>
  <c r="AC225" i="4"/>
  <c r="AD225" i="4"/>
  <c r="AE225" i="4"/>
  <c r="AF225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G227" i="4"/>
  <c r="H227" i="4"/>
  <c r="I227" i="4"/>
  <c r="J227" i="4"/>
  <c r="K227" i="4"/>
  <c r="L227" i="4"/>
  <c r="M227" i="4"/>
  <c r="O227" i="4"/>
  <c r="P227" i="4"/>
  <c r="R227" i="4"/>
  <c r="S227" i="4"/>
  <c r="T227" i="4"/>
  <c r="Y227" i="4"/>
  <c r="Z227" i="4"/>
  <c r="AB227" i="4"/>
  <c r="AC227" i="4"/>
  <c r="AD227" i="4"/>
  <c r="AE227" i="4"/>
  <c r="AF227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G229" i="4"/>
  <c r="H229" i="4"/>
  <c r="I229" i="4"/>
  <c r="J229" i="4"/>
  <c r="K229" i="4"/>
  <c r="L229" i="4"/>
  <c r="M229" i="4"/>
  <c r="O229" i="4"/>
  <c r="P229" i="4"/>
  <c r="R229" i="4"/>
  <c r="T229" i="4"/>
  <c r="X229" i="4"/>
  <c r="Y229" i="4"/>
  <c r="AA229" i="4"/>
  <c r="AB229" i="4"/>
  <c r="AC229" i="4"/>
  <c r="AD229" i="4"/>
  <c r="AE229" i="4"/>
  <c r="AF229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G231" i="4"/>
  <c r="H231" i="4"/>
  <c r="I231" i="4"/>
  <c r="J231" i="4"/>
  <c r="K231" i="4"/>
  <c r="M231" i="4"/>
  <c r="N231" i="4"/>
  <c r="P231" i="4"/>
  <c r="Q231" i="4"/>
  <c r="R231" i="4"/>
  <c r="S231" i="4"/>
  <c r="T231" i="4"/>
  <c r="U231" i="4"/>
  <c r="W231" i="4"/>
  <c r="X231" i="4"/>
  <c r="Y231" i="4"/>
  <c r="Z231" i="4"/>
  <c r="AA231" i="4"/>
  <c r="AB231" i="4"/>
  <c r="AC231" i="4"/>
  <c r="AD231" i="4"/>
  <c r="AE231" i="4"/>
  <c r="AF231" i="4"/>
  <c r="G232" i="4"/>
  <c r="H232" i="4"/>
  <c r="I232" i="4"/>
  <c r="J232" i="4"/>
  <c r="L232" i="4"/>
  <c r="M232" i="4"/>
  <c r="N232" i="4"/>
  <c r="O232" i="4"/>
  <c r="P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G237" i="4"/>
  <c r="H237" i="4"/>
  <c r="J237" i="4"/>
  <c r="K237" i="4"/>
  <c r="L237" i="4"/>
  <c r="M237" i="4"/>
  <c r="N237" i="4"/>
  <c r="P237" i="4"/>
  <c r="Q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G238" i="4"/>
  <c r="I238" i="4"/>
  <c r="S238" i="4"/>
  <c r="T238" i="4"/>
  <c r="AA238" i="4"/>
  <c r="AB238" i="4"/>
  <c r="AC238" i="4"/>
  <c r="AD238" i="4"/>
  <c r="AE238" i="4"/>
  <c r="AF238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G246" i="4"/>
  <c r="H246" i="4"/>
  <c r="I246" i="4"/>
  <c r="J246" i="4"/>
  <c r="L246" i="4"/>
  <c r="M246" i="4"/>
  <c r="N246" i="4"/>
  <c r="O246" i="4"/>
  <c r="P246" i="4"/>
  <c r="Q246" i="4"/>
  <c r="R246" i="4"/>
  <c r="S246" i="4"/>
  <c r="T246" i="4"/>
  <c r="U246" i="4"/>
  <c r="W246" i="4"/>
  <c r="Y246" i="4"/>
  <c r="Z246" i="4"/>
  <c r="AB246" i="4"/>
  <c r="AC246" i="4"/>
  <c r="AD246" i="4"/>
  <c r="AE246" i="4"/>
  <c r="AF246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G260" i="4"/>
  <c r="H260" i="4"/>
  <c r="M260" i="4"/>
  <c r="O260" i="4"/>
  <c r="U260" i="4"/>
  <c r="V260" i="4"/>
  <c r="W260" i="4"/>
  <c r="Y260" i="4"/>
  <c r="AA260" i="4"/>
  <c r="AC260" i="4"/>
  <c r="AD260" i="4"/>
  <c r="AE260" i="4"/>
  <c r="AF260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G265" i="4"/>
  <c r="I265" i="4"/>
  <c r="R265" i="4"/>
  <c r="AC265" i="4"/>
  <c r="AD265" i="4"/>
  <c r="AE265" i="4"/>
  <c r="AF265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G39" i="3"/>
  <c r="W39" i="3"/>
  <c r="Y39" i="3"/>
  <c r="Z39" i="3"/>
  <c r="AB39" i="3"/>
  <c r="AC39" i="3"/>
  <c r="AD39" i="3"/>
  <c r="AE39" i="3"/>
  <c r="AF39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G47" i="3"/>
  <c r="H47" i="3"/>
  <c r="I47" i="3"/>
  <c r="K47" i="3"/>
  <c r="L47" i="3"/>
  <c r="M47" i="3"/>
  <c r="N47" i="3"/>
  <c r="O47" i="3"/>
  <c r="P47" i="3"/>
  <c r="Q47" i="3"/>
  <c r="S47" i="3"/>
  <c r="U47" i="3"/>
  <c r="X47" i="3"/>
  <c r="Y47" i="3"/>
  <c r="AB47" i="3"/>
  <c r="AC47" i="3"/>
  <c r="AD47" i="3"/>
  <c r="AE47" i="3"/>
  <c r="AF47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U53" i="3"/>
  <c r="X53" i="3"/>
  <c r="AB53" i="3"/>
  <c r="AC53" i="3"/>
  <c r="AD53" i="3"/>
  <c r="AE53" i="3"/>
  <c r="AF53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V56" i="3"/>
  <c r="W56" i="3"/>
  <c r="X56" i="3"/>
  <c r="Y56" i="3"/>
  <c r="Z56" i="3"/>
  <c r="AA56" i="3"/>
  <c r="AB56" i="3"/>
  <c r="AC56" i="3"/>
  <c r="AD56" i="3"/>
  <c r="AE56" i="3"/>
  <c r="AF56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G64" i="3"/>
  <c r="H64" i="3"/>
  <c r="I64" i="3"/>
  <c r="J64" i="3"/>
  <c r="L64" i="3"/>
  <c r="P64" i="3"/>
  <c r="R64" i="3"/>
  <c r="S64" i="3"/>
  <c r="T64" i="3"/>
  <c r="U64" i="3"/>
  <c r="V64" i="3"/>
  <c r="X64" i="3"/>
  <c r="Y64" i="3"/>
  <c r="Z64" i="3"/>
  <c r="AA64" i="3"/>
  <c r="AC64" i="3"/>
  <c r="AD64" i="3"/>
  <c r="AE64" i="3"/>
  <c r="AF64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G72" i="3"/>
  <c r="H72" i="3"/>
  <c r="I72" i="3"/>
  <c r="J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G77" i="3"/>
  <c r="I77" i="3"/>
  <c r="J77" i="3"/>
  <c r="L77" i="3"/>
  <c r="M77" i="3"/>
  <c r="Q77" i="3"/>
  <c r="T77" i="3"/>
  <c r="W77" i="3"/>
  <c r="X77" i="3"/>
  <c r="Y77" i="3"/>
  <c r="AA77" i="3"/>
  <c r="AC77" i="3"/>
  <c r="AD77" i="3"/>
  <c r="AE77" i="3"/>
  <c r="AF77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W78" i="3"/>
  <c r="X78" i="3"/>
  <c r="Y78" i="3"/>
  <c r="Z78" i="3"/>
  <c r="AA78" i="3"/>
  <c r="AB78" i="3"/>
  <c r="AC78" i="3"/>
  <c r="AD78" i="3"/>
  <c r="AE78" i="3"/>
  <c r="AF78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G86" i="3"/>
  <c r="H86" i="3"/>
  <c r="I86" i="3"/>
  <c r="J86" i="3"/>
  <c r="K86" i="3"/>
  <c r="L86" i="3"/>
  <c r="M86" i="3"/>
  <c r="N86" i="3"/>
  <c r="O86" i="3"/>
  <c r="P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G92" i="3"/>
  <c r="H92" i="3"/>
  <c r="I92" i="3"/>
  <c r="J92" i="3"/>
  <c r="K92" i="3"/>
  <c r="L92" i="3"/>
  <c r="M92" i="3"/>
  <c r="N92" i="3"/>
  <c r="O92" i="3"/>
  <c r="P92" i="3"/>
  <c r="Q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M95" i="3"/>
  <c r="X95" i="3"/>
  <c r="Z95" i="3"/>
  <c r="AC95" i="3"/>
  <c r="AD95" i="3"/>
  <c r="AE95" i="3"/>
  <c r="AF95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C104" i="3"/>
  <c r="AD104" i="3"/>
  <c r="AE104" i="3"/>
  <c r="AF104" i="3"/>
  <c r="H105" i="3"/>
  <c r="I105" i="3"/>
  <c r="M105" i="3"/>
  <c r="O105" i="3"/>
  <c r="S105" i="3"/>
  <c r="Z105" i="3"/>
  <c r="AC105" i="3"/>
  <c r="AD105" i="3"/>
  <c r="AE105" i="3"/>
  <c r="AF105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H130" i="3"/>
  <c r="I130" i="3"/>
  <c r="J130" i="3"/>
  <c r="L130" i="3"/>
  <c r="M130" i="3"/>
  <c r="N130" i="3"/>
  <c r="O130" i="3"/>
  <c r="P130" i="3"/>
  <c r="Q130" i="3"/>
  <c r="S130" i="3"/>
  <c r="U130" i="3"/>
  <c r="W130" i="3"/>
  <c r="X130" i="3"/>
  <c r="Y130" i="3"/>
  <c r="Z130" i="3"/>
  <c r="AA130" i="3"/>
  <c r="AB130" i="3"/>
  <c r="AC130" i="3"/>
  <c r="AD130" i="3"/>
  <c r="AE130" i="3"/>
  <c r="AF130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C132" i="3"/>
  <c r="AD132" i="3"/>
  <c r="AE132" i="3"/>
  <c r="AF132" i="3"/>
  <c r="K133" i="3"/>
  <c r="M133" i="3"/>
  <c r="N133" i="3"/>
  <c r="AC133" i="3"/>
  <c r="AD133" i="3"/>
  <c r="AE133" i="3"/>
  <c r="AF133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H137" i="3"/>
  <c r="I137" i="3"/>
  <c r="L137" i="3"/>
  <c r="P137" i="3"/>
  <c r="S137" i="3"/>
  <c r="Z137" i="3"/>
  <c r="AC137" i="3"/>
  <c r="AD137" i="3"/>
  <c r="AE137" i="3"/>
  <c r="AF137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G145" i="3"/>
  <c r="H145" i="3"/>
  <c r="I145" i="3"/>
  <c r="K145" i="3"/>
  <c r="L145" i="3"/>
  <c r="M145" i="3"/>
  <c r="P145" i="3"/>
  <c r="Q145" i="3"/>
  <c r="R145" i="3"/>
  <c r="S145" i="3"/>
  <c r="T145" i="3"/>
  <c r="W145" i="3"/>
  <c r="X145" i="3"/>
  <c r="Y145" i="3"/>
  <c r="Z145" i="3"/>
  <c r="AA145" i="3"/>
  <c r="AB145" i="3"/>
  <c r="AC145" i="3"/>
  <c r="AD145" i="3"/>
  <c r="AE145" i="3"/>
  <c r="AF145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G152" i="3"/>
  <c r="H152" i="3"/>
  <c r="I152" i="3"/>
  <c r="J152" i="3"/>
  <c r="K152" i="3"/>
  <c r="L152" i="3"/>
  <c r="M152" i="3"/>
  <c r="N152" i="3"/>
  <c r="O152" i="3"/>
  <c r="P152" i="3"/>
  <c r="Q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H158" i="3"/>
  <c r="I158" i="3"/>
  <c r="K158" i="3"/>
  <c r="L158" i="3"/>
  <c r="N158" i="3"/>
  <c r="O158" i="3"/>
  <c r="P158" i="3"/>
  <c r="Q158" i="3"/>
  <c r="R158" i="3"/>
  <c r="S158" i="3"/>
  <c r="T158" i="3"/>
  <c r="U158" i="3"/>
  <c r="W158" i="3"/>
  <c r="X158" i="3"/>
  <c r="Y158" i="3"/>
  <c r="Z158" i="3"/>
  <c r="AA158" i="3"/>
  <c r="AB158" i="3"/>
  <c r="AC158" i="3"/>
  <c r="AD158" i="3"/>
  <c r="AE158" i="3"/>
  <c r="AF158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G194" i="3"/>
  <c r="H194" i="3"/>
  <c r="I194" i="3"/>
  <c r="L194" i="3"/>
  <c r="M194" i="3"/>
  <c r="O194" i="3"/>
  <c r="Q194" i="3"/>
  <c r="S194" i="3"/>
  <c r="W194" i="3"/>
  <c r="X194" i="3"/>
  <c r="Y194" i="3"/>
  <c r="Z194" i="3"/>
  <c r="AA194" i="3"/>
  <c r="AB194" i="3"/>
  <c r="AC194" i="3"/>
  <c r="AD194" i="3"/>
  <c r="AE194" i="3"/>
  <c r="AF194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G196" i="3"/>
  <c r="H196" i="3"/>
  <c r="I196" i="3"/>
  <c r="J196" i="3"/>
  <c r="K196" i="3"/>
  <c r="L196" i="3"/>
  <c r="N196" i="3"/>
  <c r="O196" i="3"/>
  <c r="P196" i="3"/>
  <c r="Q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W198" i="3"/>
  <c r="X198" i="3"/>
  <c r="Y198" i="3"/>
  <c r="Z198" i="3"/>
  <c r="AB198" i="3"/>
  <c r="AC198" i="3"/>
  <c r="AD198" i="3"/>
  <c r="AE198" i="3"/>
  <c r="AF198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G202" i="3"/>
  <c r="H202" i="3"/>
  <c r="I202" i="3"/>
  <c r="K202" i="3"/>
  <c r="L202" i="3"/>
  <c r="M202" i="3"/>
  <c r="N202" i="3"/>
  <c r="O202" i="3"/>
  <c r="P202" i="3"/>
  <c r="Q202" i="3"/>
  <c r="R202" i="3"/>
  <c r="S202" i="3"/>
  <c r="T202" i="3"/>
  <c r="Y202" i="3"/>
  <c r="Z202" i="3"/>
  <c r="AB202" i="3"/>
  <c r="AC202" i="3"/>
  <c r="AD202" i="3"/>
  <c r="AE202" i="3"/>
  <c r="AF202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G205" i="3"/>
  <c r="H205" i="3"/>
  <c r="I205" i="3"/>
  <c r="J205" i="3"/>
  <c r="K205" i="3"/>
  <c r="L205" i="3"/>
  <c r="N205" i="3"/>
  <c r="O205" i="3"/>
  <c r="P205" i="3"/>
  <c r="R205" i="3"/>
  <c r="S205" i="3"/>
  <c r="T205" i="3"/>
  <c r="U205" i="3"/>
  <c r="V205" i="3"/>
  <c r="W205" i="3"/>
  <c r="X205" i="3"/>
  <c r="Y205" i="3"/>
  <c r="AA205" i="3"/>
  <c r="AB205" i="3"/>
  <c r="AC205" i="3"/>
  <c r="AD205" i="3"/>
  <c r="AE205" i="3"/>
  <c r="AF205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G208" i="3"/>
  <c r="J208" i="3"/>
  <c r="L208" i="3"/>
  <c r="N208" i="3"/>
  <c r="O208" i="3"/>
  <c r="S208" i="3"/>
  <c r="U208" i="3"/>
  <c r="W208" i="3"/>
  <c r="X208" i="3"/>
  <c r="AA208" i="3"/>
  <c r="AB208" i="3"/>
  <c r="AC208" i="3"/>
  <c r="AD208" i="3"/>
  <c r="AE208" i="3"/>
  <c r="AF208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C210" i="3"/>
  <c r="AD210" i="3"/>
  <c r="AE210" i="3"/>
  <c r="AF210" i="3"/>
  <c r="G211" i="3"/>
  <c r="I211" i="3"/>
  <c r="K211" i="3"/>
  <c r="N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B216" i="3"/>
  <c r="AC216" i="3"/>
  <c r="AD216" i="3"/>
  <c r="AE216" i="3"/>
  <c r="AF216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V218" i="3"/>
  <c r="W218" i="3"/>
  <c r="X218" i="3"/>
  <c r="Y218" i="3"/>
  <c r="Z218" i="3"/>
  <c r="AA218" i="3"/>
  <c r="AB218" i="3"/>
  <c r="AC218" i="3"/>
  <c r="AD218" i="3"/>
  <c r="AE218" i="3"/>
  <c r="AF218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L225" i="3"/>
  <c r="AC225" i="3"/>
  <c r="AD225" i="3"/>
  <c r="AE225" i="3"/>
  <c r="AF225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G227" i="3"/>
  <c r="H227" i="3"/>
  <c r="I227" i="3"/>
  <c r="J227" i="3"/>
  <c r="K227" i="3"/>
  <c r="L227" i="3"/>
  <c r="M227" i="3"/>
  <c r="O227" i="3"/>
  <c r="P227" i="3"/>
  <c r="R227" i="3"/>
  <c r="S227" i="3"/>
  <c r="T227" i="3"/>
  <c r="Y227" i="3"/>
  <c r="Z227" i="3"/>
  <c r="AB227" i="3"/>
  <c r="AC227" i="3"/>
  <c r="AD227" i="3"/>
  <c r="AE227" i="3"/>
  <c r="AF227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G229" i="3"/>
  <c r="H229" i="3"/>
  <c r="I229" i="3"/>
  <c r="J229" i="3"/>
  <c r="K229" i="3"/>
  <c r="L229" i="3"/>
  <c r="M229" i="3"/>
  <c r="O229" i="3"/>
  <c r="P229" i="3"/>
  <c r="R229" i="3"/>
  <c r="T229" i="3"/>
  <c r="X229" i="3"/>
  <c r="Y229" i="3"/>
  <c r="AA229" i="3"/>
  <c r="AB229" i="3"/>
  <c r="AC229" i="3"/>
  <c r="AD229" i="3"/>
  <c r="AE229" i="3"/>
  <c r="AF229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G231" i="3"/>
  <c r="H231" i="3"/>
  <c r="I231" i="3"/>
  <c r="J231" i="3"/>
  <c r="K231" i="3"/>
  <c r="M231" i="3"/>
  <c r="N231" i="3"/>
  <c r="P231" i="3"/>
  <c r="Q231" i="3"/>
  <c r="R231" i="3"/>
  <c r="S231" i="3"/>
  <c r="T231" i="3"/>
  <c r="U231" i="3"/>
  <c r="W231" i="3"/>
  <c r="X231" i="3"/>
  <c r="Y231" i="3"/>
  <c r="Z231" i="3"/>
  <c r="AA231" i="3"/>
  <c r="AB231" i="3"/>
  <c r="AC231" i="3"/>
  <c r="AD231" i="3"/>
  <c r="AE231" i="3"/>
  <c r="AF231" i="3"/>
  <c r="G232" i="3"/>
  <c r="H232" i="3"/>
  <c r="I232" i="3"/>
  <c r="J232" i="3"/>
  <c r="L232" i="3"/>
  <c r="M232" i="3"/>
  <c r="N232" i="3"/>
  <c r="O232" i="3"/>
  <c r="P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G237" i="3"/>
  <c r="H237" i="3"/>
  <c r="J237" i="3"/>
  <c r="K237" i="3"/>
  <c r="L237" i="3"/>
  <c r="M237" i="3"/>
  <c r="N237" i="3"/>
  <c r="P237" i="3"/>
  <c r="Q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G238" i="3"/>
  <c r="I238" i="3"/>
  <c r="S238" i="3"/>
  <c r="T238" i="3"/>
  <c r="AA238" i="3"/>
  <c r="AB238" i="3"/>
  <c r="AC238" i="3"/>
  <c r="AD238" i="3"/>
  <c r="AE238" i="3"/>
  <c r="AF238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G246" i="3"/>
  <c r="H246" i="3"/>
  <c r="I246" i="3"/>
  <c r="J246" i="3"/>
  <c r="L246" i="3"/>
  <c r="M246" i="3"/>
  <c r="N246" i="3"/>
  <c r="O246" i="3"/>
  <c r="P246" i="3"/>
  <c r="Q246" i="3"/>
  <c r="R246" i="3"/>
  <c r="S246" i="3"/>
  <c r="T246" i="3"/>
  <c r="U246" i="3"/>
  <c r="W246" i="3"/>
  <c r="Y246" i="3"/>
  <c r="Z246" i="3"/>
  <c r="AB246" i="3"/>
  <c r="AC246" i="3"/>
  <c r="AD246" i="3"/>
  <c r="AE246" i="3"/>
  <c r="AF246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G260" i="3"/>
  <c r="H260" i="3"/>
  <c r="M260" i="3"/>
  <c r="O260" i="3"/>
  <c r="U260" i="3"/>
  <c r="V260" i="3"/>
  <c r="W260" i="3"/>
  <c r="Y260" i="3"/>
  <c r="AA260" i="3"/>
  <c r="AC260" i="3"/>
  <c r="AD260" i="3"/>
  <c r="AE260" i="3"/>
  <c r="AF260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G265" i="3"/>
  <c r="I265" i="3"/>
  <c r="R265" i="3"/>
  <c r="AC265" i="3"/>
  <c r="AD265" i="3"/>
  <c r="AE265" i="3"/>
  <c r="AF265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AA24" i="3"/>
  <c r="AB24" i="3"/>
  <c r="AC24" i="3"/>
  <c r="AD24" i="3"/>
  <c r="AE24" i="3"/>
  <c r="AF24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C21" i="4"/>
  <c r="AD21" i="4"/>
  <c r="AE21" i="4"/>
  <c r="AF21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AA24" i="4"/>
  <c r="AB24" i="4"/>
  <c r="AC24" i="4"/>
  <c r="AD24" i="4"/>
  <c r="AE24" i="4"/>
  <c r="AF24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K19" i="3"/>
  <c r="L19" i="3"/>
  <c r="M19" i="3"/>
  <c r="N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C21" i="3"/>
  <c r="AD21" i="3"/>
  <c r="AE21" i="3"/>
  <c r="AF21" i="3"/>
  <c r="AC303" i="3"/>
  <c r="AD303" i="3"/>
  <c r="AE303" i="3"/>
  <c r="AF303" i="3"/>
  <c r="AC304" i="3"/>
  <c r="AD304" i="3"/>
  <c r="AE304" i="3"/>
  <c r="AF304" i="3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K19" i="4"/>
  <c r="L19" i="4"/>
  <c r="M19" i="4"/>
  <c r="N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C303" i="4"/>
  <c r="AD303" i="4"/>
  <c r="AE303" i="4"/>
  <c r="AF303" i="4"/>
  <c r="AC304" i="4"/>
  <c r="AD304" i="4"/>
  <c r="AE304" i="4"/>
  <c r="AF304" i="4"/>
  <c r="AC305" i="4"/>
  <c r="AD305" i="4"/>
  <c r="AE305" i="4"/>
  <c r="AF305" i="4"/>
  <c r="AC306" i="4"/>
  <c r="AD306" i="4"/>
  <c r="AE306" i="4"/>
  <c r="AF306" i="4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H19" i="3"/>
  <c r="G20" i="3"/>
  <c r="I20" i="3"/>
  <c r="F5" i="3"/>
  <c r="J5" i="3" l="1"/>
  <c r="J7" i="3"/>
  <c r="J14" i="3"/>
  <c r="J15" i="3"/>
  <c r="J16" i="3"/>
  <c r="J17" i="3"/>
  <c r="J18" i="3"/>
  <c r="J4" i="4"/>
  <c r="J5" i="4"/>
  <c r="J14" i="4"/>
  <c r="J15" i="4"/>
  <c r="J16" i="4"/>
  <c r="J17" i="4"/>
  <c r="J18" i="4"/>
  <c r="J20" i="3"/>
  <c r="G12" i="2"/>
  <c r="H12" i="2"/>
  <c r="I12" i="2"/>
  <c r="J12" i="2"/>
  <c r="J303" i="2"/>
  <c r="J304" i="2"/>
  <c r="G303" i="2" l="1"/>
  <c r="H303" i="2"/>
  <c r="I303" i="2"/>
  <c r="G304" i="2"/>
  <c r="H304" i="2"/>
  <c r="I304" i="2"/>
  <c r="G15" i="3" l="1"/>
  <c r="H15" i="3"/>
  <c r="I15" i="3"/>
  <c r="G16" i="3"/>
  <c r="H16" i="3"/>
  <c r="I16" i="3"/>
  <c r="G17" i="3"/>
  <c r="H17" i="3"/>
  <c r="I17" i="3"/>
  <c r="H14" i="3"/>
  <c r="I14" i="3"/>
  <c r="G16" i="4"/>
  <c r="H16" i="4"/>
  <c r="I16" i="4"/>
  <c r="G17" i="4"/>
  <c r="H17" i="4"/>
  <c r="I17" i="4"/>
  <c r="H15" i="4"/>
  <c r="I15" i="4"/>
  <c r="H4" i="4" l="1"/>
  <c r="K27" i="1" l="1"/>
  <c r="G8" i="2" l="1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G13" i="2"/>
  <c r="H8" i="2"/>
  <c r="H13" i="2" s="1"/>
  <c r="I8" i="2"/>
  <c r="I13" i="2" s="1"/>
  <c r="J8" i="2"/>
  <c r="H6" i="4"/>
  <c r="I6" i="4"/>
  <c r="G6" i="4"/>
  <c r="I116" i="4" l="1"/>
  <c r="I116" i="3" s="1"/>
  <c r="I39" i="4"/>
  <c r="I39" i="3" s="1"/>
  <c r="I53" i="4"/>
  <c r="I53" i="3" s="1"/>
  <c r="I95" i="4"/>
  <c r="I95" i="3" s="1"/>
  <c r="I104" i="4"/>
  <c r="I104" i="3" s="1"/>
  <c r="I132" i="4"/>
  <c r="I132" i="3" s="1"/>
  <c r="I133" i="4"/>
  <c r="I133" i="3" s="1"/>
  <c r="I208" i="4"/>
  <c r="I208" i="3" s="1"/>
  <c r="I225" i="4"/>
  <c r="I225" i="3" s="1"/>
  <c r="I237" i="4"/>
  <c r="I237" i="3" s="1"/>
  <c r="I260" i="4"/>
  <c r="I260" i="3" s="1"/>
  <c r="I21" i="4"/>
  <c r="H271" i="4"/>
  <c r="H271" i="3" s="1"/>
  <c r="H39" i="4"/>
  <c r="H39" i="3" s="1"/>
  <c r="H53" i="4"/>
  <c r="H53" i="3" s="1"/>
  <c r="H77" i="4"/>
  <c r="H77" i="3" s="1"/>
  <c r="H95" i="4"/>
  <c r="H95" i="3" s="1"/>
  <c r="H104" i="4"/>
  <c r="H104" i="3" s="1"/>
  <c r="H132" i="4"/>
  <c r="H132" i="3" s="1"/>
  <c r="H133" i="4"/>
  <c r="H133" i="3" s="1"/>
  <c r="H208" i="4"/>
  <c r="H208" i="3" s="1"/>
  <c r="H211" i="4"/>
  <c r="H211" i="3" s="1"/>
  <c r="H225" i="4"/>
  <c r="H225" i="3" s="1"/>
  <c r="H238" i="4"/>
  <c r="H238" i="3" s="1"/>
  <c r="H265" i="4"/>
  <c r="H265" i="3" s="1"/>
  <c r="H21" i="4"/>
  <c r="H21" i="3" s="1"/>
  <c r="G271" i="4"/>
  <c r="G271" i="3" s="1"/>
  <c r="G213" i="4"/>
  <c r="G213" i="3" s="1"/>
  <c r="G53" i="4"/>
  <c r="G53" i="3" s="1"/>
  <c r="G95" i="4"/>
  <c r="G95" i="3" s="1"/>
  <c r="G104" i="4"/>
  <c r="G104" i="3" s="1"/>
  <c r="G105" i="4"/>
  <c r="G105" i="3" s="1"/>
  <c r="G130" i="4"/>
  <c r="G130" i="3" s="1"/>
  <c r="G132" i="4"/>
  <c r="G132" i="3" s="1"/>
  <c r="G133" i="4"/>
  <c r="G133" i="3" s="1"/>
  <c r="G137" i="4"/>
  <c r="G137" i="3" s="1"/>
  <c r="G158" i="4"/>
  <c r="G158" i="3" s="1"/>
  <c r="G225" i="4"/>
  <c r="G225" i="3" s="1"/>
  <c r="G21" i="4"/>
  <c r="AF6" i="4"/>
  <c r="AF13" i="2"/>
  <c r="AE6" i="4"/>
  <c r="AE13" i="2"/>
  <c r="AD6" i="4"/>
  <c r="AD13" i="2"/>
  <c r="AC6" i="4"/>
  <c r="AC13" i="2"/>
  <c r="AB6" i="4"/>
  <c r="AB13" i="2"/>
  <c r="AA6" i="4"/>
  <c r="AA13" i="2"/>
  <c r="Z6" i="4"/>
  <c r="Z13" i="2"/>
  <c r="Y6" i="4"/>
  <c r="Y13" i="2"/>
  <c r="X6" i="4"/>
  <c r="X13" i="2"/>
  <c r="W6" i="4"/>
  <c r="W13" i="2"/>
  <c r="V6" i="4"/>
  <c r="V13" i="2"/>
  <c r="U6" i="4"/>
  <c r="U13" i="2"/>
  <c r="T6" i="4"/>
  <c r="T13" i="2"/>
  <c r="S6" i="4"/>
  <c r="S13" i="2"/>
  <c r="R6" i="4"/>
  <c r="R13" i="2"/>
  <c r="Q6" i="4"/>
  <c r="Q13" i="2"/>
  <c r="P6" i="4"/>
  <c r="P13" i="2"/>
  <c r="O6" i="4"/>
  <c r="O13" i="2"/>
  <c r="N6" i="4"/>
  <c r="N13" i="2"/>
  <c r="M6" i="4"/>
  <c r="M13" i="2"/>
  <c r="L6" i="4"/>
  <c r="L13" i="2"/>
  <c r="K6" i="4"/>
  <c r="K13" i="2"/>
  <c r="I21" i="3"/>
  <c r="G21" i="3"/>
  <c r="J6" i="4"/>
  <c r="J13" i="2"/>
  <c r="G19" i="4"/>
  <c r="G19" i="3" s="1"/>
  <c r="L271" i="4" l="1"/>
  <c r="L271" i="3" s="1"/>
  <c r="L39" i="4"/>
  <c r="L39" i="3" s="1"/>
  <c r="L53" i="4"/>
  <c r="L53" i="3" s="1"/>
  <c r="L95" i="4"/>
  <c r="L95" i="3" s="1"/>
  <c r="L104" i="4"/>
  <c r="L104" i="3" s="1"/>
  <c r="L105" i="4"/>
  <c r="L105" i="3" s="1"/>
  <c r="L132" i="4"/>
  <c r="L132" i="3" s="1"/>
  <c r="L133" i="4"/>
  <c r="L133" i="3" s="1"/>
  <c r="L211" i="4"/>
  <c r="L211" i="3" s="1"/>
  <c r="L231" i="4"/>
  <c r="L231" i="3" s="1"/>
  <c r="L238" i="4"/>
  <c r="L238" i="3" s="1"/>
  <c r="L260" i="4"/>
  <c r="L260" i="3" s="1"/>
  <c r="L265" i="4"/>
  <c r="L265" i="3" s="1"/>
  <c r="L21" i="4"/>
  <c r="M271" i="4"/>
  <c r="M271" i="3" s="1"/>
  <c r="M39" i="4"/>
  <c r="M39" i="3" s="1"/>
  <c r="M53" i="4"/>
  <c r="M53" i="3" s="1"/>
  <c r="M64" i="4"/>
  <c r="M64" i="3" s="1"/>
  <c r="M104" i="4"/>
  <c r="M104" i="3" s="1"/>
  <c r="M132" i="4"/>
  <c r="M132" i="3" s="1"/>
  <c r="M137" i="4"/>
  <c r="M137" i="3" s="1"/>
  <c r="M158" i="4"/>
  <c r="M158" i="3" s="1"/>
  <c r="M196" i="4"/>
  <c r="M196" i="3" s="1"/>
  <c r="M205" i="4"/>
  <c r="M205" i="3" s="1"/>
  <c r="M208" i="4"/>
  <c r="M208" i="3" s="1"/>
  <c r="M211" i="4"/>
  <c r="M211" i="3" s="1"/>
  <c r="M225" i="4"/>
  <c r="M225" i="3" s="1"/>
  <c r="M238" i="4"/>
  <c r="M238" i="3" s="1"/>
  <c r="M265" i="4"/>
  <c r="M265" i="3" s="1"/>
  <c r="M21" i="4"/>
  <c r="N271" i="4"/>
  <c r="N271" i="3" s="1"/>
  <c r="N213" i="4"/>
  <c r="N213" i="3" s="1"/>
  <c r="N39" i="4"/>
  <c r="N39" i="3" s="1"/>
  <c r="N53" i="4"/>
  <c r="N53" i="3" s="1"/>
  <c r="N64" i="4"/>
  <c r="N64" i="3" s="1"/>
  <c r="N77" i="4"/>
  <c r="N77" i="3" s="1"/>
  <c r="N95" i="4"/>
  <c r="N95" i="3" s="1"/>
  <c r="N104" i="4"/>
  <c r="N104" i="3" s="1"/>
  <c r="N105" i="4"/>
  <c r="N105" i="3" s="1"/>
  <c r="N132" i="4"/>
  <c r="N132" i="3" s="1"/>
  <c r="N137" i="4"/>
  <c r="N137" i="3" s="1"/>
  <c r="N145" i="4"/>
  <c r="N145" i="3" s="1"/>
  <c r="N194" i="4"/>
  <c r="N194" i="3" s="1"/>
  <c r="N225" i="4"/>
  <c r="N225" i="3" s="1"/>
  <c r="N227" i="4"/>
  <c r="N227" i="3" s="1"/>
  <c r="N229" i="4"/>
  <c r="N229" i="3" s="1"/>
  <c r="N238" i="4"/>
  <c r="N238" i="3" s="1"/>
  <c r="N260" i="4"/>
  <c r="N260" i="3" s="1"/>
  <c r="N265" i="4"/>
  <c r="N265" i="3" s="1"/>
  <c r="N21" i="4"/>
  <c r="O116" i="4"/>
  <c r="O116" i="3" s="1"/>
  <c r="O213" i="4"/>
  <c r="O213" i="3" s="1"/>
  <c r="O39" i="4"/>
  <c r="O39" i="3" s="1"/>
  <c r="O53" i="4"/>
  <c r="O53" i="3" s="1"/>
  <c r="O64" i="4"/>
  <c r="O64" i="3" s="1"/>
  <c r="O77" i="4"/>
  <c r="O77" i="3" s="1"/>
  <c r="O95" i="4"/>
  <c r="O95" i="3" s="1"/>
  <c r="O104" i="4"/>
  <c r="O104" i="3" s="1"/>
  <c r="O132" i="4"/>
  <c r="O132" i="3" s="1"/>
  <c r="O133" i="4"/>
  <c r="O133" i="3" s="1"/>
  <c r="O137" i="4"/>
  <c r="O137" i="3" s="1"/>
  <c r="O145" i="4"/>
  <c r="O145" i="3" s="1"/>
  <c r="O211" i="4"/>
  <c r="O211" i="3" s="1"/>
  <c r="O225" i="4"/>
  <c r="O225" i="3" s="1"/>
  <c r="O231" i="4"/>
  <c r="O231" i="3" s="1"/>
  <c r="O237" i="4"/>
  <c r="O237" i="3" s="1"/>
  <c r="O238" i="4"/>
  <c r="O238" i="3" s="1"/>
  <c r="O265" i="4"/>
  <c r="O265" i="3" s="1"/>
  <c r="O21" i="4"/>
  <c r="O21" i="3" s="1"/>
  <c r="O19" i="4"/>
  <c r="P271" i="4"/>
  <c r="P271" i="3" s="1"/>
  <c r="P116" i="4"/>
  <c r="P116" i="3" s="1"/>
  <c r="P39" i="4"/>
  <c r="P39" i="3" s="1"/>
  <c r="P53" i="4"/>
  <c r="P53" i="3" s="1"/>
  <c r="P77" i="4"/>
  <c r="P77" i="3" s="1"/>
  <c r="P95" i="4"/>
  <c r="P95" i="3" s="1"/>
  <c r="P104" i="4"/>
  <c r="P104" i="3" s="1"/>
  <c r="P105" i="4"/>
  <c r="P105" i="3" s="1"/>
  <c r="P132" i="4"/>
  <c r="P132" i="3" s="1"/>
  <c r="P133" i="4"/>
  <c r="P133" i="3" s="1"/>
  <c r="P194" i="4"/>
  <c r="P194" i="3" s="1"/>
  <c r="P208" i="4"/>
  <c r="P208" i="3" s="1"/>
  <c r="P225" i="4"/>
  <c r="P225" i="3" s="1"/>
  <c r="P238" i="4"/>
  <c r="P238" i="3" s="1"/>
  <c r="P260" i="4"/>
  <c r="P260" i="3" s="1"/>
  <c r="P265" i="4"/>
  <c r="P265" i="3" s="1"/>
  <c r="P21" i="4"/>
  <c r="Q271" i="4"/>
  <c r="Q271" i="3" s="1"/>
  <c r="Q116" i="4"/>
  <c r="Q116" i="3" s="1"/>
  <c r="Q39" i="4"/>
  <c r="Q39" i="3" s="1"/>
  <c r="Q53" i="4"/>
  <c r="Q53" i="3" s="1"/>
  <c r="Q64" i="4"/>
  <c r="Q64" i="3" s="1"/>
  <c r="Q86" i="4"/>
  <c r="Q86" i="3" s="1"/>
  <c r="Q95" i="4"/>
  <c r="Q95" i="3" s="1"/>
  <c r="Q104" i="4"/>
  <c r="Q104" i="3" s="1"/>
  <c r="Q105" i="4"/>
  <c r="Q105" i="3" s="1"/>
  <c r="Q132" i="4"/>
  <c r="Q132" i="3" s="1"/>
  <c r="Q133" i="4"/>
  <c r="Q133" i="3" s="1"/>
  <c r="Q137" i="4"/>
  <c r="Q137" i="3" s="1"/>
  <c r="Q205" i="4"/>
  <c r="Q205" i="3" s="1"/>
  <c r="Q208" i="4"/>
  <c r="Q208" i="3" s="1"/>
  <c r="Q225" i="4"/>
  <c r="Q225" i="3" s="1"/>
  <c r="Q227" i="4"/>
  <c r="Q227" i="3" s="1"/>
  <c r="Q229" i="4"/>
  <c r="Q229" i="3" s="1"/>
  <c r="Q232" i="4"/>
  <c r="Q232" i="3" s="1"/>
  <c r="Q238" i="4"/>
  <c r="Q238" i="3" s="1"/>
  <c r="Q260" i="4"/>
  <c r="Q260" i="3" s="1"/>
  <c r="Q265" i="4"/>
  <c r="Q265" i="3" s="1"/>
  <c r="Q21" i="4"/>
  <c r="R271" i="4"/>
  <c r="R271" i="3" s="1"/>
  <c r="R39" i="4"/>
  <c r="R39" i="3" s="1"/>
  <c r="R47" i="4"/>
  <c r="R47" i="3" s="1"/>
  <c r="R53" i="4"/>
  <c r="R53" i="3" s="1"/>
  <c r="R77" i="4"/>
  <c r="R77" i="3" s="1"/>
  <c r="R92" i="4"/>
  <c r="R92" i="3" s="1"/>
  <c r="R95" i="4"/>
  <c r="R95" i="3" s="1"/>
  <c r="R104" i="4"/>
  <c r="R104" i="3" s="1"/>
  <c r="R105" i="4"/>
  <c r="R105" i="3" s="1"/>
  <c r="R130" i="4"/>
  <c r="R130" i="3" s="1"/>
  <c r="R132" i="4"/>
  <c r="R132" i="3" s="1"/>
  <c r="R133" i="4"/>
  <c r="R133" i="3" s="1"/>
  <c r="R137" i="4"/>
  <c r="R137" i="3" s="1"/>
  <c r="R152" i="4"/>
  <c r="R152" i="3" s="1"/>
  <c r="R194" i="4"/>
  <c r="R194" i="3" s="1"/>
  <c r="R196" i="4"/>
  <c r="R196" i="3" s="1"/>
  <c r="R208" i="4"/>
  <c r="R208" i="3" s="1"/>
  <c r="R225" i="4"/>
  <c r="R225" i="3" s="1"/>
  <c r="R237" i="4"/>
  <c r="R237" i="3" s="1"/>
  <c r="R238" i="4"/>
  <c r="R238" i="3" s="1"/>
  <c r="R260" i="4"/>
  <c r="R260" i="3" s="1"/>
  <c r="R21" i="4"/>
  <c r="S271" i="4"/>
  <c r="S271" i="3" s="1"/>
  <c r="S116" i="4"/>
  <c r="S116" i="3" s="1"/>
  <c r="S39" i="4"/>
  <c r="S39" i="3" s="1"/>
  <c r="S53" i="4"/>
  <c r="S53" i="3" s="1"/>
  <c r="S77" i="4"/>
  <c r="S77" i="3" s="1"/>
  <c r="S95" i="4"/>
  <c r="S95" i="3" s="1"/>
  <c r="S104" i="4"/>
  <c r="S104" i="3" s="1"/>
  <c r="S132" i="4"/>
  <c r="S132" i="3" s="1"/>
  <c r="S133" i="4"/>
  <c r="S133" i="3" s="1"/>
  <c r="S225" i="4"/>
  <c r="S225" i="3" s="1"/>
  <c r="S229" i="4"/>
  <c r="S229" i="3" s="1"/>
  <c r="S260" i="4"/>
  <c r="S260" i="3" s="1"/>
  <c r="S265" i="4"/>
  <c r="S265" i="3" s="1"/>
  <c r="S21" i="4"/>
  <c r="T39" i="4"/>
  <c r="T39" i="3" s="1"/>
  <c r="T47" i="4"/>
  <c r="T47" i="3" s="1"/>
  <c r="T53" i="4"/>
  <c r="T53" i="3" s="1"/>
  <c r="T95" i="4"/>
  <c r="T95" i="3" s="1"/>
  <c r="T104" i="4"/>
  <c r="T104" i="3" s="1"/>
  <c r="T105" i="4"/>
  <c r="T105" i="3" s="1"/>
  <c r="T130" i="4"/>
  <c r="T130" i="3" s="1"/>
  <c r="T132" i="4"/>
  <c r="T132" i="3" s="1"/>
  <c r="T133" i="4"/>
  <c r="T133" i="3" s="1"/>
  <c r="T137" i="4"/>
  <c r="T137" i="3" s="1"/>
  <c r="T194" i="4"/>
  <c r="T194" i="3" s="1"/>
  <c r="T208" i="4"/>
  <c r="T208" i="3" s="1"/>
  <c r="T218" i="4"/>
  <c r="T218" i="3" s="1"/>
  <c r="T225" i="4"/>
  <c r="T225" i="3" s="1"/>
  <c r="T260" i="4"/>
  <c r="T260" i="3" s="1"/>
  <c r="T265" i="4"/>
  <c r="T265" i="3" s="1"/>
  <c r="T21" i="4"/>
  <c r="U271" i="4"/>
  <c r="U271" i="3" s="1"/>
  <c r="U213" i="4"/>
  <c r="U213" i="3" s="1"/>
  <c r="U39" i="4"/>
  <c r="U39" i="3" s="1"/>
  <c r="U56" i="4"/>
  <c r="U56" i="3" s="1"/>
  <c r="U77" i="4"/>
  <c r="U77" i="3" s="1"/>
  <c r="U95" i="4"/>
  <c r="U95" i="3" s="1"/>
  <c r="U104" i="4"/>
  <c r="U104" i="3" s="1"/>
  <c r="U105" i="4"/>
  <c r="U105" i="3" s="1"/>
  <c r="U132" i="4"/>
  <c r="U132" i="3" s="1"/>
  <c r="U133" i="4"/>
  <c r="U133" i="3" s="1"/>
  <c r="U137" i="4"/>
  <c r="U137" i="3" s="1"/>
  <c r="U145" i="4"/>
  <c r="U145" i="3" s="1"/>
  <c r="U194" i="4"/>
  <c r="U194" i="3" s="1"/>
  <c r="U202" i="4"/>
  <c r="U202" i="3" s="1"/>
  <c r="U218" i="4"/>
  <c r="U218" i="3" s="1"/>
  <c r="U225" i="4"/>
  <c r="U225" i="3" s="1"/>
  <c r="U227" i="4"/>
  <c r="U227" i="3" s="1"/>
  <c r="U229" i="4"/>
  <c r="U229" i="3" s="1"/>
  <c r="U238" i="4"/>
  <c r="U238" i="3" s="1"/>
  <c r="U265" i="4"/>
  <c r="U265" i="3" s="1"/>
  <c r="U21" i="4"/>
  <c r="V271" i="4"/>
  <c r="V271" i="3" s="1"/>
  <c r="V116" i="4"/>
  <c r="V116" i="3" s="1"/>
  <c r="V39" i="4"/>
  <c r="V39" i="3" s="1"/>
  <c r="V47" i="4"/>
  <c r="V47" i="3" s="1"/>
  <c r="V53" i="4"/>
  <c r="V53" i="3" s="1"/>
  <c r="V77" i="4"/>
  <c r="V77" i="3" s="1"/>
  <c r="V78" i="4"/>
  <c r="V78" i="3" s="1"/>
  <c r="V95" i="4"/>
  <c r="V95" i="3" s="1"/>
  <c r="V104" i="4"/>
  <c r="V104" i="3" s="1"/>
  <c r="V105" i="4"/>
  <c r="V105" i="3" s="1"/>
  <c r="V130" i="4"/>
  <c r="V130" i="3" s="1"/>
  <c r="V132" i="4"/>
  <c r="V132" i="3" s="1"/>
  <c r="V133" i="4"/>
  <c r="V133" i="3" s="1"/>
  <c r="V137" i="4"/>
  <c r="V137" i="3" s="1"/>
  <c r="V145" i="4"/>
  <c r="V145" i="3" s="1"/>
  <c r="V158" i="4"/>
  <c r="V158" i="3" s="1"/>
  <c r="V194" i="4"/>
  <c r="V194" i="3" s="1"/>
  <c r="V198" i="4"/>
  <c r="V198" i="3" s="1"/>
  <c r="V202" i="4"/>
  <c r="V202" i="3" s="1"/>
  <c r="V208" i="4"/>
  <c r="V208" i="3" s="1"/>
  <c r="V225" i="4"/>
  <c r="V225" i="3" s="1"/>
  <c r="V227" i="4"/>
  <c r="V227" i="3" s="1"/>
  <c r="V229" i="4"/>
  <c r="V229" i="3" s="1"/>
  <c r="V231" i="4"/>
  <c r="V231" i="3" s="1"/>
  <c r="V238" i="4"/>
  <c r="V238" i="3" s="1"/>
  <c r="V246" i="4"/>
  <c r="V246" i="3" s="1"/>
  <c r="V265" i="4"/>
  <c r="V265" i="3" s="1"/>
  <c r="V21" i="4"/>
  <c r="W271" i="4"/>
  <c r="W271" i="3" s="1"/>
  <c r="W47" i="4"/>
  <c r="W47" i="3" s="1"/>
  <c r="W53" i="4"/>
  <c r="W53" i="3" s="1"/>
  <c r="W64" i="4"/>
  <c r="W64" i="3" s="1"/>
  <c r="W95" i="4"/>
  <c r="W95" i="3" s="1"/>
  <c r="W104" i="4"/>
  <c r="W104" i="3" s="1"/>
  <c r="W105" i="4"/>
  <c r="W105" i="3" s="1"/>
  <c r="W132" i="4"/>
  <c r="W132" i="3" s="1"/>
  <c r="W133" i="4"/>
  <c r="W133" i="3" s="1"/>
  <c r="W137" i="4"/>
  <c r="W137" i="3" s="1"/>
  <c r="W202" i="4"/>
  <c r="W202" i="3" s="1"/>
  <c r="W225" i="4"/>
  <c r="W225" i="3" s="1"/>
  <c r="W227" i="4"/>
  <c r="W227" i="3" s="1"/>
  <c r="W229" i="4"/>
  <c r="W229" i="3" s="1"/>
  <c r="W238" i="4"/>
  <c r="W238" i="3" s="1"/>
  <c r="W265" i="4"/>
  <c r="W265" i="3" s="1"/>
  <c r="W21" i="4"/>
  <c r="X271" i="4"/>
  <c r="X271" i="3" s="1"/>
  <c r="X39" i="4"/>
  <c r="X39" i="3" s="1"/>
  <c r="X104" i="4"/>
  <c r="X104" i="3" s="1"/>
  <c r="X105" i="4"/>
  <c r="X105" i="3" s="1"/>
  <c r="X132" i="4"/>
  <c r="X132" i="3" s="1"/>
  <c r="X133" i="4"/>
  <c r="X133" i="3" s="1"/>
  <c r="X137" i="4"/>
  <c r="X137" i="3" s="1"/>
  <c r="X202" i="4"/>
  <c r="X202" i="3" s="1"/>
  <c r="X225" i="4"/>
  <c r="X225" i="3" s="1"/>
  <c r="X227" i="4"/>
  <c r="X227" i="3" s="1"/>
  <c r="X238" i="4"/>
  <c r="X238" i="3" s="1"/>
  <c r="X246" i="4"/>
  <c r="X246" i="3" s="1"/>
  <c r="X260" i="4"/>
  <c r="X260" i="3" s="1"/>
  <c r="X265" i="4"/>
  <c r="X265" i="3" s="1"/>
  <c r="X21" i="4"/>
  <c r="Y271" i="4"/>
  <c r="Y271" i="3" s="1"/>
  <c r="Y53" i="4"/>
  <c r="Y53" i="3" s="1"/>
  <c r="Y95" i="4"/>
  <c r="Y95" i="3" s="1"/>
  <c r="Y104" i="4"/>
  <c r="Y104" i="3" s="1"/>
  <c r="Y105" i="4"/>
  <c r="Y105" i="3" s="1"/>
  <c r="Y132" i="4"/>
  <c r="Y132" i="3" s="1"/>
  <c r="Y133" i="4"/>
  <c r="Y133" i="3" s="1"/>
  <c r="Y137" i="4"/>
  <c r="Y137" i="3" s="1"/>
  <c r="Y208" i="4"/>
  <c r="Y208" i="3" s="1"/>
  <c r="Y225" i="4"/>
  <c r="Y225" i="3" s="1"/>
  <c r="Y238" i="4"/>
  <c r="Y238" i="3" s="1"/>
  <c r="Y265" i="4"/>
  <c r="Y265" i="3" s="1"/>
  <c r="Y21" i="4"/>
  <c r="Z271" i="4"/>
  <c r="Z271" i="3" s="1"/>
  <c r="Z47" i="4"/>
  <c r="Z47" i="3" s="1"/>
  <c r="Z53" i="4"/>
  <c r="Z53" i="3" s="1"/>
  <c r="Z77" i="4"/>
  <c r="Z77" i="3" s="1"/>
  <c r="Z104" i="4"/>
  <c r="Z104" i="3" s="1"/>
  <c r="Z132" i="4"/>
  <c r="Z132" i="3" s="1"/>
  <c r="Z133" i="4"/>
  <c r="Z133" i="3" s="1"/>
  <c r="Z205" i="4"/>
  <c r="Z205" i="3" s="1"/>
  <c r="Z208" i="4"/>
  <c r="Z208" i="3" s="1"/>
  <c r="Z225" i="4"/>
  <c r="Z225" i="3" s="1"/>
  <c r="Z229" i="4"/>
  <c r="Z229" i="3" s="1"/>
  <c r="Z238" i="4"/>
  <c r="Z238" i="3" s="1"/>
  <c r="Z260" i="4"/>
  <c r="Z260" i="3" s="1"/>
  <c r="Z265" i="4"/>
  <c r="Z265" i="3" s="1"/>
  <c r="Z21" i="4"/>
  <c r="Z24" i="4"/>
  <c r="Z24" i="3" s="1"/>
  <c r="AA271" i="4"/>
  <c r="AA271" i="3" s="1"/>
  <c r="AA39" i="4"/>
  <c r="AA39" i="3" s="1"/>
  <c r="AA47" i="4"/>
  <c r="AA47" i="3" s="1"/>
  <c r="AA53" i="4"/>
  <c r="AA53" i="3" s="1"/>
  <c r="AA95" i="4"/>
  <c r="AA95" i="3" s="1"/>
  <c r="AA104" i="4"/>
  <c r="AA104" i="3" s="1"/>
  <c r="AA105" i="4"/>
  <c r="AA105" i="3" s="1"/>
  <c r="AA132" i="4"/>
  <c r="AA132" i="3" s="1"/>
  <c r="AA133" i="4"/>
  <c r="AA133" i="3" s="1"/>
  <c r="AA137" i="4"/>
  <c r="AA137" i="3" s="1"/>
  <c r="AA198" i="4"/>
  <c r="AA198" i="3" s="1"/>
  <c r="AA202" i="4"/>
  <c r="AA202" i="3" s="1"/>
  <c r="AA216" i="4"/>
  <c r="AA216" i="3" s="1"/>
  <c r="AA225" i="4"/>
  <c r="AA225" i="3" s="1"/>
  <c r="AA227" i="4"/>
  <c r="AA227" i="3" s="1"/>
  <c r="AA246" i="4"/>
  <c r="AA246" i="3" s="1"/>
  <c r="AA265" i="4"/>
  <c r="AA265" i="3" s="1"/>
  <c r="AA21" i="4"/>
  <c r="AB116" i="4"/>
  <c r="AB116" i="3" s="1"/>
  <c r="AB264" i="4"/>
  <c r="AB264" i="3" s="1"/>
  <c r="AB64" i="4"/>
  <c r="AB64" i="3" s="1"/>
  <c r="AB77" i="4"/>
  <c r="AB77" i="3" s="1"/>
  <c r="AB95" i="4"/>
  <c r="AB95" i="3" s="1"/>
  <c r="AB104" i="4"/>
  <c r="AB104" i="3" s="1"/>
  <c r="AB105" i="4"/>
  <c r="AB105" i="3" s="1"/>
  <c r="AB132" i="4"/>
  <c r="AB132" i="3" s="1"/>
  <c r="AB133" i="4"/>
  <c r="AB133" i="3" s="1"/>
  <c r="AB137" i="4"/>
  <c r="AB137" i="3" s="1"/>
  <c r="AB210" i="4"/>
  <c r="AB210" i="3" s="1"/>
  <c r="AB225" i="4"/>
  <c r="AB225" i="3" s="1"/>
  <c r="AB260" i="4"/>
  <c r="AB260" i="3" s="1"/>
  <c r="AB265" i="4"/>
  <c r="AB265" i="3" s="1"/>
  <c r="AB21" i="4"/>
  <c r="K271" i="4"/>
  <c r="K271" i="3" s="1"/>
  <c r="K39" i="4"/>
  <c r="K39" i="3" s="1"/>
  <c r="K53" i="4"/>
  <c r="K53" i="3" s="1"/>
  <c r="K64" i="4"/>
  <c r="K64" i="3" s="1"/>
  <c r="K72" i="4"/>
  <c r="K72" i="3" s="1"/>
  <c r="K77" i="4"/>
  <c r="K77" i="3" s="1"/>
  <c r="K95" i="4"/>
  <c r="K95" i="3" s="1"/>
  <c r="K104" i="4"/>
  <c r="K104" i="3" s="1"/>
  <c r="K105" i="4"/>
  <c r="K105" i="3" s="1"/>
  <c r="K130" i="4"/>
  <c r="K130" i="3" s="1"/>
  <c r="K132" i="4"/>
  <c r="K132" i="3" s="1"/>
  <c r="K137" i="4"/>
  <c r="K137" i="3" s="1"/>
  <c r="K194" i="4"/>
  <c r="K194" i="3" s="1"/>
  <c r="K208" i="4"/>
  <c r="K208" i="3" s="1"/>
  <c r="K225" i="4"/>
  <c r="K225" i="3" s="1"/>
  <c r="K232" i="4"/>
  <c r="K232" i="3" s="1"/>
  <c r="K238" i="4"/>
  <c r="K238" i="3" s="1"/>
  <c r="K246" i="4"/>
  <c r="K246" i="3" s="1"/>
  <c r="K260" i="4"/>
  <c r="K260" i="3" s="1"/>
  <c r="K265" i="4"/>
  <c r="K265" i="3" s="1"/>
  <c r="K21" i="4"/>
  <c r="J271" i="4"/>
  <c r="J271" i="3" s="1"/>
  <c r="J39" i="4"/>
  <c r="J39" i="3" s="1"/>
  <c r="J47" i="4"/>
  <c r="J47" i="3" s="1"/>
  <c r="J53" i="4"/>
  <c r="J53" i="3" s="1"/>
  <c r="J95" i="4"/>
  <c r="J95" i="3" s="1"/>
  <c r="J104" i="4"/>
  <c r="J104" i="3" s="1"/>
  <c r="J105" i="4"/>
  <c r="J105" i="3" s="1"/>
  <c r="J132" i="4"/>
  <c r="J132" i="3" s="1"/>
  <c r="J133" i="4"/>
  <c r="J133" i="3" s="1"/>
  <c r="J137" i="4"/>
  <c r="J137" i="3" s="1"/>
  <c r="J145" i="4"/>
  <c r="J145" i="3" s="1"/>
  <c r="J158" i="4"/>
  <c r="J158" i="3" s="1"/>
  <c r="J194" i="4"/>
  <c r="J194" i="3" s="1"/>
  <c r="J202" i="4"/>
  <c r="J202" i="3" s="1"/>
  <c r="J211" i="4"/>
  <c r="J211" i="3" s="1"/>
  <c r="J225" i="4"/>
  <c r="J225" i="3" s="1"/>
  <c r="J238" i="4"/>
  <c r="J238" i="3" s="1"/>
  <c r="J260" i="4"/>
  <c r="J260" i="3" s="1"/>
  <c r="J265" i="4"/>
  <c r="J265" i="3" s="1"/>
  <c r="J21" i="4"/>
  <c r="J21" i="3"/>
  <c r="J19" i="4"/>
  <c r="G14" i="3"/>
  <c r="G14" i="4"/>
  <c r="AB21" i="3" l="1"/>
  <c r="AB303" i="4"/>
  <c r="AB304" i="4"/>
  <c r="AA21" i="3"/>
  <c r="AA303" i="4"/>
  <c r="AA304" i="4"/>
  <c r="Z21" i="3"/>
  <c r="Z303" i="4"/>
  <c r="Z304" i="4"/>
  <c r="Y21" i="3"/>
  <c r="Y303" i="4"/>
  <c r="Y304" i="4"/>
  <c r="X21" i="3"/>
  <c r="X303" i="4"/>
  <c r="X304" i="4"/>
  <c r="W21" i="3"/>
  <c r="W303" i="4"/>
  <c r="W304" i="4"/>
  <c r="V21" i="3"/>
  <c r="V303" i="4"/>
  <c r="V304" i="4"/>
  <c r="U21" i="3"/>
  <c r="U303" i="4"/>
  <c r="U304" i="4"/>
  <c r="T21" i="3"/>
  <c r="T303" i="4"/>
  <c r="T304" i="4"/>
  <c r="S21" i="3"/>
  <c r="S303" i="4"/>
  <c r="S304" i="4"/>
  <c r="R21" i="3"/>
  <c r="R303" i="4"/>
  <c r="R304" i="4"/>
  <c r="Q21" i="3"/>
  <c r="Q303" i="4"/>
  <c r="Q304" i="4"/>
  <c r="P21" i="3"/>
  <c r="P303" i="4"/>
  <c r="P304" i="4"/>
  <c r="O19" i="3"/>
  <c r="O303" i="4"/>
  <c r="O304" i="4"/>
  <c r="N21" i="3"/>
  <c r="N303" i="4"/>
  <c r="N304" i="4"/>
  <c r="M21" i="3"/>
  <c r="M303" i="4"/>
  <c r="M304" i="4"/>
  <c r="L21" i="3"/>
  <c r="L303" i="4"/>
  <c r="L304" i="4"/>
  <c r="K21" i="3"/>
  <c r="K303" i="4"/>
  <c r="K304" i="4"/>
  <c r="J19" i="3"/>
  <c r="J303" i="4"/>
  <c r="J304" i="4"/>
  <c r="H5" i="3"/>
  <c r="I5" i="3"/>
  <c r="G5" i="3"/>
  <c r="L303" i="3" l="1"/>
  <c r="L305" i="4" s="1"/>
  <c r="L306" i="4" s="1"/>
  <c r="L304" i="3"/>
  <c r="M303" i="3"/>
  <c r="M305" i="4" s="1"/>
  <c r="M306" i="4" s="1"/>
  <c r="M304" i="3"/>
  <c r="N303" i="3"/>
  <c r="N305" i="4" s="1"/>
  <c r="N306" i="4" s="1"/>
  <c r="N304" i="3"/>
  <c r="O303" i="3"/>
  <c r="O305" i="4" s="1"/>
  <c r="O306" i="4" s="1"/>
  <c r="O304" i="3"/>
  <c r="P303" i="3"/>
  <c r="P305" i="4" s="1"/>
  <c r="P306" i="4" s="1"/>
  <c r="P304" i="3"/>
  <c r="Q303" i="3"/>
  <c r="Q305" i="4" s="1"/>
  <c r="Q306" i="4" s="1"/>
  <c r="Q304" i="3"/>
  <c r="R303" i="3"/>
  <c r="R305" i="4" s="1"/>
  <c r="R306" i="4" s="1"/>
  <c r="R304" i="3"/>
  <c r="S303" i="3"/>
  <c r="S305" i="4" s="1"/>
  <c r="S306" i="4" s="1"/>
  <c r="S304" i="3"/>
  <c r="T303" i="3"/>
  <c r="T305" i="4" s="1"/>
  <c r="T306" i="4" s="1"/>
  <c r="T304" i="3"/>
  <c r="U303" i="3"/>
  <c r="U305" i="4" s="1"/>
  <c r="U306" i="4" s="1"/>
  <c r="U304" i="3"/>
  <c r="V303" i="3"/>
  <c r="V305" i="4" s="1"/>
  <c r="V306" i="4" s="1"/>
  <c r="V304" i="3"/>
  <c r="W303" i="3"/>
  <c r="W305" i="4" s="1"/>
  <c r="W306" i="4" s="1"/>
  <c r="W304" i="3"/>
  <c r="X303" i="3"/>
  <c r="X305" i="4" s="1"/>
  <c r="X306" i="4" s="1"/>
  <c r="X304" i="3"/>
  <c r="Y303" i="3"/>
  <c r="Y305" i="4" s="1"/>
  <c r="Y306" i="4" s="1"/>
  <c r="Y304" i="3"/>
  <c r="Z303" i="3"/>
  <c r="Z305" i="4" s="1"/>
  <c r="Z306" i="4" s="1"/>
  <c r="Z304" i="3"/>
  <c r="AA303" i="3"/>
  <c r="AA305" i="4" s="1"/>
  <c r="AA306" i="4" s="1"/>
  <c r="AA304" i="3"/>
  <c r="AB303" i="3"/>
  <c r="AB305" i="4" s="1"/>
  <c r="AB306" i="4" s="1"/>
  <c r="AB304" i="3"/>
  <c r="K303" i="3"/>
  <c r="K305" i="4" s="1"/>
  <c r="K306" i="4" s="1"/>
  <c r="K304" i="3"/>
  <c r="J303" i="3"/>
  <c r="J305" i="4" s="1"/>
  <c r="J306" i="4" s="1"/>
  <c r="J304" i="3"/>
  <c r="G4" i="4"/>
  <c r="G15" i="4"/>
  <c r="H14" i="4"/>
  <c r="I14" i="4"/>
  <c r="H5" i="4"/>
  <c r="I5" i="4"/>
  <c r="I4" i="4"/>
  <c r="G5" i="4"/>
  <c r="G7" i="3" l="1"/>
  <c r="I7" i="3" l="1"/>
  <c r="H7" i="3"/>
  <c r="F4" i="4"/>
  <c r="F5" i="4"/>
  <c r="I135" i="6"/>
  <c r="H135" i="6"/>
  <c r="G135" i="6"/>
  <c r="I134" i="6"/>
  <c r="H134" i="6"/>
  <c r="G134" i="6"/>
  <c r="I133" i="6"/>
  <c r="H133" i="6"/>
  <c r="G133" i="6"/>
  <c r="I132" i="6"/>
  <c r="H132" i="6"/>
  <c r="G132" i="6"/>
  <c r="I131" i="6"/>
  <c r="H131" i="6"/>
  <c r="G131" i="6"/>
  <c r="H129" i="6"/>
  <c r="I128" i="6"/>
  <c r="H128" i="6"/>
  <c r="G128" i="6"/>
  <c r="I127" i="6"/>
  <c r="H127" i="6"/>
  <c r="G127" i="6"/>
  <c r="I126" i="6"/>
  <c r="H126" i="6"/>
  <c r="G126" i="6"/>
  <c r="I125" i="6"/>
  <c r="H125" i="6"/>
  <c r="G125" i="6"/>
  <c r="I124" i="6"/>
  <c r="H124" i="6"/>
  <c r="G124" i="6"/>
  <c r="I122" i="6"/>
  <c r="H122" i="6"/>
  <c r="G122" i="6"/>
  <c r="I121" i="6"/>
  <c r="H121" i="6"/>
  <c r="G121" i="6"/>
  <c r="I120" i="6"/>
  <c r="H120" i="6"/>
  <c r="G120" i="6"/>
  <c r="I119" i="6"/>
  <c r="H119" i="6"/>
  <c r="G119" i="6"/>
  <c r="I118" i="6"/>
  <c r="G118" i="6"/>
  <c r="I117" i="6"/>
  <c r="H117" i="6"/>
  <c r="G117" i="6"/>
  <c r="I116" i="6"/>
  <c r="H116" i="6"/>
  <c r="G116" i="6"/>
  <c r="I115" i="6"/>
  <c r="H115" i="6"/>
  <c r="G115" i="6"/>
  <c r="I113" i="6"/>
  <c r="H113" i="6"/>
  <c r="G113" i="6"/>
  <c r="I112" i="6"/>
  <c r="H112" i="6"/>
  <c r="G112" i="6"/>
  <c r="G111" i="6"/>
  <c r="I110" i="6"/>
  <c r="H110" i="6"/>
  <c r="G110" i="6"/>
  <c r="I109" i="6"/>
  <c r="H109" i="6"/>
  <c r="G109" i="6"/>
  <c r="I108" i="6"/>
  <c r="H108" i="6"/>
  <c r="G108" i="6"/>
  <c r="I107" i="6"/>
  <c r="H107" i="6"/>
  <c r="G107" i="6"/>
  <c r="I105" i="6"/>
  <c r="H105" i="6"/>
  <c r="G105" i="6"/>
  <c r="I104" i="6"/>
  <c r="H104" i="6"/>
  <c r="G104" i="6"/>
  <c r="I102" i="6"/>
  <c r="H102" i="6"/>
  <c r="G102" i="6"/>
  <c r="I101" i="6"/>
  <c r="H101" i="6"/>
  <c r="G101" i="6"/>
  <c r="I99" i="6"/>
  <c r="H99" i="6"/>
  <c r="G99" i="6"/>
  <c r="I98" i="6"/>
  <c r="H98" i="6"/>
  <c r="G98" i="6"/>
  <c r="I97" i="6"/>
  <c r="H97" i="6"/>
  <c r="G97" i="6"/>
  <c r="I96" i="6"/>
  <c r="H96" i="6"/>
  <c r="G96" i="6"/>
  <c r="I95" i="6"/>
  <c r="H95" i="6"/>
  <c r="G95" i="6"/>
  <c r="I94" i="6"/>
  <c r="H94" i="6"/>
  <c r="G94" i="6"/>
  <c r="I92" i="6"/>
  <c r="H92" i="6"/>
  <c r="G92" i="6"/>
  <c r="I91" i="6"/>
  <c r="H91" i="6"/>
  <c r="G91" i="6"/>
  <c r="I90" i="6"/>
  <c r="H90" i="6"/>
  <c r="G88" i="6"/>
  <c r="G87" i="6"/>
  <c r="I85" i="6"/>
  <c r="H85" i="6"/>
  <c r="G85" i="6"/>
  <c r="I84" i="6"/>
  <c r="H84" i="6"/>
  <c r="G84" i="6"/>
  <c r="I83" i="6"/>
  <c r="H83" i="6"/>
  <c r="G83" i="6"/>
  <c r="I80" i="6"/>
  <c r="H80" i="6"/>
  <c r="G80" i="6"/>
  <c r="I78" i="6"/>
  <c r="H78" i="6"/>
  <c r="G78" i="6"/>
  <c r="G77" i="6"/>
  <c r="I76" i="6"/>
  <c r="H76" i="6"/>
  <c r="I74" i="6"/>
  <c r="H74" i="6"/>
  <c r="G74" i="6"/>
  <c r="I72" i="6"/>
  <c r="H72" i="6"/>
  <c r="G72" i="6"/>
  <c r="I71" i="6"/>
  <c r="H71" i="6"/>
  <c r="G71" i="6"/>
  <c r="I69" i="6"/>
  <c r="H69" i="6"/>
  <c r="G69" i="6"/>
  <c r="I68" i="6"/>
  <c r="H68" i="6"/>
  <c r="G68" i="6"/>
  <c r="I67" i="6"/>
  <c r="H67" i="6"/>
  <c r="G67" i="6"/>
  <c r="G66" i="6"/>
  <c r="I64" i="6"/>
  <c r="H64" i="6"/>
  <c r="G64" i="6"/>
  <c r="I63" i="6"/>
  <c r="H63" i="6"/>
  <c r="G63" i="6"/>
  <c r="I60" i="6"/>
  <c r="H60" i="6"/>
  <c r="G60" i="6"/>
  <c r="I59" i="6"/>
  <c r="H59" i="6"/>
  <c r="G59" i="6"/>
  <c r="I57" i="6"/>
  <c r="H57" i="6"/>
  <c r="G57" i="6"/>
  <c r="I55" i="6"/>
  <c r="H55" i="6"/>
  <c r="G55" i="6"/>
  <c r="I54" i="6"/>
  <c r="H54" i="6"/>
  <c r="G54" i="6"/>
  <c r="I53" i="6"/>
  <c r="H53" i="6"/>
  <c r="G53" i="6"/>
  <c r="I50" i="6"/>
  <c r="H50" i="6"/>
  <c r="G50" i="6"/>
  <c r="I47" i="6"/>
  <c r="H47" i="6"/>
  <c r="G47" i="6"/>
  <c r="I46" i="6"/>
  <c r="H46" i="6"/>
  <c r="G46" i="6"/>
  <c r="I44" i="6"/>
  <c r="H44" i="6"/>
  <c r="G44" i="6"/>
  <c r="I43" i="6"/>
  <c r="H43" i="6"/>
  <c r="G43" i="6"/>
  <c r="I42" i="6"/>
  <c r="H42" i="6"/>
  <c r="G42" i="6"/>
  <c r="I41" i="6"/>
  <c r="H41" i="6"/>
  <c r="G41" i="6"/>
  <c r="I40" i="6"/>
  <c r="H40" i="6"/>
  <c r="G40" i="6"/>
  <c r="I39" i="6"/>
  <c r="H39" i="6"/>
  <c r="G39" i="6"/>
  <c r="G38" i="6"/>
  <c r="I36" i="6"/>
  <c r="H36" i="6"/>
  <c r="G36" i="6"/>
  <c r="I34" i="6"/>
  <c r="H34" i="6"/>
  <c r="G34" i="6"/>
  <c r="I33" i="6"/>
  <c r="H33" i="6"/>
  <c r="G33" i="6"/>
  <c r="I30" i="6"/>
  <c r="H30" i="6"/>
  <c r="G30" i="6"/>
  <c r="I29" i="6"/>
  <c r="H29" i="6"/>
  <c r="G29" i="6"/>
  <c r="I28" i="6"/>
  <c r="H28" i="6"/>
  <c r="G28" i="6"/>
  <c r="I27" i="6"/>
  <c r="H27" i="6"/>
  <c r="G27" i="6"/>
  <c r="I26" i="6"/>
  <c r="H26" i="6"/>
  <c r="G26" i="6"/>
  <c r="I25" i="6"/>
  <c r="H25" i="6"/>
  <c r="I24" i="6"/>
  <c r="H24" i="6"/>
  <c r="G24" i="6"/>
  <c r="I23" i="6"/>
  <c r="H23" i="6"/>
  <c r="G23" i="6"/>
  <c r="G22" i="6"/>
  <c r="I21" i="6"/>
  <c r="H21" i="6"/>
  <c r="G21" i="6"/>
  <c r="I20" i="6"/>
  <c r="H20" i="6"/>
  <c r="G20" i="6"/>
  <c r="H19" i="6"/>
  <c r="I17" i="6"/>
  <c r="H17" i="6"/>
  <c r="G17" i="6"/>
  <c r="I16" i="6"/>
  <c r="H16" i="6"/>
  <c r="G16" i="6"/>
  <c r="I15" i="6"/>
  <c r="H15" i="6"/>
  <c r="G15" i="6"/>
  <c r="I14" i="6"/>
  <c r="H14" i="6"/>
  <c r="G14" i="6"/>
  <c r="I7" i="6"/>
  <c r="H7" i="6"/>
  <c r="G7" i="6"/>
  <c r="I19" i="4" l="1"/>
  <c r="I19" i="3" s="1"/>
  <c r="H19" i="4"/>
  <c r="I18" i="4"/>
  <c r="I18" i="3" s="1"/>
  <c r="H18" i="4"/>
  <c r="H18" i="3" s="1"/>
  <c r="H20" i="3"/>
  <c r="H106" i="6"/>
  <c r="H89" i="6"/>
  <c r="H114" i="6"/>
  <c r="H35" i="6"/>
  <c r="I106" i="6"/>
  <c r="I86" i="6"/>
  <c r="I62" i="6"/>
  <c r="I89" i="6"/>
  <c r="I93" i="6"/>
  <c r="I70" i="6"/>
  <c r="I18" i="6"/>
  <c r="I114" i="6"/>
  <c r="I81" i="6"/>
  <c r="I61" i="6"/>
  <c r="I32" i="6"/>
  <c r="I129" i="6"/>
  <c r="I65" i="6"/>
  <c r="H31" i="6"/>
  <c r="H65" i="6"/>
  <c r="H62" i="6"/>
  <c r="H61" i="6"/>
  <c r="H56" i="6"/>
  <c r="H22" i="6"/>
  <c r="H37" i="6"/>
  <c r="H18" i="6"/>
  <c r="H93" i="6"/>
  <c r="H86" i="6"/>
  <c r="H81" i="6"/>
  <c r="H70" i="6"/>
  <c r="H58" i="6"/>
  <c r="H32" i="6"/>
  <c r="I123" i="6"/>
  <c r="I103" i="6"/>
  <c r="I111" i="6"/>
  <c r="I19" i="6"/>
  <c r="I100" i="6"/>
  <c r="I79" i="6"/>
  <c r="I75" i="6"/>
  <c r="I73" i="6"/>
  <c r="I56" i="6"/>
  <c r="I45" i="6"/>
  <c r="I37" i="6"/>
  <c r="H111" i="6"/>
  <c r="H103" i="6"/>
  <c r="H100" i="6"/>
  <c r="H45" i="6"/>
  <c r="H118" i="6"/>
  <c r="H82" i="6"/>
  <c r="H73" i="6"/>
  <c r="H79" i="6"/>
  <c r="H75" i="6"/>
  <c r="H123" i="6"/>
  <c r="I304" i="4" l="1"/>
  <c r="I303" i="4"/>
  <c r="H304" i="4"/>
  <c r="H303" i="4"/>
  <c r="G18" i="4"/>
  <c r="G18" i="3" s="1"/>
  <c r="I58" i="6"/>
  <c r="I22" i="6"/>
  <c r="I35" i="6"/>
  <c r="I82" i="6"/>
  <c r="I31" i="6"/>
  <c r="G89" i="6"/>
  <c r="G90" i="6"/>
  <c r="G114" i="6"/>
  <c r="G62" i="6"/>
  <c r="G106" i="6"/>
  <c r="G35" i="6"/>
  <c r="G32" i="6"/>
  <c r="G129" i="6"/>
  <c r="G70" i="6"/>
  <c r="G18" i="6"/>
  <c r="H137" i="6"/>
  <c r="H136" i="6"/>
  <c r="G93" i="6"/>
  <c r="G81" i="6"/>
  <c r="G75" i="6"/>
  <c r="G65" i="6"/>
  <c r="G61" i="6"/>
  <c r="G45" i="6"/>
  <c r="G31" i="6"/>
  <c r="G19" i="6"/>
  <c r="G86" i="6"/>
  <c r="G100" i="6"/>
  <c r="G56" i="6"/>
  <c r="G123" i="6"/>
  <c r="G103" i="6"/>
  <c r="G79" i="6"/>
  <c r="G73" i="6"/>
  <c r="G37" i="6"/>
  <c r="G25" i="6"/>
  <c r="G82" i="6"/>
  <c r="G76" i="6"/>
  <c r="G58" i="6"/>
  <c r="I303" i="3" l="1"/>
  <c r="I305" i="4" s="1"/>
  <c r="I306" i="4" s="1"/>
  <c r="I304" i="3"/>
  <c r="H304" i="3"/>
  <c r="H303" i="3"/>
  <c r="H305" i="4" s="1"/>
  <c r="H306" i="4" s="1"/>
  <c r="G303" i="3"/>
  <c r="G303" i="4"/>
  <c r="G304" i="4"/>
  <c r="I136" i="6"/>
  <c r="I137" i="6"/>
  <c r="H138" i="6"/>
  <c r="H139" i="6" s="1"/>
  <c r="G137" i="6"/>
  <c r="G136" i="6"/>
  <c r="G305" i="4" l="1"/>
  <c r="G306" i="4" s="1"/>
  <c r="G304" i="3"/>
  <c r="I138" i="6"/>
  <c r="I139" i="6" s="1"/>
  <c r="G138" i="6"/>
  <c r="G139" i="6" s="1"/>
</calcChain>
</file>

<file path=xl/sharedStrings.xml><?xml version="1.0" encoding="utf-8"?>
<sst xmlns="http://schemas.openxmlformats.org/spreadsheetml/2006/main" count="4647" uniqueCount="503">
  <si>
    <t>Date:</t>
  </si>
  <si>
    <t>Time:</t>
  </si>
  <si>
    <t>Gear used:</t>
  </si>
  <si>
    <t>Net diameter:</t>
  </si>
  <si>
    <t>Phylum:</t>
  </si>
  <si>
    <t>Family:</t>
  </si>
  <si>
    <t>Genus:</t>
  </si>
  <si>
    <t>Total Number of Taxa:</t>
  </si>
  <si>
    <t>Total individuals:</t>
  </si>
  <si>
    <t>Phytoplankton Data Sheet : Raw Count Data</t>
  </si>
  <si>
    <t>Cyanophyceae</t>
  </si>
  <si>
    <t>Oscillatoria</t>
  </si>
  <si>
    <t>Other blue-green</t>
  </si>
  <si>
    <t>Bacillariophyceae</t>
  </si>
  <si>
    <t>Thalassiosiraceae</t>
  </si>
  <si>
    <t>Skeletonema</t>
  </si>
  <si>
    <t>Thalassiosira</t>
  </si>
  <si>
    <t>Melosiraceae</t>
  </si>
  <si>
    <t>Melosira</t>
  </si>
  <si>
    <t>Stephanopyxis</t>
  </si>
  <si>
    <t>Leptocylindraceae</t>
  </si>
  <si>
    <t>Corethron</t>
  </si>
  <si>
    <t>Coscinodiscaceae</t>
  </si>
  <si>
    <t>Coscinodiscus</t>
  </si>
  <si>
    <t>Hemidiscaceae</t>
  </si>
  <si>
    <t>Hemidiscus</t>
  </si>
  <si>
    <t>Rhizosoleniaceae</t>
  </si>
  <si>
    <t>Rhizosolenia</t>
  </si>
  <si>
    <t>Guinardia</t>
  </si>
  <si>
    <t>Hemiaulaceae</t>
  </si>
  <si>
    <t>Eucampia</t>
  </si>
  <si>
    <t>Chaetocerotaceae</t>
  </si>
  <si>
    <t>Chaetoceros</t>
  </si>
  <si>
    <t>Ditylum</t>
  </si>
  <si>
    <t>Licmophora</t>
  </si>
  <si>
    <t>Thalassionemataceae</t>
  </si>
  <si>
    <t>Thalassionema</t>
  </si>
  <si>
    <t>Naviculaceae</t>
  </si>
  <si>
    <t>Navicula</t>
  </si>
  <si>
    <t>Pleurosigma</t>
  </si>
  <si>
    <t>Prorocentraceae</t>
  </si>
  <si>
    <t>Prorocentrum</t>
  </si>
  <si>
    <t>Dinophysis</t>
  </si>
  <si>
    <t>Gymnodinium</t>
  </si>
  <si>
    <t>Noctilucaceae</t>
  </si>
  <si>
    <t>Noctiluca</t>
  </si>
  <si>
    <t>Ceratiaceae</t>
  </si>
  <si>
    <t>Ceratium</t>
  </si>
  <si>
    <t>Gonyaulacaceae</t>
  </si>
  <si>
    <t>Gonyaulax</t>
  </si>
  <si>
    <t>Protoperidinium</t>
  </si>
  <si>
    <t>Sum OLOG(O)=</t>
  </si>
  <si>
    <t>Total taxa:</t>
  </si>
  <si>
    <t>Taxa Diversity Index (H'):</t>
  </si>
  <si>
    <t>Eveness Index (J'):</t>
  </si>
  <si>
    <t>ALCHEMY Laboratory &amp; Services Sdn Bhd</t>
  </si>
  <si>
    <r>
      <rPr>
        <sz val="12"/>
        <color theme="1"/>
        <rFont val="Symbol"/>
        <family val="1"/>
        <charset val="2"/>
      </rPr>
      <t>m</t>
    </r>
    <r>
      <rPr>
        <sz val="12"/>
        <color theme="1"/>
        <rFont val="Calibri"/>
        <family val="2"/>
        <scheme val="minor"/>
      </rPr>
      <t>m</t>
    </r>
  </si>
  <si>
    <t>Dilution factor:</t>
  </si>
  <si>
    <t>Volume of sample(ml):</t>
  </si>
  <si>
    <t>Volume counted(ml):</t>
  </si>
  <si>
    <t>Overall density(units/litre):</t>
  </si>
  <si>
    <t>Density in units per litre</t>
  </si>
  <si>
    <t>Log(n) of Phytoplankton data for Diversity calculations</t>
  </si>
  <si>
    <t>CERTIFICATE OF ANALYSIS</t>
  </si>
  <si>
    <t>……………………………………………</t>
  </si>
  <si>
    <t>Authorized by:</t>
  </si>
  <si>
    <t>ALCHEMY Laboratory &amp; Services Sdn. Bhd. (Company No: 903112 K)</t>
  </si>
  <si>
    <r>
      <t>326B, 1</t>
    </r>
    <r>
      <rPr>
        <vertAlign val="superscript"/>
        <sz val="9"/>
        <color theme="1"/>
        <rFont val="Arial"/>
        <family val="2"/>
      </rPr>
      <t>st</t>
    </r>
    <r>
      <rPr>
        <sz val="9"/>
        <color theme="1"/>
        <rFont val="Arial"/>
        <family val="2"/>
      </rPr>
      <t xml:space="preserve"> Floor, Lot 2520, Jalan Hiliran, Mukim Losong,</t>
    </r>
  </si>
  <si>
    <t xml:space="preserve"> 20300, Kuala Terengganu, Terengganu, Malaysia.</t>
  </si>
  <si>
    <t>Phytoplankton: Sample Information</t>
  </si>
  <si>
    <t>Date :</t>
  </si>
  <si>
    <t>Pages :</t>
  </si>
  <si>
    <t>Class:</t>
  </si>
  <si>
    <t>Order:</t>
  </si>
  <si>
    <t>Oscillatoriales</t>
  </si>
  <si>
    <t>Oscillatoriaceae</t>
  </si>
  <si>
    <t>Coscinodiscophyceae</t>
  </si>
  <si>
    <t>Thalassiosirales</t>
  </si>
  <si>
    <t>Melosirales</t>
  </si>
  <si>
    <t>Leptocylindrus</t>
  </si>
  <si>
    <t>Coscinodiscales</t>
  </si>
  <si>
    <t>Rhizosoleniales</t>
  </si>
  <si>
    <t>Hemiaulales</t>
  </si>
  <si>
    <t>Chaetocerotales</t>
  </si>
  <si>
    <t>Lithodesmiales</t>
  </si>
  <si>
    <t>Lithodesmiasceae</t>
  </si>
  <si>
    <t>Licmophorales</t>
  </si>
  <si>
    <t>Licmophoraceae</t>
  </si>
  <si>
    <t>Thalassionematales</t>
  </si>
  <si>
    <t>Bacillariales</t>
  </si>
  <si>
    <t>Naviculales</t>
  </si>
  <si>
    <t>Pleurosigmataceae</t>
  </si>
  <si>
    <t>Dinophyceae</t>
  </si>
  <si>
    <t>Prorocentrales</t>
  </si>
  <si>
    <t>Dinophysiales</t>
  </si>
  <si>
    <t>Dinophysaceae</t>
  </si>
  <si>
    <t>Gonyaulacales</t>
  </si>
  <si>
    <t>Peridiniales</t>
  </si>
  <si>
    <t>Noctilucales</t>
  </si>
  <si>
    <t>Paraliaceae</t>
  </si>
  <si>
    <t>Paralia</t>
  </si>
  <si>
    <t>Planktoniella</t>
  </si>
  <si>
    <t>Skeletonemataceae</t>
  </si>
  <si>
    <t>Biddulphiales</t>
  </si>
  <si>
    <t>Biddulphiaceae</t>
  </si>
  <si>
    <t>Biddulphia</t>
  </si>
  <si>
    <t>cm</t>
  </si>
  <si>
    <t>Mouth surface area:</t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</si>
  <si>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</si>
  <si>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t>Triceratiales</t>
  </si>
  <si>
    <t>Triceratiaceae</t>
  </si>
  <si>
    <t>Triceratium</t>
  </si>
  <si>
    <t>Hemiaulus</t>
  </si>
  <si>
    <t>Bacteriastrum</t>
  </si>
  <si>
    <t>Asterionella</t>
  </si>
  <si>
    <t>Trichodesmium</t>
  </si>
  <si>
    <t>SR cell volume(ml):</t>
  </si>
  <si>
    <t>No. SR cells counted:</t>
  </si>
  <si>
    <t>Client Name:</t>
  </si>
  <si>
    <t>Client Address:</t>
  </si>
  <si>
    <t>Filtered volume:</t>
  </si>
  <si>
    <t>(see results table)</t>
  </si>
  <si>
    <t>Method of Analysis:</t>
  </si>
  <si>
    <t>Comments:</t>
  </si>
  <si>
    <t>Marine Biologist</t>
  </si>
  <si>
    <t>Sample Marking:</t>
  </si>
  <si>
    <t>Reference ID:</t>
  </si>
  <si>
    <t>Client:</t>
  </si>
  <si>
    <t>Institution:</t>
  </si>
  <si>
    <t>Description:</t>
  </si>
  <si>
    <t>Date Received</t>
  </si>
  <si>
    <t>Sample Marking</t>
  </si>
  <si>
    <t>Reference ID</t>
  </si>
  <si>
    <t>Report No.</t>
  </si>
  <si>
    <t>Report No :</t>
  </si>
  <si>
    <t>Net mesh:</t>
  </si>
  <si>
    <t>Tow type:</t>
  </si>
  <si>
    <t>Number of samples:</t>
  </si>
  <si>
    <t>Bacillariophyta</t>
  </si>
  <si>
    <t>Surirellales</t>
  </si>
  <si>
    <t>Surirellaceae</t>
  </si>
  <si>
    <t>Surirella</t>
  </si>
  <si>
    <t>Asterolamprales</t>
  </si>
  <si>
    <t>Asterolampraceae</t>
  </si>
  <si>
    <t>Asterolampra</t>
  </si>
  <si>
    <t>Thalassiothrix</t>
  </si>
  <si>
    <t>Bacillariceae</t>
  </si>
  <si>
    <t>Bacillaria</t>
  </si>
  <si>
    <t>Mediophyceae</t>
  </si>
  <si>
    <t>Eupodiscales</t>
  </si>
  <si>
    <t>Euposdiscaceae</t>
  </si>
  <si>
    <t>Odontella</t>
  </si>
  <si>
    <t>Miozoa</t>
  </si>
  <si>
    <t>Peridiniaceae</t>
  </si>
  <si>
    <t>Diplosalis</t>
  </si>
  <si>
    <t>Cyanobacteria</t>
  </si>
  <si>
    <t>Microcoleaceae</t>
  </si>
  <si>
    <t>Stephanopyxidaceae</t>
  </si>
  <si>
    <t>Corethrales</t>
  </si>
  <si>
    <t>Corethraceae</t>
  </si>
  <si>
    <t>Tabellariales</t>
  </si>
  <si>
    <t>Tabellariaceae</t>
  </si>
  <si>
    <t>Gymnodiniales</t>
  </si>
  <si>
    <t>Gymnodiniaceae</t>
  </si>
  <si>
    <t>Noctilucea</t>
  </si>
  <si>
    <t>SAMM NO. 554</t>
  </si>
  <si>
    <t>Date Received:</t>
  </si>
  <si>
    <t>Phytoplankton Data Sheet : Analysed Phytoplankton Samples</t>
  </si>
  <si>
    <t>Climacodium</t>
  </si>
  <si>
    <t>Type of Sample:</t>
  </si>
  <si>
    <t>Volume filtered (l):</t>
  </si>
  <si>
    <t>Pseudo-nitzschia</t>
  </si>
  <si>
    <t>Brachidiniaceae</t>
  </si>
  <si>
    <t>Karlodinium</t>
  </si>
  <si>
    <t>Goniodomaceae</t>
  </si>
  <si>
    <t>Alexandrium</t>
  </si>
  <si>
    <t>*</t>
  </si>
  <si>
    <t>Row Labels</t>
  </si>
  <si>
    <t>(blank)</t>
  </si>
  <si>
    <t>Grand Total</t>
  </si>
  <si>
    <t>Values</t>
  </si>
  <si>
    <t>Sum of BP10282</t>
  </si>
  <si>
    <t>Sum of BP10283</t>
  </si>
  <si>
    <t>Sum of BP10284</t>
  </si>
  <si>
    <t>Nitzschia</t>
  </si>
  <si>
    <t>Muhammad Firdaus Bin Daud</t>
  </si>
  <si>
    <t>BSc.(Marine Science)</t>
  </si>
  <si>
    <t>Noctilucophyceae</t>
  </si>
  <si>
    <t>Plankton net</t>
  </si>
  <si>
    <t>3 of 6</t>
  </si>
  <si>
    <t/>
  </si>
  <si>
    <t>C1 Top (1)</t>
  </si>
  <si>
    <t>C1 Mid (1)</t>
  </si>
  <si>
    <t>C1 Top (2)</t>
  </si>
  <si>
    <t>C1 Mid (2)</t>
  </si>
  <si>
    <t>S2 Top (1)</t>
  </si>
  <si>
    <t>S2 Mid (2)</t>
  </si>
  <si>
    <t>S2 Mid (1)</t>
  </si>
  <si>
    <t>S2 Top (2)</t>
  </si>
  <si>
    <t>S5 Top (1)</t>
  </si>
  <si>
    <t>S5 Mid (1)</t>
  </si>
  <si>
    <t>S5 Mid (2)</t>
  </si>
  <si>
    <t>S5 Top (2)</t>
  </si>
  <si>
    <t>S8 Top (1)</t>
  </si>
  <si>
    <t>S8 Top (2)</t>
  </si>
  <si>
    <t>S8 Mid (1)</t>
  </si>
  <si>
    <t>S8 Mid (2)</t>
  </si>
  <si>
    <t>S11 Top (1)</t>
  </si>
  <si>
    <t>S11 Top (2)</t>
  </si>
  <si>
    <t>S11 Mid (1)</t>
  </si>
  <si>
    <t>S11 Mid (2)</t>
  </si>
  <si>
    <t>BP10623</t>
  </si>
  <si>
    <t>BP10624</t>
  </si>
  <si>
    <t>BP10625</t>
  </si>
  <si>
    <t>BP10626</t>
  </si>
  <si>
    <t>BP10627</t>
  </si>
  <si>
    <t>BP10628</t>
  </si>
  <si>
    <t>BP10629</t>
  </si>
  <si>
    <t>BP10630</t>
  </si>
  <si>
    <t>BP10631</t>
  </si>
  <si>
    <t>BP10632</t>
  </si>
  <si>
    <t>BP10633</t>
  </si>
  <si>
    <t>BP10634</t>
  </si>
  <si>
    <t>BP10635</t>
  </si>
  <si>
    <t>BP10636</t>
  </si>
  <si>
    <t>BP10637</t>
  </si>
  <si>
    <t>BP10638</t>
  </si>
  <si>
    <t>BP10639</t>
  </si>
  <si>
    <t>BP10640</t>
  </si>
  <si>
    <t>BP10641</t>
  </si>
  <si>
    <t>BP10642</t>
  </si>
  <si>
    <t xml:space="preserve">  </t>
  </si>
  <si>
    <t>Asteromphalus</t>
  </si>
  <si>
    <t>Dictyochophyceae</t>
  </si>
  <si>
    <t>Dictyochales</t>
  </si>
  <si>
    <t>Dictyochaceae</t>
  </si>
  <si>
    <t>Dictyocha</t>
  </si>
  <si>
    <t>Ornithocercus</t>
  </si>
  <si>
    <t>Pyrophacus</t>
  </si>
  <si>
    <t>Protoperidiniaceae</t>
  </si>
  <si>
    <t>Diplopsalis</t>
  </si>
  <si>
    <t>Preperidinium</t>
  </si>
  <si>
    <t>Cerataulina</t>
  </si>
  <si>
    <t>Pyrocystaceae</t>
  </si>
  <si>
    <t>Pyrocystis</t>
  </si>
  <si>
    <t>Diploneis</t>
  </si>
  <si>
    <t>Diploneidaceae</t>
  </si>
  <si>
    <t>Proboscia</t>
  </si>
  <si>
    <t>Date of Analysis</t>
  </si>
  <si>
    <t>Fragilariales</t>
  </si>
  <si>
    <t>Fragilariaceae</t>
  </si>
  <si>
    <t>Fragilaria</t>
  </si>
  <si>
    <t>Rhabdonematales</t>
  </si>
  <si>
    <t>Grammatophoraceae</t>
  </si>
  <si>
    <t>Grammatophora</t>
  </si>
  <si>
    <t>Rhaphoneidales</t>
  </si>
  <si>
    <t>Asterionellopsidaceae</t>
  </si>
  <si>
    <t>Asterionellopsis</t>
  </si>
  <si>
    <t>Thalassiophysales</t>
  </si>
  <si>
    <t>Catenulaceae</t>
  </si>
  <si>
    <t xml:space="preserve">Amphora </t>
  </si>
  <si>
    <t>Stephanodiscales</t>
  </si>
  <si>
    <t>Stephanodiscaceae</t>
  </si>
  <si>
    <t>Stephanodiscus</t>
  </si>
  <si>
    <t>Pyrodinium</t>
  </si>
  <si>
    <t>Cylindrotheca</t>
  </si>
  <si>
    <t>Pinnulariaceae</t>
  </si>
  <si>
    <t>Pinnularia</t>
  </si>
  <si>
    <t>Unknown</t>
  </si>
  <si>
    <t>Bellerocheaceae</t>
  </si>
  <si>
    <t>Bellerochea</t>
  </si>
  <si>
    <t xml:space="preserve">Gambierdiscus </t>
  </si>
  <si>
    <t>Plagiotropidaceae</t>
  </si>
  <si>
    <t>Meuniera</t>
  </si>
  <si>
    <t>Cocconeis</t>
  </si>
  <si>
    <t>Cocconeidaceae</t>
  </si>
  <si>
    <t>Cyclotella</t>
  </si>
  <si>
    <t>Thoracosphaerales</t>
  </si>
  <si>
    <t>Thoracosphaeraceae</t>
  </si>
  <si>
    <t xml:space="preserve">Scrippsiella </t>
  </si>
  <si>
    <t>Dinophysales</t>
  </si>
  <si>
    <t>Amphisoleniaceae</t>
  </si>
  <si>
    <t xml:space="preserve">Amphisolenia </t>
  </si>
  <si>
    <t>Nostocales</t>
  </si>
  <si>
    <t xml:space="preserve">Anabaena </t>
  </si>
  <si>
    <t>Stephanopyxales</t>
  </si>
  <si>
    <t>Phytoplankton Data Sheet: Analysed Phytoplankton Samples</t>
  </si>
  <si>
    <t xml:space="preserve"> Tel: +609- 622 4166, Fax: +609- 622 4177</t>
  </si>
  <si>
    <t>Lauderiaceae</t>
  </si>
  <si>
    <t>Lauderia</t>
  </si>
  <si>
    <t>Peridinium</t>
  </si>
  <si>
    <t xml:space="preserve">The details above are provided by the client. The reported results refer to sample(s) submitted by client only. </t>
  </si>
  <si>
    <t>Oxytoxaceae</t>
  </si>
  <si>
    <t>Oxytoxum</t>
  </si>
  <si>
    <t>Charophyta</t>
  </si>
  <si>
    <t>Zygnematophyceae</t>
  </si>
  <si>
    <t>Desmidiales</t>
  </si>
  <si>
    <t>Closteriaceae</t>
  </si>
  <si>
    <t>Closterium</t>
  </si>
  <si>
    <t>Heterokontophyta</t>
  </si>
  <si>
    <t>Achnanthales</t>
  </si>
  <si>
    <t>Probosciales</t>
  </si>
  <si>
    <t>Probosciaceae</t>
  </si>
  <si>
    <t>Odontellaceae</t>
  </si>
  <si>
    <t>Dinoflagellata</t>
  </si>
  <si>
    <t>Kareniaceae</t>
  </si>
  <si>
    <t>Aphanizomenonaceae</t>
  </si>
  <si>
    <t>Cladopyxidaceae</t>
  </si>
  <si>
    <t>Cladopyxis</t>
  </si>
  <si>
    <t>Haslea</t>
  </si>
  <si>
    <t>Volume Filtered (L):</t>
  </si>
  <si>
    <t>Volume filtered (L):</t>
  </si>
  <si>
    <t>Overall density(units/L):</t>
  </si>
  <si>
    <t>Entomoneidaceae</t>
  </si>
  <si>
    <t>Entomoneis</t>
  </si>
  <si>
    <t>Phormidium</t>
  </si>
  <si>
    <t>Chlorophyta</t>
  </si>
  <si>
    <t>Chlorophyceae</t>
  </si>
  <si>
    <t>Sphaeropleales</t>
  </si>
  <si>
    <t>Hydrodictyaceae</t>
  </si>
  <si>
    <t>Pediastrum</t>
  </si>
  <si>
    <t>Chlamydomonadales</t>
  </si>
  <si>
    <t>Volvocaceae</t>
  </si>
  <si>
    <t>Pandorina</t>
  </si>
  <si>
    <t>Zygnematales</t>
  </si>
  <si>
    <t>Zygnemataceae</t>
  </si>
  <si>
    <t>Mougeotia</t>
  </si>
  <si>
    <t>Scenedesmaceae</t>
  </si>
  <si>
    <t>Scenedesmus</t>
  </si>
  <si>
    <t>Euglenophyta</t>
  </si>
  <si>
    <t>Euglenophyceae</t>
  </si>
  <si>
    <t>Euglenales</t>
  </si>
  <si>
    <t>Euglenaceae</t>
  </si>
  <si>
    <t>Euglena</t>
  </si>
  <si>
    <t>Radiococcaceae</t>
  </si>
  <si>
    <t>Gloeocystis</t>
  </si>
  <si>
    <t>Phacaceae</t>
  </si>
  <si>
    <t>Phacus</t>
  </si>
  <si>
    <t>Chlamydomonales</t>
  </si>
  <si>
    <t>Marine water</t>
  </si>
  <si>
    <t>Tow distance(m):</t>
  </si>
  <si>
    <t>Gyrosigma</t>
  </si>
  <si>
    <t>Achnanthaceae</t>
  </si>
  <si>
    <t>Achnanthes</t>
  </si>
  <si>
    <t>Marine</t>
  </si>
  <si>
    <t>SOP No.: ALC_B_003</t>
  </si>
  <si>
    <t>based on APHA 10200 F</t>
  </si>
  <si>
    <t>vertical</t>
  </si>
  <si>
    <t>Helicotheca</t>
  </si>
  <si>
    <t>Bacillariaceae</t>
  </si>
  <si>
    <t>Pyrophacaceae</t>
  </si>
  <si>
    <t>Actinocyclus</t>
  </si>
  <si>
    <t>Tripos</t>
  </si>
  <si>
    <t>Palmeria</t>
  </si>
  <si>
    <t>Aphanizomenon</t>
  </si>
  <si>
    <t>Westella</t>
  </si>
  <si>
    <t>Desmidiaceae</t>
  </si>
  <si>
    <t>Micrasterias</t>
  </si>
  <si>
    <t>Cosmarium</t>
  </si>
  <si>
    <t>Staurastrum</t>
  </si>
  <si>
    <t>Aulacoseirales</t>
  </si>
  <si>
    <t>Aulacoseiraceae</t>
  </si>
  <si>
    <t>Aulacoseira</t>
  </si>
  <si>
    <t>Ulnariaceae</t>
  </si>
  <si>
    <t>Ulnaria</t>
  </si>
  <si>
    <t>Chroococcales</t>
  </si>
  <si>
    <t>Microcystaceae</t>
  </si>
  <si>
    <t>Microcystis</t>
  </si>
  <si>
    <t>Euastrum</t>
  </si>
  <si>
    <t>Spirogyrales</t>
  </si>
  <si>
    <t>Spirogyraceae</t>
  </si>
  <si>
    <t>Spirogyra</t>
  </si>
  <si>
    <t>Diadesmidaceae</t>
  </si>
  <si>
    <t>Diadesmis</t>
  </si>
  <si>
    <t>Mesotaeniaceae</t>
  </si>
  <si>
    <t>Netrium</t>
  </si>
  <si>
    <t>Plagiolemma</t>
  </si>
  <si>
    <t>Protoceratiaceae</t>
  </si>
  <si>
    <t>Ceratocorys</t>
  </si>
  <si>
    <t>Kofoidiniaceae</t>
  </si>
  <si>
    <t>Kofoidinium</t>
  </si>
  <si>
    <t>Podolampadaceae</t>
  </si>
  <si>
    <t>Podolampas</t>
  </si>
  <si>
    <t>Ciliophora</t>
  </si>
  <si>
    <t>Prostomatea</t>
  </si>
  <si>
    <t>Prorodontida</t>
  </si>
  <si>
    <t>Prorodontidae</t>
  </si>
  <si>
    <t>Polyasterias</t>
  </si>
  <si>
    <t>Streptotheca</t>
  </si>
  <si>
    <t>Akashiwales</t>
  </si>
  <si>
    <t>Akashiwaceae</t>
  </si>
  <si>
    <t>Akashiwo</t>
  </si>
  <si>
    <t>Heliopeltaceae</t>
  </si>
  <si>
    <t>Actinoptychus</t>
  </si>
  <si>
    <t>Xanthophyceae</t>
  </si>
  <si>
    <t>Tribonematales</t>
  </si>
  <si>
    <t>Tribonemataceae</t>
  </si>
  <si>
    <t>Tribonema</t>
  </si>
  <si>
    <t>Selenastraceae</t>
  </si>
  <si>
    <t>Selenastrum</t>
  </si>
  <si>
    <t>Oxyphysaceae</t>
  </si>
  <si>
    <t>Phalacroma</t>
  </si>
  <si>
    <t>Pseudosolenia</t>
  </si>
  <si>
    <t>Rivulariaceae</t>
  </si>
  <si>
    <t>Rivularia</t>
  </si>
  <si>
    <t>Spirulinales</t>
  </si>
  <si>
    <t>Spirulinaceae</t>
  </si>
  <si>
    <t>Spirulina</t>
  </si>
  <si>
    <t>Leptolyngbyales</t>
  </si>
  <si>
    <t>Schizotrichaceae</t>
  </si>
  <si>
    <t>Schizothrix</t>
  </si>
  <si>
    <t>Lyngbya</t>
  </si>
  <si>
    <t>Richelia</t>
  </si>
  <si>
    <t>Parodontellaceae</t>
  </si>
  <si>
    <t>Trieres</t>
  </si>
  <si>
    <t>Arthrospira</t>
  </si>
  <si>
    <t>Staurosiraceae</t>
  </si>
  <si>
    <t>Staurosira</t>
  </si>
  <si>
    <t>Chemsain Konsultant Sdn. Bhd.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</si>
  <si>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</si>
  <si>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</si>
  <si>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</si>
  <si>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</si>
  <si>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</si>
  <si>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</si>
  <si>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</si>
  <si>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</si>
  <si>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</si>
  <si>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</si>
  <si>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</si>
  <si>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</si>
  <si>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</si>
  <si>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</si>
  <si>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</si>
  <si>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</si>
  <si>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</si>
  <si>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</si>
  <si>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</si>
  <si>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</si>
  <si>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</si>
  <si>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</si>
  <si>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</si>
  <si>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</si>
  <si>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</si>
  <si>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</si>
  <si>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BP14798</t>
  </si>
  <si>
    <t>BP14799</t>
  </si>
  <si>
    <t>BP14800</t>
  </si>
  <si>
    <t>BP14801</t>
  </si>
  <si>
    <t>BP14802</t>
  </si>
  <si>
    <t>BP14803</t>
  </si>
  <si>
    <t>BP14804</t>
  </si>
  <si>
    <t>BP14805</t>
  </si>
  <si>
    <t>BP14806</t>
  </si>
  <si>
    <t>BP14807</t>
  </si>
  <si>
    <t>BP14808</t>
  </si>
  <si>
    <t>BP14809</t>
  </si>
  <si>
    <t>BP14810</t>
  </si>
  <si>
    <t>BP14811</t>
  </si>
  <si>
    <t>BP14812</t>
  </si>
  <si>
    <t>BP14813</t>
  </si>
  <si>
    <t>BP14814</t>
  </si>
  <si>
    <t>BP14815</t>
  </si>
  <si>
    <t>BP14816</t>
  </si>
  <si>
    <t>BP14817</t>
  </si>
  <si>
    <t>BP14818</t>
  </si>
  <si>
    <t>BP14819</t>
  </si>
  <si>
    <t>BP14820</t>
  </si>
  <si>
    <t>BP14821</t>
  </si>
  <si>
    <t>BP14822</t>
  </si>
  <si>
    <t>BP14823</t>
  </si>
  <si>
    <t>TR/BP/14798/25</t>
  </si>
  <si>
    <t>TR/BP/14799/25</t>
  </si>
  <si>
    <t>TR/BP/14800/25</t>
  </si>
  <si>
    <t>TR/BP/14801/25</t>
  </si>
  <si>
    <t>TR/BP/14802/25</t>
  </si>
  <si>
    <t>TR/BP/14803/25</t>
  </si>
  <si>
    <t>TR/BP/14804/25</t>
  </si>
  <si>
    <t>TR/BP/14805/25</t>
  </si>
  <si>
    <t>TR/BP/14806/25</t>
  </si>
  <si>
    <t>TR/BP/14807/25</t>
  </si>
  <si>
    <t>TR/BP/14808/25</t>
  </si>
  <si>
    <t>TR/BP/14809/25</t>
  </si>
  <si>
    <t>TR/BP/14810/25</t>
  </si>
  <si>
    <t>TR/BP/14811/25</t>
  </si>
  <si>
    <t>TR/BP/14812/25</t>
  </si>
  <si>
    <t>TR/BP/14813/25</t>
  </si>
  <si>
    <t>TR/BP/14814/25</t>
  </si>
  <si>
    <t>TR/BP/14815/25</t>
  </si>
  <si>
    <t>TR/BP/14816/25</t>
  </si>
  <si>
    <t>TR/BP/14817/25</t>
  </si>
  <si>
    <t>TR/BP/14818/25</t>
  </si>
  <si>
    <t>TR/BP/14819/25</t>
  </si>
  <si>
    <t>TR/BP/14820/25</t>
  </si>
  <si>
    <t>TR/BP/14821/25</t>
  </si>
  <si>
    <t>TR/BP/14822/25</t>
  </si>
  <si>
    <t>TR/BP/14823/25</t>
  </si>
  <si>
    <t>TR/BP/14798/25 - TR/BP/14823/25</t>
  </si>
  <si>
    <t>S#</t>
  </si>
  <si>
    <t>Lot 2, Taman Perindustrian Suria,</t>
  </si>
  <si>
    <t xml:space="preserve">Lorong Buah Duku 1, </t>
  </si>
  <si>
    <t>88450, Kolombong,</t>
  </si>
  <si>
    <t>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</si>
</sst>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315">
    <xf numFmtId="0" fontId="0" fillId="0" borderId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199">
    <xf numFmtId="0" fontId="0" fillId="0" borderId="0" xfId="0"/>
    <xf numFmtId="0" fontId="45" fillId="0" borderId="0" xfId="0" applyFont="1"/>
    <xf numFmtId="0" fontId="0" fillId="0" borderId="1" xfId="0" applyBorder="1"/>
    <xf numFmtId="0" fontId="45" fillId="0" borderId="2" xfId="0" applyFont="1" applyBorder="1"/>
    <xf numFmtId="0" fontId="49" fillId="0" borderId="0" xfId="0" applyFont="1"/>
    <xf numFmtId="0" fontId="50" fillId="0" borderId="0" xfId="0" applyFont="1"/>
    <xf numFmtId="0" fontId="49" fillId="0" borderId="4" xfId="0" applyFont="1" applyBorder="1" applyAlignment="1">
      <alignment horizontal="right"/>
    </xf>
    <xf numFmtId="0" fontId="49" fillId="0" borderId="2" xfId="0" applyFont="1" applyBorder="1"/>
    <xf numFmtId="0" fontId="49" fillId="0" borderId="3" xfId="0" applyFont="1" applyBorder="1" applyAlignment="1">
      <alignment horizontal="right"/>
    </xf>
    <xf numFmtId="0" fontId="50" fillId="0" borderId="4" xfId="0" applyFont="1" applyBorder="1"/>
    <xf numFmtId="0" fontId="50" fillId="0" borderId="0" xfId="0" applyFont="1" applyAlignment="1">
      <alignment horizontal="right"/>
    </xf>
    <xf numFmtId="0" fontId="51" fillId="0" borderId="4" xfId="0" applyFont="1" applyBorder="1"/>
    <xf numFmtId="0" fontId="50" fillId="0" borderId="0" xfId="0" applyFont="1" applyAlignment="1">
      <alignment horizontal="left"/>
    </xf>
    <xf numFmtId="0" fontId="50" fillId="0" borderId="1" xfId="0" applyFont="1" applyBorder="1"/>
    <xf numFmtId="0" fontId="49" fillId="0" borderId="5" xfId="0" applyFont="1" applyBorder="1" applyAlignment="1">
      <alignment horizontal="right"/>
    </xf>
    <xf numFmtId="0" fontId="49" fillId="0" borderId="1" xfId="0" applyFont="1" applyBorder="1" applyAlignment="1">
      <alignment horizontal="right"/>
    </xf>
    <xf numFmtId="0" fontId="49" fillId="0" borderId="0" xfId="0" applyFont="1" applyAlignment="1">
      <alignment horizontal="right"/>
    </xf>
    <xf numFmtId="0" fontId="53" fillId="0" borderId="0" xfId="0" applyFont="1"/>
    <xf numFmtId="0" fontId="49" fillId="0" borderId="7" xfId="0" applyFont="1" applyBorder="1"/>
    <xf numFmtId="14" fontId="49" fillId="0" borderId="7" xfId="0" applyNumberFormat="1" applyFont="1" applyBorder="1"/>
    <xf numFmtId="20" fontId="49" fillId="0" borderId="7" xfId="0" applyNumberFormat="1" applyFont="1" applyBorder="1"/>
    <xf numFmtId="0" fontId="50" fillId="0" borderId="7" xfId="0" applyFont="1" applyBorder="1"/>
    <xf numFmtId="0" fontId="56" fillId="0" borderId="0" xfId="0" applyFont="1" applyAlignment="1">
      <alignment horizontal="left" vertical="center"/>
    </xf>
    <xf numFmtId="0" fontId="49" fillId="0" borderId="0" xfId="0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5" fontId="0" fillId="0" borderId="0" xfId="0" applyNumberFormat="1" applyAlignment="1">
      <alignment horizontal="left"/>
    </xf>
    <xf numFmtId="0" fontId="49" fillId="0" borderId="0" xfId="0" applyFont="1" applyAlignment="1">
      <alignment horizontal="left"/>
    </xf>
    <xf numFmtId="20" fontId="49" fillId="0" borderId="8" xfId="0" applyNumberFormat="1" applyFont="1" applyBorder="1"/>
    <xf numFmtId="164" fontId="49" fillId="0" borderId="8" xfId="0" applyNumberFormat="1" applyFont="1" applyBorder="1"/>
    <xf numFmtId="2" fontId="50" fillId="0" borderId="8" xfId="0" applyNumberFormat="1" applyFont="1" applyBorder="1"/>
    <xf numFmtId="0" fontId="50" fillId="0" borderId="10" xfId="0" applyFont="1" applyBorder="1"/>
    <xf numFmtId="0" fontId="49" fillId="0" borderId="8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0" fontId="58" fillId="0" borderId="0" xfId="0" applyFont="1"/>
    <xf numFmtId="1" fontId="49" fillId="0" borderId="8" xfId="0" applyNumberFormat="1" applyFont="1" applyBorder="1"/>
    <xf numFmtId="0" fontId="0" fillId="0" borderId="0" xfId="0" applyAlignment="1">
      <alignment horizontal="center"/>
    </xf>
    <xf numFmtId="0" fontId="45" fillId="0" borderId="0" xfId="0" applyFont="1" applyAlignment="1">
      <alignment horizontal="right"/>
    </xf>
    <xf numFmtId="0" fontId="0" fillId="0" borderId="0" xfId="0" applyAlignment="1">
      <alignment horizontal="left"/>
    </xf>
    <xf numFmtId="0" fontId="45" fillId="0" borderId="1" xfId="0" applyFont="1" applyBorder="1" applyAlignment="1">
      <alignment horizontal="center"/>
    </xf>
    <xf numFmtId="0" fontId="0" fillId="0" borderId="13" xfId="0" applyBorder="1"/>
    <xf numFmtId="0" fontId="0" fillId="0" borderId="6" xfId="0" applyBorder="1"/>
    <xf numFmtId="0" fontId="0" fillId="0" borderId="14" xfId="0" applyBorder="1"/>
    <xf numFmtId="1" fontId="49" fillId="0" borderId="15" xfId="0" applyNumberFormat="1" applyFont="1" applyBorder="1"/>
    <xf numFmtId="1" fontId="49" fillId="0" borderId="7" xfId="0" applyNumberFormat="1" applyFont="1" applyBorder="1"/>
    <xf numFmtId="1" fontId="50" fillId="0" borderId="7" xfId="0" applyNumberFormat="1" applyFont="1" applyBorder="1"/>
    <xf numFmtId="0" fontId="44" fillId="0" borderId="0" xfId="0" applyFont="1"/>
    <xf numFmtId="0" fontId="60" fillId="0" borderId="0" xfId="0" applyFont="1"/>
    <xf numFmtId="0" fontId="59" fillId="0" borderId="0" xfId="0" applyFont="1"/>
    <xf numFmtId="0" fontId="60" fillId="0" borderId="4" xfId="0" applyFont="1" applyBorder="1"/>
    <xf numFmtId="0" fontId="59" fillId="0" borderId="0" xfId="0" applyFont="1" applyAlignment="1">
      <alignment horizontal="left"/>
    </xf>
    <xf numFmtId="0" fontId="61" fillId="0" borderId="4" xfId="0" applyFont="1" applyBorder="1"/>
    <xf numFmtId="0" fontId="43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164" fontId="49" fillId="0" borderId="9" xfId="0" applyNumberFormat="1" applyFont="1" applyBorder="1"/>
    <xf numFmtId="0" fontId="50" fillId="0" borderId="8" xfId="0" applyFont="1" applyBorder="1"/>
    <xf numFmtId="0" fontId="49" fillId="0" borderId="4" xfId="0" applyFont="1" applyBorder="1"/>
    <xf numFmtId="0" fontId="42" fillId="0" borderId="0" xfId="0" applyFont="1"/>
    <xf numFmtId="0" fontId="42" fillId="0" borderId="0" xfId="0" applyFont="1" applyAlignment="1">
      <alignment horizontal="right"/>
    </xf>
    <xf numFmtId="0" fontId="42" fillId="0" borderId="4" xfId="0" applyFont="1" applyBorder="1"/>
    <xf numFmtId="0" fontId="63" fillId="0" borderId="0" xfId="0" applyFont="1" applyAlignment="1">
      <alignment horizontal="right"/>
    </xf>
    <xf numFmtId="0" fontId="41" fillId="0" borderId="0" xfId="0" applyFont="1" applyAlignment="1">
      <alignment horizontal="left"/>
    </xf>
    <xf numFmtId="0" fontId="41" fillId="0" borderId="4" xfId="0" applyFont="1" applyBorder="1"/>
    <xf numFmtId="0" fontId="49" fillId="0" borderId="2" xfId="0" applyFont="1" applyBorder="1" applyAlignment="1">
      <alignment horizontal="right"/>
    </xf>
    <xf numFmtId="0" fontId="42" fillId="0" borderId="2" xfId="0" applyFont="1" applyBorder="1" applyAlignment="1">
      <alignment horizontal="right"/>
    </xf>
    <xf numFmtId="0" fontId="50" fillId="0" borderId="3" xfId="0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" fontId="40" fillId="0" borderId="7" xfId="0" applyNumberFormat="1" applyFont="1" applyBorder="1"/>
    <xf numFmtId="14" fontId="50" fillId="0" borderId="0" xfId="0" applyNumberFormat="1" applyFont="1"/>
    <xf numFmtId="0" fontId="64" fillId="0" borderId="8" xfId="0" applyFont="1" applyBorder="1" applyAlignment="1">
      <alignment horizontal="center"/>
    </xf>
    <xf numFmtId="0" fontId="51" fillId="0" borderId="0" xfId="0" applyFont="1"/>
    <xf numFmtId="0" fontId="0" fillId="0" borderId="8" xfId="0" applyBorder="1"/>
    <xf numFmtId="2" fontId="0" fillId="0" borderId="4" xfId="0" applyNumberFormat="1" applyBorder="1"/>
    <xf numFmtId="2" fontId="0" fillId="0" borderId="8" xfId="0" applyNumberFormat="1" applyBorder="1"/>
    <xf numFmtId="164" fontId="0" fillId="0" borderId="4" xfId="0" applyNumberFormat="1" applyBorder="1"/>
    <xf numFmtId="164" fontId="0" fillId="0" borderId="8" xfId="0" applyNumberFormat="1" applyBorder="1"/>
    <xf numFmtId="0" fontId="0" fillId="0" borderId="10" xfId="0" applyBorder="1"/>
    <xf numFmtId="0" fontId="0" fillId="0" borderId="5" xfId="0" applyBorder="1"/>
    <xf numFmtId="164" fontId="0" fillId="0" borderId="9" xfId="0" applyNumberFormat="1" applyBorder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45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0" fontId="36" fillId="0" borderId="0" xfId="0" applyFont="1"/>
    <xf numFmtId="0" fontId="36" fillId="0" borderId="4" xfId="0" applyFont="1" applyBorder="1"/>
    <xf numFmtId="0" fontId="35" fillId="0" borderId="0" xfId="0" applyFont="1"/>
    <xf numFmtId="0" fontId="35" fillId="0" borderId="0" xfId="0" applyFont="1" applyAlignment="1">
      <alignment horizontal="right"/>
    </xf>
    <xf numFmtId="0" fontId="34" fillId="0" borderId="0" xfId="0" applyFont="1"/>
    <xf numFmtId="0" fontId="33" fillId="0" borderId="0" xfId="0" applyFont="1" applyAlignment="1">
      <alignment horizontal="right"/>
    </xf>
    <xf numFmtId="0" fontId="33" fillId="0" borderId="0" xfId="0" applyFont="1"/>
    <xf numFmtId="0" fontId="33" fillId="0" borderId="4" xfId="0" applyFont="1" applyBorder="1"/>
    <xf numFmtId="0" fontId="32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0" fontId="32" fillId="0" borderId="0" xfId="0" applyFont="1"/>
    <xf numFmtId="0" fontId="31" fillId="0" borderId="0" xfId="0" applyFont="1"/>
    <xf numFmtId="0" fontId="31" fillId="0" borderId="0" xfId="0" applyFont="1" applyAlignment="1">
      <alignment horizontal="right"/>
    </xf>
    <xf numFmtId="1" fontId="31" fillId="0" borderId="7" xfId="0" applyNumberFormat="1" applyFont="1" applyBorder="1"/>
    <xf numFmtId="0" fontId="31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right"/>
    </xf>
    <xf numFmtId="0" fontId="30" fillId="0" borderId="0" xfId="0" applyFont="1" applyAlignment="1">
      <alignment horizontal="left"/>
    </xf>
    <xf numFmtId="0" fontId="30" fillId="0" borderId="4" xfId="0" applyFont="1" applyBorder="1"/>
    <xf numFmtId="0" fontId="0" fillId="0" borderId="18" xfId="0" applyBorder="1"/>
    <xf numFmtId="0" fontId="29" fillId="0" borderId="16" xfId="0" applyFont="1" applyBorder="1"/>
    <xf numFmtId="0" fontId="28" fillId="0" borderId="0" xfId="0" applyFont="1"/>
    <xf numFmtId="0" fontId="49" fillId="0" borderId="1" xfId="0" applyFont="1" applyBorder="1"/>
    <xf numFmtId="0" fontId="28" fillId="0" borderId="0" xfId="0" applyFont="1" applyAlignment="1">
      <alignment horizontal="left"/>
    </xf>
    <xf numFmtId="0" fontId="27" fillId="0" borderId="4" xfId="0" applyFont="1" applyBorder="1"/>
    <xf numFmtId="0" fontId="26" fillId="0" borderId="0" xfId="0" applyFont="1" applyAlignment="1">
      <alignment horizontal="left"/>
    </xf>
    <xf numFmtId="0" fontId="26" fillId="0" borderId="0" xfId="0" applyFont="1"/>
    <xf numFmtId="1" fontId="25" fillId="0" borderId="7" xfId="0" applyNumberFormat="1" applyFont="1" applyBorder="1"/>
    <xf numFmtId="0" fontId="25" fillId="0" borderId="0" xfId="0" applyFont="1"/>
    <xf numFmtId="0" fontId="25" fillId="0" borderId="0" xfId="0" applyFont="1" applyAlignment="1">
      <alignment horizontal="right"/>
    </xf>
    <xf numFmtId="0" fontId="24" fillId="0" borderId="0" xfId="0" applyFont="1"/>
    <xf numFmtId="0" fontId="23" fillId="0" borderId="0" xfId="0" applyFont="1" applyAlignment="1">
      <alignment horizontal="right"/>
    </xf>
    <xf numFmtId="0" fontId="23" fillId="0" borderId="0" xfId="0" applyFont="1"/>
    <xf numFmtId="0" fontId="23" fillId="0" borderId="4" xfId="0" applyFont="1" applyBorder="1"/>
    <xf numFmtId="0" fontId="29" fillId="0" borderId="0" xfId="0" applyFont="1"/>
    <xf numFmtId="0" fontId="22" fillId="0" borderId="0" xfId="0" applyFont="1"/>
    <xf numFmtId="0" fontId="31" fillId="0" borderId="4" xfId="0" applyFont="1" applyBorder="1"/>
    <xf numFmtId="0" fontId="65" fillId="0" borderId="0" xfId="0" applyFont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49" fillId="0" borderId="19" xfId="0" applyNumberFormat="1" applyFont="1" applyBorder="1"/>
    <xf numFmtId="0" fontId="45" fillId="0" borderId="19" xfId="0" applyFont="1" applyBorder="1"/>
    <xf numFmtId="1" fontId="49" fillId="0" borderId="19" xfId="0" applyNumberFormat="1" applyFont="1" applyBorder="1"/>
    <xf numFmtId="1" fontId="31" fillId="0" borderId="8" xfId="0" applyNumberFormat="1" applyFont="1" applyBorder="1"/>
    <xf numFmtId="1" fontId="40" fillId="0" borderId="8" xfId="0" applyNumberFormat="1" applyFont="1" applyBorder="1"/>
    <xf numFmtId="1" fontId="25" fillId="0" borderId="8" xfId="0" applyNumberFormat="1" applyFont="1" applyBorder="1"/>
    <xf numFmtId="1" fontId="50" fillId="0" borderId="8" xfId="0" applyNumberFormat="1" applyFont="1" applyBorder="1"/>
    <xf numFmtId="16" fontId="0" fillId="0" borderId="0" xfId="0" applyNumberFormat="1"/>
    <xf numFmtId="0" fontId="19" fillId="0" borderId="0" xfId="0" applyFont="1" applyAlignment="1">
      <alignment horizontal="left"/>
    </xf>
    <xf numFmtId="164" fontId="49" fillId="0" borderId="8" xfId="0" applyNumberFormat="1" applyFont="1" applyBorder="1" applyAlignment="1">
      <alignment horizontal="center"/>
    </xf>
    <xf numFmtId="0" fontId="18" fillId="0" borderId="0" xfId="0" applyFont="1"/>
    <xf numFmtId="1" fontId="18" fillId="0" borderId="8" xfId="0" applyNumberFormat="1" applyFont="1" applyBorder="1"/>
    <xf numFmtId="0" fontId="17" fillId="0" borderId="0" xfId="0" applyFont="1"/>
    <xf numFmtId="0" fontId="66" fillId="0" borderId="0" xfId="0" applyFont="1"/>
    <xf numFmtId="0" fontId="66" fillId="0" borderId="0" xfId="0" applyFont="1" applyAlignment="1">
      <alignment horizontal="right"/>
    </xf>
    <xf numFmtId="0" fontId="67" fillId="0" borderId="0" xfId="0" applyFont="1" applyAlignment="1">
      <alignment horizontal="right"/>
    </xf>
    <xf numFmtId="0" fontId="67" fillId="0" borderId="4" xfId="0" applyFont="1" applyBorder="1"/>
    <xf numFmtId="0" fontId="67" fillId="0" borderId="0" xfId="0" applyFont="1" applyAlignment="1">
      <alignment horizontal="left"/>
    </xf>
    <xf numFmtId="0" fontId="68" fillId="0" borderId="4" xfId="0" applyFont="1" applyBorder="1"/>
    <xf numFmtId="0" fontId="67" fillId="0" borderId="0" xfId="0" applyFont="1"/>
    <xf numFmtId="0" fontId="35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1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/>
    <xf numFmtId="0" fontId="50" fillId="0" borderId="20" xfId="0" applyFont="1" applyBorder="1"/>
    <xf numFmtId="1" fontId="50" fillId="0" borderId="21" xfId="0" applyNumberFormat="1" applyFont="1" applyBorder="1"/>
    <xf numFmtId="0" fontId="15" fillId="0" borderId="0" xfId="0" applyFont="1"/>
    <xf numFmtId="0" fontId="15" fillId="0" borderId="0" xfId="0" applyFont="1" applyAlignment="1">
      <alignment horizontal="left"/>
    </xf>
    <xf numFmtId="0" fontId="50" fillId="0" borderId="22" xfId="0" applyFont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69" fillId="0" borderId="8" xfId="0" applyFont="1" applyBorder="1"/>
    <xf numFmtId="165" fontId="66" fillId="0" borderId="8" xfId="0" applyNumberFormat="1" applyFont="1" applyBorder="1"/>
    <xf numFmtId="164" fontId="66" fillId="0" borderId="8" xfId="0" applyNumberFormat="1" applyFont="1" applyBorder="1"/>
    <xf numFmtId="1" fontId="66" fillId="0" borderId="8" xfId="0" applyNumberFormat="1" applyFont="1" applyBorder="1"/>
    <xf numFmtId="2" fontId="66" fillId="0" borderId="8" xfId="0" applyNumberFormat="1" applyFont="1" applyBorder="1"/>
    <xf numFmtId="1" fontId="66" fillId="0" borderId="9" xfId="0" applyNumberFormat="1" applyFont="1" applyBorder="1"/>
    <xf numFmtId="0" fontId="1" fillId="0" borderId="0" xfId="0" applyFont="1"/>
    <xf numFmtId="0" fontId="70" fillId="0" borderId="0" xfId="0" applyFont="1" applyAlignment="1">
      <alignment horizontal="left"/>
    </xf>
    <xf numFmtId="0" fontId="70" fillId="0" borderId="17" xfId="0" applyFont="1" applyBorder="1"/>
    <xf numFmtId="0" fontId="70" fillId="0" borderId="12" xfId="0" applyFont="1" applyBorder="1" applyAlignment="1">
      <alignment horizontal="left"/>
    </xf>
    <xf numFmtId="0" fontId="71" fillId="0" borderId="6" xfId="0" applyFont="1" applyBorder="1" applyAlignment="1">
      <alignment horizontal="left" wrapText="1"/>
    </xf>
    <xf numFmtId="0" fontId="70" fillId="0" borderId="6" xfId="0" applyFont="1" applyBorder="1" applyAlignment="1">
      <alignment horizontal="left"/>
    </xf>
    <xf numFmtId="15" fontId="70" fillId="0" borderId="6" xfId="0" applyNumberFormat="1" applyFont="1" applyBorder="1" applyAlignment="1">
      <alignment horizontal="left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center"/>
    </xf>
    <xf numFmtId="0" fontId="70" fillId="0" borderId="0" xfId="0" applyFont="1"/>
    <xf numFmtId="0" fontId="70" fillId="0" borderId="6" xfId="0" applyFont="1" applyBorder="1"/>
    <xf numFmtId="15" fontId="70" fillId="0" borderId="0" xfId="0" applyNumberFormat="1" applyFont="1" applyAlignment="1">
      <alignment horizontal="left"/>
    </xf>
    <xf numFmtId="164" fontId="49" fillId="0" borderId="9" xfId="0" applyNumberFormat="1" applyFont="1" applyBorder="1" applyAlignment="1">
      <alignment horizontal="center"/>
    </xf>
    <xf numFmtId="0" fontId="58" fillId="0" borderId="0" xfId="0" applyFont="1"/>
  </cellXfs>
  <cellStyles count="3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1338085</xdr:colOff>
      <xdr:row>1</xdr:row>
      <xdr:rowOff>18110</xdr:rowOff>
    </xdr:from>
    <xdr:to>
      <xdr:col>3</xdr:col>
      <xdr:colOff>295845</xdr:colOff>
      <xdr:row>1</xdr:row>
      <xdr:rowOff>792810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410" y="216032"/>
          <a:ext cx="2959496" cy="774700"/>
        </a:xfrm>
        <a:prstGeom prst="rect">
          <a:avLst/>
        </a:prstGeom>
      </xdr:spPr>
    </xdr:pic>
    <xdr:clientData/>
  </xdr:twoCellAnchor>
  <xdr:twoCellAnchor editAs="oneCell">
    <xdr:from>
      <xdr:col>5</xdr:col>
      <xdr:colOff>654242</xdr:colOff>
      <xdr:row>1</xdr:row>
      <xdr:rowOff>16494</xdr:rowOff>
    </xdr:from>
    <xdr:to>
      <xdr:col>5</xdr:col>
      <xdr:colOff>1829172</xdr:colOff>
      <xdr:row>1</xdr:row>
      <xdr:rowOff>788019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3B4AB3-F6C0-4884-8890-F74B6334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8528" y="214416"/>
          <a:ext cx="1174930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5"/>
  <sheetViews>
    <sheetView zoomScale="80" zoomScaleNormal="80" zoomScalePageLayoutView="125" workbookViewId="0">
      <selection sqref="A1:XFD1048576"/>
    </sheetView>
  </sheetViews>
  <sheetFormatPr defaultColWidth="11" defaultRowHeight="15.6"/>
  <cols>
    <col min="1" max="1" width="5.8984375" customWidth="1"/>
    <col min="2" max="2" width="19.8984375" customWidth="1"/>
    <col min="3" max="3" width="32.69921875" customWidth="1"/>
    <col min="4" max="4" width="8.3984375" customWidth="1"/>
    <col min="5" max="5" width="6.8984375" customWidth="1"/>
    <col min="6" max="6" width="31.69921875" customWidth="1"/>
    <col min="7" max="7" width="9.3984375" customWidth="1"/>
    <col min="8" max="8" width="11" customWidth="1"/>
  </cols>
  <sheetData>
    <row r="1" spans="2:16">
      <c r="F1" s="26"/>
    </row>
    <row r="2" spans="2:16" ht="65.099999999999994" customHeight="1"/>
    <row r="3" spans="2:16">
      <c r="C3" s="23" t="s">
        <v>66</v>
      </c>
      <c r="F3" s="127" t="s">
        <v>165</v>
      </c>
    </row>
    <row r="4" spans="2:16">
      <c r="C4" s="24" t="s">
        <v>67</v>
      </c>
      <c r="F4" s="56"/>
      <c r="P4" s="56"/>
    </row>
    <row r="5" spans="2:16">
      <c r="C5" s="24" t="s">
        <v>68</v>
      </c>
      <c r="P5" s="56"/>
    </row>
    <row r="6" spans="2:16">
      <c r="C6" s="24" t="s">
        <v>287</v>
      </c>
    </row>
    <row r="7" spans="2:16">
      <c r="C7" s="25"/>
      <c r="F7" s="56"/>
    </row>
    <row r="8" spans="2:16">
      <c r="C8" s="25"/>
      <c r="E8" s="26" t="s">
        <v>134</v>
      </c>
      <c r="F8" s="186" t="s">
        <v>497</v>
      </c>
    </row>
    <row r="9" spans="2:16">
      <c r="C9" s="25"/>
      <c r="E9" s="26"/>
    </row>
    <row r="10" spans="2:16">
      <c r="C10" s="25"/>
      <c r="E10" s="26" t="s">
        <v>70</v>
      </c>
      <c r="F10" s="196">
        <v>45976</v>
      </c>
    </row>
    <row r="11" spans="2:16">
      <c r="C11" s="25"/>
      <c r="E11" s="26" t="s">
        <v>71</v>
      </c>
      <c r="F11" s="41">
        <v>20</v>
      </c>
    </row>
    <row r="12" spans="2:16">
      <c r="B12" s="22"/>
    </row>
    <row r="13" spans="2:16" ht="21.9" customHeight="1">
      <c r="C13" s="17" t="s">
        <v>63</v>
      </c>
    </row>
    <row r="14" spans="2:16" s="1" customFormat="1" ht="24.9" customHeight="1">
      <c r="B14" s="1" t="s">
        <v>69</v>
      </c>
    </row>
    <row r="15" spans="2:16" ht="18" customHeight="1"/>
    <row r="16" spans="2:16" ht="15.75" customHeight="1">
      <c r="B16" s="35" t="s">
        <v>118</v>
      </c>
      <c r="C16" s="187" t="s">
        <v>418</v>
      </c>
    </row>
    <row r="17" spans="2:12" ht="18" customHeight="1">
      <c r="B17" s="34" t="s">
        <v>119</v>
      </c>
      <c r="C17" s="194" t="s">
        <v>499</v>
      </c>
    </row>
    <row r="18" spans="2:12" ht="18" customHeight="1">
      <c r="B18" s="34"/>
      <c r="C18" s="194" t="s">
        <v>500</v>
      </c>
    </row>
    <row r="19" spans="2:12" ht="18" customHeight="1">
      <c r="B19" s="34"/>
      <c r="C19" s="194" t="s">
        <v>501</v>
      </c>
    </row>
    <row r="20" spans="2:12" ht="18" customHeight="1">
      <c r="B20" s="34"/>
      <c r="C20" s="186" t="s">
        <v>502</v>
      </c>
    </row>
    <row r="21" spans="2:12" ht="18" customHeight="1">
      <c r="B21" s="35"/>
      <c r="C21" s="36"/>
    </row>
    <row r="22" spans="2:12" ht="23.7" customHeight="1">
      <c r="B22" s="35" t="s">
        <v>169</v>
      </c>
      <c r="C22" s="188" t="s">
        <v>344</v>
      </c>
    </row>
    <row r="23" spans="2:12" ht="33.450000000000003" customHeight="1">
      <c r="B23" s="43" t="s">
        <v>125</v>
      </c>
      <c r="C23" s="189" t="s">
        <v>498</v>
      </c>
    </row>
    <row r="24" spans="2:12" ht="24.9" customHeight="1">
      <c r="B24" s="43" t="s">
        <v>137</v>
      </c>
      <c r="C24" s="190">
        <v>26</v>
      </c>
    </row>
    <row r="25" spans="2:12" ht="24.9" customHeight="1">
      <c r="B25" s="43" t="s">
        <v>166</v>
      </c>
      <c r="C25" s="191">
        <v>45960</v>
      </c>
    </row>
    <row r="26" spans="2:12" ht="24.9" customHeight="1">
      <c r="B26" s="43" t="s">
        <v>2</v>
      </c>
      <c r="C26" s="44" t="s">
        <v>188</v>
      </c>
    </row>
    <row r="27" spans="2:12" ht="24.9" customHeight="1">
      <c r="B27" s="43" t="s">
        <v>3</v>
      </c>
      <c r="C27" s="195">
        <v>50</v>
      </c>
      <c r="D27" t="s">
        <v>106</v>
      </c>
      <c r="I27" t="s">
        <v>107</v>
      </c>
      <c r="K27">
        <f>PI()*(C27/200)^2</f>
        <v>0.19634954084936207</v>
      </c>
      <c r="L27" t="s">
        <v>108</v>
      </c>
    </row>
    <row r="28" spans="2:12" ht="24.9" customHeight="1">
      <c r="B28" s="43" t="s">
        <v>135</v>
      </c>
      <c r="C28" s="195">
        <v>69</v>
      </c>
      <c r="D28" t="s">
        <v>56</v>
      </c>
    </row>
    <row r="29" spans="2:12" ht="24.9" customHeight="1">
      <c r="B29" s="43" t="s">
        <v>136</v>
      </c>
      <c r="C29" s="195" t="s">
        <v>347</v>
      </c>
    </row>
    <row r="30" spans="2:12" ht="24.9" customHeight="1">
      <c r="B30" s="43" t="s">
        <v>120</v>
      </c>
      <c r="C30" s="44" t="s">
        <v>121</v>
      </c>
    </row>
    <row r="31" spans="2:12" ht="24.9" customHeight="1">
      <c r="B31" s="43" t="s">
        <v>122</v>
      </c>
      <c r="C31" s="45" t="s">
        <v>345</v>
      </c>
    </row>
    <row r="32" spans="2:12">
      <c r="B32" s="34" t="s">
        <v>123</v>
      </c>
      <c r="C32" s="109" t="s">
        <v>346</v>
      </c>
    </row>
    <row r="33" spans="2:6">
      <c r="C33" s="110"/>
    </row>
    <row r="34" spans="2:6">
      <c r="C34" s="124"/>
    </row>
    <row r="36" spans="2:6">
      <c r="B36" s="4" t="s">
        <v>291</v>
      </c>
    </row>
    <row r="37" spans="2:6">
      <c r="B37" s="4"/>
    </row>
    <row r="38" spans="2:6">
      <c r="B38" t="s">
        <v>65</v>
      </c>
      <c r="F38" s="27"/>
    </row>
    <row r="42" spans="2:6">
      <c r="B42" t="s">
        <v>64</v>
      </c>
    </row>
    <row r="43" spans="2:6">
      <c r="B43" s="37" t="s">
        <v>185</v>
      </c>
      <c r="C43" s="37"/>
    </row>
    <row r="44" spans="2:6">
      <c r="B44" s="37" t="s">
        <v>124</v>
      </c>
      <c r="C44" s="37"/>
    </row>
    <row r="45" spans="2:6">
      <c r="B45" s="198" t="s">
        <v>186</v>
      </c>
      <c r="C45" s="198"/>
    </row>
  </sheetData>
  <mergeCells count="1">
    <mergeCell ref="B45:C45"/>
  </mergeCells>
  <phoneticPr fontId="48" type="noConversion"/>
  <pageMargins left="0.56999999999999995" right="0.3" top="0.71" bottom="0.88" header="0.37" footer="0.51181102362204722"/>
  <pageSetup paperSize="9" scale="80" orientation="portrait" r:id="rId1"/>
  <headerFooter>
    <oddHeader>&amp;RPage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zoomScale="90" zoomScaleNormal="90" workbookViewId="0">
      <selection sqref="A1:XFD1048576"/>
    </sheetView>
  </sheetViews>
  <sheetFormatPr defaultColWidth="11" defaultRowHeight="15.6"/>
  <cols>
    <col min="1" max="1" width="4.8984375" customWidth="1"/>
    <col min="2" max="2" width="13.09765625" bestFit="1" customWidth="1"/>
    <col min="3" max="3" width="26.5" style="39" bestFit="1" customWidth="1"/>
    <col min="4" max="4" width="14.59765625" style="39" bestFit="1" customWidth="1"/>
    <col min="5" max="5" width="11.59765625" style="39" bestFit="1" customWidth="1"/>
    <col min="6" max="6" width="14.5" bestFit="1" customWidth="1"/>
  </cols>
  <sheetData>
    <row r="1" spans="1:7" ht="18">
      <c r="A1" s="17" t="s">
        <v>55</v>
      </c>
      <c r="F1" s="63"/>
    </row>
    <row r="3" spans="1:7" ht="17.25" customHeight="1">
      <c r="B3" s="40" t="s">
        <v>127</v>
      </c>
      <c r="C3" s="192" t="s">
        <v>418</v>
      </c>
      <c r="D3"/>
    </row>
    <row r="4" spans="1:7" ht="15" customHeight="1">
      <c r="B4" s="40" t="s">
        <v>128</v>
      </c>
      <c r="C4" s="192" t="s">
        <v>418</v>
      </c>
      <c r="D4"/>
    </row>
    <row r="5" spans="1:7">
      <c r="B5" s="40" t="s">
        <v>129</v>
      </c>
      <c r="C5" s="193" t="s">
        <v>339</v>
      </c>
    </row>
    <row r="6" spans="1:7" ht="16.2" thickBot="1"/>
    <row r="7" spans="1:7" ht="16.2" thickBot="1">
      <c r="A7" s="2"/>
      <c r="B7" s="42" t="s">
        <v>130</v>
      </c>
      <c r="C7" s="42" t="s">
        <v>131</v>
      </c>
      <c r="D7" s="42" t="s">
        <v>248</v>
      </c>
      <c r="E7" s="42" t="s">
        <v>132</v>
      </c>
      <c r="F7" s="42" t="s">
        <v>133</v>
      </c>
    </row>
    <row r="8" spans="1:7">
      <c r="A8">
        <v>1</v>
      </c>
      <c r="B8" s="157">
        <v>45960</v>
      </c>
      <c r="C8" s="156" t="s">
        <v>419</v>
      </c>
      <c r="D8" s="157">
        <v>45973</v>
      </c>
      <c r="E8" s="156" t="s">
        <v>445</v>
      </c>
      <c r="F8" s="156" t="s">
        <v>471</v>
      </c>
    </row>
    <row r="9" spans="1:7">
      <c r="A9">
        <v>2</v>
      </c>
      <c r="B9" s="157">
        <v>45960</v>
      </c>
      <c r="C9" s="156" t="s">
        <v>420</v>
      </c>
      <c r="D9" s="157">
        <v>45973</v>
      </c>
      <c r="E9" s="156" t="s">
        <v>446</v>
      </c>
      <c r="F9" s="156" t="s">
        <v>472</v>
      </c>
    </row>
    <row r="10" spans="1:7">
      <c r="A10">
        <v>3</v>
      </c>
      <c r="B10" s="157">
        <v>45960</v>
      </c>
      <c r="C10" s="156" t="s">
        <v>421</v>
      </c>
      <c r="D10" s="157">
        <v>45973</v>
      </c>
      <c r="E10" s="156" t="s">
        <v>447</v>
      </c>
      <c r="F10" s="156" t="s">
        <v>473</v>
      </c>
      <c r="G10" s="139"/>
    </row>
    <row r="11" spans="1:7">
      <c r="A11">
        <v>4</v>
      </c>
      <c r="B11" s="157">
        <v>45960</v>
      </c>
      <c r="C11" s="156" t="s">
        <v>422</v>
      </c>
      <c r="D11" s="157">
        <v>45973</v>
      </c>
      <c r="E11" s="156" t="s">
        <v>448</v>
      </c>
      <c r="F11" s="156" t="s">
        <v>474</v>
      </c>
    </row>
    <row r="12" spans="1:7">
      <c r="A12">
        <v>5</v>
      </c>
      <c r="B12" s="157">
        <v>45960</v>
      </c>
      <c r="C12" s="156" t="s">
        <v>423</v>
      </c>
      <c r="D12" s="157">
        <v>45973</v>
      </c>
      <c r="E12" s="156" t="s">
        <v>449</v>
      </c>
      <c r="F12" s="156" t="s">
        <v>475</v>
      </c>
    </row>
    <row r="13" spans="1:7">
      <c r="A13">
        <v>6</v>
      </c>
      <c r="B13" s="157">
        <v>45960</v>
      </c>
      <c r="C13" s="156" t="s">
        <v>424</v>
      </c>
      <c r="D13" s="157">
        <v>45973</v>
      </c>
      <c r="E13" s="156" t="s">
        <v>450</v>
      </c>
      <c r="F13" s="156" t="s">
        <v>476</v>
      </c>
    </row>
    <row r="14" spans="1:7">
      <c r="A14">
        <v>7</v>
      </c>
      <c r="B14" s="157">
        <v>45960</v>
      </c>
      <c r="C14" s="156" t="s">
        <v>425</v>
      </c>
      <c r="D14" s="157">
        <v>45973</v>
      </c>
      <c r="E14" s="156" t="s">
        <v>451</v>
      </c>
      <c r="F14" s="156" t="s">
        <v>477</v>
      </c>
    </row>
    <row r="15" spans="1:7">
      <c r="A15">
        <v>8</v>
      </c>
      <c r="B15" s="157">
        <v>45960</v>
      </c>
      <c r="C15" s="156" t="s">
        <v>426</v>
      </c>
      <c r="D15" s="157">
        <v>45973</v>
      </c>
      <c r="E15" s="156" t="s">
        <v>452</v>
      </c>
      <c r="F15" s="156" t="s">
        <v>478</v>
      </c>
    </row>
    <row r="16" spans="1:7">
      <c r="A16">
        <v>9</v>
      </c>
      <c r="B16" s="157">
        <v>45960</v>
      </c>
      <c r="C16" s="156" t="s">
        <v>427</v>
      </c>
      <c r="D16" s="157">
        <v>45973</v>
      </c>
      <c r="E16" s="156" t="s">
        <v>453</v>
      </c>
      <c r="F16" s="156" t="s">
        <v>479</v>
      </c>
    </row>
    <row r="17" spans="1:6">
      <c r="A17">
        <v>10</v>
      </c>
      <c r="B17" s="157">
        <v>45960</v>
      </c>
      <c r="C17" s="156" t="s">
        <v>428</v>
      </c>
      <c r="D17" s="157">
        <v>45973</v>
      </c>
      <c r="E17" s="156" t="s">
        <v>454</v>
      </c>
      <c r="F17" s="156" t="s">
        <v>480</v>
      </c>
    </row>
    <row r="18" spans="1:6">
      <c r="A18">
        <v>11</v>
      </c>
      <c r="B18" s="157">
        <v>45960</v>
      </c>
      <c r="C18" s="156" t="s">
        <v>429</v>
      </c>
      <c r="D18" s="157">
        <v>45973</v>
      </c>
      <c r="E18" s="156" t="s">
        <v>455</v>
      </c>
      <c r="F18" s="156" t="s">
        <v>481</v>
      </c>
    </row>
    <row r="19" spans="1:6">
      <c r="A19">
        <v>12</v>
      </c>
      <c r="B19" s="157">
        <v>45960</v>
      </c>
      <c r="C19" s="156" t="s">
        <v>430</v>
      </c>
      <c r="D19" s="157">
        <v>45973</v>
      </c>
      <c r="E19" s="156" t="s">
        <v>456</v>
      </c>
      <c r="F19" s="156" t="s">
        <v>482</v>
      </c>
    </row>
    <row r="20" spans="1:6">
      <c r="A20">
        <v>13</v>
      </c>
      <c r="B20" s="157">
        <v>45960</v>
      </c>
      <c r="C20" s="156" t="s">
        <v>431</v>
      </c>
      <c r="D20" s="157">
        <v>45974</v>
      </c>
      <c r="E20" s="156" t="s">
        <v>457</v>
      </c>
      <c r="F20" s="156" t="s">
        <v>483</v>
      </c>
    </row>
    <row r="21" spans="1:6">
      <c r="A21">
        <v>14</v>
      </c>
      <c r="B21" s="157">
        <v>45960</v>
      </c>
      <c r="C21" s="156" t="s">
        <v>432</v>
      </c>
      <c r="D21" s="157">
        <v>45974</v>
      </c>
      <c r="E21" s="156" t="s">
        <v>458</v>
      </c>
      <c r="F21" s="156" t="s">
        <v>484</v>
      </c>
    </row>
    <row r="22" spans="1:6">
      <c r="A22">
        <v>15</v>
      </c>
      <c r="B22" s="157">
        <v>45960</v>
      </c>
      <c r="C22" s="156" t="s">
        <v>433</v>
      </c>
      <c r="D22" s="157">
        <v>45974</v>
      </c>
      <c r="E22" s="156" t="s">
        <v>459</v>
      </c>
      <c r="F22" s="156" t="s">
        <v>485</v>
      </c>
    </row>
    <row r="23" spans="1:6">
      <c r="A23">
        <v>16</v>
      </c>
      <c r="B23" s="157">
        <v>45960</v>
      </c>
      <c r="C23" s="156" t="s">
        <v>434</v>
      </c>
      <c r="D23" s="157">
        <v>45974</v>
      </c>
      <c r="E23" s="156" t="s">
        <v>460</v>
      </c>
      <c r="F23" s="156" t="s">
        <v>486</v>
      </c>
    </row>
    <row r="24" spans="1:6">
      <c r="A24">
        <v>17</v>
      </c>
      <c r="B24" s="157">
        <v>45960</v>
      </c>
      <c r="C24" s="156" t="s">
        <v>435</v>
      </c>
      <c r="D24" s="157">
        <v>45974</v>
      </c>
      <c r="E24" s="156" t="s">
        <v>461</v>
      </c>
      <c r="F24" s="156" t="s">
        <v>487</v>
      </c>
    </row>
    <row r="25" spans="1:6">
      <c r="A25">
        <v>18</v>
      </c>
      <c r="B25" s="157">
        <v>45960</v>
      </c>
      <c r="C25" s="156" t="s">
        <v>436</v>
      </c>
      <c r="D25" s="157">
        <v>45976</v>
      </c>
      <c r="E25" s="156" t="s">
        <v>462</v>
      </c>
      <c r="F25" s="156" t="s">
        <v>488</v>
      </c>
    </row>
    <row r="26" spans="1:6">
      <c r="A26">
        <v>19</v>
      </c>
      <c r="B26" s="157">
        <v>45960</v>
      </c>
      <c r="C26" s="156" t="s">
        <v>437</v>
      </c>
      <c r="D26" s="157">
        <v>45976</v>
      </c>
      <c r="E26" s="156" t="s">
        <v>463</v>
      </c>
      <c r="F26" s="156" t="s">
        <v>489</v>
      </c>
    </row>
    <row r="27" spans="1:6">
      <c r="A27">
        <v>20</v>
      </c>
      <c r="B27" s="157">
        <v>45960</v>
      </c>
      <c r="C27" s="156" t="s">
        <v>438</v>
      </c>
      <c r="D27" s="157">
        <v>45976</v>
      </c>
      <c r="E27" s="156" t="s">
        <v>464</v>
      </c>
      <c r="F27" s="156" t="s">
        <v>490</v>
      </c>
    </row>
    <row r="28" spans="1:6">
      <c r="A28">
        <v>21</v>
      </c>
      <c r="B28" s="157">
        <v>45960</v>
      </c>
      <c r="C28" s="156" t="s">
        <v>439</v>
      </c>
      <c r="D28" s="157">
        <v>45976</v>
      </c>
      <c r="E28" s="156" t="s">
        <v>465</v>
      </c>
      <c r="F28" s="156" t="s">
        <v>491</v>
      </c>
    </row>
    <row r="29" spans="1:6">
      <c r="A29">
        <v>22</v>
      </c>
      <c r="B29" s="157">
        <v>45960</v>
      </c>
      <c r="C29" s="156" t="s">
        <v>440</v>
      </c>
      <c r="D29" s="157">
        <v>45976</v>
      </c>
      <c r="E29" s="156" t="s">
        <v>466</v>
      </c>
      <c r="F29" s="156" t="s">
        <v>492</v>
      </c>
    </row>
    <row r="30" spans="1:6">
      <c r="A30">
        <v>23</v>
      </c>
      <c r="B30" s="157">
        <v>45960</v>
      </c>
      <c r="C30" s="156" t="s">
        <v>441</v>
      </c>
      <c r="D30" s="157">
        <v>45976</v>
      </c>
      <c r="E30" s="156" t="s">
        <v>467</v>
      </c>
      <c r="F30" s="156" t="s">
        <v>493</v>
      </c>
    </row>
    <row r="31" spans="1:6">
      <c r="A31">
        <v>24</v>
      </c>
      <c r="B31" s="157">
        <v>45960</v>
      </c>
      <c r="C31" s="156" t="s">
        <v>442</v>
      </c>
      <c r="D31" s="157">
        <v>45976</v>
      </c>
      <c r="E31" s="156" t="s">
        <v>468</v>
      </c>
      <c r="F31" s="156" t="s">
        <v>494</v>
      </c>
    </row>
    <row r="32" spans="1:6">
      <c r="A32">
        <v>25</v>
      </c>
      <c r="B32" s="157">
        <v>45960</v>
      </c>
      <c r="C32" s="156" t="s">
        <v>443</v>
      </c>
      <c r="D32" s="157">
        <v>45976</v>
      </c>
      <c r="E32" s="156" t="s">
        <v>469</v>
      </c>
      <c r="F32" s="156" t="s">
        <v>495</v>
      </c>
    </row>
    <row r="33" spans="1:6">
      <c r="A33">
        <v>26</v>
      </c>
      <c r="B33" s="157">
        <v>45960</v>
      </c>
      <c r="C33" s="156" t="s">
        <v>444</v>
      </c>
      <c r="D33" s="157">
        <v>45976</v>
      </c>
      <c r="E33" s="156" t="s">
        <v>470</v>
      </c>
      <c r="F33" s="156" t="s">
        <v>496</v>
      </c>
    </row>
    <row r="34" spans="1:6">
      <c r="B34" s="157"/>
      <c r="C34" s="156"/>
      <c r="D34" s="156"/>
      <c r="E34" s="156"/>
      <c r="F34" s="156"/>
    </row>
    <row r="35" spans="1:6">
      <c r="B35" s="157"/>
      <c r="C35" s="156"/>
      <c r="D35" s="156"/>
      <c r="E35" s="156"/>
      <c r="F35" s="156"/>
    </row>
    <row r="36" spans="1:6">
      <c r="B36" s="157"/>
      <c r="C36" s="156"/>
      <c r="D36" s="156"/>
      <c r="E36" s="156"/>
      <c r="F36" s="156"/>
    </row>
    <row r="37" spans="1:6">
      <c r="B37" s="157"/>
      <c r="C37" s="156"/>
      <c r="D37" s="156"/>
      <c r="E37" s="156"/>
      <c r="F37" s="156"/>
    </row>
    <row r="38" spans="1:6">
      <c r="B38" s="157"/>
      <c r="C38" s="156"/>
      <c r="D38" s="156"/>
      <c r="E38" s="156"/>
      <c r="F38" s="156"/>
    </row>
    <row r="39" spans="1:6">
      <c r="B39" s="157"/>
      <c r="C39" s="156"/>
      <c r="D39" s="156"/>
      <c r="E39" s="156"/>
      <c r="F39" s="156"/>
    </row>
    <row r="40" spans="1:6">
      <c r="B40" s="157"/>
      <c r="C40" s="156"/>
      <c r="D40" s="156"/>
      <c r="E40" s="156"/>
      <c r="F40" s="156"/>
    </row>
    <row r="41" spans="1:6">
      <c r="B41" s="157"/>
      <c r="C41" s="156"/>
      <c r="D41" s="156"/>
      <c r="E41" s="156"/>
      <c r="F41" s="156"/>
    </row>
    <row r="42" spans="1:6">
      <c r="B42" s="157"/>
      <c r="C42" s="156"/>
      <c r="D42" s="156"/>
      <c r="E42" s="156"/>
      <c r="F42" s="156"/>
    </row>
    <row r="43" spans="1:6">
      <c r="B43" s="157"/>
      <c r="C43" s="156"/>
      <c r="D43" s="156"/>
      <c r="E43" s="156"/>
      <c r="F43" s="156"/>
    </row>
    <row r="44" spans="1:6">
      <c r="B44" s="157"/>
      <c r="C44" s="156"/>
      <c r="D44" s="156"/>
      <c r="E44" s="156"/>
      <c r="F44" s="156"/>
    </row>
    <row r="45" spans="1:6">
      <c r="B45" s="157"/>
      <c r="C45" s="156"/>
      <c r="D45" s="156"/>
      <c r="E45" s="156"/>
      <c r="F45" s="156"/>
    </row>
    <row r="46" spans="1:6">
      <c r="B46" s="157"/>
      <c r="C46" s="156"/>
      <c r="D46" s="156"/>
      <c r="E46" s="156"/>
      <c r="F46" s="156"/>
    </row>
    <row r="47" spans="1:6">
      <c r="B47" s="157"/>
      <c r="C47" s="156"/>
      <c r="D47" s="156"/>
      <c r="E47" s="156"/>
      <c r="F47" s="156"/>
    </row>
    <row r="48" spans="1:6">
      <c r="B48" s="157"/>
      <c r="C48" s="156"/>
      <c r="D48" s="156"/>
      <c r="E48" s="156"/>
      <c r="F48" s="156"/>
    </row>
    <row r="49" spans="2:6">
      <c r="B49" s="157"/>
      <c r="C49" s="156"/>
      <c r="D49" s="156"/>
      <c r="E49" s="156"/>
      <c r="F49" s="156"/>
    </row>
    <row r="50" spans="2:6">
      <c r="B50" s="157"/>
      <c r="C50" s="156"/>
      <c r="D50" s="156"/>
      <c r="E50" s="156"/>
      <c r="F50" s="156"/>
    </row>
    <row r="51" spans="2:6">
      <c r="B51" s="157"/>
      <c r="C51" s="156"/>
      <c r="D51" s="156"/>
      <c r="E51" s="156"/>
      <c r="F51" s="156"/>
    </row>
    <row r="52" spans="2:6">
      <c r="B52" s="157"/>
      <c r="C52" s="156"/>
      <c r="D52" s="156"/>
      <c r="E52" s="156"/>
      <c r="F52" s="156"/>
    </row>
    <row r="53" spans="2:6">
      <c r="B53" s="157"/>
      <c r="C53" s="156"/>
      <c r="D53" s="156"/>
      <c r="E53" s="156"/>
      <c r="F53" s="156"/>
    </row>
    <row r="54" spans="2:6">
      <c r="B54" s="157"/>
      <c r="C54" s="156"/>
      <c r="D54" s="156"/>
      <c r="E54" s="156"/>
      <c r="F54" s="156"/>
    </row>
    <row r="55" spans="2:6">
      <c r="B55" s="157"/>
      <c r="C55" s="156"/>
      <c r="D55" s="156"/>
      <c r="E55" s="156"/>
      <c r="F55" s="156"/>
    </row>
    <row r="56" spans="2:6">
      <c r="B56" s="157"/>
      <c r="C56" s="156"/>
      <c r="D56" s="156"/>
      <c r="E56" s="156"/>
      <c r="F56" s="156"/>
    </row>
    <row r="57" spans="2:6">
      <c r="B57" s="157"/>
      <c r="C57" s="156"/>
      <c r="D57" s="156"/>
      <c r="E57" s="156"/>
      <c r="F57" s="156"/>
    </row>
  </sheetData>
  <sortState xmlns:xlrd2="http://schemas.microsoft.com/office/spreadsheetml/2017/richdata2" ref="F12:F15">
    <sortCondition ref="F12:F15"/>
  </sortState>
  <phoneticPr fontId="48" type="noConversion"/>
  <pageMargins left="0.56999999999999995" right="0.3" top="0.65" bottom="0.92" header="0.37" footer="0.51181102362204722"/>
  <pageSetup paperSize="9" scale="9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306"/>
  <sheetViews>
    <sheetView tabSelected="1" topLeftCell="I218" zoomScale="70" zoomScaleNormal="70" zoomScalePageLayoutView="125" workbookViewId="0">
      <selection activeCell="Q20" sqref="Q20"/>
    </sheetView>
  </sheetViews>
  <sheetFormatPr defaultColWidth="10.8984375" defaultRowHeight="15.6"/>
  <cols>
    <col min="1" max="1" width="8.59765625" style="1" customWidth="1"/>
    <col min="2" max="3" width="2.5" style="1" customWidth="1"/>
    <col min="4" max="5" width="2.5" customWidth="1"/>
    <col min="6" max="6" width="18.59765625" customWidth="1"/>
    <col min="7" max="33" width="10.69921875" customWidth="1"/>
  </cols>
  <sheetData>
    <row r="1" spans="1:32" ht="24.9" customHeight="1">
      <c r="A1" s="17" t="s">
        <v>55</v>
      </c>
      <c r="B1" s="17"/>
      <c r="C1" s="17"/>
    </row>
    <row r="2" spans="1:32" s="1" customFormat="1">
      <c r="A2" s="4" t="s">
        <v>9</v>
      </c>
      <c r="B2" s="4"/>
      <c r="C2" s="4"/>
      <c r="D2" s="4"/>
      <c r="E2" s="4"/>
      <c r="F2" s="4"/>
      <c r="G2" s="4"/>
      <c r="H2" s="4"/>
      <c r="I2" s="4"/>
    </row>
    <row r="3" spans="1:32" s="1" customFormat="1">
      <c r="A3" s="4"/>
      <c r="B3" s="4"/>
      <c r="C3" s="4"/>
      <c r="D3" s="4"/>
      <c r="E3" s="4"/>
      <c r="F3" s="16" t="s">
        <v>126</v>
      </c>
      <c r="G3" s="156" t="s">
        <v>445</v>
      </c>
      <c r="H3" s="156" t="s">
        <v>446</v>
      </c>
      <c r="I3" s="156" t="s">
        <v>447</v>
      </c>
      <c r="J3" s="156" t="s">
        <v>448</v>
      </c>
      <c r="K3" s="156" t="s">
        <v>449</v>
      </c>
      <c r="L3" s="156" t="s">
        <v>450</v>
      </c>
      <c r="M3" s="156" t="s">
        <v>451</v>
      </c>
      <c r="N3" s="156" t="s">
        <v>452</v>
      </c>
      <c r="O3" s="156" t="s">
        <v>453</v>
      </c>
      <c r="P3" s="156" t="s">
        <v>454</v>
      </c>
      <c r="Q3" s="156" t="s">
        <v>455</v>
      </c>
      <c r="R3" s="156" t="s">
        <v>456</v>
      </c>
      <c r="S3" s="156" t="s">
        <v>457</v>
      </c>
      <c r="T3" s="156" t="s">
        <v>458</v>
      </c>
      <c r="U3" s="156" t="s">
        <v>459</v>
      </c>
      <c r="V3" s="156" t="s">
        <v>460</v>
      </c>
      <c r="W3" s="156" t="s">
        <v>461</v>
      </c>
      <c r="X3" s="156" t="s">
        <v>462</v>
      </c>
      <c r="Y3" s="156" t="s">
        <v>463</v>
      </c>
      <c r="Z3" s="156" t="s">
        <v>464</v>
      </c>
      <c r="AA3" s="156" t="s">
        <v>465</v>
      </c>
      <c r="AB3" s="156" t="s">
        <v>466</v>
      </c>
      <c r="AC3" s="156" t="s">
        <v>467</v>
      </c>
      <c r="AD3" s="156" t="s">
        <v>468</v>
      </c>
      <c r="AE3" s="156" t="s">
        <v>469</v>
      </c>
      <c r="AF3" s="156" t="s">
        <v>470</v>
      </c>
    </row>
    <row r="4" spans="1:32" s="1" customFormat="1" ht="16.5" customHeight="1">
      <c r="A4" s="4"/>
      <c r="B4" s="4"/>
      <c r="C4" s="4"/>
      <c r="D4" s="4"/>
      <c r="E4" s="4"/>
      <c r="F4" s="6" t="s">
        <v>125</v>
      </c>
      <c r="G4" s="88" t="s">
        <v>419</v>
      </c>
      <c r="H4" s="88" t="s">
        <v>420</v>
      </c>
      <c r="I4" s="88" t="s">
        <v>421</v>
      </c>
      <c r="J4" s="88" t="s">
        <v>422</v>
      </c>
      <c r="K4" s="88" t="s">
        <v>423</v>
      </c>
      <c r="L4" s="88" t="s">
        <v>424</v>
      </c>
      <c r="M4" s="88" t="s">
        <v>425</v>
      </c>
      <c r="N4" s="88" t="s">
        <v>426</v>
      </c>
      <c r="O4" s="88" t="s">
        <v>427</v>
      </c>
      <c r="P4" s="88" t="s">
        <v>428</v>
      </c>
      <c r="Q4" s="88" t="s">
        <v>429</v>
      </c>
      <c r="R4" s="88" t="s">
        <v>430</v>
      </c>
      <c r="S4" s="88" t="s">
        <v>431</v>
      </c>
      <c r="T4" s="88" t="s">
        <v>432</v>
      </c>
      <c r="U4" s="88" t="s">
        <v>433</v>
      </c>
      <c r="V4" s="88" t="s">
        <v>434</v>
      </c>
      <c r="W4" s="88" t="s">
        <v>435</v>
      </c>
      <c r="X4" s="88" t="s">
        <v>436</v>
      </c>
      <c r="Y4" s="88" t="s">
        <v>437</v>
      </c>
      <c r="Z4" s="88" t="s">
        <v>438</v>
      </c>
      <c r="AA4" s="88" t="s">
        <v>439</v>
      </c>
      <c r="AB4" s="88" t="s">
        <v>440</v>
      </c>
      <c r="AC4" s="88" t="s">
        <v>441</v>
      </c>
      <c r="AD4" s="88" t="s">
        <v>442</v>
      </c>
      <c r="AE4" s="88" t="s">
        <v>443</v>
      </c>
      <c r="AF4" s="88" t="s">
        <v>444</v>
      </c>
    </row>
    <row r="5" spans="1:32" s="1" customFormat="1" ht="15" hidden="1" customHeight="1">
      <c r="A5" s="4"/>
      <c r="B5" s="4"/>
      <c r="C5" s="4"/>
      <c r="D5" s="4"/>
      <c r="E5" s="4"/>
      <c r="F5" s="6" t="s">
        <v>0</v>
      </c>
      <c r="G5" s="19">
        <v>42701</v>
      </c>
      <c r="H5" s="19">
        <v>42701</v>
      </c>
      <c r="I5" s="19">
        <v>42701</v>
      </c>
      <c r="J5" s="19">
        <v>42701</v>
      </c>
    </row>
    <row r="6" spans="1:32" s="1" customFormat="1" ht="14.25" hidden="1" customHeight="1">
      <c r="A6" s="4"/>
      <c r="B6" s="4"/>
      <c r="C6" s="4"/>
      <c r="D6" s="4"/>
      <c r="E6" s="4"/>
      <c r="F6" s="6" t="s">
        <v>1</v>
      </c>
      <c r="G6" s="29"/>
      <c r="H6" s="29"/>
      <c r="I6" s="29"/>
      <c r="J6" s="29"/>
    </row>
    <row r="7" spans="1:32" s="1" customFormat="1">
      <c r="A7" s="4"/>
      <c r="B7" s="4"/>
      <c r="C7" s="4"/>
      <c r="D7" s="4"/>
      <c r="E7" s="4"/>
      <c r="F7" s="6" t="s">
        <v>340</v>
      </c>
      <c r="G7" s="179">
        <v>10</v>
      </c>
      <c r="H7" s="179">
        <v>10</v>
      </c>
      <c r="I7" s="179">
        <v>10</v>
      </c>
      <c r="J7" s="179">
        <v>10</v>
      </c>
      <c r="K7" s="179">
        <v>10</v>
      </c>
      <c r="L7" s="179">
        <v>10</v>
      </c>
      <c r="M7" s="179">
        <v>10</v>
      </c>
      <c r="N7" s="179">
        <v>10</v>
      </c>
      <c r="O7" s="179">
        <v>10</v>
      </c>
      <c r="P7" s="179">
        <v>10</v>
      </c>
      <c r="Q7" s="179">
        <v>10</v>
      </c>
      <c r="R7" s="179">
        <v>10</v>
      </c>
      <c r="S7" s="179">
        <v>10</v>
      </c>
      <c r="T7" s="179">
        <v>10</v>
      </c>
      <c r="U7" s="179">
        <v>10</v>
      </c>
      <c r="V7" s="179">
        <v>10</v>
      </c>
      <c r="W7" s="179">
        <v>10</v>
      </c>
      <c r="X7" s="179">
        <v>10</v>
      </c>
      <c r="Y7" s="179">
        <v>10</v>
      </c>
      <c r="Z7" s="179">
        <v>10</v>
      </c>
      <c r="AA7" s="179">
        <v>10</v>
      </c>
      <c r="AB7" s="179">
        <v>10</v>
      </c>
      <c r="AC7" s="179">
        <v>10</v>
      </c>
      <c r="AD7" s="179">
        <v>10</v>
      </c>
      <c r="AE7" s="179">
        <v>10</v>
      </c>
      <c r="AF7" s="179">
        <v>10</v>
      </c>
    </row>
    <row r="8" spans="1:32" s="1" customFormat="1">
      <c r="A8" s="4"/>
      <c r="B8" s="4"/>
      <c r="C8" s="4"/>
      <c r="D8" s="4"/>
      <c r="E8" s="4"/>
      <c r="F8" s="6" t="s">
        <v>310</v>
      </c>
      <c r="G8" s="180">
        <f>'Sample Info'!$K$27*'Phytopl Count'!G7*1000</f>
        <v>1963.4954084936207</v>
      </c>
      <c r="H8" s="180">
        <f>'Sample Info'!$K$27*'Phytopl Count'!H7*1000</f>
        <v>1963.4954084936207</v>
      </c>
      <c r="I8" s="180">
        <f>'Sample Info'!$K$27*'Phytopl Count'!I7*1000</f>
        <v>1963.4954084936207</v>
      </c>
      <c r="J8" s="180">
        <f>'Sample Info'!$K$27*'Phytopl Count'!J7*1000</f>
        <v>1963.4954084936207</v>
      </c>
      <c r="K8" s="180">
        <f>'Sample Info'!$K$27*'Phytopl Count'!K7*1000</f>
        <v>1963.4954084936207</v>
      </c>
      <c r="L8" s="180">
        <f>'Sample Info'!$K$27*'Phytopl Count'!L7*1000</f>
        <v>1963.4954084936207</v>
      </c>
      <c r="M8" s="180">
        <f>'Sample Info'!$K$27*'Phytopl Count'!M7*1000</f>
        <v>1963.4954084936207</v>
      </c>
      <c r="N8" s="180">
        <f>'Sample Info'!$K$27*'Phytopl Count'!N7*1000</f>
        <v>1963.4954084936207</v>
      </c>
      <c r="O8" s="180">
        <f>'Sample Info'!$K$27*'Phytopl Count'!O7*1000</f>
        <v>1963.4954084936207</v>
      </c>
      <c r="P8" s="180">
        <f>'Sample Info'!$K$27*'Phytopl Count'!P7*1000</f>
        <v>1963.4954084936207</v>
      </c>
      <c r="Q8" s="180">
        <f>'Sample Info'!$K$27*'Phytopl Count'!Q7*1000</f>
        <v>1963.4954084936207</v>
      </c>
      <c r="R8" s="180">
        <f>'Sample Info'!$K$27*'Phytopl Count'!R7*1000</f>
        <v>1963.4954084936207</v>
      </c>
      <c r="S8" s="180">
        <f>'Sample Info'!$K$27*'Phytopl Count'!S7*1000</f>
        <v>1963.4954084936207</v>
      </c>
      <c r="T8" s="180">
        <f>'Sample Info'!$K$27*'Phytopl Count'!T7*1000</f>
        <v>1963.4954084936207</v>
      </c>
      <c r="U8" s="180">
        <f>'Sample Info'!$K$27*'Phytopl Count'!U7*1000</f>
        <v>1963.4954084936207</v>
      </c>
      <c r="V8" s="180">
        <f>'Sample Info'!$K$27*'Phytopl Count'!V7*1000</f>
        <v>1963.4954084936207</v>
      </c>
      <c r="W8" s="180">
        <f>'Sample Info'!$K$27*'Phytopl Count'!W7*1000</f>
        <v>1963.4954084936207</v>
      </c>
      <c r="X8" s="180">
        <f>'Sample Info'!$K$27*'Phytopl Count'!X7*1000</f>
        <v>1963.4954084936207</v>
      </c>
      <c r="Y8" s="180">
        <f>'Sample Info'!$K$27*'Phytopl Count'!Y7*1000</f>
        <v>1963.4954084936207</v>
      </c>
      <c r="Z8" s="180">
        <f>'Sample Info'!$K$27*'Phytopl Count'!Z7*1000</f>
        <v>1963.4954084936207</v>
      </c>
      <c r="AA8" s="180">
        <f>'Sample Info'!$K$27*'Phytopl Count'!AA7*1000</f>
        <v>1963.4954084936207</v>
      </c>
      <c r="AB8" s="180">
        <f>'Sample Info'!$K$27*'Phytopl Count'!AB7*1000</f>
        <v>1963.4954084936207</v>
      </c>
      <c r="AC8" s="180">
        <f>'Sample Info'!$K$27*'Phytopl Count'!AC7*1000</f>
        <v>1963.4954084936207</v>
      </c>
      <c r="AD8" s="180">
        <f>'Sample Info'!$K$27*'Phytopl Count'!AD7*1000</f>
        <v>1963.4954084936207</v>
      </c>
      <c r="AE8" s="180">
        <f>'Sample Info'!$K$27*'Phytopl Count'!AE7*1000</f>
        <v>1963.4954084936207</v>
      </c>
      <c r="AF8" s="180">
        <f>'Sample Info'!$K$27*'Phytopl Count'!AF7*1000</f>
        <v>1963.4954084936207</v>
      </c>
    </row>
    <row r="9" spans="1:32" s="1" customFormat="1">
      <c r="A9" s="4"/>
      <c r="B9" s="4"/>
      <c r="C9" s="4"/>
      <c r="D9" s="4"/>
      <c r="E9" s="4"/>
      <c r="F9" s="6" t="s">
        <v>58</v>
      </c>
      <c r="G9" s="181">
        <v>20</v>
      </c>
      <c r="H9" s="181">
        <v>30</v>
      </c>
      <c r="I9" s="181">
        <v>35</v>
      </c>
      <c r="J9" s="181">
        <v>25</v>
      </c>
      <c r="K9" s="181">
        <v>20</v>
      </c>
      <c r="L9" s="181">
        <v>15</v>
      </c>
      <c r="M9" s="181">
        <v>25</v>
      </c>
      <c r="N9" s="181">
        <v>30</v>
      </c>
      <c r="O9" s="181">
        <v>20</v>
      </c>
      <c r="P9" s="181">
        <v>20</v>
      </c>
      <c r="Q9" s="181">
        <v>25</v>
      </c>
      <c r="R9" s="181">
        <v>20</v>
      </c>
      <c r="S9" s="181">
        <v>30</v>
      </c>
      <c r="T9" s="181">
        <v>30</v>
      </c>
      <c r="U9" s="181">
        <v>20</v>
      </c>
      <c r="V9" s="181">
        <v>25</v>
      </c>
      <c r="W9" s="181">
        <v>30</v>
      </c>
      <c r="X9" s="181">
        <v>20</v>
      </c>
      <c r="Y9" s="181">
        <v>15</v>
      </c>
      <c r="Z9" s="181">
        <v>65</v>
      </c>
      <c r="AA9" s="181">
        <v>20</v>
      </c>
      <c r="AB9" s="181">
        <v>25</v>
      </c>
      <c r="AC9" s="181">
        <v>20</v>
      </c>
      <c r="AD9" s="181">
        <v>20</v>
      </c>
      <c r="AE9" s="181">
        <v>15</v>
      </c>
      <c r="AF9" s="181">
        <v>40</v>
      </c>
    </row>
    <row r="10" spans="1:32" s="1" customFormat="1">
      <c r="A10" s="4"/>
      <c r="B10" s="4"/>
      <c r="C10" s="4"/>
      <c r="D10" s="4"/>
      <c r="E10" s="4"/>
      <c r="F10" s="6" t="s">
        <v>116</v>
      </c>
      <c r="G10" s="180">
        <v>0.159</v>
      </c>
      <c r="H10" s="180">
        <v>0.159</v>
      </c>
      <c r="I10" s="180">
        <v>0.159</v>
      </c>
      <c r="J10" s="180">
        <v>0.159</v>
      </c>
      <c r="K10" s="180">
        <v>0.159</v>
      </c>
      <c r="L10" s="180">
        <v>0.159</v>
      </c>
      <c r="M10" s="180">
        <v>0.159</v>
      </c>
      <c r="N10" s="180">
        <v>0.159</v>
      </c>
      <c r="O10" s="180">
        <v>0.159</v>
      </c>
      <c r="P10" s="180">
        <v>0.159</v>
      </c>
      <c r="Q10" s="180">
        <v>0.159</v>
      </c>
      <c r="R10" s="180">
        <v>0.159</v>
      </c>
      <c r="S10" s="180">
        <v>0.159</v>
      </c>
      <c r="T10" s="180">
        <v>0.159</v>
      </c>
      <c r="U10" s="180">
        <v>0.159</v>
      </c>
      <c r="V10" s="180">
        <v>0.159</v>
      </c>
      <c r="W10" s="180">
        <v>0.159</v>
      </c>
      <c r="X10" s="180">
        <v>0.159</v>
      </c>
      <c r="Y10" s="180">
        <v>0.159</v>
      </c>
      <c r="Z10" s="180">
        <v>0.159</v>
      </c>
      <c r="AA10" s="180">
        <v>0.159</v>
      </c>
      <c r="AB10" s="180">
        <v>0.159</v>
      </c>
      <c r="AC10" s="180">
        <v>0.159</v>
      </c>
      <c r="AD10" s="180">
        <v>0.159</v>
      </c>
      <c r="AE10" s="180">
        <v>0.159</v>
      </c>
      <c r="AF10" s="180">
        <v>0.159</v>
      </c>
    </row>
    <row r="11" spans="1:32" s="1" customFormat="1">
      <c r="A11" s="4"/>
      <c r="B11" s="4"/>
      <c r="C11" s="4"/>
      <c r="D11" s="4"/>
      <c r="E11" s="4"/>
      <c r="F11" s="6" t="s">
        <v>117</v>
      </c>
      <c r="G11" s="182">
        <v>3</v>
      </c>
      <c r="H11" s="182">
        <v>2</v>
      </c>
      <c r="I11" s="182">
        <v>2</v>
      </c>
      <c r="J11" s="182">
        <v>2</v>
      </c>
      <c r="K11" s="182">
        <v>2</v>
      </c>
      <c r="L11" s="182">
        <v>2</v>
      </c>
      <c r="M11" s="182">
        <v>2</v>
      </c>
      <c r="N11" s="182">
        <v>2</v>
      </c>
      <c r="O11" s="182">
        <v>2</v>
      </c>
      <c r="P11" s="182">
        <v>2</v>
      </c>
      <c r="Q11" s="182">
        <v>2</v>
      </c>
      <c r="R11" s="182">
        <v>2</v>
      </c>
      <c r="S11" s="182">
        <v>2</v>
      </c>
      <c r="T11" s="182">
        <v>2</v>
      </c>
      <c r="U11" s="182">
        <v>2</v>
      </c>
      <c r="V11" s="182">
        <v>2</v>
      </c>
      <c r="W11" s="182">
        <v>2</v>
      </c>
      <c r="X11" s="182">
        <v>2</v>
      </c>
      <c r="Y11" s="182">
        <v>2</v>
      </c>
      <c r="Z11" s="182">
        <v>2</v>
      </c>
      <c r="AA11" s="182">
        <v>2</v>
      </c>
      <c r="AB11" s="182">
        <v>2</v>
      </c>
      <c r="AC11" s="182">
        <v>2</v>
      </c>
      <c r="AD11" s="182">
        <v>2</v>
      </c>
      <c r="AE11" s="182">
        <v>2</v>
      </c>
      <c r="AF11" s="182">
        <v>2</v>
      </c>
    </row>
    <row r="12" spans="1:32" s="1" customFormat="1">
      <c r="A12" s="4"/>
      <c r="B12" s="4"/>
      <c r="C12" s="4"/>
      <c r="D12" s="4"/>
      <c r="E12" s="4"/>
      <c r="F12" s="6" t="s">
        <v>59</v>
      </c>
      <c r="G12" s="183">
        <f t="shared" ref="G12:I12" si="0">G10*G11</f>
        <v>0.47699999999999998</v>
      </c>
      <c r="H12" s="183">
        <f t="shared" si="0"/>
        <v>0.318</v>
      </c>
      <c r="I12" s="183">
        <f t="shared" si="0"/>
        <v>0.318</v>
      </c>
      <c r="J12" s="183">
        <f t="shared" ref="J12:M12" si="1">J10*J11</f>
        <v>0.318</v>
      </c>
      <c r="K12" s="183">
        <f t="shared" si="1"/>
        <v>0.318</v>
      </c>
      <c r="L12" s="183">
        <f t="shared" si="1"/>
        <v>0.318</v>
      </c>
      <c r="M12" s="183">
        <f t="shared" si="1"/>
        <v>0.318</v>
      </c>
      <c r="N12" s="183">
        <f t="shared" ref="N12:AF12" si="2">N10*N11</f>
        <v>0.318</v>
      </c>
      <c r="O12" s="183">
        <f t="shared" si="2"/>
        <v>0.318</v>
      </c>
      <c r="P12" s="183">
        <f t="shared" si="2"/>
        <v>0.318</v>
      </c>
      <c r="Q12" s="183">
        <f t="shared" si="2"/>
        <v>0.318</v>
      </c>
      <c r="R12" s="183">
        <f t="shared" si="2"/>
        <v>0.318</v>
      </c>
      <c r="S12" s="183">
        <f t="shared" si="2"/>
        <v>0.318</v>
      </c>
      <c r="T12" s="183">
        <f t="shared" si="2"/>
        <v>0.318</v>
      </c>
      <c r="U12" s="183">
        <f t="shared" si="2"/>
        <v>0.318</v>
      </c>
      <c r="V12" s="183">
        <f t="shared" si="2"/>
        <v>0.318</v>
      </c>
      <c r="W12" s="183">
        <f t="shared" si="2"/>
        <v>0.318</v>
      </c>
      <c r="X12" s="183">
        <f t="shared" si="2"/>
        <v>0.318</v>
      </c>
      <c r="Y12" s="183">
        <f t="shared" si="2"/>
        <v>0.318</v>
      </c>
      <c r="Z12" s="183">
        <f t="shared" si="2"/>
        <v>0.318</v>
      </c>
      <c r="AA12" s="183">
        <f t="shared" si="2"/>
        <v>0.318</v>
      </c>
      <c r="AB12" s="183">
        <f t="shared" si="2"/>
        <v>0.318</v>
      </c>
      <c r="AC12" s="183">
        <f t="shared" si="2"/>
        <v>0.318</v>
      </c>
      <c r="AD12" s="183">
        <f t="shared" si="2"/>
        <v>0.318</v>
      </c>
      <c r="AE12" s="183">
        <f t="shared" si="2"/>
        <v>0.318</v>
      </c>
      <c r="AF12" s="183">
        <f t="shared" si="2"/>
        <v>0.318</v>
      </c>
    </row>
    <row r="13" spans="1:32" s="3" customFormat="1" ht="16.2" thickBot="1">
      <c r="A13" s="7"/>
      <c r="B13" s="7"/>
      <c r="C13" s="7"/>
      <c r="D13" s="7"/>
      <c r="E13" s="7"/>
      <c r="F13" s="8" t="s">
        <v>57</v>
      </c>
      <c r="G13" s="184">
        <f t="shared" ref="G13:I13" si="3">IF(G8=0,"",G9/G12)</f>
        <v>41.928721174004195</v>
      </c>
      <c r="H13" s="184">
        <f t="shared" si="3"/>
        <v>94.339622641509436</v>
      </c>
      <c r="I13" s="184">
        <f t="shared" si="3"/>
        <v>110.062893081761</v>
      </c>
      <c r="J13" s="184">
        <f t="shared" ref="J13:M13" si="4">IF(J8=0,"",J9/J12)</f>
        <v>78.616352201257854</v>
      </c>
      <c r="K13" s="184">
        <f t="shared" si="4"/>
        <v>62.893081761006286</v>
      </c>
      <c r="L13" s="184">
        <f t="shared" si="4"/>
        <v>47.169811320754718</v>
      </c>
      <c r="M13" s="184">
        <f t="shared" si="4"/>
        <v>78.616352201257854</v>
      </c>
      <c r="N13" s="184">
        <f t="shared" ref="N13:AF13" si="5">IF(N8=0,"",N9/N12)</f>
        <v>94.339622641509436</v>
      </c>
      <c r="O13" s="184">
        <f t="shared" si="5"/>
        <v>62.893081761006286</v>
      </c>
      <c r="P13" s="184">
        <f t="shared" si="5"/>
        <v>62.893081761006286</v>
      </c>
      <c r="Q13" s="184">
        <f t="shared" si="5"/>
        <v>78.616352201257854</v>
      </c>
      <c r="R13" s="184">
        <f t="shared" si="5"/>
        <v>62.893081761006286</v>
      </c>
      <c r="S13" s="184">
        <f t="shared" si="5"/>
        <v>94.339622641509436</v>
      </c>
      <c r="T13" s="184">
        <f t="shared" si="5"/>
        <v>94.339622641509436</v>
      </c>
      <c r="U13" s="184">
        <f t="shared" si="5"/>
        <v>62.893081761006286</v>
      </c>
      <c r="V13" s="184">
        <f t="shared" si="5"/>
        <v>78.616352201257854</v>
      </c>
      <c r="W13" s="184">
        <f t="shared" si="5"/>
        <v>94.339622641509436</v>
      </c>
      <c r="X13" s="184">
        <f t="shared" si="5"/>
        <v>62.893081761006286</v>
      </c>
      <c r="Y13" s="184">
        <f t="shared" si="5"/>
        <v>47.169811320754718</v>
      </c>
      <c r="Z13" s="184">
        <f t="shared" si="5"/>
        <v>204.40251572327043</v>
      </c>
      <c r="AA13" s="184">
        <f t="shared" si="5"/>
        <v>62.893081761006286</v>
      </c>
      <c r="AB13" s="184">
        <f t="shared" si="5"/>
        <v>78.616352201257854</v>
      </c>
      <c r="AC13" s="184">
        <f t="shared" si="5"/>
        <v>62.893081761006286</v>
      </c>
      <c r="AD13" s="184">
        <f t="shared" si="5"/>
        <v>62.893081761006286</v>
      </c>
      <c r="AE13" s="184">
        <f t="shared" si="5"/>
        <v>47.169811320754718</v>
      </c>
      <c r="AF13" s="184">
        <f t="shared" si="5"/>
        <v>125.78616352201257</v>
      </c>
    </row>
    <row r="14" spans="1:32" s="1" customFormat="1" ht="16.2" thickTop="1">
      <c r="A14" s="16" t="s">
        <v>4</v>
      </c>
      <c r="B14" s="4" t="s">
        <v>299</v>
      </c>
      <c r="C14" s="16"/>
      <c r="D14" s="4"/>
      <c r="E14" s="5"/>
      <c r="F14" s="9"/>
      <c r="G14" s="46"/>
      <c r="H14" s="46"/>
      <c r="I14" s="134"/>
      <c r="J14" s="134"/>
      <c r="K14" s="46"/>
      <c r="L14" s="46"/>
      <c r="M14" s="134"/>
      <c r="N14" s="134"/>
      <c r="O14" s="46"/>
      <c r="P14" s="46"/>
      <c r="Q14" s="134"/>
      <c r="R14" s="134"/>
      <c r="S14" s="46"/>
      <c r="T14" s="46"/>
      <c r="U14" s="134"/>
      <c r="V14" s="134"/>
      <c r="W14" s="46"/>
      <c r="X14" s="46"/>
      <c r="Y14" s="134"/>
      <c r="Z14" s="134"/>
      <c r="AA14" s="46"/>
      <c r="AB14" s="46"/>
      <c r="AC14" s="134"/>
      <c r="AD14" s="134"/>
      <c r="AE14" s="46"/>
      <c r="AF14" s="134"/>
    </row>
    <row r="15" spans="1:32" s="1" customFormat="1">
      <c r="A15" s="16"/>
      <c r="B15" s="16" t="s">
        <v>72</v>
      </c>
      <c r="C15" s="4" t="s">
        <v>13</v>
      </c>
      <c r="D15" s="4"/>
      <c r="E15" s="5"/>
      <c r="F15" s="9"/>
      <c r="G15" s="47"/>
      <c r="H15" s="47"/>
      <c r="I15" s="38"/>
      <c r="J15" s="38"/>
      <c r="K15" s="47"/>
      <c r="L15" s="47"/>
      <c r="M15" s="38"/>
      <c r="N15" s="38"/>
      <c r="O15" s="47"/>
      <c r="P15" s="47"/>
      <c r="Q15" s="38"/>
      <c r="R15" s="38"/>
      <c r="S15" s="47"/>
      <c r="T15" s="47"/>
      <c r="U15" s="38"/>
      <c r="V15" s="38"/>
      <c r="W15" s="47"/>
      <c r="X15" s="47"/>
      <c r="Y15" s="38"/>
      <c r="Z15" s="38"/>
      <c r="AA15" s="47"/>
      <c r="AB15" s="47"/>
      <c r="AC15" s="38"/>
      <c r="AD15" s="38"/>
      <c r="AE15" s="47"/>
      <c r="AF15" s="38"/>
    </row>
    <row r="16" spans="1:32" s="1" customFormat="1">
      <c r="A16" s="16"/>
      <c r="B16" s="16"/>
      <c r="C16" s="16" t="s">
        <v>73</v>
      </c>
      <c r="D16" s="51" t="s">
        <v>89</v>
      </c>
      <c r="E16" s="5"/>
      <c r="F16" s="9"/>
      <c r="G16" s="47"/>
      <c r="H16" s="47"/>
      <c r="I16" s="38"/>
      <c r="J16" s="38"/>
      <c r="K16" s="47"/>
      <c r="L16" s="47"/>
      <c r="M16" s="38"/>
      <c r="N16" s="38"/>
      <c r="O16" s="47"/>
      <c r="P16" s="47"/>
      <c r="Q16" s="38"/>
      <c r="R16" s="38"/>
      <c r="S16" s="47"/>
      <c r="T16" s="47"/>
      <c r="U16" s="38"/>
      <c r="V16" s="38"/>
      <c r="W16" s="47"/>
      <c r="X16" s="47"/>
      <c r="Y16" s="38"/>
      <c r="Z16" s="38"/>
      <c r="AA16" s="47"/>
      <c r="AB16" s="47"/>
      <c r="AC16" s="38"/>
      <c r="AD16" s="38"/>
      <c r="AE16" s="47"/>
      <c r="AF16" s="38"/>
    </row>
    <row r="17" spans="1:32" s="1" customFormat="1">
      <c r="A17" s="16"/>
      <c r="B17" s="16"/>
      <c r="C17" s="16"/>
      <c r="D17" s="95" t="s">
        <v>5</v>
      </c>
      <c r="E17" s="161" t="s">
        <v>349</v>
      </c>
      <c r="F17" s="97"/>
      <c r="G17" s="47"/>
      <c r="H17" s="47"/>
      <c r="I17" s="38"/>
      <c r="J17" s="38"/>
      <c r="K17" s="47"/>
      <c r="L17" s="47"/>
      <c r="M17" s="38"/>
      <c r="N17" s="38"/>
      <c r="O17" s="47"/>
      <c r="P17" s="47"/>
      <c r="Q17" s="38"/>
      <c r="R17" s="38"/>
      <c r="S17" s="47"/>
      <c r="T17" s="47"/>
      <c r="U17" s="38"/>
      <c r="V17" s="38"/>
      <c r="W17" s="47"/>
      <c r="X17" s="47"/>
      <c r="Y17" s="38"/>
      <c r="Z17" s="38"/>
      <c r="AA17" s="47"/>
      <c r="AB17" s="47"/>
      <c r="AC17" s="38"/>
      <c r="AD17" s="38"/>
      <c r="AE17" s="47"/>
      <c r="AF17" s="38"/>
    </row>
    <row r="18" spans="1:32" hidden="1">
      <c r="A18" s="4"/>
      <c r="B18" s="4"/>
      <c r="C18" s="4"/>
      <c r="D18" s="101"/>
      <c r="F18" s="11" t="s">
        <v>147</v>
      </c>
      <c r="G18" s="103"/>
      <c r="H18" s="103"/>
      <c r="I18" s="135"/>
      <c r="J18" s="135"/>
      <c r="K18" s="103"/>
      <c r="L18" s="103"/>
      <c r="M18" s="135"/>
      <c r="N18" s="135"/>
      <c r="O18" s="103"/>
      <c r="P18" s="103"/>
      <c r="Q18" s="135"/>
      <c r="R18" s="135"/>
      <c r="S18" s="103"/>
      <c r="T18" s="103"/>
      <c r="U18" s="135"/>
      <c r="V18" s="135"/>
      <c r="W18" s="103"/>
      <c r="X18" s="103"/>
      <c r="Y18" s="135"/>
      <c r="Z18" s="135"/>
      <c r="AA18" s="103"/>
      <c r="AB18" s="103"/>
      <c r="AC18" s="135"/>
      <c r="AD18" s="135"/>
      <c r="AE18" s="103"/>
      <c r="AF18" s="135"/>
    </row>
    <row r="19" spans="1:32" s="1" customFormat="1">
      <c r="A19" s="4"/>
      <c r="B19" s="4"/>
      <c r="C19" s="4"/>
      <c r="D19" s="5"/>
      <c r="E19" s="102" t="s">
        <v>6</v>
      </c>
      <c r="F19" s="11" t="s">
        <v>265</v>
      </c>
      <c r="G19" s="73"/>
      <c r="H19" s="73"/>
      <c r="I19" s="136"/>
      <c r="J19" s="136"/>
      <c r="K19" s="73"/>
      <c r="L19" s="73"/>
      <c r="M19" s="136"/>
      <c r="N19" s="136"/>
      <c r="O19" s="73">
        <v>1</v>
      </c>
      <c r="P19" s="73"/>
      <c r="Q19" s="136"/>
      <c r="R19" s="136"/>
      <c r="S19" s="73"/>
      <c r="T19" s="73"/>
      <c r="U19" s="136"/>
      <c r="V19" s="136"/>
      <c r="W19" s="73"/>
      <c r="X19" s="73"/>
      <c r="Y19" s="136"/>
      <c r="Z19" s="136"/>
      <c r="AA19" s="73"/>
      <c r="AB19" s="73"/>
      <c r="AC19" s="136"/>
      <c r="AD19" s="136"/>
      <c r="AE19" s="73"/>
      <c r="AF19" s="136"/>
    </row>
    <row r="20" spans="1:32">
      <c r="A20" s="4"/>
      <c r="B20" s="4"/>
      <c r="C20" s="4"/>
      <c r="D20" s="5"/>
      <c r="E20" s="10"/>
      <c r="F20" s="11" t="s">
        <v>171</v>
      </c>
      <c r="G20" s="21"/>
      <c r="H20" s="21"/>
      <c r="I20" s="58"/>
      <c r="J20" s="58"/>
      <c r="K20" s="21"/>
      <c r="L20" s="21"/>
      <c r="M20" s="58"/>
      <c r="N20" s="58"/>
      <c r="O20" s="21"/>
      <c r="P20" s="21"/>
      <c r="Q20" s="58"/>
      <c r="R20" s="58"/>
      <c r="S20" s="21"/>
      <c r="T20" s="21"/>
      <c r="U20" s="58"/>
      <c r="V20" s="58"/>
      <c r="W20" s="21"/>
      <c r="X20" s="21"/>
      <c r="Y20" s="58"/>
      <c r="Z20" s="58"/>
      <c r="AA20" s="21"/>
      <c r="AB20" s="21"/>
      <c r="AC20" s="58"/>
      <c r="AD20" s="58"/>
      <c r="AE20" s="21"/>
      <c r="AF20" s="58"/>
    </row>
    <row r="21" spans="1:32">
      <c r="A21" s="4"/>
      <c r="B21" s="4"/>
      <c r="C21" s="4"/>
      <c r="D21" s="5"/>
      <c r="E21" s="10"/>
      <c r="F21" s="11" t="s">
        <v>184</v>
      </c>
      <c r="G21" s="21">
        <v>29</v>
      </c>
      <c r="H21" s="21">
        <v>48</v>
      </c>
      <c r="I21" s="58">
        <v>20</v>
      </c>
      <c r="J21" s="58">
        <v>13</v>
      </c>
      <c r="K21" s="21">
        <v>22</v>
      </c>
      <c r="L21" s="21">
        <v>32</v>
      </c>
      <c r="M21" s="58">
        <v>2</v>
      </c>
      <c r="N21" s="58">
        <v>32</v>
      </c>
      <c r="O21" s="21">
        <v>26</v>
      </c>
      <c r="P21" s="21">
        <v>56</v>
      </c>
      <c r="Q21" s="58">
        <v>22</v>
      </c>
      <c r="R21" s="58">
        <v>12</v>
      </c>
      <c r="S21" s="21">
        <v>7</v>
      </c>
      <c r="T21" s="21">
        <v>118</v>
      </c>
      <c r="U21" s="58">
        <v>20</v>
      </c>
      <c r="V21" s="58">
        <v>12</v>
      </c>
      <c r="W21" s="21">
        <v>26</v>
      </c>
      <c r="X21" s="21">
        <v>14</v>
      </c>
      <c r="Y21" s="58">
        <v>3</v>
      </c>
      <c r="Z21" s="58">
        <v>232</v>
      </c>
      <c r="AA21" s="21">
        <v>10</v>
      </c>
      <c r="AB21" s="21">
        <v>10</v>
      </c>
      <c r="AC21" s="58">
        <v>28</v>
      </c>
      <c r="AD21" s="58">
        <v>69</v>
      </c>
      <c r="AE21" s="21">
        <v>3</v>
      </c>
      <c r="AF21" s="58">
        <v>2</v>
      </c>
    </row>
    <row r="22" spans="1:32">
      <c r="A22" s="16"/>
      <c r="B22" s="16"/>
      <c r="C22" s="16" t="s">
        <v>73</v>
      </c>
      <c r="D22" s="4" t="s">
        <v>300</v>
      </c>
      <c r="E22" s="5"/>
      <c r="F22" s="9"/>
      <c r="G22" s="21"/>
      <c r="H22" s="21"/>
      <c r="I22" s="58"/>
      <c r="J22" s="58"/>
      <c r="K22" s="21"/>
      <c r="L22" s="21"/>
      <c r="M22" s="58"/>
      <c r="N22" s="58"/>
      <c r="O22" s="21"/>
      <c r="P22" s="21"/>
      <c r="Q22" s="58"/>
      <c r="R22" s="58"/>
      <c r="S22" s="21"/>
      <c r="T22" s="21"/>
      <c r="U22" s="58"/>
      <c r="V22" s="58"/>
      <c r="W22" s="21"/>
      <c r="X22" s="21"/>
      <c r="Y22" s="58"/>
      <c r="Z22" s="58"/>
      <c r="AA22" s="21"/>
      <c r="AB22" s="21"/>
      <c r="AC22" s="58"/>
      <c r="AD22" s="58"/>
      <c r="AE22" s="21"/>
      <c r="AF22" s="58"/>
    </row>
    <row r="23" spans="1:32">
      <c r="A23" s="16"/>
      <c r="B23" s="16"/>
      <c r="C23" s="16"/>
      <c r="D23" s="95" t="s">
        <v>5</v>
      </c>
      <c r="E23" s="158" t="s">
        <v>342</v>
      </c>
      <c r="F23" s="97"/>
      <c r="G23" s="21"/>
      <c r="H23" s="21"/>
      <c r="I23" s="58"/>
      <c r="J23" s="58"/>
      <c r="K23" s="21"/>
      <c r="L23" s="21"/>
      <c r="M23" s="58"/>
      <c r="N23" s="58"/>
      <c r="O23" s="21"/>
      <c r="P23" s="21"/>
      <c r="Q23" s="58"/>
      <c r="R23" s="58"/>
      <c r="S23" s="21"/>
      <c r="T23" s="21"/>
      <c r="U23" s="58"/>
      <c r="V23" s="58"/>
      <c r="W23" s="21"/>
      <c r="X23" s="21"/>
      <c r="Y23" s="58"/>
      <c r="Z23" s="58"/>
      <c r="AA23" s="21"/>
      <c r="AB23" s="21"/>
      <c r="AC23" s="58"/>
      <c r="AD23" s="58"/>
      <c r="AE23" s="21"/>
      <c r="AF23" s="58"/>
    </row>
    <row r="24" spans="1:32">
      <c r="A24" s="16"/>
      <c r="B24" s="16"/>
      <c r="C24" s="16"/>
      <c r="D24" s="101"/>
      <c r="E24" s="102" t="s">
        <v>6</v>
      </c>
      <c r="F24" s="11" t="s">
        <v>343</v>
      </c>
      <c r="G24" s="21"/>
      <c r="H24" s="21"/>
      <c r="I24" s="58"/>
      <c r="J24" s="58"/>
      <c r="K24" s="21"/>
      <c r="L24" s="21"/>
      <c r="M24" s="58"/>
      <c r="N24" s="58"/>
      <c r="O24" s="21"/>
      <c r="P24" s="21"/>
      <c r="Q24" s="58"/>
      <c r="R24" s="58"/>
      <c r="S24" s="21"/>
      <c r="T24" s="21"/>
      <c r="U24" s="58"/>
      <c r="V24" s="58"/>
      <c r="W24" s="21"/>
      <c r="X24" s="21"/>
      <c r="Y24" s="58"/>
      <c r="Z24" s="58">
        <v>3</v>
      </c>
      <c r="AA24" s="21"/>
      <c r="AB24" s="21"/>
      <c r="AC24" s="58"/>
      <c r="AD24" s="58"/>
      <c r="AE24" s="21"/>
      <c r="AF24" s="58"/>
    </row>
    <row r="25" spans="1:32" hidden="1">
      <c r="A25" s="16"/>
      <c r="B25" s="16"/>
      <c r="C25" s="16"/>
      <c r="D25" s="95" t="s">
        <v>5</v>
      </c>
      <c r="E25" s="105" t="s">
        <v>275</v>
      </c>
      <c r="F25" s="97"/>
      <c r="G25" s="21"/>
      <c r="H25" s="21"/>
      <c r="I25" s="58"/>
      <c r="J25" s="58"/>
      <c r="K25" s="21"/>
      <c r="L25" s="21"/>
      <c r="M25" s="58"/>
      <c r="N25" s="58"/>
      <c r="O25" s="21"/>
      <c r="P25" s="21"/>
      <c r="Q25" s="58"/>
      <c r="R25" s="58"/>
      <c r="S25" s="21"/>
      <c r="T25" s="21"/>
      <c r="U25" s="58"/>
      <c r="V25" s="58"/>
      <c r="W25" s="21"/>
      <c r="X25" s="21"/>
      <c r="Y25" s="58"/>
      <c r="Z25" s="58"/>
      <c r="AA25" s="21"/>
      <c r="AB25" s="21"/>
      <c r="AC25" s="58"/>
      <c r="AD25" s="58"/>
      <c r="AE25" s="21"/>
      <c r="AF25" s="58"/>
    </row>
    <row r="26" spans="1:32" hidden="1">
      <c r="A26" s="4"/>
      <c r="B26" s="4"/>
      <c r="C26" s="4"/>
      <c r="D26" s="101"/>
      <c r="E26" s="102" t="s">
        <v>6</v>
      </c>
      <c r="F26" s="11" t="s">
        <v>274</v>
      </c>
      <c r="G26" s="21"/>
      <c r="H26" s="21"/>
      <c r="I26" s="58"/>
      <c r="J26" s="58"/>
      <c r="K26" s="21"/>
      <c r="L26" s="21"/>
      <c r="M26" s="58"/>
      <c r="N26" s="58"/>
      <c r="O26" s="21"/>
      <c r="P26" s="21"/>
      <c r="Q26" s="58"/>
      <c r="R26" s="58"/>
      <c r="S26" s="21"/>
      <c r="T26" s="21"/>
      <c r="U26" s="58"/>
      <c r="V26" s="58"/>
      <c r="W26" s="21"/>
      <c r="X26" s="21"/>
      <c r="Y26" s="58"/>
      <c r="Z26" s="58"/>
      <c r="AA26" s="21"/>
      <c r="AB26" s="21"/>
      <c r="AC26" s="58"/>
      <c r="AD26" s="58"/>
      <c r="AE26" s="21"/>
      <c r="AF26" s="58"/>
    </row>
    <row r="27" spans="1:32" hidden="1">
      <c r="A27" s="16"/>
      <c r="B27" s="16"/>
      <c r="C27" s="16" t="s">
        <v>73</v>
      </c>
      <c r="D27" s="4" t="s">
        <v>249</v>
      </c>
      <c r="E27" s="96"/>
      <c r="F27" s="97"/>
      <c r="G27" s="21"/>
      <c r="H27" s="21"/>
      <c r="I27" s="58"/>
      <c r="J27" s="58"/>
      <c r="K27" s="21"/>
      <c r="L27" s="21"/>
      <c r="M27" s="58"/>
      <c r="N27" s="58"/>
      <c r="O27" s="21"/>
      <c r="P27" s="21"/>
      <c r="Q27" s="58"/>
      <c r="R27" s="58"/>
      <c r="S27" s="21"/>
      <c r="T27" s="21"/>
      <c r="U27" s="58"/>
      <c r="V27" s="58"/>
      <c r="W27" s="21"/>
      <c r="X27" s="21"/>
      <c r="Y27" s="58"/>
      <c r="Z27" s="58"/>
      <c r="AA27" s="21"/>
      <c r="AB27" s="21"/>
      <c r="AC27" s="58"/>
      <c r="AD27" s="58"/>
      <c r="AE27" s="21"/>
      <c r="AF27" s="58"/>
    </row>
    <row r="28" spans="1:32" hidden="1">
      <c r="A28" s="16"/>
      <c r="B28" s="16"/>
      <c r="C28" s="16"/>
      <c r="D28" s="95" t="s">
        <v>5</v>
      </c>
      <c r="E28" s="96" t="s">
        <v>250</v>
      </c>
      <c r="F28" s="97"/>
      <c r="G28" s="21"/>
      <c r="H28" s="21"/>
      <c r="I28" s="58"/>
      <c r="J28" s="58"/>
      <c r="K28" s="21"/>
      <c r="L28" s="21"/>
      <c r="M28" s="58"/>
      <c r="N28" s="58"/>
      <c r="O28" s="21"/>
      <c r="P28" s="21"/>
      <c r="Q28" s="58"/>
      <c r="R28" s="58"/>
      <c r="S28" s="21"/>
      <c r="T28" s="21"/>
      <c r="U28" s="58"/>
      <c r="V28" s="58"/>
      <c r="W28" s="21"/>
      <c r="X28" s="21"/>
      <c r="Y28" s="58"/>
      <c r="Z28" s="58"/>
      <c r="AA28" s="21"/>
      <c r="AB28" s="21"/>
      <c r="AC28" s="58"/>
      <c r="AD28" s="58"/>
      <c r="AE28" s="21"/>
      <c r="AF28" s="58"/>
    </row>
    <row r="29" spans="1:32" hidden="1">
      <c r="A29" s="4"/>
      <c r="B29" s="4"/>
      <c r="C29" s="4"/>
      <c r="D29" s="96"/>
      <c r="E29" s="95" t="s">
        <v>6</v>
      </c>
      <c r="F29" s="11" t="s">
        <v>251</v>
      </c>
      <c r="G29" s="21"/>
      <c r="H29" s="21"/>
      <c r="I29" s="58"/>
      <c r="J29" s="58"/>
      <c r="K29" s="21"/>
      <c r="L29" s="21"/>
      <c r="M29" s="58"/>
      <c r="N29" s="58"/>
      <c r="O29" s="21"/>
      <c r="P29" s="21"/>
      <c r="Q29" s="58"/>
      <c r="R29" s="58"/>
      <c r="S29" s="21"/>
      <c r="T29" s="21"/>
      <c r="U29" s="58"/>
      <c r="V29" s="58"/>
      <c r="W29" s="21"/>
      <c r="X29" s="21"/>
      <c r="Y29" s="58"/>
      <c r="Z29" s="58"/>
      <c r="AA29" s="21"/>
      <c r="AB29" s="21"/>
      <c r="AC29" s="58"/>
      <c r="AD29" s="58"/>
      <c r="AE29" s="21"/>
      <c r="AF29" s="58"/>
    </row>
    <row r="30" spans="1:32" hidden="1">
      <c r="A30" s="16"/>
      <c r="B30" s="16"/>
      <c r="C30" s="16"/>
      <c r="D30" s="95" t="s">
        <v>5</v>
      </c>
      <c r="E30" s="185" t="s">
        <v>416</v>
      </c>
      <c r="F30" s="97"/>
      <c r="G30" s="21"/>
      <c r="H30" s="21"/>
      <c r="I30" s="58"/>
      <c r="J30" s="58"/>
      <c r="K30" s="21"/>
      <c r="L30" s="21"/>
      <c r="M30" s="58"/>
      <c r="N30" s="58"/>
      <c r="O30" s="21"/>
      <c r="P30" s="21"/>
      <c r="Q30" s="58"/>
      <c r="R30" s="58"/>
      <c r="S30" s="21"/>
      <c r="T30" s="21"/>
      <c r="U30" s="58"/>
      <c r="V30" s="58"/>
      <c r="W30" s="21"/>
      <c r="X30" s="21"/>
      <c r="Y30" s="58"/>
      <c r="Z30" s="58"/>
      <c r="AA30" s="21"/>
      <c r="AB30" s="21"/>
      <c r="AC30" s="58"/>
      <c r="AD30" s="58"/>
      <c r="AE30" s="21"/>
      <c r="AF30" s="58"/>
    </row>
    <row r="31" spans="1:32" hidden="1">
      <c r="A31" s="4"/>
      <c r="B31" s="4"/>
      <c r="C31" s="4"/>
      <c r="D31" s="96"/>
      <c r="E31" s="95" t="s">
        <v>6</v>
      </c>
      <c r="F31" s="11" t="s">
        <v>417</v>
      </c>
      <c r="G31" s="21"/>
      <c r="H31" s="21"/>
      <c r="I31" s="58"/>
      <c r="J31" s="58"/>
      <c r="K31" s="21"/>
      <c r="L31" s="21"/>
      <c r="M31" s="58"/>
      <c r="N31" s="58"/>
      <c r="O31" s="21"/>
      <c r="P31" s="21"/>
      <c r="Q31" s="58"/>
      <c r="R31" s="58"/>
      <c r="S31" s="21"/>
      <c r="T31" s="21"/>
      <c r="U31" s="58"/>
      <c r="V31" s="58"/>
      <c r="W31" s="21"/>
      <c r="X31" s="21"/>
      <c r="Y31" s="58"/>
      <c r="Z31" s="58"/>
      <c r="AA31" s="21"/>
      <c r="AB31" s="21"/>
      <c r="AC31" s="58"/>
      <c r="AD31" s="58"/>
      <c r="AE31" s="21"/>
      <c r="AF31" s="58"/>
    </row>
    <row r="32" spans="1:32" s="1" customFormat="1" hidden="1">
      <c r="A32" s="16"/>
      <c r="B32" s="16"/>
      <c r="C32" s="16" t="s">
        <v>73</v>
      </c>
      <c r="D32" s="4" t="s">
        <v>139</v>
      </c>
      <c r="E32" s="5"/>
      <c r="F32" s="9"/>
      <c r="G32" s="47"/>
      <c r="H32" s="47"/>
      <c r="I32" s="38"/>
      <c r="J32" s="38"/>
      <c r="K32" s="47"/>
      <c r="L32" s="47"/>
      <c r="M32" s="38"/>
      <c r="N32" s="38"/>
      <c r="O32" s="47"/>
      <c r="P32" s="47"/>
      <c r="Q32" s="38"/>
      <c r="R32" s="38"/>
      <c r="S32" s="47"/>
      <c r="T32" s="47"/>
      <c r="U32" s="38"/>
      <c r="V32" s="38"/>
      <c r="W32" s="47"/>
      <c r="X32" s="47"/>
      <c r="Y32" s="38"/>
      <c r="Z32" s="38"/>
      <c r="AA32" s="47"/>
      <c r="AB32" s="47"/>
      <c r="AC32" s="38"/>
      <c r="AD32" s="38"/>
      <c r="AE32" s="47"/>
      <c r="AF32" s="38"/>
    </row>
    <row r="33" spans="1:32" s="1" customFormat="1" hidden="1">
      <c r="A33" s="16"/>
      <c r="B33" s="16"/>
      <c r="C33" s="16"/>
      <c r="D33" s="95" t="s">
        <v>5</v>
      </c>
      <c r="E33" s="142" t="s">
        <v>313</v>
      </c>
      <c r="F33" s="97"/>
      <c r="G33" s="47"/>
      <c r="H33" s="47"/>
      <c r="I33" s="38"/>
      <c r="J33" s="38"/>
      <c r="K33" s="47"/>
      <c r="L33" s="47"/>
      <c r="M33" s="38"/>
      <c r="N33" s="38"/>
      <c r="O33" s="47"/>
      <c r="P33" s="47"/>
      <c r="Q33" s="38"/>
      <c r="R33" s="38"/>
      <c r="S33" s="47"/>
      <c r="T33" s="47"/>
      <c r="U33" s="38"/>
      <c r="V33" s="38"/>
      <c r="W33" s="47"/>
      <c r="X33" s="47"/>
      <c r="Y33" s="38"/>
      <c r="Z33" s="38"/>
      <c r="AA33" s="47"/>
      <c r="AB33" s="47"/>
      <c r="AC33" s="38"/>
      <c r="AD33" s="38"/>
      <c r="AE33" s="47"/>
      <c r="AF33" s="38"/>
    </row>
    <row r="34" spans="1:32" s="1" customFormat="1" hidden="1">
      <c r="A34" s="16"/>
      <c r="B34" s="4"/>
      <c r="C34" s="4"/>
      <c r="D34" s="5"/>
      <c r="E34" s="10" t="s">
        <v>6</v>
      </c>
      <c r="F34" s="11" t="s">
        <v>314</v>
      </c>
      <c r="G34" s="47"/>
      <c r="H34" s="47"/>
      <c r="I34" s="143"/>
      <c r="J34" s="38"/>
      <c r="K34" s="47"/>
      <c r="L34" s="47"/>
      <c r="M34" s="143"/>
      <c r="N34" s="38"/>
      <c r="O34" s="47"/>
      <c r="P34" s="47"/>
      <c r="Q34" s="143"/>
      <c r="R34" s="38"/>
      <c r="S34" s="47"/>
      <c r="T34" s="47"/>
      <c r="U34" s="143"/>
      <c r="V34" s="38"/>
      <c r="W34" s="47"/>
      <c r="X34" s="47"/>
      <c r="Y34" s="143"/>
      <c r="Z34" s="38"/>
      <c r="AA34" s="47"/>
      <c r="AB34" s="47"/>
      <c r="AC34" s="143"/>
      <c r="AD34" s="38"/>
      <c r="AE34" s="47"/>
      <c r="AF34" s="38"/>
    </row>
    <row r="35" spans="1:32" s="1" customFormat="1" hidden="1">
      <c r="A35" s="16"/>
      <c r="B35" s="16"/>
      <c r="C35" s="16"/>
      <c r="D35" s="95" t="s">
        <v>5</v>
      </c>
      <c r="E35" s="96" t="s">
        <v>140</v>
      </c>
      <c r="F35" s="97"/>
      <c r="G35" s="47"/>
      <c r="H35" s="47"/>
      <c r="I35" s="38"/>
      <c r="J35" s="38"/>
      <c r="K35" s="47"/>
      <c r="L35" s="47"/>
      <c r="M35" s="38"/>
      <c r="N35" s="38"/>
      <c r="O35" s="47"/>
      <c r="P35" s="47"/>
      <c r="Q35" s="38"/>
      <c r="R35" s="38"/>
      <c r="S35" s="47"/>
      <c r="T35" s="47"/>
      <c r="U35" s="38"/>
      <c r="V35" s="38"/>
      <c r="W35" s="47"/>
      <c r="X35" s="47"/>
      <c r="Y35" s="38"/>
      <c r="Z35" s="38"/>
      <c r="AA35" s="47"/>
      <c r="AB35" s="47"/>
      <c r="AC35" s="38"/>
      <c r="AD35" s="38"/>
      <c r="AE35" s="47"/>
      <c r="AF35" s="38"/>
    </row>
    <row r="36" spans="1:32" s="1" customFormat="1" hidden="1">
      <c r="A36" s="4"/>
      <c r="B36" s="4"/>
      <c r="C36" s="4"/>
      <c r="D36" s="5"/>
      <c r="E36" s="10" t="s">
        <v>6</v>
      </c>
      <c r="F36" s="11" t="s">
        <v>141</v>
      </c>
      <c r="G36" s="47"/>
      <c r="H36" s="47"/>
      <c r="I36" s="38"/>
      <c r="J36" s="38"/>
      <c r="K36" s="47"/>
      <c r="L36" s="47"/>
      <c r="M36" s="38"/>
      <c r="N36" s="38"/>
      <c r="O36" s="47"/>
      <c r="P36" s="47"/>
      <c r="Q36" s="38"/>
      <c r="R36" s="38"/>
      <c r="S36" s="47"/>
      <c r="T36" s="47"/>
      <c r="U36" s="38"/>
      <c r="V36" s="38"/>
      <c r="W36" s="47"/>
      <c r="X36" s="47"/>
      <c r="Y36" s="38"/>
      <c r="Z36" s="38"/>
      <c r="AA36" s="47"/>
      <c r="AB36" s="47"/>
      <c r="AC36" s="38"/>
      <c r="AD36" s="38"/>
      <c r="AE36" s="47"/>
      <c r="AF36" s="38"/>
    </row>
    <row r="37" spans="1:32" s="1" customFormat="1">
      <c r="A37" s="16"/>
      <c r="B37" s="16"/>
      <c r="C37" s="16" t="s">
        <v>73</v>
      </c>
      <c r="D37" s="4" t="s">
        <v>252</v>
      </c>
      <c r="E37" s="5"/>
      <c r="F37" s="9"/>
      <c r="G37" s="47"/>
      <c r="H37" s="47"/>
      <c r="I37" s="38"/>
      <c r="J37" s="38"/>
      <c r="K37" s="47"/>
      <c r="L37" s="47"/>
      <c r="M37" s="38"/>
      <c r="N37" s="38"/>
      <c r="O37" s="47"/>
      <c r="P37" s="47"/>
      <c r="Q37" s="38"/>
      <c r="R37" s="38"/>
      <c r="S37" s="47"/>
      <c r="T37" s="47"/>
      <c r="U37" s="38"/>
      <c r="V37" s="38"/>
      <c r="W37" s="47"/>
      <c r="X37" s="47"/>
      <c r="Y37" s="38"/>
      <c r="Z37" s="38"/>
      <c r="AA37" s="47"/>
      <c r="AB37" s="47"/>
      <c r="AC37" s="38"/>
      <c r="AD37" s="38"/>
      <c r="AE37" s="47"/>
      <c r="AF37" s="38"/>
    </row>
    <row r="38" spans="1:32" s="1" customFormat="1">
      <c r="A38" s="16"/>
      <c r="B38" s="16"/>
      <c r="C38" s="16"/>
      <c r="D38" s="95" t="s">
        <v>5</v>
      </c>
      <c r="E38" s="96" t="s">
        <v>253</v>
      </c>
      <c r="F38" s="97"/>
      <c r="G38" s="47"/>
      <c r="H38" s="47"/>
      <c r="I38" s="38"/>
      <c r="J38" s="38"/>
      <c r="K38" s="47"/>
      <c r="L38" s="47"/>
      <c r="M38" s="38"/>
      <c r="N38" s="38"/>
      <c r="O38" s="47"/>
      <c r="P38" s="47"/>
      <c r="Q38" s="38"/>
      <c r="R38" s="38"/>
      <c r="S38" s="47"/>
      <c r="T38" s="47"/>
      <c r="U38" s="38"/>
      <c r="V38" s="38"/>
      <c r="W38" s="47"/>
      <c r="X38" s="47"/>
      <c r="Y38" s="38"/>
      <c r="Z38" s="38"/>
      <c r="AA38" s="47"/>
      <c r="AB38" s="47"/>
      <c r="AC38" s="38"/>
      <c r="AD38" s="38"/>
      <c r="AE38" s="47"/>
      <c r="AF38" s="38"/>
    </row>
    <row r="39" spans="1:32">
      <c r="A39" s="118"/>
      <c r="B39" s="118"/>
      <c r="C39" s="118"/>
      <c r="D39" s="118"/>
      <c r="E39" s="119" t="s">
        <v>6</v>
      </c>
      <c r="F39" s="11" t="s">
        <v>254</v>
      </c>
      <c r="G39" s="117"/>
      <c r="H39" s="117">
        <v>23</v>
      </c>
      <c r="I39" s="137">
        <v>6</v>
      </c>
      <c r="J39" s="137">
        <v>1</v>
      </c>
      <c r="K39" s="117">
        <v>7</v>
      </c>
      <c r="L39" s="117">
        <v>19</v>
      </c>
      <c r="M39" s="137">
        <v>1</v>
      </c>
      <c r="N39" s="137">
        <v>6</v>
      </c>
      <c r="O39" s="117">
        <v>4</v>
      </c>
      <c r="P39" s="117">
        <v>56</v>
      </c>
      <c r="Q39" s="137">
        <v>7</v>
      </c>
      <c r="R39" s="137">
        <v>20</v>
      </c>
      <c r="S39" s="117">
        <v>5</v>
      </c>
      <c r="T39" s="117">
        <v>52</v>
      </c>
      <c r="U39" s="137">
        <v>2</v>
      </c>
      <c r="V39" s="137">
        <v>8</v>
      </c>
      <c r="W39" s="117"/>
      <c r="X39" s="117">
        <v>14</v>
      </c>
      <c r="Y39" s="137"/>
      <c r="Z39" s="137"/>
      <c r="AA39" s="117">
        <v>4</v>
      </c>
      <c r="AB39" s="117"/>
      <c r="AC39" s="137"/>
      <c r="AD39" s="137">
        <v>3</v>
      </c>
      <c r="AE39" s="117"/>
      <c r="AF39" s="137"/>
    </row>
    <row r="40" spans="1:32" s="1" customFormat="1" hidden="1">
      <c r="A40" s="16"/>
      <c r="B40" s="16"/>
      <c r="C40" s="16" t="s">
        <v>73</v>
      </c>
      <c r="D40" s="28" t="s">
        <v>255</v>
      </c>
      <c r="E40" s="98"/>
      <c r="F40" s="11"/>
      <c r="G40" s="47"/>
      <c r="H40" s="47"/>
      <c r="I40" s="38"/>
      <c r="J40" s="38"/>
      <c r="K40" s="47"/>
      <c r="L40" s="47"/>
      <c r="M40" s="38"/>
      <c r="N40" s="38"/>
      <c r="O40" s="47"/>
      <c r="P40" s="47"/>
      <c r="Q40" s="38"/>
      <c r="R40" s="38"/>
      <c r="S40" s="47"/>
      <c r="T40" s="47"/>
      <c r="U40" s="38"/>
      <c r="V40" s="38"/>
      <c r="W40" s="47"/>
      <c r="X40" s="47"/>
      <c r="Y40" s="38"/>
      <c r="Z40" s="38"/>
      <c r="AA40" s="47"/>
      <c r="AB40" s="47"/>
      <c r="AC40" s="38"/>
      <c r="AD40" s="38"/>
      <c r="AE40" s="47"/>
      <c r="AF40" s="38"/>
    </row>
    <row r="41" spans="1:32" s="1" customFormat="1" hidden="1">
      <c r="A41" s="16"/>
      <c r="B41" s="16"/>
      <c r="C41" s="16"/>
      <c r="D41" s="98" t="s">
        <v>5</v>
      </c>
      <c r="E41" s="99" t="s">
        <v>256</v>
      </c>
      <c r="F41" s="11"/>
      <c r="G41" s="47"/>
      <c r="H41" s="47"/>
      <c r="I41" s="38"/>
      <c r="J41" s="38"/>
      <c r="K41" s="47"/>
      <c r="L41" s="47"/>
      <c r="M41" s="38"/>
      <c r="N41" s="38"/>
      <c r="O41" s="47"/>
      <c r="P41" s="47"/>
      <c r="Q41" s="38"/>
      <c r="R41" s="38"/>
      <c r="S41" s="47"/>
      <c r="T41" s="47"/>
      <c r="U41" s="38"/>
      <c r="V41" s="38"/>
      <c r="W41" s="47"/>
      <c r="X41" s="47"/>
      <c r="Y41" s="38"/>
      <c r="Z41" s="38"/>
      <c r="AA41" s="47"/>
      <c r="AB41" s="47"/>
      <c r="AC41" s="38"/>
      <c r="AD41" s="38"/>
      <c r="AE41" s="47"/>
      <c r="AF41" s="38"/>
    </row>
    <row r="42" spans="1:32" hidden="1">
      <c r="A42" s="4"/>
      <c r="B42" s="4"/>
      <c r="C42" s="4"/>
      <c r="D42" s="101"/>
      <c r="E42" s="102" t="s">
        <v>6</v>
      </c>
      <c r="F42" s="11" t="s">
        <v>257</v>
      </c>
      <c r="G42" s="103"/>
      <c r="H42" s="103"/>
      <c r="I42" s="135"/>
      <c r="J42" s="135"/>
      <c r="K42" s="103"/>
      <c r="L42" s="103"/>
      <c r="M42" s="135"/>
      <c r="N42" s="135"/>
      <c r="O42" s="103"/>
      <c r="P42" s="103"/>
      <c r="Q42" s="135"/>
      <c r="R42" s="135"/>
      <c r="S42" s="103"/>
      <c r="T42" s="103"/>
      <c r="U42" s="135"/>
      <c r="V42" s="135"/>
      <c r="W42" s="103"/>
      <c r="X42" s="103"/>
      <c r="Y42" s="135"/>
      <c r="Z42" s="135"/>
      <c r="AA42" s="103"/>
      <c r="AB42" s="103"/>
      <c r="AC42" s="135"/>
      <c r="AD42" s="135"/>
      <c r="AE42" s="103"/>
      <c r="AF42" s="135"/>
    </row>
    <row r="43" spans="1:32" hidden="1">
      <c r="A43" s="4"/>
      <c r="B43" s="4"/>
      <c r="C43" s="4"/>
      <c r="D43" s="10" t="s">
        <v>5</v>
      </c>
      <c r="E43" s="12" t="s">
        <v>161</v>
      </c>
      <c r="F43" s="11"/>
      <c r="G43" s="21"/>
      <c r="H43" s="21"/>
      <c r="I43" s="58"/>
      <c r="J43" s="58"/>
      <c r="K43" s="21"/>
      <c r="L43" s="21"/>
      <c r="M43" s="58"/>
      <c r="N43" s="58"/>
      <c r="O43" s="21"/>
      <c r="P43" s="21"/>
      <c r="Q43" s="58"/>
      <c r="R43" s="58"/>
      <c r="S43" s="21"/>
      <c r="T43" s="21"/>
      <c r="U43" s="58"/>
      <c r="V43" s="58"/>
      <c r="W43" s="21"/>
      <c r="X43" s="21"/>
      <c r="Y43" s="58"/>
      <c r="Z43" s="58"/>
      <c r="AA43" s="21"/>
      <c r="AB43" s="21"/>
      <c r="AC43" s="58"/>
      <c r="AD43" s="58"/>
      <c r="AE43" s="21"/>
      <c r="AF43" s="58"/>
    </row>
    <row r="44" spans="1:32" hidden="1">
      <c r="A44" s="16"/>
      <c r="B44" s="16"/>
      <c r="C44" s="16"/>
      <c r="D44" s="10"/>
      <c r="E44" s="10" t="s">
        <v>6</v>
      </c>
      <c r="F44" s="11" t="s">
        <v>114</v>
      </c>
      <c r="G44" s="21"/>
      <c r="H44" s="21"/>
      <c r="I44" s="58"/>
      <c r="J44" s="58"/>
      <c r="K44" s="21"/>
      <c r="L44" s="21"/>
      <c r="M44" s="58"/>
      <c r="N44" s="58"/>
      <c r="O44" s="21"/>
      <c r="P44" s="21"/>
      <c r="Q44" s="58"/>
      <c r="R44" s="58"/>
      <c r="S44" s="21"/>
      <c r="T44" s="21"/>
      <c r="U44" s="58"/>
      <c r="V44" s="58"/>
      <c r="W44" s="21"/>
      <c r="X44" s="21"/>
      <c r="Y44" s="58"/>
      <c r="Z44" s="58"/>
      <c r="AA44" s="21"/>
      <c r="AB44" s="21"/>
      <c r="AC44" s="58"/>
      <c r="AD44" s="58"/>
      <c r="AE44" s="21"/>
      <c r="AF44" s="58"/>
    </row>
    <row r="45" spans="1:32">
      <c r="A45" s="16"/>
      <c r="B45" s="16"/>
      <c r="C45" s="16" t="s">
        <v>73</v>
      </c>
      <c r="D45" s="28" t="s">
        <v>86</v>
      </c>
      <c r="E45" s="10"/>
      <c r="F45" s="11"/>
      <c r="G45" s="21"/>
      <c r="H45" s="21"/>
      <c r="I45" s="58"/>
      <c r="J45" s="58"/>
      <c r="K45" s="21"/>
      <c r="L45" s="21"/>
      <c r="M45" s="58"/>
      <c r="N45" s="58"/>
      <c r="O45" s="21"/>
      <c r="P45" s="21"/>
      <c r="Q45" s="58"/>
      <c r="R45" s="58"/>
      <c r="S45" s="21"/>
      <c r="T45" s="21"/>
      <c r="U45" s="58"/>
      <c r="V45" s="58"/>
      <c r="W45" s="21"/>
      <c r="X45" s="21"/>
      <c r="Y45" s="58"/>
      <c r="Z45" s="58"/>
      <c r="AA45" s="21"/>
      <c r="AB45" s="21"/>
      <c r="AC45" s="58"/>
      <c r="AD45" s="58"/>
      <c r="AE45" s="21"/>
      <c r="AF45" s="58"/>
    </row>
    <row r="46" spans="1:32">
      <c r="A46" s="16"/>
      <c r="B46" s="16"/>
      <c r="C46" s="16"/>
      <c r="D46" s="10" t="s">
        <v>5</v>
      </c>
      <c r="E46" s="12" t="s">
        <v>87</v>
      </c>
      <c r="F46" s="11"/>
      <c r="G46" s="21"/>
      <c r="H46" s="21"/>
      <c r="I46" s="58"/>
      <c r="J46" s="58"/>
      <c r="K46" s="21"/>
      <c r="L46" s="21"/>
      <c r="M46" s="58"/>
      <c r="N46" s="58"/>
      <c r="O46" s="21"/>
      <c r="P46" s="21"/>
      <c r="Q46" s="58"/>
      <c r="R46" s="58"/>
      <c r="S46" s="21"/>
      <c r="T46" s="21"/>
      <c r="U46" s="58"/>
      <c r="V46" s="58"/>
      <c r="W46" s="21"/>
      <c r="X46" s="21"/>
      <c r="Y46" s="58"/>
      <c r="Z46" s="58"/>
      <c r="AA46" s="21"/>
      <c r="AB46" s="21"/>
      <c r="AC46" s="58"/>
      <c r="AD46" s="58"/>
      <c r="AE46" s="21"/>
      <c r="AF46" s="58"/>
    </row>
    <row r="47" spans="1:32">
      <c r="A47" s="4"/>
      <c r="B47" s="4"/>
      <c r="C47" s="4"/>
      <c r="D47" s="5"/>
      <c r="E47" s="10" t="s">
        <v>6</v>
      </c>
      <c r="F47" s="11" t="s">
        <v>34</v>
      </c>
      <c r="G47" s="21"/>
      <c r="H47" s="21"/>
      <c r="I47" s="58"/>
      <c r="J47" s="58">
        <v>3</v>
      </c>
      <c r="K47" s="21"/>
      <c r="L47" s="21"/>
      <c r="M47" s="58"/>
      <c r="N47" s="58"/>
      <c r="O47" s="21"/>
      <c r="P47" s="21"/>
      <c r="Q47" s="58"/>
      <c r="R47" s="58">
        <v>1</v>
      </c>
      <c r="S47" s="21"/>
      <c r="T47" s="21">
        <v>2</v>
      </c>
      <c r="U47" s="58"/>
      <c r="V47" s="58">
        <v>1</v>
      </c>
      <c r="W47" s="21">
        <v>2</v>
      </c>
      <c r="X47" s="21"/>
      <c r="Y47" s="58"/>
      <c r="Z47" s="58">
        <v>22</v>
      </c>
      <c r="AA47" s="21">
        <v>1</v>
      </c>
      <c r="AB47" s="21"/>
      <c r="AC47" s="58">
        <v>13</v>
      </c>
      <c r="AD47" s="58">
        <v>12</v>
      </c>
      <c r="AE47" s="21"/>
      <c r="AF47" s="58"/>
    </row>
    <row r="48" spans="1:32" hidden="1">
      <c r="A48" s="16"/>
      <c r="B48" s="16"/>
      <c r="C48" s="16"/>
      <c r="D48" s="10" t="s">
        <v>5</v>
      </c>
      <c r="E48" s="165" t="s">
        <v>363</v>
      </c>
      <c r="F48" s="11"/>
      <c r="G48" s="21"/>
      <c r="H48" s="21"/>
      <c r="I48" s="58"/>
      <c r="J48" s="58"/>
      <c r="K48" s="21"/>
      <c r="L48" s="21"/>
      <c r="M48" s="58"/>
      <c r="N48" s="58"/>
      <c r="O48" s="21"/>
      <c r="P48" s="21"/>
      <c r="Q48" s="58"/>
      <c r="R48" s="58"/>
      <c r="S48" s="21"/>
      <c r="T48" s="21"/>
      <c r="U48" s="58"/>
      <c r="V48" s="58"/>
      <c r="W48" s="21"/>
      <c r="X48" s="21"/>
      <c r="Y48" s="58"/>
      <c r="Z48" s="58"/>
      <c r="AA48" s="21"/>
      <c r="AB48" s="21"/>
      <c r="AC48" s="58"/>
      <c r="AD48" s="58"/>
      <c r="AE48" s="21"/>
      <c r="AF48" s="58"/>
    </row>
    <row r="49" spans="1:32" hidden="1">
      <c r="A49" s="4"/>
      <c r="B49" s="4"/>
      <c r="C49" s="4"/>
      <c r="D49" s="5"/>
      <c r="E49" s="10" t="s">
        <v>6</v>
      </c>
      <c r="F49" s="11" t="s">
        <v>364</v>
      </c>
      <c r="G49" s="21"/>
      <c r="H49" s="21"/>
      <c r="I49" s="58"/>
      <c r="J49" s="58"/>
      <c r="K49" s="21"/>
      <c r="L49" s="21"/>
      <c r="M49" s="58"/>
      <c r="N49" s="58"/>
      <c r="O49" s="21"/>
      <c r="P49" s="21"/>
      <c r="Q49" s="58"/>
      <c r="R49" s="58"/>
      <c r="S49" s="21"/>
      <c r="T49" s="21"/>
      <c r="U49" s="58"/>
      <c r="V49" s="58"/>
      <c r="W49" s="21"/>
      <c r="X49" s="21"/>
      <c r="Y49" s="58"/>
      <c r="Z49" s="58"/>
      <c r="AA49" s="21"/>
      <c r="AB49" s="21"/>
      <c r="AC49" s="58"/>
      <c r="AD49" s="58"/>
      <c r="AE49" s="21"/>
      <c r="AF49" s="58"/>
    </row>
    <row r="50" spans="1:32">
      <c r="A50" s="4"/>
      <c r="B50" s="4"/>
      <c r="C50" s="16" t="s">
        <v>73</v>
      </c>
      <c r="D50" s="4" t="s">
        <v>88</v>
      </c>
      <c r="E50" s="10"/>
      <c r="F50" s="11"/>
      <c r="G50" s="21"/>
      <c r="H50" s="21"/>
      <c r="I50" s="58"/>
      <c r="J50" s="58"/>
      <c r="K50" s="21"/>
      <c r="L50" s="21"/>
      <c r="M50" s="58"/>
      <c r="N50" s="58"/>
      <c r="O50" s="21"/>
      <c r="P50" s="21"/>
      <c r="Q50" s="58"/>
      <c r="R50" s="58"/>
      <c r="S50" s="21"/>
      <c r="T50" s="21"/>
      <c r="U50" s="58"/>
      <c r="V50" s="58"/>
      <c r="W50" s="21"/>
      <c r="X50" s="21"/>
      <c r="Y50" s="58"/>
      <c r="Z50" s="58"/>
      <c r="AA50" s="21"/>
      <c r="AB50" s="21"/>
      <c r="AC50" s="58"/>
      <c r="AD50" s="58"/>
      <c r="AE50" s="21"/>
      <c r="AF50" s="58"/>
    </row>
    <row r="51" spans="1:32">
      <c r="A51" s="4"/>
      <c r="B51" s="4"/>
      <c r="C51" s="4"/>
      <c r="D51" s="10" t="s">
        <v>5</v>
      </c>
      <c r="E51" s="5" t="s">
        <v>35</v>
      </c>
      <c r="F51" s="9"/>
      <c r="G51" s="21"/>
      <c r="H51" s="21"/>
      <c r="I51" s="58"/>
      <c r="J51" s="58"/>
      <c r="K51" s="21"/>
      <c r="L51" s="21"/>
      <c r="M51" s="58"/>
      <c r="N51" s="58"/>
      <c r="O51" s="21"/>
      <c r="P51" s="21"/>
      <c r="Q51" s="58"/>
      <c r="R51" s="58"/>
      <c r="S51" s="21"/>
      <c r="T51" s="21"/>
      <c r="U51" s="58"/>
      <c r="V51" s="58"/>
      <c r="W51" s="21"/>
      <c r="X51" s="21"/>
      <c r="Y51" s="58"/>
      <c r="Z51" s="58"/>
      <c r="AA51" s="21"/>
      <c r="AB51" s="21"/>
      <c r="AC51" s="58"/>
      <c r="AD51" s="58"/>
      <c r="AE51" s="21"/>
      <c r="AF51" s="58"/>
    </row>
    <row r="52" spans="1:32" hidden="1">
      <c r="A52" s="4"/>
      <c r="B52" s="4"/>
      <c r="C52" s="4"/>
      <c r="D52" s="5"/>
      <c r="F52" s="11" t="s">
        <v>36</v>
      </c>
      <c r="G52" s="21"/>
      <c r="H52" s="21"/>
      <c r="I52" s="58"/>
      <c r="J52" s="58"/>
      <c r="K52" s="21"/>
      <c r="L52" s="21"/>
      <c r="M52" s="58"/>
      <c r="N52" s="58"/>
      <c r="O52" s="21"/>
      <c r="P52" s="21"/>
      <c r="Q52" s="58"/>
      <c r="R52" s="58"/>
      <c r="S52" s="21"/>
      <c r="T52" s="21"/>
      <c r="U52" s="58"/>
      <c r="V52" s="58"/>
      <c r="W52" s="21"/>
      <c r="X52" s="21"/>
      <c r="Y52" s="58"/>
      <c r="Z52" s="58"/>
      <c r="AA52" s="21"/>
      <c r="AB52" s="21"/>
      <c r="AC52" s="58"/>
      <c r="AD52" s="58"/>
      <c r="AE52" s="21"/>
      <c r="AF52" s="58"/>
    </row>
    <row r="53" spans="1:32">
      <c r="A53" s="4"/>
      <c r="B53" s="4"/>
      <c r="C53" s="4"/>
      <c r="D53" s="4"/>
      <c r="E53" s="10" t="s">
        <v>6</v>
      </c>
      <c r="F53" s="76" t="s">
        <v>145</v>
      </c>
      <c r="G53" s="21">
        <v>7</v>
      </c>
      <c r="H53" s="21">
        <v>10</v>
      </c>
      <c r="I53" s="58">
        <v>2</v>
      </c>
      <c r="J53" s="58">
        <v>1</v>
      </c>
      <c r="K53" s="21">
        <v>6</v>
      </c>
      <c r="L53" s="21">
        <v>3</v>
      </c>
      <c r="M53" s="58">
        <v>1</v>
      </c>
      <c r="N53" s="58">
        <v>5</v>
      </c>
      <c r="O53" s="21">
        <v>7</v>
      </c>
      <c r="P53" s="21">
        <v>6</v>
      </c>
      <c r="Q53" s="58">
        <v>2</v>
      </c>
      <c r="R53" s="58">
        <v>1</v>
      </c>
      <c r="S53" s="21">
        <v>2</v>
      </c>
      <c r="T53" s="21">
        <v>1</v>
      </c>
      <c r="U53" s="58"/>
      <c r="V53" s="58">
        <v>1</v>
      </c>
      <c r="W53" s="21">
        <v>1</v>
      </c>
      <c r="X53" s="21"/>
      <c r="Y53" s="58">
        <v>1</v>
      </c>
      <c r="Z53" s="58">
        <v>1</v>
      </c>
      <c r="AA53" s="21">
        <v>2</v>
      </c>
      <c r="AB53" s="21"/>
      <c r="AC53" s="58">
        <v>6</v>
      </c>
      <c r="AD53" s="58">
        <v>2</v>
      </c>
      <c r="AE53" s="21">
        <v>1</v>
      </c>
      <c r="AF53" s="58">
        <v>2</v>
      </c>
    </row>
    <row r="54" spans="1:32">
      <c r="A54" s="4"/>
      <c r="B54" s="4"/>
      <c r="C54" s="16" t="s">
        <v>73</v>
      </c>
      <c r="D54" s="4" t="s">
        <v>258</v>
      </c>
      <c r="E54" s="10"/>
      <c r="F54" s="11"/>
      <c r="G54" s="21"/>
      <c r="H54" s="21"/>
      <c r="I54" s="58"/>
      <c r="J54" s="58"/>
      <c r="K54" s="21"/>
      <c r="L54" s="21"/>
      <c r="M54" s="58"/>
      <c r="N54" s="58"/>
      <c r="O54" s="21"/>
      <c r="P54" s="21"/>
      <c r="Q54" s="58"/>
      <c r="R54" s="58"/>
      <c r="S54" s="21"/>
      <c r="T54" s="21"/>
      <c r="U54" s="58"/>
      <c r="V54" s="58"/>
      <c r="W54" s="21"/>
      <c r="X54" s="21"/>
      <c r="Y54" s="58"/>
      <c r="Z54" s="58"/>
      <c r="AA54" s="21"/>
      <c r="AB54" s="21"/>
      <c r="AC54" s="58"/>
      <c r="AD54" s="58"/>
      <c r="AE54" s="21"/>
      <c r="AF54" s="58"/>
    </row>
    <row r="55" spans="1:32">
      <c r="A55" s="4"/>
      <c r="B55" s="4"/>
      <c r="C55" s="4"/>
      <c r="D55" s="10" t="s">
        <v>5</v>
      </c>
      <c r="E55" s="101" t="s">
        <v>259</v>
      </c>
      <c r="F55" s="9"/>
      <c r="G55" s="21"/>
      <c r="H55" s="21"/>
      <c r="I55" s="58"/>
      <c r="J55" s="58"/>
      <c r="K55" s="21"/>
      <c r="L55" s="21"/>
      <c r="M55" s="58"/>
      <c r="N55" s="58"/>
      <c r="O55" s="21"/>
      <c r="P55" s="21"/>
      <c r="Q55" s="58"/>
      <c r="R55" s="58"/>
      <c r="S55" s="21"/>
      <c r="T55" s="21"/>
      <c r="U55" s="58"/>
      <c r="V55" s="58"/>
      <c r="W55" s="21"/>
      <c r="X55" s="21"/>
      <c r="Y55" s="58"/>
      <c r="Z55" s="58"/>
      <c r="AA55" s="21"/>
      <c r="AB55" s="21"/>
      <c r="AC55" s="58"/>
      <c r="AD55" s="58"/>
      <c r="AE55" s="21"/>
      <c r="AF55" s="58"/>
    </row>
    <row r="56" spans="1:32">
      <c r="A56" s="4"/>
      <c r="B56" s="4"/>
      <c r="C56" s="4"/>
      <c r="D56" s="5"/>
      <c r="E56" s="10" t="s">
        <v>6</v>
      </c>
      <c r="F56" s="11" t="s">
        <v>260</v>
      </c>
      <c r="G56" s="21"/>
      <c r="H56" s="21"/>
      <c r="I56" s="58"/>
      <c r="J56" s="58"/>
      <c r="K56" s="21"/>
      <c r="L56" s="21"/>
      <c r="M56" s="58"/>
      <c r="N56" s="58"/>
      <c r="O56" s="21"/>
      <c r="P56" s="21"/>
      <c r="Q56" s="58"/>
      <c r="R56" s="58"/>
      <c r="S56" s="21"/>
      <c r="T56" s="21"/>
      <c r="U56" s="58">
        <v>1</v>
      </c>
      <c r="V56" s="58"/>
      <c r="W56" s="21"/>
      <c r="X56" s="21"/>
      <c r="Y56" s="58"/>
      <c r="Z56" s="58"/>
      <c r="AA56" s="21"/>
      <c r="AB56" s="21"/>
      <c r="AC56" s="58"/>
      <c r="AD56" s="58"/>
      <c r="AE56" s="21"/>
      <c r="AF56" s="58"/>
    </row>
    <row r="57" spans="1:32">
      <c r="A57" s="4"/>
      <c r="B57" s="4"/>
      <c r="C57" s="16" t="s">
        <v>73</v>
      </c>
      <c r="D57" s="4" t="s">
        <v>90</v>
      </c>
      <c r="E57" s="10"/>
      <c r="F57" s="11"/>
      <c r="G57" s="21"/>
      <c r="H57" s="21"/>
      <c r="I57" s="58"/>
      <c r="J57" s="58"/>
      <c r="K57" s="21"/>
      <c r="L57" s="21"/>
      <c r="M57" s="58"/>
      <c r="N57" s="58"/>
      <c r="O57" s="21"/>
      <c r="P57" s="21"/>
      <c r="Q57" s="58"/>
      <c r="R57" s="58"/>
      <c r="S57" s="21"/>
      <c r="T57" s="21"/>
      <c r="U57" s="58"/>
      <c r="V57" s="58"/>
      <c r="W57" s="21"/>
      <c r="X57" s="21"/>
      <c r="Y57" s="58"/>
      <c r="Z57" s="58"/>
      <c r="AA57" s="21"/>
      <c r="AB57" s="21"/>
      <c r="AC57" s="58"/>
      <c r="AD57" s="58"/>
      <c r="AE57" s="21"/>
      <c r="AF57" s="58"/>
    </row>
    <row r="58" spans="1:32" hidden="1">
      <c r="A58" s="4"/>
      <c r="B58" s="4"/>
      <c r="C58" s="4"/>
      <c r="D58" s="10" t="s">
        <v>5</v>
      </c>
      <c r="E58" s="164" t="s">
        <v>372</v>
      </c>
      <c r="F58" s="9"/>
      <c r="G58" s="21"/>
      <c r="H58" s="21"/>
      <c r="I58" s="58"/>
      <c r="J58" s="58"/>
      <c r="K58" s="21"/>
      <c r="L58" s="21"/>
      <c r="M58" s="58"/>
      <c r="N58" s="58"/>
      <c r="O58" s="21"/>
      <c r="P58" s="21"/>
      <c r="Q58" s="58"/>
      <c r="R58" s="58"/>
      <c r="S58" s="21"/>
      <c r="T58" s="21"/>
      <c r="U58" s="58"/>
      <c r="V58" s="58"/>
      <c r="W58" s="21"/>
      <c r="X58" s="21"/>
      <c r="Y58" s="58"/>
      <c r="Z58" s="58"/>
      <c r="AA58" s="21"/>
      <c r="AB58" s="21"/>
      <c r="AC58" s="58"/>
      <c r="AD58" s="58"/>
      <c r="AE58" s="21"/>
      <c r="AF58" s="58"/>
    </row>
    <row r="59" spans="1:32" hidden="1">
      <c r="A59" s="4"/>
      <c r="B59" s="4"/>
      <c r="C59" s="4"/>
      <c r="D59" s="5"/>
      <c r="E59" s="10" t="s">
        <v>6</v>
      </c>
      <c r="F59" s="11" t="s">
        <v>373</v>
      </c>
      <c r="G59" s="21"/>
      <c r="H59" s="21"/>
      <c r="I59" s="58"/>
      <c r="J59" s="58"/>
      <c r="K59" s="21"/>
      <c r="L59" s="21"/>
      <c r="M59" s="58"/>
      <c r="N59" s="58"/>
      <c r="O59" s="21"/>
      <c r="P59" s="21"/>
      <c r="Q59" s="58"/>
      <c r="R59" s="58"/>
      <c r="S59" s="21"/>
      <c r="T59" s="21"/>
      <c r="U59" s="58"/>
      <c r="V59" s="58"/>
      <c r="W59" s="21"/>
      <c r="X59" s="21"/>
      <c r="Y59" s="58"/>
      <c r="Z59" s="58"/>
      <c r="AA59" s="21"/>
      <c r="AB59" s="21"/>
      <c r="AC59" s="58"/>
      <c r="AD59" s="58"/>
      <c r="AE59" s="21"/>
      <c r="AF59" s="58"/>
    </row>
    <row r="60" spans="1:32" hidden="1">
      <c r="A60" s="4"/>
      <c r="B60" s="4"/>
      <c r="C60" s="4"/>
      <c r="D60" s="10" t="s">
        <v>5</v>
      </c>
      <c r="E60" s="94" t="s">
        <v>246</v>
      </c>
      <c r="F60" s="9"/>
      <c r="G60" s="21"/>
      <c r="H60" s="21"/>
      <c r="I60" s="58"/>
      <c r="J60" s="58"/>
      <c r="K60" s="21"/>
      <c r="L60" s="21"/>
      <c r="M60" s="58"/>
      <c r="N60" s="58"/>
      <c r="O60" s="21"/>
      <c r="P60" s="21"/>
      <c r="Q60" s="58"/>
      <c r="R60" s="58"/>
      <c r="S60" s="21"/>
      <c r="T60" s="21"/>
      <c r="U60" s="58"/>
      <c r="V60" s="58"/>
      <c r="W60" s="21"/>
      <c r="X60" s="21"/>
      <c r="Y60" s="58"/>
      <c r="Z60" s="58"/>
      <c r="AA60" s="21"/>
      <c r="AB60" s="21"/>
      <c r="AC60" s="58"/>
      <c r="AD60" s="58"/>
      <c r="AE60" s="21"/>
      <c r="AF60" s="58"/>
    </row>
    <row r="61" spans="1:32" hidden="1">
      <c r="A61" s="4"/>
      <c r="B61" s="4"/>
      <c r="C61" s="4"/>
      <c r="D61" s="5"/>
      <c r="E61" s="10" t="s">
        <v>6</v>
      </c>
      <c r="F61" s="11" t="s">
        <v>245</v>
      </c>
      <c r="G61" s="21"/>
      <c r="H61" s="21"/>
      <c r="I61" s="58"/>
      <c r="J61" s="58"/>
      <c r="K61" s="21"/>
      <c r="L61" s="21"/>
      <c r="M61" s="58"/>
      <c r="N61" s="58"/>
      <c r="O61" s="21"/>
      <c r="P61" s="21"/>
      <c r="Q61" s="58"/>
      <c r="R61" s="58"/>
      <c r="S61" s="21"/>
      <c r="T61" s="21"/>
      <c r="U61" s="58"/>
      <c r="V61" s="58"/>
      <c r="W61" s="21"/>
      <c r="X61" s="21"/>
      <c r="Y61" s="58"/>
      <c r="Z61" s="58"/>
      <c r="AA61" s="21"/>
      <c r="AB61" s="21"/>
      <c r="AC61" s="58"/>
      <c r="AD61" s="58"/>
      <c r="AE61" s="21"/>
      <c r="AF61" s="58"/>
    </row>
    <row r="62" spans="1:32">
      <c r="A62" s="4"/>
      <c r="B62" s="4"/>
      <c r="C62" s="4"/>
      <c r="D62" s="10" t="s">
        <v>5</v>
      </c>
      <c r="E62" s="5" t="s">
        <v>37</v>
      </c>
      <c r="F62" s="9"/>
      <c r="G62" s="21"/>
      <c r="H62" s="21"/>
      <c r="I62" s="58"/>
      <c r="J62" s="58"/>
      <c r="K62" s="21"/>
      <c r="L62" s="21"/>
      <c r="M62" s="58"/>
      <c r="N62" s="58"/>
      <c r="O62" s="21"/>
      <c r="P62" s="21"/>
      <c r="Q62" s="58"/>
      <c r="R62" s="58"/>
      <c r="S62" s="21"/>
      <c r="T62" s="21"/>
      <c r="U62" s="58"/>
      <c r="V62" s="58"/>
      <c r="W62" s="21"/>
      <c r="X62" s="21"/>
      <c r="Y62" s="58"/>
      <c r="Z62" s="58"/>
      <c r="AA62" s="21"/>
      <c r="AB62" s="21"/>
      <c r="AC62" s="58"/>
      <c r="AD62" s="58"/>
      <c r="AE62" s="21"/>
      <c r="AF62" s="58"/>
    </row>
    <row r="63" spans="1:32" hidden="1">
      <c r="A63" s="4"/>
      <c r="B63" s="4"/>
      <c r="C63" s="4"/>
      <c r="D63" s="10"/>
      <c r="F63" s="11" t="s">
        <v>341</v>
      </c>
      <c r="G63" s="21"/>
      <c r="H63" s="21"/>
      <c r="I63" s="58"/>
      <c r="J63" s="58"/>
      <c r="K63" s="21"/>
      <c r="L63" s="21"/>
      <c r="M63" s="58"/>
      <c r="N63" s="58"/>
      <c r="O63" s="21"/>
      <c r="P63" s="21"/>
      <c r="Q63" s="58"/>
      <c r="R63" s="58"/>
      <c r="S63" s="21"/>
      <c r="T63" s="21"/>
      <c r="U63" s="58"/>
      <c r="V63" s="58"/>
      <c r="W63" s="21"/>
      <c r="X63" s="21"/>
      <c r="Y63" s="58"/>
      <c r="Z63" s="58"/>
      <c r="AA63" s="21"/>
      <c r="AB63" s="21"/>
      <c r="AC63" s="58"/>
      <c r="AD63" s="58"/>
      <c r="AE63" s="21"/>
      <c r="AF63" s="58"/>
    </row>
    <row r="64" spans="1:32">
      <c r="A64" s="4"/>
      <c r="B64" s="4"/>
      <c r="C64" s="4"/>
      <c r="D64" s="5"/>
      <c r="E64" s="10" t="s">
        <v>6</v>
      </c>
      <c r="F64" s="11" t="s">
        <v>309</v>
      </c>
      <c r="G64" s="21"/>
      <c r="H64" s="21"/>
      <c r="I64" s="58"/>
      <c r="J64" s="58"/>
      <c r="K64" s="21">
        <v>2</v>
      </c>
      <c r="L64" s="21"/>
      <c r="M64" s="58">
        <v>1</v>
      </c>
      <c r="N64" s="58">
        <v>1</v>
      </c>
      <c r="O64" s="21">
        <v>2</v>
      </c>
      <c r="P64" s="21"/>
      <c r="Q64" s="58">
        <v>2</v>
      </c>
      <c r="R64" s="58"/>
      <c r="S64" s="21"/>
      <c r="T64" s="21"/>
      <c r="U64" s="58"/>
      <c r="V64" s="58"/>
      <c r="W64" s="21">
        <v>2</v>
      </c>
      <c r="X64" s="21"/>
      <c r="Y64" s="58"/>
      <c r="Z64" s="58"/>
      <c r="AA64" s="21"/>
      <c r="AB64" s="21">
        <v>1</v>
      </c>
      <c r="AC64" s="58"/>
      <c r="AD64" s="58">
        <v>2</v>
      </c>
      <c r="AE64" s="21">
        <v>1</v>
      </c>
      <c r="AF64" s="58"/>
    </row>
    <row r="65" spans="1:32" hidden="1">
      <c r="A65" s="4"/>
      <c r="B65" s="4"/>
      <c r="C65" s="4"/>
      <c r="D65" s="5"/>
      <c r="E65" s="10"/>
      <c r="F65" s="11" t="s">
        <v>38</v>
      </c>
      <c r="G65" s="21"/>
      <c r="H65" s="21"/>
      <c r="I65" s="58"/>
      <c r="J65" s="58"/>
      <c r="K65" s="21"/>
      <c r="L65" s="21"/>
      <c r="M65" s="58"/>
      <c r="N65" s="58"/>
      <c r="O65" s="21"/>
      <c r="P65" s="21"/>
      <c r="Q65" s="58"/>
      <c r="R65" s="58"/>
      <c r="S65" s="21"/>
      <c r="T65" s="21"/>
      <c r="U65" s="58"/>
      <c r="V65" s="58"/>
      <c r="W65" s="21"/>
      <c r="X65" s="21"/>
      <c r="Y65" s="58"/>
      <c r="Z65" s="58"/>
      <c r="AA65" s="21"/>
      <c r="AB65" s="21"/>
      <c r="AC65" s="58"/>
      <c r="AD65" s="58"/>
      <c r="AE65" s="21"/>
      <c r="AF65" s="58"/>
    </row>
    <row r="66" spans="1:32" hidden="1">
      <c r="A66" s="4"/>
      <c r="B66" s="4"/>
      <c r="C66" s="4"/>
      <c r="D66" s="10" t="s">
        <v>5</v>
      </c>
      <c r="E66" s="104" t="s">
        <v>266</v>
      </c>
      <c r="F66" s="11"/>
      <c r="G66" s="21"/>
      <c r="H66" s="21"/>
      <c r="I66" s="58"/>
      <c r="J66" s="58"/>
      <c r="K66" s="21"/>
      <c r="L66" s="21"/>
      <c r="M66" s="58"/>
      <c r="N66" s="58"/>
      <c r="O66" s="21"/>
      <c r="P66" s="21"/>
      <c r="Q66" s="58"/>
      <c r="R66" s="58"/>
      <c r="S66" s="21"/>
      <c r="T66" s="21"/>
      <c r="U66" s="58"/>
      <c r="V66" s="58"/>
      <c r="W66" s="21"/>
      <c r="X66" s="21"/>
      <c r="Y66" s="58"/>
      <c r="Z66" s="58"/>
      <c r="AA66" s="21"/>
      <c r="AB66" s="21"/>
      <c r="AC66" s="58"/>
      <c r="AD66" s="58"/>
      <c r="AE66" s="21"/>
      <c r="AF66" s="58"/>
    </row>
    <row r="67" spans="1:32" hidden="1">
      <c r="A67" s="4"/>
      <c r="B67" s="4"/>
      <c r="C67" s="4"/>
      <c r="D67" s="5"/>
      <c r="E67" s="10" t="s">
        <v>6</v>
      </c>
      <c r="F67" s="11" t="s">
        <v>267</v>
      </c>
      <c r="G67" s="21"/>
      <c r="H67" s="21"/>
      <c r="I67" s="58"/>
      <c r="J67" s="58"/>
      <c r="K67" s="21"/>
      <c r="L67" s="21"/>
      <c r="M67" s="58"/>
      <c r="N67" s="58"/>
      <c r="O67" s="21"/>
      <c r="P67" s="21"/>
      <c r="Q67" s="58"/>
      <c r="R67" s="58"/>
      <c r="S67" s="21"/>
      <c r="T67" s="21"/>
      <c r="U67" s="58"/>
      <c r="V67" s="58"/>
      <c r="W67" s="21"/>
      <c r="X67" s="21"/>
      <c r="Y67" s="58"/>
      <c r="Z67" s="58"/>
      <c r="AA67" s="21"/>
      <c r="AB67" s="21"/>
      <c r="AC67" s="58"/>
      <c r="AD67" s="58"/>
      <c r="AE67" s="21"/>
      <c r="AF67" s="58"/>
    </row>
    <row r="68" spans="1:32" hidden="1">
      <c r="A68" s="4"/>
      <c r="B68" s="4"/>
      <c r="C68" s="4"/>
      <c r="D68" s="106" t="s">
        <v>5</v>
      </c>
      <c r="E68" s="105" t="s">
        <v>272</v>
      </c>
      <c r="F68" s="108"/>
      <c r="G68" s="21"/>
      <c r="H68" s="21"/>
      <c r="I68" s="58"/>
      <c r="J68" s="58"/>
      <c r="K68" s="21"/>
      <c r="L68" s="21"/>
      <c r="M68" s="58"/>
      <c r="N68" s="58"/>
      <c r="O68" s="21"/>
      <c r="P68" s="21"/>
      <c r="Q68" s="58"/>
      <c r="R68" s="58"/>
      <c r="S68" s="21"/>
      <c r="T68" s="21"/>
      <c r="U68" s="58"/>
      <c r="V68" s="58"/>
      <c r="W68" s="21"/>
      <c r="X68" s="21"/>
      <c r="Y68" s="58"/>
      <c r="Z68" s="58"/>
      <c r="AA68" s="21"/>
      <c r="AB68" s="21"/>
      <c r="AC68" s="58"/>
      <c r="AD68" s="58"/>
      <c r="AE68" s="21"/>
      <c r="AF68" s="58"/>
    </row>
    <row r="69" spans="1:32" hidden="1">
      <c r="A69" s="4"/>
      <c r="B69" s="4"/>
      <c r="C69" s="4"/>
      <c r="D69" s="105"/>
      <c r="E69" s="106" t="s">
        <v>6</v>
      </c>
      <c r="F69" s="11" t="s">
        <v>273</v>
      </c>
      <c r="G69" s="21"/>
      <c r="H69" s="21"/>
      <c r="I69" s="58"/>
      <c r="J69" s="58"/>
      <c r="K69" s="21"/>
      <c r="L69" s="21"/>
      <c r="M69" s="58"/>
      <c r="N69" s="58"/>
      <c r="O69" s="21"/>
      <c r="P69" s="21"/>
      <c r="Q69" s="58"/>
      <c r="R69" s="58"/>
      <c r="S69" s="21"/>
      <c r="T69" s="21"/>
      <c r="U69" s="58"/>
      <c r="V69" s="58"/>
      <c r="W69" s="21"/>
      <c r="X69" s="21"/>
      <c r="Y69" s="58"/>
      <c r="Z69" s="58"/>
      <c r="AA69" s="21"/>
      <c r="AB69" s="21"/>
      <c r="AC69" s="58"/>
      <c r="AD69" s="58"/>
      <c r="AE69" s="21"/>
      <c r="AF69" s="58"/>
    </row>
    <row r="70" spans="1:32" hidden="1">
      <c r="A70" s="4"/>
      <c r="B70" s="4"/>
      <c r="C70" s="4"/>
      <c r="D70" s="105"/>
      <c r="E70" s="106"/>
      <c r="F70" s="11" t="s">
        <v>376</v>
      </c>
      <c r="G70" s="21"/>
      <c r="H70" s="21"/>
      <c r="I70" s="58"/>
      <c r="J70" s="58"/>
      <c r="K70" s="21"/>
      <c r="L70" s="21"/>
      <c r="M70" s="58"/>
      <c r="N70" s="58"/>
      <c r="O70" s="21"/>
      <c r="P70" s="21"/>
      <c r="Q70" s="58"/>
      <c r="R70" s="58"/>
      <c r="S70" s="21"/>
      <c r="T70" s="21"/>
      <c r="U70" s="58"/>
      <c r="V70" s="58"/>
      <c r="W70" s="21"/>
      <c r="X70" s="21"/>
      <c r="Y70" s="58"/>
      <c r="Z70" s="58"/>
      <c r="AA70" s="21"/>
      <c r="AB70" s="21"/>
      <c r="AC70" s="58"/>
      <c r="AD70" s="58"/>
      <c r="AE70" s="21"/>
      <c r="AF70" s="58"/>
    </row>
    <row r="71" spans="1:32">
      <c r="A71" s="4"/>
      <c r="B71" s="4"/>
      <c r="C71" s="4"/>
      <c r="D71" s="10" t="s">
        <v>5</v>
      </c>
      <c r="E71" s="12" t="s">
        <v>91</v>
      </c>
      <c r="F71" s="11"/>
      <c r="G71" s="21"/>
      <c r="H71" s="21"/>
      <c r="I71" s="58"/>
      <c r="J71" s="58"/>
      <c r="K71" s="21"/>
      <c r="L71" s="21"/>
      <c r="M71" s="58"/>
      <c r="N71" s="58"/>
      <c r="O71" s="21"/>
      <c r="P71" s="21"/>
      <c r="Q71" s="58"/>
      <c r="R71" s="58"/>
      <c r="S71" s="21"/>
      <c r="T71" s="21"/>
      <c r="U71" s="58"/>
      <c r="V71" s="58"/>
      <c r="W71" s="21"/>
      <c r="X71" s="21"/>
      <c r="Y71" s="58"/>
      <c r="Z71" s="58"/>
      <c r="AA71" s="21"/>
      <c r="AB71" s="21"/>
      <c r="AC71" s="58"/>
      <c r="AD71" s="58"/>
      <c r="AE71" s="21"/>
      <c r="AF71" s="58"/>
    </row>
    <row r="72" spans="1:32">
      <c r="A72" s="4"/>
      <c r="B72" s="4"/>
      <c r="C72" s="4"/>
      <c r="D72" s="5"/>
      <c r="E72" s="10" t="s">
        <v>6</v>
      </c>
      <c r="F72" s="11" t="s">
        <v>39</v>
      </c>
      <c r="G72" s="21"/>
      <c r="H72" s="21"/>
      <c r="I72" s="58"/>
      <c r="J72" s="58"/>
      <c r="K72" s="21">
        <v>2</v>
      </c>
      <c r="L72" s="21"/>
      <c r="M72" s="58"/>
      <c r="N72" s="58"/>
      <c r="O72" s="21"/>
      <c r="P72" s="21"/>
      <c r="Q72" s="58"/>
      <c r="R72" s="58"/>
      <c r="S72" s="21"/>
      <c r="T72" s="21"/>
      <c r="U72" s="58"/>
      <c r="V72" s="58"/>
      <c r="W72" s="21"/>
      <c r="X72" s="21"/>
      <c r="Y72" s="58"/>
      <c r="Z72" s="58"/>
      <c r="AA72" s="21"/>
      <c r="AB72" s="21"/>
      <c r="AC72" s="58"/>
      <c r="AD72" s="58"/>
      <c r="AE72" s="21"/>
      <c r="AF72" s="58"/>
    </row>
    <row r="73" spans="1:32" s="1" customFormat="1">
      <c r="A73" s="4"/>
      <c r="B73" s="4"/>
      <c r="C73" s="4"/>
      <c r="D73" s="5"/>
      <c r="E73" s="10"/>
      <c r="F73" s="11"/>
      <c r="G73" s="47"/>
      <c r="H73" s="47"/>
      <c r="I73" s="38"/>
      <c r="J73" s="38"/>
      <c r="K73" s="47"/>
      <c r="L73" s="47"/>
      <c r="M73" s="38"/>
      <c r="N73" s="38"/>
      <c r="O73" s="47"/>
      <c r="P73" s="47"/>
      <c r="Q73" s="38"/>
      <c r="R73" s="38"/>
      <c r="S73" s="47"/>
      <c r="T73" s="47"/>
      <c r="U73" s="38"/>
      <c r="V73" s="38"/>
      <c r="W73" s="47"/>
      <c r="X73" s="47"/>
      <c r="Y73" s="38"/>
      <c r="Z73" s="38"/>
      <c r="AA73" s="47"/>
      <c r="AB73" s="47"/>
      <c r="AC73" s="38"/>
      <c r="AD73" s="38"/>
      <c r="AE73" s="47"/>
      <c r="AF73" s="38"/>
    </row>
    <row r="74" spans="1:32">
      <c r="A74" s="16"/>
      <c r="B74" s="16" t="s">
        <v>72</v>
      </c>
      <c r="C74" s="4" t="s">
        <v>76</v>
      </c>
      <c r="D74" s="4"/>
      <c r="E74" s="5"/>
      <c r="F74" s="9"/>
      <c r="G74" s="21"/>
      <c r="H74" s="21"/>
      <c r="I74" s="58"/>
      <c r="J74" s="58"/>
      <c r="K74" s="21"/>
      <c r="L74" s="21"/>
      <c r="M74" s="58"/>
      <c r="N74" s="58"/>
      <c r="O74" s="21"/>
      <c r="P74" s="21"/>
      <c r="Q74" s="58"/>
      <c r="R74" s="58"/>
      <c r="S74" s="21"/>
      <c r="T74" s="21"/>
      <c r="U74" s="58"/>
      <c r="V74" s="58"/>
      <c r="W74" s="21"/>
      <c r="X74" s="21"/>
      <c r="Y74" s="58"/>
      <c r="Z74" s="58"/>
      <c r="AA74" s="21"/>
      <c r="AB74" s="21"/>
      <c r="AC74" s="58"/>
      <c r="AD74" s="58"/>
      <c r="AE74" s="21"/>
      <c r="AF74" s="58"/>
    </row>
    <row r="75" spans="1:32">
      <c r="A75" s="16"/>
      <c r="B75" s="16"/>
      <c r="C75" s="16" t="s">
        <v>73</v>
      </c>
      <c r="D75" s="4" t="s">
        <v>142</v>
      </c>
      <c r="E75" s="5"/>
      <c r="F75" s="9"/>
      <c r="G75" s="21"/>
      <c r="H75" s="21"/>
      <c r="I75" s="58"/>
      <c r="J75" s="58"/>
      <c r="K75" s="21"/>
      <c r="L75" s="21"/>
      <c r="M75" s="58"/>
      <c r="N75" s="58"/>
      <c r="O75" s="21"/>
      <c r="P75" s="21"/>
      <c r="Q75" s="58"/>
      <c r="R75" s="58"/>
      <c r="S75" s="21"/>
      <c r="T75" s="21"/>
      <c r="U75" s="58"/>
      <c r="V75" s="58"/>
      <c r="W75" s="21"/>
      <c r="X75" s="21"/>
      <c r="Y75" s="58"/>
      <c r="Z75" s="58"/>
      <c r="AA75" s="21"/>
      <c r="AB75" s="21"/>
      <c r="AC75" s="58"/>
      <c r="AD75" s="58"/>
      <c r="AE75" s="21"/>
      <c r="AF75" s="58"/>
    </row>
    <row r="76" spans="1:32">
      <c r="A76" s="16"/>
      <c r="B76" s="16"/>
      <c r="C76" s="16"/>
      <c r="D76" s="10" t="s">
        <v>5</v>
      </c>
      <c r="E76" s="116" t="s">
        <v>143</v>
      </c>
      <c r="F76" s="9"/>
      <c r="G76" s="21"/>
      <c r="H76" s="21"/>
      <c r="I76" s="58"/>
      <c r="J76" s="58"/>
      <c r="K76" s="21"/>
      <c r="L76" s="21"/>
      <c r="M76" s="58"/>
      <c r="N76" s="58"/>
      <c r="O76" s="21"/>
      <c r="P76" s="21"/>
      <c r="Q76" s="58"/>
      <c r="R76" s="58"/>
      <c r="S76" s="21"/>
      <c r="T76" s="21"/>
      <c r="U76" s="58"/>
      <c r="V76" s="58"/>
      <c r="W76" s="21"/>
      <c r="X76" s="21"/>
      <c r="Y76" s="58"/>
      <c r="Z76" s="58"/>
      <c r="AA76" s="21"/>
      <c r="AB76" s="21"/>
      <c r="AC76" s="58"/>
      <c r="AD76" s="58"/>
      <c r="AE76" s="21"/>
      <c r="AF76" s="58"/>
    </row>
    <row r="77" spans="1:32">
      <c r="A77" s="4"/>
      <c r="B77" s="4"/>
      <c r="C77" s="4"/>
      <c r="D77" s="5"/>
      <c r="E77" s="10" t="s">
        <v>6</v>
      </c>
      <c r="F77" s="11" t="s">
        <v>144</v>
      </c>
      <c r="G77" s="21"/>
      <c r="H77" s="21">
        <v>1</v>
      </c>
      <c r="I77" s="58"/>
      <c r="J77" s="58"/>
      <c r="K77" s="21">
        <v>1</v>
      </c>
      <c r="L77" s="21"/>
      <c r="M77" s="58"/>
      <c r="N77" s="58">
        <v>1</v>
      </c>
      <c r="O77" s="21">
        <v>2</v>
      </c>
      <c r="P77" s="21">
        <v>1</v>
      </c>
      <c r="Q77" s="58"/>
      <c r="R77" s="58">
        <v>1</v>
      </c>
      <c r="S77" s="21">
        <v>1</v>
      </c>
      <c r="T77" s="21"/>
      <c r="U77" s="58">
        <v>2</v>
      </c>
      <c r="V77" s="58">
        <v>2</v>
      </c>
      <c r="W77" s="21"/>
      <c r="X77" s="21"/>
      <c r="Y77" s="58"/>
      <c r="Z77" s="58">
        <v>1</v>
      </c>
      <c r="AA77" s="21"/>
      <c r="AB77" s="21">
        <v>1</v>
      </c>
      <c r="AC77" s="58">
        <v>1</v>
      </c>
      <c r="AD77" s="58"/>
      <c r="AE77" s="21">
        <v>1</v>
      </c>
      <c r="AF77" s="58">
        <v>3</v>
      </c>
    </row>
    <row r="78" spans="1:32">
      <c r="A78" s="4"/>
      <c r="B78" s="4"/>
      <c r="C78" s="4"/>
      <c r="D78" s="5"/>
      <c r="E78" s="10"/>
      <c r="F78" s="11" t="s">
        <v>232</v>
      </c>
      <c r="G78" s="21"/>
      <c r="H78" s="21"/>
      <c r="I78" s="58"/>
      <c r="J78" s="58"/>
      <c r="K78" s="21"/>
      <c r="L78" s="21"/>
      <c r="M78" s="58"/>
      <c r="N78" s="58"/>
      <c r="O78" s="21"/>
      <c r="P78" s="21"/>
      <c r="Q78" s="58"/>
      <c r="R78" s="58"/>
      <c r="S78" s="21"/>
      <c r="T78" s="21"/>
      <c r="U78" s="58"/>
      <c r="V78" s="58">
        <v>1</v>
      </c>
      <c r="W78" s="21"/>
      <c r="X78" s="21"/>
      <c r="Y78" s="58"/>
      <c r="Z78" s="58"/>
      <c r="AA78" s="21"/>
      <c r="AB78" s="21"/>
      <c r="AC78" s="58"/>
      <c r="AD78" s="58"/>
      <c r="AE78" s="21"/>
      <c r="AF78" s="58"/>
    </row>
    <row r="79" spans="1:32" hidden="1">
      <c r="A79" s="4"/>
      <c r="B79" s="4"/>
      <c r="C79" s="16" t="s">
        <v>73</v>
      </c>
      <c r="D79" s="4" t="s">
        <v>360</v>
      </c>
      <c r="E79" s="5"/>
      <c r="F79" s="11"/>
      <c r="G79" s="21"/>
      <c r="H79" s="21"/>
      <c r="I79" s="58"/>
      <c r="J79" s="58"/>
      <c r="K79" s="21"/>
      <c r="L79" s="21"/>
      <c r="M79" s="58"/>
      <c r="N79" s="58"/>
      <c r="O79" s="21"/>
      <c r="P79" s="21"/>
      <c r="Q79" s="58"/>
      <c r="R79" s="58"/>
      <c r="S79" s="21"/>
      <c r="T79" s="21"/>
      <c r="U79" s="58"/>
      <c r="V79" s="58"/>
      <c r="W79" s="21"/>
      <c r="X79" s="21"/>
      <c r="Y79" s="58"/>
      <c r="Z79" s="58"/>
      <c r="AA79" s="21"/>
      <c r="AB79" s="21"/>
      <c r="AC79" s="58"/>
      <c r="AD79" s="58"/>
      <c r="AE79" s="21"/>
      <c r="AF79" s="58"/>
    </row>
    <row r="80" spans="1:32" hidden="1">
      <c r="A80" s="4"/>
      <c r="B80" s="4"/>
      <c r="C80" s="4"/>
      <c r="D80" s="10" t="s">
        <v>5</v>
      </c>
      <c r="E80" s="169" t="s">
        <v>361</v>
      </c>
      <c r="F80" s="11"/>
      <c r="G80" s="21"/>
      <c r="H80" s="21"/>
      <c r="I80" s="58"/>
      <c r="J80" s="58"/>
      <c r="K80" s="21"/>
      <c r="L80" s="21"/>
      <c r="M80" s="58"/>
      <c r="N80" s="58"/>
      <c r="O80" s="21"/>
      <c r="P80" s="21"/>
      <c r="Q80" s="58"/>
      <c r="R80" s="58"/>
      <c r="S80" s="21"/>
      <c r="T80" s="21"/>
      <c r="U80" s="58"/>
      <c r="V80" s="58"/>
      <c r="W80" s="21"/>
      <c r="X80" s="21"/>
      <c r="Y80" s="58"/>
      <c r="Z80" s="58"/>
      <c r="AA80" s="21"/>
      <c r="AB80" s="21"/>
      <c r="AC80" s="58"/>
      <c r="AD80" s="58"/>
      <c r="AE80" s="21"/>
      <c r="AF80" s="58"/>
    </row>
    <row r="81" spans="1:32" hidden="1">
      <c r="A81" s="4"/>
      <c r="B81" s="4"/>
      <c r="C81" s="4"/>
      <c r="D81" s="5"/>
      <c r="E81" s="10" t="s">
        <v>6</v>
      </c>
      <c r="F81" s="11" t="s">
        <v>362</v>
      </c>
      <c r="G81" s="21"/>
      <c r="H81" s="21"/>
      <c r="I81" s="58"/>
      <c r="J81" s="58"/>
      <c r="K81" s="21"/>
      <c r="L81" s="21"/>
      <c r="M81" s="58"/>
      <c r="N81" s="58"/>
      <c r="O81" s="21"/>
      <c r="P81" s="21"/>
      <c r="Q81" s="58"/>
      <c r="R81" s="58"/>
      <c r="S81" s="21"/>
      <c r="T81" s="21"/>
      <c r="U81" s="58"/>
      <c r="V81" s="58"/>
      <c r="W81" s="21"/>
      <c r="X81" s="21"/>
      <c r="Y81" s="58"/>
      <c r="Z81" s="58"/>
      <c r="AA81" s="21"/>
      <c r="AB81" s="21"/>
      <c r="AC81" s="58"/>
      <c r="AD81" s="58"/>
      <c r="AE81" s="21"/>
      <c r="AF81" s="58"/>
    </row>
    <row r="82" spans="1:32">
      <c r="A82" s="4"/>
      <c r="B82" s="4"/>
      <c r="C82" s="16" t="s">
        <v>73</v>
      </c>
      <c r="D82" s="4" t="s">
        <v>78</v>
      </c>
      <c r="E82" s="5"/>
      <c r="F82" s="11"/>
      <c r="G82" s="21"/>
      <c r="H82" s="21"/>
      <c r="I82" s="58"/>
      <c r="J82" s="58"/>
      <c r="K82" s="21"/>
      <c r="L82" s="21"/>
      <c r="M82" s="58"/>
      <c r="N82" s="58"/>
      <c r="O82" s="21"/>
      <c r="P82" s="21"/>
      <c r="Q82" s="58"/>
      <c r="R82" s="58"/>
      <c r="S82" s="21"/>
      <c r="T82" s="21"/>
      <c r="U82" s="58"/>
      <c r="V82" s="58"/>
      <c r="W82" s="21"/>
      <c r="X82" s="21"/>
      <c r="Y82" s="58"/>
      <c r="Z82" s="58"/>
      <c r="AA82" s="21"/>
      <c r="AB82" s="21"/>
      <c r="AC82" s="58"/>
      <c r="AD82" s="58"/>
      <c r="AE82" s="21"/>
      <c r="AF82" s="58"/>
    </row>
    <row r="83" spans="1:32" hidden="1">
      <c r="A83" s="4"/>
      <c r="B83" s="4"/>
      <c r="C83" s="4"/>
      <c r="D83" s="10" t="s">
        <v>5</v>
      </c>
      <c r="E83" s="5" t="s">
        <v>17</v>
      </c>
      <c r="F83" s="11"/>
      <c r="G83" s="21"/>
      <c r="H83" s="21"/>
      <c r="I83" s="58"/>
      <c r="J83" s="58"/>
      <c r="K83" s="21"/>
      <c r="L83" s="21"/>
      <c r="M83" s="58"/>
      <c r="N83" s="58"/>
      <c r="O83" s="21"/>
      <c r="P83" s="21"/>
      <c r="Q83" s="58"/>
      <c r="R83" s="58"/>
      <c r="S83" s="21"/>
      <c r="T83" s="21"/>
      <c r="U83" s="58"/>
      <c r="V83" s="58"/>
      <c r="W83" s="21"/>
      <c r="X83" s="21"/>
      <c r="Y83" s="58"/>
      <c r="Z83" s="58"/>
      <c r="AA83" s="21"/>
      <c r="AB83" s="21"/>
      <c r="AC83" s="58"/>
      <c r="AD83" s="58"/>
      <c r="AE83" s="21"/>
      <c r="AF83" s="58"/>
    </row>
    <row r="84" spans="1:32" hidden="1">
      <c r="A84" s="4"/>
      <c r="B84" s="4"/>
      <c r="C84" s="4"/>
      <c r="D84" s="5"/>
      <c r="E84" s="10" t="s">
        <v>6</v>
      </c>
      <c r="F84" s="11" t="s">
        <v>18</v>
      </c>
      <c r="G84" s="21"/>
      <c r="H84" s="21"/>
      <c r="I84" s="58"/>
      <c r="J84" s="58"/>
      <c r="K84" s="21"/>
      <c r="L84" s="21"/>
      <c r="M84" s="58"/>
      <c r="N84" s="58"/>
      <c r="O84" s="21"/>
      <c r="P84" s="21"/>
      <c r="Q84" s="58"/>
      <c r="R84" s="58"/>
      <c r="S84" s="21"/>
      <c r="T84" s="21"/>
      <c r="U84" s="58"/>
      <c r="V84" s="58"/>
      <c r="W84" s="21"/>
      <c r="X84" s="21"/>
      <c r="Y84" s="58"/>
      <c r="Z84" s="58"/>
      <c r="AA84" s="21"/>
      <c r="AB84" s="21"/>
      <c r="AC84" s="58"/>
      <c r="AD84" s="58"/>
      <c r="AE84" s="21"/>
      <c r="AF84" s="58"/>
    </row>
    <row r="85" spans="1:32">
      <c r="A85" s="4"/>
      <c r="B85" s="4"/>
      <c r="C85" s="4"/>
      <c r="D85" s="10" t="s">
        <v>5</v>
      </c>
      <c r="E85" s="12" t="s">
        <v>99</v>
      </c>
      <c r="F85" s="11"/>
      <c r="G85" s="21"/>
      <c r="H85" s="21"/>
      <c r="I85" s="58"/>
      <c r="J85" s="58"/>
      <c r="K85" s="21"/>
      <c r="L85" s="21"/>
      <c r="M85" s="58"/>
      <c r="N85" s="58"/>
      <c r="O85" s="21"/>
      <c r="P85" s="21"/>
      <c r="Q85" s="58"/>
      <c r="R85" s="58"/>
      <c r="S85" s="21"/>
      <c r="T85" s="21"/>
      <c r="U85" s="58"/>
      <c r="V85" s="58"/>
      <c r="W85" s="21"/>
      <c r="X85" s="21"/>
      <c r="Y85" s="58"/>
      <c r="Z85" s="58"/>
      <c r="AA85" s="21"/>
      <c r="AB85" s="21"/>
      <c r="AC85" s="58"/>
      <c r="AD85" s="58"/>
      <c r="AE85" s="21"/>
      <c r="AF85" s="58"/>
    </row>
    <row r="86" spans="1:32">
      <c r="A86" s="4"/>
      <c r="B86" s="4"/>
      <c r="C86" s="4"/>
      <c r="D86" s="5"/>
      <c r="E86" s="10" t="s">
        <v>6</v>
      </c>
      <c r="F86" s="11" t="s">
        <v>100</v>
      </c>
      <c r="G86" s="21"/>
      <c r="H86" s="21"/>
      <c r="I86" s="58"/>
      <c r="J86" s="58"/>
      <c r="K86" s="21"/>
      <c r="L86" s="21"/>
      <c r="M86" s="58"/>
      <c r="N86" s="58"/>
      <c r="O86" s="21"/>
      <c r="P86" s="21"/>
      <c r="Q86" s="58">
        <v>1</v>
      </c>
      <c r="R86" s="58"/>
      <c r="S86" s="21"/>
      <c r="T86" s="21"/>
      <c r="U86" s="58"/>
      <c r="V86" s="58"/>
      <c r="W86" s="21"/>
      <c r="X86" s="21"/>
      <c r="Y86" s="58"/>
      <c r="Z86" s="58"/>
      <c r="AA86" s="21"/>
      <c r="AB86" s="21"/>
      <c r="AC86" s="58"/>
      <c r="AD86" s="58"/>
      <c r="AE86" s="21"/>
      <c r="AF86" s="58"/>
    </row>
    <row r="87" spans="1:32" hidden="1">
      <c r="A87" s="4"/>
      <c r="B87" s="4"/>
      <c r="C87" s="16" t="s">
        <v>73</v>
      </c>
      <c r="D87" s="4" t="s">
        <v>285</v>
      </c>
      <c r="E87" s="5"/>
      <c r="F87" s="11"/>
      <c r="G87" s="21"/>
      <c r="H87" s="21"/>
      <c r="I87" s="58"/>
      <c r="J87" s="58"/>
      <c r="K87" s="21"/>
      <c r="L87" s="21"/>
      <c r="M87" s="58"/>
      <c r="N87" s="58"/>
      <c r="O87" s="21"/>
      <c r="P87" s="21"/>
      <c r="Q87" s="58"/>
      <c r="R87" s="58"/>
      <c r="S87" s="21"/>
      <c r="T87" s="21"/>
      <c r="U87" s="58"/>
      <c r="V87" s="58"/>
      <c r="W87" s="21"/>
      <c r="X87" s="21"/>
      <c r="Y87" s="58"/>
      <c r="Z87" s="58"/>
      <c r="AA87" s="21"/>
      <c r="AB87" s="21"/>
      <c r="AC87" s="58"/>
      <c r="AD87" s="58"/>
      <c r="AE87" s="21"/>
      <c r="AF87" s="58"/>
    </row>
    <row r="88" spans="1:32" hidden="1">
      <c r="A88" s="4"/>
      <c r="B88" s="4"/>
      <c r="C88" s="4"/>
      <c r="D88" s="10" t="s">
        <v>5</v>
      </c>
      <c r="E88" s="5" t="s">
        <v>157</v>
      </c>
      <c r="F88" s="11"/>
      <c r="G88" s="21"/>
      <c r="H88" s="21"/>
      <c r="I88" s="58"/>
      <c r="J88" s="58"/>
      <c r="K88" s="21"/>
      <c r="L88" s="21"/>
      <c r="M88" s="58"/>
      <c r="N88" s="58"/>
      <c r="O88" s="21"/>
      <c r="P88" s="21"/>
      <c r="Q88" s="58"/>
      <c r="R88" s="58"/>
      <c r="S88" s="21"/>
      <c r="T88" s="21"/>
      <c r="U88" s="58"/>
      <c r="V88" s="58"/>
      <c r="W88" s="21"/>
      <c r="X88" s="21"/>
      <c r="Y88" s="58"/>
      <c r="Z88" s="58"/>
      <c r="AA88" s="21"/>
      <c r="AB88" s="21"/>
      <c r="AC88" s="58"/>
      <c r="AD88" s="58"/>
      <c r="AE88" s="21"/>
      <c r="AF88" s="58"/>
    </row>
    <row r="89" spans="1:32" hidden="1">
      <c r="A89" s="16"/>
      <c r="B89" s="16"/>
      <c r="C89" s="16"/>
      <c r="D89" s="10"/>
      <c r="E89" s="10" t="s">
        <v>6</v>
      </c>
      <c r="F89" s="11" t="s">
        <v>19</v>
      </c>
      <c r="G89" s="21"/>
      <c r="H89" s="21"/>
      <c r="I89" s="58"/>
      <c r="J89" s="58"/>
      <c r="K89" s="21"/>
      <c r="L89" s="21"/>
      <c r="M89" s="58"/>
      <c r="N89" s="58"/>
      <c r="O89" s="21"/>
      <c r="P89" s="21"/>
      <c r="Q89" s="58"/>
      <c r="R89" s="58"/>
      <c r="S89" s="21"/>
      <c r="T89" s="21"/>
      <c r="U89" s="58"/>
      <c r="V89" s="58"/>
      <c r="W89" s="21"/>
      <c r="X89" s="21"/>
      <c r="Y89" s="58"/>
      <c r="Z89" s="58"/>
      <c r="AA89" s="21"/>
      <c r="AB89" s="21"/>
      <c r="AC89" s="58"/>
      <c r="AD89" s="58"/>
      <c r="AE89" s="21"/>
      <c r="AF89" s="58"/>
    </row>
    <row r="90" spans="1:32">
      <c r="A90" s="4"/>
      <c r="B90" s="4"/>
      <c r="C90" s="16" t="s">
        <v>73</v>
      </c>
      <c r="D90" s="4" t="s">
        <v>158</v>
      </c>
      <c r="E90" s="5"/>
      <c r="F90" s="11"/>
      <c r="G90" s="21"/>
      <c r="H90" s="21"/>
      <c r="I90" s="58"/>
      <c r="J90" s="58"/>
      <c r="K90" s="21"/>
      <c r="L90" s="21"/>
      <c r="M90" s="58"/>
      <c r="N90" s="58"/>
      <c r="O90" s="21"/>
      <c r="P90" s="21"/>
      <c r="Q90" s="58"/>
      <c r="R90" s="58"/>
      <c r="S90" s="21"/>
      <c r="T90" s="21"/>
      <c r="U90" s="58"/>
      <c r="V90" s="58"/>
      <c r="W90" s="21"/>
      <c r="X90" s="21"/>
      <c r="Y90" s="58"/>
      <c r="Z90" s="58"/>
      <c r="AA90" s="21"/>
      <c r="AB90" s="21"/>
      <c r="AC90" s="58"/>
      <c r="AD90" s="58"/>
      <c r="AE90" s="21"/>
      <c r="AF90" s="58"/>
    </row>
    <row r="91" spans="1:32">
      <c r="A91" s="4"/>
      <c r="B91" s="4"/>
      <c r="C91" s="4"/>
      <c r="D91" s="10" t="s">
        <v>5</v>
      </c>
      <c r="E91" s="5" t="s">
        <v>159</v>
      </c>
      <c r="F91" s="11"/>
      <c r="G91" s="21"/>
      <c r="H91" s="21"/>
      <c r="I91" s="58"/>
      <c r="J91" s="58"/>
      <c r="K91" s="21"/>
      <c r="L91" s="21"/>
      <c r="M91" s="58"/>
      <c r="N91" s="58"/>
      <c r="O91" s="21"/>
      <c r="P91" s="21"/>
      <c r="Q91" s="58"/>
      <c r="R91" s="58"/>
      <c r="S91" s="21"/>
      <c r="T91" s="21"/>
      <c r="U91" s="58"/>
      <c r="V91" s="58"/>
      <c r="W91" s="21"/>
      <c r="X91" s="21"/>
      <c r="Y91" s="58"/>
      <c r="Z91" s="58"/>
      <c r="AA91" s="21"/>
      <c r="AB91" s="21"/>
      <c r="AC91" s="58"/>
      <c r="AD91" s="58"/>
      <c r="AE91" s="21"/>
      <c r="AF91" s="58"/>
    </row>
    <row r="92" spans="1:32">
      <c r="A92" s="4"/>
      <c r="B92" s="4"/>
      <c r="C92" s="4"/>
      <c r="D92" s="5"/>
      <c r="E92" s="10" t="s">
        <v>6</v>
      </c>
      <c r="F92" s="11" t="s">
        <v>21</v>
      </c>
      <c r="G92" s="21"/>
      <c r="H92" s="21"/>
      <c r="I92" s="58"/>
      <c r="J92" s="58"/>
      <c r="K92" s="21"/>
      <c r="L92" s="21"/>
      <c r="M92" s="58"/>
      <c r="N92" s="58"/>
      <c r="O92" s="21"/>
      <c r="P92" s="21"/>
      <c r="Q92" s="58"/>
      <c r="R92" s="58">
        <v>1</v>
      </c>
      <c r="S92" s="21"/>
      <c r="T92" s="21"/>
      <c r="U92" s="58"/>
      <c r="V92" s="58"/>
      <c r="W92" s="21"/>
      <c r="X92" s="21"/>
      <c r="Y92" s="58"/>
      <c r="Z92" s="58"/>
      <c r="AA92" s="21"/>
      <c r="AB92" s="21"/>
      <c r="AC92" s="58">
        <v>1</v>
      </c>
      <c r="AD92" s="58"/>
      <c r="AE92" s="21"/>
      <c r="AF92" s="58">
        <v>1</v>
      </c>
    </row>
    <row r="93" spans="1:32">
      <c r="A93" s="4"/>
      <c r="B93" s="4"/>
      <c r="C93" s="16" t="s">
        <v>73</v>
      </c>
      <c r="D93" s="4" t="s">
        <v>80</v>
      </c>
      <c r="E93" s="5"/>
      <c r="F93" s="11"/>
      <c r="G93" s="21"/>
      <c r="H93" s="21"/>
      <c r="I93" s="58"/>
      <c r="J93" s="58"/>
      <c r="K93" s="21"/>
      <c r="L93" s="21"/>
      <c r="M93" s="58"/>
      <c r="N93" s="58"/>
      <c r="O93" s="21"/>
      <c r="P93" s="21"/>
      <c r="Q93" s="58"/>
      <c r="R93" s="58"/>
      <c r="S93" s="21"/>
      <c r="T93" s="21"/>
      <c r="U93" s="58"/>
      <c r="V93" s="58"/>
      <c r="W93" s="21"/>
      <c r="X93" s="21"/>
      <c r="Y93" s="58"/>
      <c r="Z93" s="58"/>
      <c r="AA93" s="21"/>
      <c r="AB93" s="21"/>
      <c r="AC93" s="58"/>
      <c r="AD93" s="58"/>
      <c r="AE93" s="21"/>
      <c r="AF93" s="58"/>
    </row>
    <row r="94" spans="1:32">
      <c r="A94" s="16"/>
      <c r="B94" s="16"/>
      <c r="C94" s="16"/>
      <c r="D94" s="10" t="s">
        <v>5</v>
      </c>
      <c r="E94" s="5" t="s">
        <v>22</v>
      </c>
      <c r="F94" s="9"/>
      <c r="G94" s="21"/>
      <c r="H94" s="21"/>
      <c r="I94" s="58"/>
      <c r="J94" s="58"/>
      <c r="K94" s="21"/>
      <c r="L94" s="21"/>
      <c r="M94" s="58"/>
      <c r="N94" s="58"/>
      <c r="O94" s="21"/>
      <c r="P94" s="21"/>
      <c r="Q94" s="58"/>
      <c r="R94" s="58"/>
      <c r="S94" s="21"/>
      <c r="T94" s="21"/>
      <c r="U94" s="58"/>
      <c r="V94" s="58"/>
      <c r="W94" s="21"/>
      <c r="X94" s="21"/>
      <c r="Y94" s="58"/>
      <c r="Z94" s="58"/>
      <c r="AA94" s="21"/>
      <c r="AB94" s="21"/>
      <c r="AC94" s="58"/>
      <c r="AD94" s="58"/>
      <c r="AE94" s="21"/>
      <c r="AF94" s="58"/>
    </row>
    <row r="95" spans="1:32">
      <c r="A95" s="16"/>
      <c r="B95" s="16"/>
      <c r="C95" s="16"/>
      <c r="D95" s="10"/>
      <c r="E95" s="10" t="s">
        <v>6</v>
      </c>
      <c r="F95" s="11" t="s">
        <v>23</v>
      </c>
      <c r="G95" s="21">
        <v>5</v>
      </c>
      <c r="H95" s="21">
        <v>14</v>
      </c>
      <c r="I95" s="58">
        <v>1</v>
      </c>
      <c r="J95" s="58">
        <v>7</v>
      </c>
      <c r="K95" s="21">
        <v>6</v>
      </c>
      <c r="L95" s="21">
        <v>2</v>
      </c>
      <c r="M95" s="58"/>
      <c r="N95" s="58">
        <v>5</v>
      </c>
      <c r="O95" s="21">
        <v>11</v>
      </c>
      <c r="P95" s="21">
        <v>3</v>
      </c>
      <c r="Q95" s="58">
        <v>3</v>
      </c>
      <c r="R95" s="58">
        <v>1</v>
      </c>
      <c r="S95" s="21">
        <v>2</v>
      </c>
      <c r="T95" s="21">
        <v>2</v>
      </c>
      <c r="U95" s="58">
        <v>6</v>
      </c>
      <c r="V95" s="58">
        <v>4</v>
      </c>
      <c r="W95" s="21">
        <v>1</v>
      </c>
      <c r="X95" s="21"/>
      <c r="Y95" s="58">
        <v>3</v>
      </c>
      <c r="Z95" s="58"/>
      <c r="AA95" s="21">
        <v>2</v>
      </c>
      <c r="AB95" s="21">
        <v>1</v>
      </c>
      <c r="AC95" s="58">
        <v>6</v>
      </c>
      <c r="AD95" s="58">
        <v>7</v>
      </c>
      <c r="AE95" s="21">
        <v>2</v>
      </c>
      <c r="AF95" s="58">
        <v>12</v>
      </c>
    </row>
    <row r="96" spans="1:32" hidden="1">
      <c r="A96" s="16"/>
      <c r="B96" s="16"/>
      <c r="C96" s="16"/>
      <c r="D96" s="10"/>
      <c r="E96" s="10"/>
      <c r="F96" s="11" t="s">
        <v>353</v>
      </c>
      <c r="G96" s="21"/>
      <c r="H96" s="21"/>
      <c r="I96" s="58"/>
      <c r="J96" s="58"/>
      <c r="K96" s="21"/>
      <c r="L96" s="21"/>
      <c r="M96" s="58"/>
      <c r="N96" s="58"/>
      <c r="O96" s="21"/>
      <c r="P96" s="21"/>
      <c r="Q96" s="58"/>
      <c r="R96" s="58"/>
      <c r="S96" s="21"/>
      <c r="T96" s="21"/>
      <c r="U96" s="58"/>
      <c r="V96" s="58"/>
      <c r="W96" s="21"/>
      <c r="X96" s="21"/>
      <c r="Y96" s="58"/>
      <c r="Z96" s="58"/>
      <c r="AA96" s="21"/>
      <c r="AB96" s="21"/>
      <c r="AC96" s="58"/>
      <c r="AD96" s="58"/>
      <c r="AE96" s="21"/>
      <c r="AF96" s="58"/>
    </row>
    <row r="97" spans="1:32" hidden="1">
      <c r="A97" s="4"/>
      <c r="B97" s="4"/>
      <c r="C97" s="4"/>
      <c r="D97" s="10" t="s">
        <v>5</v>
      </c>
      <c r="E97" s="171" t="s">
        <v>392</v>
      </c>
      <c r="F97" s="11"/>
      <c r="G97" s="21"/>
      <c r="H97" s="21"/>
      <c r="I97" s="58"/>
      <c r="J97" s="58"/>
      <c r="K97" s="21"/>
      <c r="L97" s="21"/>
      <c r="M97" s="58"/>
      <c r="N97" s="58"/>
      <c r="O97" s="21"/>
      <c r="P97" s="21"/>
      <c r="Q97" s="58"/>
      <c r="R97" s="58"/>
      <c r="S97" s="21"/>
      <c r="T97" s="21"/>
      <c r="U97" s="58"/>
      <c r="V97" s="58"/>
      <c r="W97" s="21"/>
      <c r="X97" s="21"/>
      <c r="Y97" s="58"/>
      <c r="Z97" s="58"/>
      <c r="AA97" s="21"/>
      <c r="AB97" s="21"/>
      <c r="AC97" s="58"/>
      <c r="AD97" s="58"/>
      <c r="AE97" s="21"/>
      <c r="AF97" s="58"/>
    </row>
    <row r="98" spans="1:32" hidden="1">
      <c r="A98" s="4"/>
      <c r="B98" s="4"/>
      <c r="C98" s="4"/>
      <c r="D98" s="10"/>
      <c r="E98" s="10" t="s">
        <v>6</v>
      </c>
      <c r="F98" s="11" t="s">
        <v>393</v>
      </c>
      <c r="G98" s="21"/>
      <c r="H98" s="21"/>
      <c r="I98" s="58"/>
      <c r="J98" s="58"/>
      <c r="K98" s="21"/>
      <c r="L98" s="21"/>
      <c r="M98" s="58"/>
      <c r="N98" s="58"/>
      <c r="O98" s="21"/>
      <c r="P98" s="21"/>
      <c r="Q98" s="58"/>
      <c r="R98" s="58"/>
      <c r="S98" s="21"/>
      <c r="T98" s="21"/>
      <c r="U98" s="58"/>
      <c r="V98" s="58"/>
      <c r="W98" s="21"/>
      <c r="X98" s="21"/>
      <c r="Y98" s="58"/>
      <c r="Z98" s="58"/>
      <c r="AA98" s="21"/>
      <c r="AB98" s="21"/>
      <c r="AC98" s="58"/>
      <c r="AD98" s="58"/>
      <c r="AE98" s="21"/>
      <c r="AF98" s="58"/>
    </row>
    <row r="99" spans="1:32" hidden="1">
      <c r="A99" s="4"/>
      <c r="B99" s="4"/>
      <c r="C99" s="4"/>
      <c r="D99" s="10" t="s">
        <v>5</v>
      </c>
      <c r="E99" s="12" t="s">
        <v>24</v>
      </c>
      <c r="F99" s="11"/>
      <c r="G99" s="21"/>
      <c r="H99" s="21"/>
      <c r="I99" s="58"/>
      <c r="J99" s="58"/>
      <c r="K99" s="21"/>
      <c r="L99" s="21"/>
      <c r="M99" s="58"/>
      <c r="N99" s="58"/>
      <c r="O99" s="21"/>
      <c r="P99" s="21"/>
      <c r="Q99" s="58"/>
      <c r="R99" s="58"/>
      <c r="S99" s="21"/>
      <c r="T99" s="21"/>
      <c r="U99" s="58"/>
      <c r="V99" s="58"/>
      <c r="W99" s="21"/>
      <c r="X99" s="21"/>
      <c r="Y99" s="58"/>
      <c r="Z99" s="58"/>
      <c r="AA99" s="21"/>
      <c r="AB99" s="21"/>
      <c r="AC99" s="58"/>
      <c r="AD99" s="58"/>
      <c r="AE99" s="21"/>
      <c r="AF99" s="58"/>
    </row>
    <row r="100" spans="1:32" hidden="1">
      <c r="A100" s="4"/>
      <c r="B100" s="4"/>
      <c r="C100" s="4"/>
      <c r="D100" s="10"/>
      <c r="E100" s="10" t="s">
        <v>6</v>
      </c>
      <c r="F100" s="11" t="s">
        <v>351</v>
      </c>
      <c r="G100" s="21"/>
      <c r="H100" s="21"/>
      <c r="I100" s="58"/>
      <c r="J100" s="58"/>
      <c r="K100" s="21"/>
      <c r="L100" s="21"/>
      <c r="M100" s="58"/>
      <c r="N100" s="58"/>
      <c r="O100" s="21"/>
      <c r="P100" s="21"/>
      <c r="Q100" s="58"/>
      <c r="R100" s="58"/>
      <c r="S100" s="21"/>
      <c r="T100" s="21"/>
      <c r="U100" s="58"/>
      <c r="V100" s="58"/>
      <c r="W100" s="21"/>
      <c r="X100" s="21"/>
      <c r="Y100" s="58"/>
      <c r="Z100" s="58"/>
      <c r="AA100" s="21"/>
      <c r="AB100" s="21"/>
      <c r="AC100" s="58"/>
      <c r="AD100" s="58"/>
      <c r="AE100" s="21"/>
      <c r="AF100" s="58"/>
    </row>
    <row r="101" spans="1:32" hidden="1">
      <c r="A101" s="4"/>
      <c r="B101" s="4"/>
      <c r="C101" s="4"/>
      <c r="D101" s="5"/>
      <c r="F101" s="11" t="s">
        <v>25</v>
      </c>
      <c r="G101" s="21"/>
      <c r="H101" s="21"/>
      <c r="I101" s="58"/>
      <c r="J101" s="58"/>
      <c r="K101" s="21"/>
      <c r="L101" s="21"/>
      <c r="M101" s="58"/>
      <c r="N101" s="58"/>
      <c r="O101" s="21"/>
      <c r="P101" s="21"/>
      <c r="Q101" s="58"/>
      <c r="R101" s="58"/>
      <c r="S101" s="21"/>
      <c r="T101" s="21"/>
      <c r="U101" s="58"/>
      <c r="V101" s="58"/>
      <c r="W101" s="21"/>
      <c r="X101" s="21"/>
      <c r="Y101" s="58"/>
      <c r="Z101" s="58"/>
      <c r="AA101" s="21"/>
      <c r="AB101" s="21"/>
      <c r="AC101" s="58"/>
      <c r="AD101" s="58"/>
      <c r="AE101" s="21"/>
      <c r="AF101" s="58"/>
    </row>
    <row r="102" spans="1:32">
      <c r="A102" s="4"/>
      <c r="B102" s="4"/>
      <c r="C102" s="16" t="s">
        <v>73</v>
      </c>
      <c r="D102" s="4" t="s">
        <v>81</v>
      </c>
      <c r="E102" s="10"/>
      <c r="F102" s="11"/>
      <c r="G102" s="21"/>
      <c r="H102" s="21"/>
      <c r="I102" s="58"/>
      <c r="J102" s="58"/>
      <c r="K102" s="21"/>
      <c r="L102" s="21"/>
      <c r="M102" s="58"/>
      <c r="N102" s="58"/>
      <c r="O102" s="21"/>
      <c r="P102" s="21"/>
      <c r="Q102" s="58"/>
      <c r="R102" s="58"/>
      <c r="S102" s="21"/>
      <c r="T102" s="21"/>
      <c r="U102" s="58"/>
      <c r="V102" s="58"/>
      <c r="W102" s="21"/>
      <c r="X102" s="21"/>
      <c r="Y102" s="58"/>
      <c r="Z102" s="58"/>
      <c r="AA102" s="21"/>
      <c r="AB102" s="21"/>
      <c r="AC102" s="58"/>
      <c r="AD102" s="58"/>
      <c r="AE102" s="21"/>
      <c r="AF102" s="58"/>
    </row>
    <row r="103" spans="1:32">
      <c r="A103" s="4"/>
      <c r="B103" s="4"/>
      <c r="C103" s="4"/>
      <c r="D103" s="10" t="s">
        <v>5</v>
      </c>
      <c r="E103" s="12" t="s">
        <v>26</v>
      </c>
      <c r="F103" s="11"/>
      <c r="G103" s="21"/>
      <c r="H103" s="21"/>
      <c r="I103" s="58"/>
      <c r="J103" s="58"/>
      <c r="K103" s="21"/>
      <c r="L103" s="21"/>
      <c r="M103" s="58"/>
      <c r="N103" s="58"/>
      <c r="O103" s="21"/>
      <c r="P103" s="21"/>
      <c r="Q103" s="58"/>
      <c r="R103" s="58"/>
      <c r="S103" s="21"/>
      <c r="T103" s="21"/>
      <c r="U103" s="58"/>
      <c r="V103" s="58"/>
      <c r="W103" s="21"/>
      <c r="X103" s="21"/>
      <c r="Y103" s="58"/>
      <c r="Z103" s="58"/>
      <c r="AA103" s="21"/>
      <c r="AB103" s="21"/>
      <c r="AC103" s="58"/>
      <c r="AD103" s="58"/>
      <c r="AE103" s="21"/>
      <c r="AF103" s="58"/>
    </row>
    <row r="104" spans="1:32">
      <c r="A104" s="4"/>
      <c r="B104" s="4"/>
      <c r="C104" s="4"/>
      <c r="D104" s="5"/>
      <c r="E104" s="10" t="s">
        <v>6</v>
      </c>
      <c r="F104" s="11" t="s">
        <v>27</v>
      </c>
      <c r="G104" s="21">
        <v>70</v>
      </c>
      <c r="H104" s="21">
        <v>27</v>
      </c>
      <c r="I104" s="58">
        <v>5</v>
      </c>
      <c r="J104" s="58">
        <v>35</v>
      </c>
      <c r="K104" s="21">
        <v>29</v>
      </c>
      <c r="L104" s="21">
        <v>26</v>
      </c>
      <c r="M104" s="58">
        <v>26</v>
      </c>
      <c r="N104" s="58">
        <v>32</v>
      </c>
      <c r="O104" s="21">
        <v>24</v>
      </c>
      <c r="P104" s="21">
        <v>34</v>
      </c>
      <c r="Q104" s="58">
        <v>18</v>
      </c>
      <c r="R104" s="58">
        <v>25</v>
      </c>
      <c r="S104" s="21">
        <v>8</v>
      </c>
      <c r="T104" s="21">
        <v>19</v>
      </c>
      <c r="U104" s="58">
        <v>46</v>
      </c>
      <c r="V104" s="58">
        <v>31</v>
      </c>
      <c r="W104" s="21">
        <v>16</v>
      </c>
      <c r="X104" s="21">
        <v>42</v>
      </c>
      <c r="Y104" s="58">
        <v>24</v>
      </c>
      <c r="Z104" s="58">
        <v>7</v>
      </c>
      <c r="AA104" s="21">
        <v>34</v>
      </c>
      <c r="AB104" s="21">
        <v>16</v>
      </c>
      <c r="AC104" s="58">
        <v>30</v>
      </c>
      <c r="AD104" s="58">
        <v>45</v>
      </c>
      <c r="AE104" s="21">
        <v>33</v>
      </c>
      <c r="AF104" s="58">
        <v>51</v>
      </c>
    </row>
    <row r="105" spans="1:32">
      <c r="A105" s="4"/>
      <c r="B105" s="4"/>
      <c r="C105" s="4"/>
      <c r="D105" s="5"/>
      <c r="E105" s="12"/>
      <c r="F105" s="11" t="s">
        <v>28</v>
      </c>
      <c r="G105" s="21">
        <v>2</v>
      </c>
      <c r="H105" s="21"/>
      <c r="I105" s="58"/>
      <c r="J105" s="58">
        <v>1</v>
      </c>
      <c r="K105" s="21">
        <v>3</v>
      </c>
      <c r="L105" s="21">
        <v>1</v>
      </c>
      <c r="M105" s="58"/>
      <c r="N105" s="58">
        <v>1</v>
      </c>
      <c r="O105" s="21"/>
      <c r="P105" s="21">
        <v>2</v>
      </c>
      <c r="Q105" s="58">
        <v>1</v>
      </c>
      <c r="R105" s="58">
        <v>2</v>
      </c>
      <c r="S105" s="21"/>
      <c r="T105" s="21">
        <v>2</v>
      </c>
      <c r="U105" s="58">
        <v>5</v>
      </c>
      <c r="V105" s="58">
        <v>2</v>
      </c>
      <c r="W105" s="21">
        <v>2</v>
      </c>
      <c r="X105" s="21">
        <v>5</v>
      </c>
      <c r="Y105" s="58">
        <v>1</v>
      </c>
      <c r="Z105" s="58"/>
      <c r="AA105" s="21">
        <v>4</v>
      </c>
      <c r="AB105" s="21">
        <v>1</v>
      </c>
      <c r="AC105" s="58">
        <v>1</v>
      </c>
      <c r="AD105" s="58">
        <v>3</v>
      </c>
      <c r="AE105" s="21">
        <v>2</v>
      </c>
      <c r="AF105" s="58">
        <v>4</v>
      </c>
    </row>
    <row r="106" spans="1:32" hidden="1">
      <c r="A106" s="4"/>
      <c r="B106" s="4"/>
      <c r="C106" s="4"/>
      <c r="D106" s="5"/>
      <c r="E106" s="12"/>
      <c r="F106" s="11" t="s">
        <v>402</v>
      </c>
      <c r="G106" s="21"/>
      <c r="H106" s="21"/>
      <c r="I106" s="58"/>
      <c r="J106" s="58"/>
      <c r="K106" s="21"/>
      <c r="L106" s="21"/>
      <c r="M106" s="58"/>
      <c r="N106" s="58"/>
      <c r="O106" s="21"/>
      <c r="P106" s="21"/>
      <c r="Q106" s="58"/>
      <c r="R106" s="58"/>
      <c r="S106" s="21"/>
      <c r="T106" s="21"/>
      <c r="U106" s="58"/>
      <c r="V106" s="58"/>
      <c r="W106" s="21"/>
      <c r="X106" s="21"/>
      <c r="Y106" s="58"/>
      <c r="Z106" s="58"/>
      <c r="AA106" s="21"/>
      <c r="AB106" s="21"/>
      <c r="AC106" s="58"/>
      <c r="AD106" s="58"/>
      <c r="AE106" s="21"/>
      <c r="AF106" s="58"/>
    </row>
    <row r="107" spans="1:32" hidden="1">
      <c r="A107" s="4"/>
      <c r="B107" s="4"/>
      <c r="C107" s="16" t="s">
        <v>73</v>
      </c>
      <c r="D107" s="4" t="s">
        <v>109</v>
      </c>
      <c r="E107" s="10"/>
      <c r="F107" s="11"/>
      <c r="G107" s="21"/>
      <c r="H107" s="21"/>
      <c r="I107" s="58"/>
      <c r="J107" s="58"/>
      <c r="K107" s="21"/>
      <c r="L107" s="21"/>
      <c r="M107" s="58"/>
      <c r="N107" s="58"/>
      <c r="O107" s="21"/>
      <c r="P107" s="21"/>
      <c r="Q107" s="58"/>
      <c r="R107" s="58"/>
      <c r="S107" s="21"/>
      <c r="T107" s="21"/>
      <c r="U107" s="58"/>
      <c r="V107" s="58"/>
      <c r="W107" s="21"/>
      <c r="X107" s="21"/>
      <c r="Y107" s="58"/>
      <c r="Z107" s="58"/>
      <c r="AA107" s="21"/>
      <c r="AB107" s="21"/>
      <c r="AC107" s="58"/>
      <c r="AD107" s="58"/>
      <c r="AE107" s="21"/>
      <c r="AF107" s="58"/>
    </row>
    <row r="108" spans="1:32" hidden="1">
      <c r="A108" s="4"/>
      <c r="B108" s="4"/>
      <c r="C108" s="4"/>
      <c r="D108" s="10" t="s">
        <v>5</v>
      </c>
      <c r="E108" s="12" t="s">
        <v>110</v>
      </c>
      <c r="F108" s="11"/>
      <c r="G108" s="21"/>
      <c r="H108" s="21"/>
      <c r="I108" s="58"/>
      <c r="J108" s="58"/>
      <c r="K108" s="21"/>
      <c r="L108" s="21"/>
      <c r="M108" s="58"/>
      <c r="N108" s="58"/>
      <c r="O108" s="21"/>
      <c r="P108" s="21"/>
      <c r="Q108" s="58"/>
      <c r="R108" s="58"/>
      <c r="S108" s="21"/>
      <c r="T108" s="21"/>
      <c r="U108" s="58"/>
      <c r="V108" s="58"/>
      <c r="W108" s="21"/>
      <c r="X108" s="21"/>
      <c r="Y108" s="58"/>
      <c r="Z108" s="58"/>
      <c r="AA108" s="21"/>
      <c r="AB108" s="21"/>
      <c r="AC108" s="58"/>
      <c r="AD108" s="58"/>
      <c r="AE108" s="21"/>
      <c r="AF108" s="58"/>
    </row>
    <row r="109" spans="1:32" hidden="1">
      <c r="A109" s="4"/>
      <c r="B109" s="4"/>
      <c r="C109" s="4"/>
      <c r="D109" s="5"/>
      <c r="E109" s="10" t="s">
        <v>6</v>
      </c>
      <c r="F109" s="11" t="s">
        <v>111</v>
      </c>
      <c r="G109" s="21"/>
      <c r="H109" s="21"/>
      <c r="I109" s="58"/>
      <c r="J109" s="58"/>
      <c r="K109" s="21"/>
      <c r="L109" s="21"/>
      <c r="M109" s="58"/>
      <c r="N109" s="58"/>
      <c r="O109" s="21"/>
      <c r="P109" s="21"/>
      <c r="Q109" s="58"/>
      <c r="R109" s="58"/>
      <c r="S109" s="21"/>
      <c r="T109" s="21"/>
      <c r="U109" s="58"/>
      <c r="V109" s="58"/>
      <c r="W109" s="21"/>
      <c r="X109" s="21"/>
      <c r="Y109" s="58"/>
      <c r="Z109" s="58"/>
      <c r="AA109" s="21"/>
      <c r="AB109" s="21"/>
      <c r="AC109" s="58"/>
      <c r="AD109" s="58"/>
      <c r="AE109" s="21"/>
      <c r="AF109" s="58"/>
    </row>
    <row r="110" spans="1:32">
      <c r="A110" s="4"/>
      <c r="B110" s="4"/>
      <c r="C110" s="4"/>
      <c r="D110" s="5"/>
      <c r="E110" s="10"/>
      <c r="F110" s="11"/>
      <c r="G110" s="21"/>
      <c r="H110" s="21"/>
      <c r="I110" s="58"/>
      <c r="J110" s="58"/>
      <c r="K110" s="21"/>
      <c r="L110" s="21"/>
      <c r="M110" s="58"/>
      <c r="N110" s="58"/>
      <c r="O110" s="21"/>
      <c r="P110" s="21"/>
      <c r="Q110" s="58"/>
      <c r="R110" s="58"/>
      <c r="S110" s="21"/>
      <c r="T110" s="21"/>
      <c r="U110" s="58"/>
      <c r="V110" s="58"/>
      <c r="W110" s="21"/>
      <c r="X110" s="21"/>
      <c r="Y110" s="58"/>
      <c r="Z110" s="58"/>
      <c r="AA110" s="21"/>
      <c r="AB110" s="21"/>
      <c r="AC110" s="58"/>
      <c r="AD110" s="58"/>
      <c r="AE110" s="21"/>
      <c r="AF110" s="58"/>
    </row>
    <row r="111" spans="1:32">
      <c r="A111" s="16"/>
      <c r="B111" s="16" t="s">
        <v>72</v>
      </c>
      <c r="C111" s="4" t="s">
        <v>148</v>
      </c>
      <c r="D111" s="4"/>
      <c r="E111" s="5"/>
      <c r="F111" s="9"/>
      <c r="G111" s="21"/>
      <c r="H111" s="21"/>
      <c r="I111" s="58"/>
      <c r="J111" s="58"/>
      <c r="K111" s="21"/>
      <c r="L111" s="21"/>
      <c r="M111" s="58"/>
      <c r="N111" s="58"/>
      <c r="O111" s="21"/>
      <c r="P111" s="21"/>
      <c r="Q111" s="58"/>
      <c r="R111" s="58"/>
      <c r="S111" s="21"/>
      <c r="T111" s="21"/>
      <c r="U111" s="58"/>
      <c r="V111" s="58"/>
      <c r="W111" s="21"/>
      <c r="X111" s="21"/>
      <c r="Y111" s="58"/>
      <c r="Z111" s="58"/>
      <c r="AA111" s="21"/>
      <c r="AB111" s="21"/>
      <c r="AC111" s="58"/>
      <c r="AD111" s="58"/>
      <c r="AE111" s="21"/>
      <c r="AF111" s="58"/>
    </row>
    <row r="112" spans="1:32">
      <c r="A112" s="16"/>
      <c r="B112" s="16"/>
      <c r="C112" s="16" t="s">
        <v>73</v>
      </c>
      <c r="D112" s="4" t="s">
        <v>149</v>
      </c>
      <c r="E112" s="4"/>
      <c r="F112" s="59"/>
      <c r="G112" s="21"/>
      <c r="H112" s="21"/>
      <c r="I112" s="58"/>
      <c r="J112" s="58"/>
      <c r="K112" s="21"/>
      <c r="L112" s="21"/>
      <c r="M112" s="58"/>
      <c r="N112" s="58"/>
      <c r="O112" s="21"/>
      <c r="P112" s="21"/>
      <c r="Q112" s="58"/>
      <c r="R112" s="58"/>
      <c r="S112" s="21"/>
      <c r="T112" s="21"/>
      <c r="U112" s="58"/>
      <c r="V112" s="58"/>
      <c r="W112" s="21"/>
      <c r="X112" s="21"/>
      <c r="Y112" s="58"/>
      <c r="Z112" s="58"/>
      <c r="AA112" s="21"/>
      <c r="AB112" s="21"/>
      <c r="AC112" s="58"/>
      <c r="AD112" s="58"/>
      <c r="AE112" s="21"/>
      <c r="AF112" s="58"/>
    </row>
    <row r="113" spans="1:32" hidden="1">
      <c r="A113" s="16"/>
      <c r="B113" s="16"/>
      <c r="C113" s="16"/>
      <c r="D113" s="10" t="s">
        <v>5</v>
      </c>
      <c r="E113" s="130" t="s">
        <v>303</v>
      </c>
      <c r="F113" s="114"/>
      <c r="G113" s="21"/>
      <c r="H113" s="21"/>
      <c r="I113" s="58"/>
      <c r="J113" s="58"/>
      <c r="K113" s="21"/>
      <c r="L113" s="21"/>
      <c r="M113" s="58"/>
      <c r="N113" s="58"/>
      <c r="O113" s="21"/>
      <c r="P113" s="21"/>
      <c r="Q113" s="58"/>
      <c r="R113" s="58"/>
      <c r="S113" s="21"/>
      <c r="T113" s="21"/>
      <c r="U113" s="58"/>
      <c r="V113" s="58"/>
      <c r="W113" s="21"/>
      <c r="X113" s="21"/>
      <c r="Y113" s="58"/>
      <c r="Z113" s="58"/>
      <c r="AA113" s="21"/>
      <c r="AB113" s="21"/>
      <c r="AC113" s="58"/>
      <c r="AD113" s="58"/>
      <c r="AE113" s="21"/>
      <c r="AF113" s="58"/>
    </row>
    <row r="114" spans="1:32" hidden="1">
      <c r="A114" s="4"/>
      <c r="B114" s="4"/>
      <c r="C114" s="4"/>
      <c r="D114" s="5"/>
      <c r="E114" s="10" t="s">
        <v>6</v>
      </c>
      <c r="F114" s="11" t="s">
        <v>151</v>
      </c>
      <c r="G114" s="21"/>
      <c r="H114" s="21"/>
      <c r="I114" s="58"/>
      <c r="J114" s="58"/>
      <c r="K114" s="21"/>
      <c r="L114" s="21"/>
      <c r="M114" s="58"/>
      <c r="N114" s="58"/>
      <c r="O114" s="21"/>
      <c r="P114" s="21"/>
      <c r="Q114" s="58"/>
      <c r="R114" s="58"/>
      <c r="S114" s="21"/>
      <c r="T114" s="21"/>
      <c r="U114" s="58"/>
      <c r="V114" s="58"/>
      <c r="W114" s="21"/>
      <c r="X114" s="21"/>
      <c r="Y114" s="58"/>
      <c r="Z114" s="58"/>
      <c r="AA114" s="21"/>
      <c r="AB114" s="21"/>
      <c r="AC114" s="58"/>
      <c r="AD114" s="58"/>
      <c r="AE114" s="21"/>
      <c r="AF114" s="58"/>
    </row>
    <row r="115" spans="1:32">
      <c r="A115" s="16"/>
      <c r="B115" s="16"/>
      <c r="C115" s="16"/>
      <c r="D115" s="10" t="s">
        <v>5</v>
      </c>
      <c r="E115" s="178" t="s">
        <v>413</v>
      </c>
      <c r="F115" s="114"/>
      <c r="G115" s="21"/>
      <c r="H115" s="21"/>
      <c r="I115" s="58"/>
      <c r="J115" s="58"/>
      <c r="K115" s="21"/>
      <c r="L115" s="21"/>
      <c r="M115" s="58"/>
      <c r="N115" s="58"/>
      <c r="O115" s="21"/>
      <c r="P115" s="21"/>
      <c r="Q115" s="58"/>
      <c r="R115" s="58"/>
      <c r="S115" s="21"/>
      <c r="T115" s="21"/>
      <c r="U115" s="58"/>
      <c r="V115" s="58"/>
      <c r="W115" s="21"/>
      <c r="X115" s="21"/>
      <c r="Y115" s="58"/>
      <c r="Z115" s="58"/>
      <c r="AA115" s="21"/>
      <c r="AB115" s="21"/>
      <c r="AC115" s="58"/>
      <c r="AD115" s="58"/>
      <c r="AE115" s="21"/>
      <c r="AF115" s="58"/>
    </row>
    <row r="116" spans="1:32">
      <c r="A116" s="4"/>
      <c r="B116" s="4"/>
      <c r="C116" s="4"/>
      <c r="D116" s="5"/>
      <c r="E116" s="10" t="s">
        <v>6</v>
      </c>
      <c r="F116" s="11" t="s">
        <v>414</v>
      </c>
      <c r="G116" s="21"/>
      <c r="H116" s="21"/>
      <c r="I116" s="58">
        <v>1</v>
      </c>
      <c r="J116" s="58"/>
      <c r="K116" s="21"/>
      <c r="L116" s="21"/>
      <c r="M116" s="58"/>
      <c r="N116" s="58"/>
      <c r="O116" s="21">
        <v>1</v>
      </c>
      <c r="P116" s="21">
        <v>9</v>
      </c>
      <c r="Q116" s="58">
        <v>1</v>
      </c>
      <c r="R116" s="58"/>
      <c r="S116" s="21">
        <v>1</v>
      </c>
      <c r="T116" s="21"/>
      <c r="U116" s="58"/>
      <c r="V116" s="58">
        <v>2</v>
      </c>
      <c r="W116" s="21"/>
      <c r="X116" s="21"/>
      <c r="Y116" s="58"/>
      <c r="Z116" s="58"/>
      <c r="AA116" s="21"/>
      <c r="AB116" s="21">
        <v>1</v>
      </c>
      <c r="AC116" s="58"/>
      <c r="AD116" s="58"/>
      <c r="AE116" s="21"/>
      <c r="AF116" s="58"/>
    </row>
    <row r="117" spans="1:32" hidden="1">
      <c r="A117" s="4"/>
      <c r="B117" s="4"/>
      <c r="C117" s="16" t="s">
        <v>73</v>
      </c>
      <c r="D117" s="4" t="s">
        <v>301</v>
      </c>
      <c r="E117" s="10"/>
      <c r="F117" s="11"/>
      <c r="G117" s="21"/>
      <c r="H117" s="21"/>
      <c r="I117" s="58"/>
      <c r="J117" s="58"/>
      <c r="K117" s="21"/>
      <c r="L117" s="21"/>
      <c r="M117" s="58"/>
      <c r="N117" s="58"/>
      <c r="O117" s="21"/>
      <c r="P117" s="21"/>
      <c r="Q117" s="58"/>
      <c r="R117" s="58"/>
      <c r="S117" s="21"/>
      <c r="T117" s="21"/>
      <c r="U117" s="58"/>
      <c r="V117" s="58"/>
      <c r="W117" s="21"/>
      <c r="X117" s="21"/>
      <c r="Y117" s="58"/>
      <c r="Z117" s="58"/>
      <c r="AA117" s="21"/>
      <c r="AB117" s="21"/>
      <c r="AC117" s="58"/>
      <c r="AD117" s="58"/>
      <c r="AE117" s="21"/>
      <c r="AF117" s="58"/>
    </row>
    <row r="118" spans="1:32" hidden="1">
      <c r="A118" s="4"/>
      <c r="B118" s="4"/>
      <c r="C118" s="4"/>
      <c r="D118" s="10" t="s">
        <v>5</v>
      </c>
      <c r="E118" s="129" t="s">
        <v>302</v>
      </c>
      <c r="F118" s="11"/>
      <c r="G118" s="21"/>
      <c r="H118" s="21"/>
      <c r="I118" s="58"/>
      <c r="J118" s="58"/>
      <c r="K118" s="21"/>
      <c r="L118" s="21"/>
      <c r="M118" s="58"/>
      <c r="N118" s="58"/>
      <c r="O118" s="21"/>
      <c r="P118" s="21"/>
      <c r="Q118" s="58"/>
      <c r="R118" s="58"/>
      <c r="S118" s="21"/>
      <c r="T118" s="21"/>
      <c r="U118" s="58"/>
      <c r="V118" s="58"/>
      <c r="W118" s="21"/>
      <c r="X118" s="21"/>
      <c r="Y118" s="58"/>
      <c r="Z118" s="58"/>
      <c r="AA118" s="21"/>
      <c r="AB118" s="21"/>
      <c r="AC118" s="58"/>
      <c r="AD118" s="58"/>
      <c r="AE118" s="21"/>
      <c r="AF118" s="58"/>
    </row>
    <row r="119" spans="1:32" hidden="1">
      <c r="A119" s="4"/>
      <c r="B119" s="4"/>
      <c r="C119" s="4"/>
      <c r="D119" s="5"/>
      <c r="E119" s="10" t="s">
        <v>6</v>
      </c>
      <c r="F119" s="11" t="s">
        <v>247</v>
      </c>
      <c r="G119" s="21"/>
      <c r="H119" s="21"/>
      <c r="I119" s="58"/>
      <c r="J119" s="58"/>
      <c r="K119" s="21"/>
      <c r="L119" s="21"/>
      <c r="M119" s="58"/>
      <c r="N119" s="58"/>
      <c r="O119" s="21"/>
      <c r="P119" s="21"/>
      <c r="Q119" s="58"/>
      <c r="R119" s="58"/>
      <c r="S119" s="21"/>
      <c r="T119" s="21"/>
      <c r="U119" s="58"/>
      <c r="V119" s="58"/>
      <c r="W119" s="21"/>
      <c r="X119" s="21"/>
      <c r="Y119" s="58"/>
      <c r="Z119" s="58"/>
      <c r="AA119" s="21"/>
      <c r="AB119" s="21"/>
      <c r="AC119" s="58"/>
      <c r="AD119" s="58"/>
      <c r="AE119" s="21"/>
      <c r="AF119" s="58"/>
    </row>
    <row r="120" spans="1:32" hidden="1">
      <c r="A120" s="16"/>
      <c r="B120" s="16"/>
      <c r="C120" s="16" t="s">
        <v>73</v>
      </c>
      <c r="D120" s="4" t="s">
        <v>77</v>
      </c>
      <c r="E120" s="4"/>
      <c r="F120" s="59"/>
      <c r="G120" s="21"/>
      <c r="H120" s="21"/>
      <c r="I120" s="58"/>
      <c r="J120" s="58"/>
      <c r="K120" s="21"/>
      <c r="L120" s="21"/>
      <c r="M120" s="58"/>
      <c r="N120" s="58"/>
      <c r="O120" s="21"/>
      <c r="P120" s="21"/>
      <c r="Q120" s="58"/>
      <c r="R120" s="58"/>
      <c r="S120" s="21"/>
      <c r="T120" s="21"/>
      <c r="U120" s="58"/>
      <c r="V120" s="58"/>
      <c r="W120" s="21"/>
      <c r="X120" s="21"/>
      <c r="Y120" s="58"/>
      <c r="Z120" s="58"/>
      <c r="AA120" s="21"/>
      <c r="AB120" s="21"/>
      <c r="AC120" s="58"/>
      <c r="AD120" s="58"/>
      <c r="AE120" s="21"/>
      <c r="AF120" s="58"/>
    </row>
    <row r="121" spans="1:32" hidden="1">
      <c r="A121" s="4"/>
      <c r="B121" s="16"/>
      <c r="C121" s="16"/>
      <c r="D121" s="10" t="s">
        <v>5</v>
      </c>
      <c r="E121" s="120" t="s">
        <v>288</v>
      </c>
      <c r="F121" s="114"/>
      <c r="G121" s="21"/>
      <c r="H121" s="21"/>
      <c r="I121" s="58"/>
      <c r="J121" s="58"/>
      <c r="K121" s="21"/>
      <c r="L121" s="21"/>
      <c r="M121" s="58"/>
      <c r="N121" s="58"/>
      <c r="O121" s="21"/>
      <c r="P121" s="21"/>
      <c r="Q121" s="58"/>
      <c r="R121" s="58"/>
      <c r="S121" s="21"/>
      <c r="T121" s="21"/>
      <c r="U121" s="58"/>
      <c r="V121" s="58"/>
      <c r="W121" s="21"/>
      <c r="X121" s="21"/>
      <c r="Y121" s="58"/>
      <c r="Z121" s="58"/>
      <c r="AA121" s="21"/>
      <c r="AB121" s="21"/>
      <c r="AC121" s="58"/>
      <c r="AD121" s="58"/>
      <c r="AE121" s="21"/>
      <c r="AF121" s="58"/>
    </row>
    <row r="122" spans="1:32" hidden="1">
      <c r="A122" s="16"/>
      <c r="B122" s="4"/>
      <c r="C122" s="4"/>
      <c r="D122" s="5"/>
      <c r="E122" s="10" t="s">
        <v>6</v>
      </c>
      <c r="F122" s="11" t="s">
        <v>289</v>
      </c>
      <c r="G122" s="21"/>
      <c r="H122" s="21"/>
      <c r="I122" s="58"/>
      <c r="J122" s="58"/>
      <c r="K122" s="21"/>
      <c r="L122" s="21"/>
      <c r="M122" s="58"/>
      <c r="N122" s="58"/>
      <c r="O122" s="21"/>
      <c r="P122" s="21"/>
      <c r="Q122" s="58"/>
      <c r="R122" s="58"/>
      <c r="S122" s="21"/>
      <c r="T122" s="21"/>
      <c r="U122" s="58"/>
      <c r="V122" s="58"/>
      <c r="W122" s="21"/>
      <c r="X122" s="21"/>
      <c r="Y122" s="58"/>
      <c r="Z122" s="58"/>
      <c r="AA122" s="21"/>
      <c r="AB122" s="21"/>
      <c r="AC122" s="58"/>
      <c r="AD122" s="58"/>
      <c r="AE122" s="21"/>
      <c r="AF122" s="58"/>
    </row>
    <row r="123" spans="1:32" hidden="1">
      <c r="A123" s="16"/>
      <c r="B123" s="16"/>
      <c r="C123" s="16"/>
      <c r="D123" s="10" t="s">
        <v>5</v>
      </c>
      <c r="E123" s="85" t="s">
        <v>102</v>
      </c>
      <c r="F123" s="9"/>
      <c r="G123" s="21"/>
      <c r="H123" s="21"/>
      <c r="I123" s="58"/>
      <c r="J123" s="58"/>
      <c r="K123" s="21"/>
      <c r="L123" s="21"/>
      <c r="M123" s="58"/>
      <c r="N123" s="58"/>
      <c r="O123" s="21"/>
      <c r="P123" s="21"/>
      <c r="Q123" s="58"/>
      <c r="R123" s="58"/>
      <c r="S123" s="21"/>
      <c r="T123" s="21"/>
      <c r="U123" s="58"/>
      <c r="V123" s="58"/>
      <c r="W123" s="21"/>
      <c r="X123" s="21"/>
      <c r="Y123" s="58"/>
      <c r="Z123" s="58"/>
      <c r="AA123" s="21"/>
      <c r="AB123" s="21"/>
      <c r="AC123" s="58"/>
      <c r="AD123" s="58"/>
      <c r="AE123" s="21"/>
      <c r="AF123" s="58"/>
    </row>
    <row r="124" spans="1:32" hidden="1">
      <c r="A124" s="4"/>
      <c r="B124" s="4"/>
      <c r="C124" s="4"/>
      <c r="D124" s="5"/>
      <c r="E124" s="10" t="s">
        <v>6</v>
      </c>
      <c r="F124" s="11" t="s">
        <v>15</v>
      </c>
      <c r="G124" s="21"/>
      <c r="H124" s="21"/>
      <c r="I124" s="58"/>
      <c r="J124" s="58"/>
      <c r="K124" s="21"/>
      <c r="L124" s="21"/>
      <c r="M124" s="58"/>
      <c r="N124" s="58"/>
      <c r="O124" s="21"/>
      <c r="P124" s="21"/>
      <c r="Q124" s="58"/>
      <c r="R124" s="58"/>
      <c r="S124" s="21"/>
      <c r="T124" s="21"/>
      <c r="U124" s="58"/>
      <c r="V124" s="58"/>
      <c r="W124" s="21"/>
      <c r="X124" s="21"/>
      <c r="Y124" s="58"/>
      <c r="Z124" s="58"/>
      <c r="AA124" s="21"/>
      <c r="AB124" s="21"/>
      <c r="AC124" s="58"/>
      <c r="AD124" s="58"/>
      <c r="AE124" s="21"/>
      <c r="AF124" s="58"/>
    </row>
    <row r="125" spans="1:32" hidden="1">
      <c r="A125" s="4"/>
      <c r="B125" s="4"/>
      <c r="C125" s="4"/>
      <c r="D125" s="10" t="s">
        <v>5</v>
      </c>
      <c r="E125" s="5" t="s">
        <v>14</v>
      </c>
      <c r="F125" s="11"/>
      <c r="G125" s="21"/>
      <c r="H125" s="21"/>
      <c r="I125" s="58"/>
      <c r="J125" s="58"/>
      <c r="K125" s="21"/>
      <c r="L125" s="21"/>
      <c r="M125" s="58"/>
      <c r="N125" s="58"/>
      <c r="O125" s="21"/>
      <c r="P125" s="21"/>
      <c r="Q125" s="58"/>
      <c r="R125" s="58"/>
      <c r="S125" s="21"/>
      <c r="T125" s="21"/>
      <c r="U125" s="58"/>
      <c r="V125" s="58"/>
      <c r="W125" s="21"/>
      <c r="X125" s="21"/>
      <c r="Y125" s="58"/>
      <c r="Z125" s="58"/>
      <c r="AA125" s="21"/>
      <c r="AB125" s="21"/>
      <c r="AC125" s="58"/>
      <c r="AD125" s="58"/>
      <c r="AE125" s="21"/>
      <c r="AF125" s="58"/>
    </row>
    <row r="126" spans="1:32" hidden="1">
      <c r="A126" s="4"/>
      <c r="B126" s="4"/>
      <c r="C126" s="4"/>
      <c r="D126" s="5"/>
      <c r="E126" s="10" t="s">
        <v>6</v>
      </c>
      <c r="F126" s="11" t="s">
        <v>16</v>
      </c>
      <c r="G126" s="21"/>
      <c r="H126" s="21"/>
      <c r="I126" s="58"/>
      <c r="J126" s="58"/>
      <c r="K126" s="21"/>
      <c r="L126" s="21"/>
      <c r="M126" s="58"/>
      <c r="N126" s="58"/>
      <c r="O126" s="21"/>
      <c r="P126" s="21"/>
      <c r="Q126" s="58"/>
      <c r="R126" s="58"/>
      <c r="S126" s="21"/>
      <c r="T126" s="21"/>
      <c r="U126" s="58"/>
      <c r="V126" s="58"/>
      <c r="W126" s="21"/>
      <c r="X126" s="21"/>
      <c r="Y126" s="58"/>
      <c r="Z126" s="58"/>
      <c r="AA126" s="21"/>
      <c r="AB126" s="21"/>
      <c r="AC126" s="58"/>
      <c r="AD126" s="58"/>
      <c r="AE126" s="21"/>
      <c r="AF126" s="58"/>
    </row>
    <row r="127" spans="1:32" hidden="1">
      <c r="A127" s="4"/>
      <c r="B127" s="4"/>
      <c r="C127" s="4"/>
      <c r="D127" s="5"/>
      <c r="E127" s="5"/>
      <c r="F127" s="11" t="s">
        <v>101</v>
      </c>
      <c r="G127" s="21"/>
      <c r="H127" s="21"/>
      <c r="I127" s="58"/>
      <c r="J127" s="58"/>
      <c r="K127" s="21"/>
      <c r="L127" s="21"/>
      <c r="M127" s="58"/>
      <c r="N127" s="58"/>
      <c r="O127" s="21"/>
      <c r="P127" s="21"/>
      <c r="Q127" s="58"/>
      <c r="R127" s="58"/>
      <c r="S127" s="21"/>
      <c r="T127" s="21"/>
      <c r="U127" s="58"/>
      <c r="V127" s="58"/>
      <c r="W127" s="21"/>
      <c r="X127" s="21"/>
      <c r="Y127" s="58"/>
      <c r="Z127" s="58"/>
      <c r="AA127" s="21"/>
      <c r="AB127" s="21"/>
      <c r="AC127" s="58"/>
      <c r="AD127" s="58"/>
      <c r="AE127" s="21"/>
      <c r="AF127" s="58"/>
    </row>
    <row r="128" spans="1:32">
      <c r="A128" s="4"/>
      <c r="B128" s="4"/>
      <c r="C128" s="16" t="s">
        <v>73</v>
      </c>
      <c r="D128" s="4" t="s">
        <v>83</v>
      </c>
      <c r="E128" s="51"/>
      <c r="F128" s="54"/>
      <c r="G128" s="21"/>
      <c r="H128" s="21"/>
      <c r="I128" s="58"/>
      <c r="J128" s="58"/>
      <c r="K128" s="21"/>
      <c r="L128" s="21"/>
      <c r="M128" s="58"/>
      <c r="N128" s="58"/>
      <c r="O128" s="21"/>
      <c r="P128" s="21"/>
      <c r="Q128" s="58"/>
      <c r="R128" s="58"/>
      <c r="S128" s="21"/>
      <c r="T128" s="21"/>
      <c r="U128" s="58"/>
      <c r="V128" s="58"/>
      <c r="W128" s="21"/>
      <c r="X128" s="21"/>
      <c r="Y128" s="58"/>
      <c r="Z128" s="58"/>
      <c r="AA128" s="21"/>
      <c r="AB128" s="21"/>
      <c r="AC128" s="58"/>
      <c r="AD128" s="58"/>
      <c r="AE128" s="21"/>
      <c r="AF128" s="58"/>
    </row>
    <row r="129" spans="1:32">
      <c r="A129" s="4"/>
      <c r="B129" s="4"/>
      <c r="C129" s="4"/>
      <c r="D129" s="10" t="s">
        <v>5</v>
      </c>
      <c r="E129" s="85" t="s">
        <v>20</v>
      </c>
      <c r="F129" s="11"/>
      <c r="G129" s="21"/>
      <c r="H129" s="21"/>
      <c r="I129" s="58"/>
      <c r="J129" s="58"/>
      <c r="K129" s="21"/>
      <c r="L129" s="21"/>
      <c r="M129" s="58"/>
      <c r="N129" s="58"/>
      <c r="O129" s="21"/>
      <c r="P129" s="21"/>
      <c r="Q129" s="58"/>
      <c r="R129" s="58"/>
      <c r="S129" s="21"/>
      <c r="T129" s="21"/>
      <c r="U129" s="58"/>
      <c r="V129" s="58"/>
      <c r="W129" s="21"/>
      <c r="X129" s="21"/>
      <c r="Y129" s="58"/>
      <c r="Z129" s="58"/>
      <c r="AA129" s="21"/>
      <c r="AB129" s="21"/>
      <c r="AC129" s="58"/>
      <c r="AD129" s="58"/>
      <c r="AE129" s="21"/>
      <c r="AF129" s="58"/>
    </row>
    <row r="130" spans="1:32">
      <c r="A130" s="4"/>
      <c r="B130" s="4"/>
      <c r="C130" s="4"/>
      <c r="D130" s="5"/>
      <c r="E130" s="10" t="s">
        <v>6</v>
      </c>
      <c r="F130" s="11" t="s">
        <v>79</v>
      </c>
      <c r="G130" s="21">
        <v>1</v>
      </c>
      <c r="H130" s="21"/>
      <c r="I130" s="58"/>
      <c r="J130" s="58"/>
      <c r="K130" s="21">
        <v>1</v>
      </c>
      <c r="L130" s="21"/>
      <c r="M130" s="58"/>
      <c r="N130" s="58"/>
      <c r="O130" s="21"/>
      <c r="P130" s="21"/>
      <c r="Q130" s="58"/>
      <c r="R130" s="58">
        <v>1</v>
      </c>
      <c r="S130" s="21"/>
      <c r="T130" s="21">
        <v>1</v>
      </c>
      <c r="U130" s="58"/>
      <c r="V130" s="58">
        <v>2</v>
      </c>
      <c r="W130" s="21"/>
      <c r="X130" s="21"/>
      <c r="Y130" s="58"/>
      <c r="Z130" s="58"/>
      <c r="AA130" s="21"/>
      <c r="AB130" s="21"/>
      <c r="AC130" s="58"/>
      <c r="AD130" s="58">
        <v>1</v>
      </c>
      <c r="AE130" s="21"/>
      <c r="AF130" s="58"/>
    </row>
    <row r="131" spans="1:32">
      <c r="A131" s="4"/>
      <c r="B131" s="4"/>
      <c r="C131" s="4"/>
      <c r="D131" s="10" t="s">
        <v>5</v>
      </c>
      <c r="E131" s="12" t="s">
        <v>31</v>
      </c>
      <c r="F131" s="11"/>
      <c r="G131" s="21"/>
      <c r="H131" s="21"/>
      <c r="I131" s="58"/>
      <c r="J131" s="58"/>
      <c r="K131" s="21"/>
      <c r="L131" s="21"/>
      <c r="M131" s="58"/>
      <c r="N131" s="58"/>
      <c r="O131" s="21"/>
      <c r="P131" s="21"/>
      <c r="Q131" s="58"/>
      <c r="R131" s="58"/>
      <c r="S131" s="21"/>
      <c r="T131" s="21"/>
      <c r="U131" s="58"/>
      <c r="V131" s="58"/>
      <c r="W131" s="21"/>
      <c r="X131" s="21"/>
      <c r="Y131" s="58"/>
      <c r="Z131" s="58"/>
      <c r="AA131" s="21"/>
      <c r="AB131" s="21"/>
      <c r="AC131" s="58"/>
      <c r="AD131" s="58"/>
      <c r="AE131" s="21"/>
      <c r="AF131" s="58"/>
    </row>
    <row r="132" spans="1:32">
      <c r="A132" s="4"/>
      <c r="B132" s="4"/>
      <c r="C132" s="4"/>
      <c r="D132" s="5"/>
      <c r="E132" s="10" t="s">
        <v>6</v>
      </c>
      <c r="F132" s="11" t="s">
        <v>32</v>
      </c>
      <c r="G132" s="21">
        <v>20</v>
      </c>
      <c r="H132" s="21">
        <v>21</v>
      </c>
      <c r="I132" s="58">
        <v>2</v>
      </c>
      <c r="J132" s="58">
        <v>11</v>
      </c>
      <c r="K132" s="21">
        <v>13</v>
      </c>
      <c r="L132" s="21">
        <v>18</v>
      </c>
      <c r="M132" s="58">
        <v>12</v>
      </c>
      <c r="N132" s="58">
        <v>11</v>
      </c>
      <c r="O132" s="21">
        <v>23</v>
      </c>
      <c r="P132" s="21">
        <v>24</v>
      </c>
      <c r="Q132" s="58">
        <v>18</v>
      </c>
      <c r="R132" s="58">
        <v>17</v>
      </c>
      <c r="S132" s="21">
        <v>2</v>
      </c>
      <c r="T132" s="21">
        <v>12</v>
      </c>
      <c r="U132" s="58">
        <v>27</v>
      </c>
      <c r="V132" s="58">
        <v>26</v>
      </c>
      <c r="W132" s="21">
        <v>13</v>
      </c>
      <c r="X132" s="21">
        <v>38</v>
      </c>
      <c r="Y132" s="58">
        <v>20</v>
      </c>
      <c r="Z132" s="58">
        <v>4</v>
      </c>
      <c r="AA132" s="21">
        <v>33</v>
      </c>
      <c r="AB132" s="21">
        <v>12</v>
      </c>
      <c r="AC132" s="58">
        <v>32</v>
      </c>
      <c r="AD132" s="58">
        <v>24</v>
      </c>
      <c r="AE132" s="21">
        <v>29</v>
      </c>
      <c r="AF132" s="58">
        <v>34</v>
      </c>
    </row>
    <row r="133" spans="1:32">
      <c r="A133" s="4"/>
      <c r="B133" s="4"/>
      <c r="C133" s="4"/>
      <c r="D133" s="5"/>
      <c r="E133" s="10"/>
      <c r="F133" s="11" t="s">
        <v>113</v>
      </c>
      <c r="G133" s="21">
        <v>7</v>
      </c>
      <c r="H133" s="21">
        <v>5</v>
      </c>
      <c r="I133" s="58">
        <v>1</v>
      </c>
      <c r="J133" s="58">
        <v>2</v>
      </c>
      <c r="K133" s="21"/>
      <c r="L133" s="21">
        <v>2</v>
      </c>
      <c r="M133" s="58"/>
      <c r="N133" s="58"/>
      <c r="O133" s="21">
        <v>7</v>
      </c>
      <c r="P133" s="21">
        <v>6</v>
      </c>
      <c r="Q133" s="58">
        <v>2</v>
      </c>
      <c r="R133" s="58">
        <v>2</v>
      </c>
      <c r="S133" s="21">
        <v>1</v>
      </c>
      <c r="T133" s="21">
        <v>3</v>
      </c>
      <c r="U133" s="58">
        <v>9</v>
      </c>
      <c r="V133" s="58">
        <v>5</v>
      </c>
      <c r="W133" s="21">
        <v>4</v>
      </c>
      <c r="X133" s="21">
        <v>10</v>
      </c>
      <c r="Y133" s="58">
        <v>12</v>
      </c>
      <c r="Z133" s="58">
        <v>5</v>
      </c>
      <c r="AA133" s="21">
        <v>21</v>
      </c>
      <c r="AB133" s="21">
        <v>1</v>
      </c>
      <c r="AC133" s="58">
        <v>9</v>
      </c>
      <c r="AD133" s="58">
        <v>13</v>
      </c>
      <c r="AE133" s="21">
        <v>2</v>
      </c>
      <c r="AF133" s="58">
        <v>12</v>
      </c>
    </row>
    <row r="134" spans="1:32">
      <c r="A134" s="4"/>
      <c r="B134" s="4"/>
      <c r="C134" s="16" t="s">
        <v>73</v>
      </c>
      <c r="D134" s="4" t="s">
        <v>82</v>
      </c>
      <c r="E134" s="28"/>
      <c r="F134" s="11"/>
      <c r="G134" s="21"/>
      <c r="H134" s="21"/>
      <c r="I134" s="58"/>
      <c r="J134" s="58"/>
      <c r="K134" s="21"/>
      <c r="L134" s="21"/>
      <c r="M134" s="58"/>
      <c r="N134" s="58"/>
      <c r="O134" s="21"/>
      <c r="P134" s="21"/>
      <c r="Q134" s="58"/>
      <c r="R134" s="58"/>
      <c r="S134" s="21"/>
      <c r="T134" s="21"/>
      <c r="U134" s="58"/>
      <c r="V134" s="58"/>
      <c r="W134" s="21"/>
      <c r="X134" s="21"/>
      <c r="Y134" s="58"/>
      <c r="Z134" s="58"/>
      <c r="AA134" s="21"/>
      <c r="AB134" s="21"/>
      <c r="AC134" s="58"/>
      <c r="AD134" s="58"/>
      <c r="AE134" s="21"/>
      <c r="AF134" s="58"/>
    </row>
    <row r="135" spans="1:32">
      <c r="A135" s="4"/>
      <c r="B135" s="4"/>
      <c r="C135" s="4"/>
      <c r="D135" s="10" t="s">
        <v>5</v>
      </c>
      <c r="E135" s="129" t="s">
        <v>29</v>
      </c>
      <c r="F135" s="11"/>
      <c r="G135" s="21"/>
      <c r="H135" s="21"/>
      <c r="I135" s="58"/>
      <c r="J135" s="58"/>
      <c r="K135" s="21"/>
      <c r="L135" s="21"/>
      <c r="M135" s="58"/>
      <c r="N135" s="58"/>
      <c r="O135" s="21"/>
      <c r="P135" s="21"/>
      <c r="Q135" s="58"/>
      <c r="R135" s="58"/>
      <c r="S135" s="21"/>
      <c r="T135" s="21"/>
      <c r="U135" s="58"/>
      <c r="V135" s="58"/>
      <c r="W135" s="21"/>
      <c r="X135" s="21"/>
      <c r="Y135" s="58"/>
      <c r="Z135" s="58"/>
      <c r="AA135" s="21"/>
      <c r="AB135" s="21"/>
      <c r="AC135" s="58"/>
      <c r="AD135" s="58"/>
      <c r="AE135" s="21"/>
      <c r="AF135" s="58"/>
    </row>
    <row r="136" spans="1:32" hidden="1">
      <c r="A136" s="4"/>
      <c r="B136" s="4"/>
      <c r="C136" s="4"/>
      <c r="D136" s="5"/>
      <c r="F136" s="11" t="s">
        <v>30</v>
      </c>
      <c r="G136" s="21"/>
      <c r="H136" s="21"/>
      <c r="I136" s="58"/>
      <c r="J136" s="58"/>
      <c r="K136" s="21"/>
      <c r="L136" s="21"/>
      <c r="M136" s="58"/>
      <c r="N136" s="58"/>
      <c r="O136" s="21"/>
      <c r="P136" s="21"/>
      <c r="Q136" s="58"/>
      <c r="R136" s="58"/>
      <c r="S136" s="21"/>
      <c r="T136" s="21"/>
      <c r="U136" s="58"/>
      <c r="V136" s="58"/>
      <c r="W136" s="21"/>
      <c r="X136" s="21"/>
      <c r="Y136" s="58"/>
      <c r="Z136" s="58"/>
      <c r="AA136" s="21"/>
      <c r="AB136" s="21"/>
      <c r="AC136" s="58"/>
      <c r="AD136" s="58"/>
      <c r="AE136" s="21"/>
      <c r="AF136" s="58"/>
    </row>
    <row r="137" spans="1:32">
      <c r="A137" s="4"/>
      <c r="B137" s="4"/>
      <c r="C137" s="4"/>
      <c r="D137" s="5"/>
      <c r="E137" s="10" t="s">
        <v>6</v>
      </c>
      <c r="F137" s="11" t="s">
        <v>112</v>
      </c>
      <c r="G137" s="21">
        <v>4</v>
      </c>
      <c r="H137" s="21"/>
      <c r="I137" s="58"/>
      <c r="J137" s="58">
        <v>1</v>
      </c>
      <c r="K137" s="21">
        <v>5</v>
      </c>
      <c r="L137" s="21"/>
      <c r="M137" s="58">
        <v>3</v>
      </c>
      <c r="N137" s="58">
        <v>3</v>
      </c>
      <c r="O137" s="21">
        <v>3</v>
      </c>
      <c r="P137" s="21"/>
      <c r="Q137" s="58">
        <v>2</v>
      </c>
      <c r="R137" s="58">
        <v>1</v>
      </c>
      <c r="S137" s="21"/>
      <c r="T137" s="21">
        <v>3</v>
      </c>
      <c r="U137" s="58">
        <v>9</v>
      </c>
      <c r="V137" s="58">
        <v>2</v>
      </c>
      <c r="W137" s="21">
        <v>1</v>
      </c>
      <c r="X137" s="21">
        <v>6</v>
      </c>
      <c r="Y137" s="58">
        <v>1</v>
      </c>
      <c r="Z137" s="58"/>
      <c r="AA137" s="21">
        <v>9</v>
      </c>
      <c r="AB137" s="21">
        <v>4</v>
      </c>
      <c r="AC137" s="58">
        <v>1</v>
      </c>
      <c r="AD137" s="58">
        <v>9</v>
      </c>
      <c r="AE137" s="21">
        <v>5</v>
      </c>
      <c r="AF137" s="58">
        <v>14</v>
      </c>
    </row>
    <row r="138" spans="1:32" hidden="1">
      <c r="A138" s="4"/>
      <c r="B138" s="4"/>
      <c r="C138" s="4"/>
      <c r="D138" s="5"/>
      <c r="E138" s="10"/>
      <c r="F138" s="11" t="s">
        <v>242</v>
      </c>
      <c r="G138" s="21"/>
      <c r="H138" s="21"/>
      <c r="I138" s="58"/>
      <c r="J138" s="58"/>
      <c r="K138" s="21"/>
      <c r="L138" s="21"/>
      <c r="M138" s="58"/>
      <c r="N138" s="58"/>
      <c r="O138" s="21"/>
      <c r="P138" s="21"/>
      <c r="Q138" s="58"/>
      <c r="R138" s="58"/>
      <c r="S138" s="21"/>
      <c r="T138" s="21"/>
      <c r="U138" s="58"/>
      <c r="V138" s="58"/>
      <c r="W138" s="21"/>
      <c r="X138" s="21"/>
      <c r="Y138" s="58"/>
      <c r="Z138" s="58"/>
      <c r="AA138" s="21"/>
      <c r="AB138" s="21"/>
      <c r="AC138" s="58"/>
      <c r="AD138" s="58"/>
      <c r="AE138" s="21"/>
      <c r="AF138" s="58"/>
    </row>
    <row r="139" spans="1:32" hidden="1">
      <c r="A139" s="4"/>
      <c r="B139" s="4"/>
      <c r="C139" s="16" t="s">
        <v>73</v>
      </c>
      <c r="D139" s="4" t="s">
        <v>103</v>
      </c>
      <c r="E139" s="28"/>
      <c r="F139" s="11"/>
      <c r="G139" s="21"/>
      <c r="H139" s="21"/>
      <c r="I139" s="58"/>
      <c r="J139" s="58"/>
      <c r="K139" s="21"/>
      <c r="L139" s="21"/>
      <c r="M139" s="58"/>
      <c r="N139" s="58"/>
      <c r="O139" s="21"/>
      <c r="P139" s="21"/>
      <c r="Q139" s="58"/>
      <c r="R139" s="58"/>
      <c r="S139" s="21"/>
      <c r="T139" s="21"/>
      <c r="U139" s="58"/>
      <c r="V139" s="58"/>
      <c r="W139" s="21"/>
      <c r="X139" s="21"/>
      <c r="Y139" s="58"/>
      <c r="Z139" s="58"/>
      <c r="AA139" s="21"/>
      <c r="AB139" s="21"/>
      <c r="AC139" s="58"/>
      <c r="AD139" s="58"/>
      <c r="AE139" s="21"/>
      <c r="AF139" s="58"/>
    </row>
    <row r="140" spans="1:32" hidden="1">
      <c r="A140" s="4"/>
      <c r="B140" s="4"/>
      <c r="C140" s="4"/>
      <c r="D140" s="10" t="s">
        <v>5</v>
      </c>
      <c r="E140" s="129" t="s">
        <v>104</v>
      </c>
      <c r="F140" s="11"/>
      <c r="G140" s="21"/>
      <c r="H140" s="21"/>
      <c r="I140" s="58"/>
      <c r="J140" s="58"/>
      <c r="K140" s="21"/>
      <c r="L140" s="21"/>
      <c r="M140" s="58"/>
      <c r="N140" s="58"/>
      <c r="O140" s="21"/>
      <c r="P140" s="21"/>
      <c r="Q140" s="58"/>
      <c r="R140" s="58"/>
      <c r="S140" s="21"/>
      <c r="T140" s="21"/>
      <c r="U140" s="58"/>
      <c r="V140" s="58"/>
      <c r="W140" s="21"/>
      <c r="X140" s="21"/>
      <c r="Y140" s="58"/>
      <c r="Z140" s="58"/>
      <c r="AA140" s="21"/>
      <c r="AB140" s="21"/>
      <c r="AC140" s="58"/>
      <c r="AD140" s="58"/>
      <c r="AE140" s="21"/>
      <c r="AF140" s="58"/>
    </row>
    <row r="141" spans="1:32" hidden="1">
      <c r="A141" s="4"/>
      <c r="B141" s="4"/>
      <c r="C141" s="4"/>
      <c r="D141" s="5"/>
      <c r="E141" s="131" t="s">
        <v>6</v>
      </c>
      <c r="F141" s="11" t="s">
        <v>105</v>
      </c>
      <c r="G141" s="21"/>
      <c r="H141" s="21"/>
      <c r="I141" s="58"/>
      <c r="J141" s="58"/>
      <c r="K141" s="21"/>
      <c r="L141" s="21"/>
      <c r="M141" s="58"/>
      <c r="N141" s="58"/>
      <c r="O141" s="21"/>
      <c r="P141" s="21"/>
      <c r="Q141" s="58"/>
      <c r="R141" s="58"/>
      <c r="S141" s="21"/>
      <c r="T141" s="21"/>
      <c r="U141" s="58"/>
      <c r="V141" s="58"/>
      <c r="W141" s="21"/>
      <c r="X141" s="21"/>
      <c r="Y141" s="58"/>
      <c r="Z141" s="58"/>
      <c r="AA141" s="21"/>
      <c r="AB141" s="21"/>
      <c r="AC141" s="58"/>
      <c r="AD141" s="58"/>
      <c r="AE141" s="21"/>
      <c r="AF141" s="58"/>
    </row>
    <row r="142" spans="1:32">
      <c r="A142" s="4"/>
      <c r="B142" s="4"/>
      <c r="C142" s="16" t="s">
        <v>73</v>
      </c>
      <c r="D142" s="4" t="s">
        <v>84</v>
      </c>
      <c r="E142" s="28"/>
      <c r="F142" s="11"/>
      <c r="G142" s="21"/>
      <c r="H142" s="21"/>
      <c r="I142" s="58"/>
      <c r="J142" s="58"/>
      <c r="K142" s="21"/>
      <c r="L142" s="21"/>
      <c r="M142" s="58"/>
      <c r="N142" s="58"/>
      <c r="O142" s="21"/>
      <c r="P142" s="21"/>
      <c r="Q142" s="58"/>
      <c r="R142" s="58"/>
      <c r="S142" s="21"/>
      <c r="T142" s="21"/>
      <c r="U142" s="58"/>
      <c r="V142" s="58"/>
      <c r="W142" s="21"/>
      <c r="X142" s="21"/>
      <c r="Y142" s="58"/>
      <c r="Z142" s="58"/>
      <c r="AA142" s="21"/>
      <c r="AB142" s="21"/>
      <c r="AC142" s="58"/>
      <c r="AD142" s="58"/>
      <c r="AE142" s="21"/>
      <c r="AF142" s="58"/>
    </row>
    <row r="143" spans="1:32">
      <c r="A143" s="4"/>
      <c r="B143" s="4"/>
      <c r="C143" s="4"/>
      <c r="D143" s="106" t="s">
        <v>5</v>
      </c>
      <c r="E143" s="107" t="s">
        <v>269</v>
      </c>
      <c r="F143" s="11"/>
      <c r="G143" s="21"/>
      <c r="H143" s="21"/>
      <c r="I143" s="58"/>
      <c r="J143" s="58"/>
      <c r="K143" s="21"/>
      <c r="L143" s="21"/>
      <c r="M143" s="58"/>
      <c r="N143" s="58"/>
      <c r="O143" s="21"/>
      <c r="P143" s="21"/>
      <c r="Q143" s="58"/>
      <c r="R143" s="58"/>
      <c r="S143" s="21"/>
      <c r="T143" s="21"/>
      <c r="U143" s="58"/>
      <c r="V143" s="58"/>
      <c r="W143" s="21"/>
      <c r="X143" s="21"/>
      <c r="Y143" s="58"/>
      <c r="Z143" s="58"/>
      <c r="AA143" s="21"/>
      <c r="AB143" s="21"/>
      <c r="AC143" s="58"/>
      <c r="AD143" s="58"/>
      <c r="AE143" s="21"/>
      <c r="AF143" s="58"/>
    </row>
    <row r="144" spans="1:32" hidden="1">
      <c r="A144" s="4"/>
      <c r="B144" s="4"/>
      <c r="C144" s="4"/>
      <c r="D144" s="105"/>
      <c r="F144" s="11" t="s">
        <v>270</v>
      </c>
      <c r="G144" s="21"/>
      <c r="H144" s="21"/>
      <c r="I144" s="58"/>
      <c r="J144" s="58"/>
      <c r="K144" s="21"/>
      <c r="L144" s="21"/>
      <c r="M144" s="58"/>
      <c r="N144" s="58"/>
      <c r="O144" s="21"/>
      <c r="P144" s="21"/>
      <c r="Q144" s="58"/>
      <c r="R144" s="58"/>
      <c r="S144" s="21"/>
      <c r="T144" s="21"/>
      <c r="U144" s="58"/>
      <c r="V144" s="58"/>
      <c r="W144" s="21"/>
      <c r="X144" s="21"/>
      <c r="Y144" s="58"/>
      <c r="Z144" s="58"/>
      <c r="AA144" s="21"/>
      <c r="AB144" s="21"/>
      <c r="AC144" s="58"/>
      <c r="AD144" s="58"/>
      <c r="AE144" s="21"/>
      <c r="AF144" s="58"/>
    </row>
    <row r="145" spans="1:32">
      <c r="A145" s="4"/>
      <c r="B145" s="4"/>
      <c r="C145" s="4"/>
      <c r="D145" s="105"/>
      <c r="E145" s="106" t="s">
        <v>6</v>
      </c>
      <c r="F145" s="11" t="s">
        <v>168</v>
      </c>
      <c r="G145" s="21"/>
      <c r="H145" s="21"/>
      <c r="I145" s="58"/>
      <c r="J145" s="58">
        <v>1</v>
      </c>
      <c r="K145" s="21"/>
      <c r="L145" s="21"/>
      <c r="M145" s="58"/>
      <c r="N145" s="58">
        <v>1</v>
      </c>
      <c r="O145" s="21">
        <v>1</v>
      </c>
      <c r="P145" s="21"/>
      <c r="Q145" s="58"/>
      <c r="R145" s="58"/>
      <c r="S145" s="21"/>
      <c r="T145" s="21"/>
      <c r="U145" s="58">
        <v>1</v>
      </c>
      <c r="V145" s="58">
        <v>1</v>
      </c>
      <c r="W145" s="21"/>
      <c r="X145" s="21"/>
      <c r="Y145" s="58"/>
      <c r="Z145" s="58"/>
      <c r="AA145" s="21"/>
      <c r="AB145" s="21"/>
      <c r="AC145" s="58">
        <v>1</v>
      </c>
      <c r="AD145" s="58"/>
      <c r="AE145" s="21"/>
      <c r="AF145" s="58">
        <v>3</v>
      </c>
    </row>
    <row r="146" spans="1:32" hidden="1">
      <c r="A146" s="4"/>
      <c r="B146" s="4"/>
      <c r="C146" s="4"/>
      <c r="D146" s="10" t="s">
        <v>5</v>
      </c>
      <c r="E146" s="12" t="s">
        <v>85</v>
      </c>
      <c r="F146" s="11"/>
      <c r="G146" s="21"/>
      <c r="H146" s="21"/>
      <c r="I146" s="58"/>
      <c r="J146" s="58"/>
      <c r="K146" s="21"/>
      <c r="L146" s="21"/>
      <c r="M146" s="58"/>
      <c r="N146" s="58"/>
      <c r="O146" s="21"/>
      <c r="P146" s="21"/>
      <c r="Q146" s="58"/>
      <c r="R146" s="58"/>
      <c r="S146" s="21"/>
      <c r="T146" s="21"/>
      <c r="U146" s="58"/>
      <c r="V146" s="58"/>
      <c r="W146" s="21"/>
      <c r="X146" s="21"/>
      <c r="Y146" s="58"/>
      <c r="Z146" s="58"/>
      <c r="AA146" s="21"/>
      <c r="AB146" s="21"/>
      <c r="AC146" s="58"/>
      <c r="AD146" s="58"/>
      <c r="AE146" s="21"/>
      <c r="AF146" s="58"/>
    </row>
    <row r="147" spans="1:32" hidden="1">
      <c r="A147" s="4"/>
      <c r="B147" s="4"/>
      <c r="C147" s="4"/>
      <c r="D147" s="5"/>
      <c r="E147" s="10" t="s">
        <v>6</v>
      </c>
      <c r="F147" s="11" t="s">
        <v>33</v>
      </c>
      <c r="G147" s="21"/>
      <c r="H147" s="21"/>
      <c r="I147" s="58"/>
      <c r="J147" s="58"/>
      <c r="K147" s="21"/>
      <c r="L147" s="21"/>
      <c r="M147" s="58"/>
      <c r="N147" s="58"/>
      <c r="O147" s="21"/>
      <c r="P147" s="21"/>
      <c r="Q147" s="58"/>
      <c r="R147" s="58"/>
      <c r="S147" s="21"/>
      <c r="T147" s="21"/>
      <c r="U147" s="58"/>
      <c r="V147" s="58"/>
      <c r="W147" s="21"/>
      <c r="X147" s="21"/>
      <c r="Y147" s="58"/>
      <c r="Z147" s="58"/>
      <c r="AA147" s="21"/>
      <c r="AB147" s="21"/>
      <c r="AC147" s="58"/>
      <c r="AD147" s="58"/>
      <c r="AE147" s="21"/>
      <c r="AF147" s="58"/>
    </row>
    <row r="148" spans="1:32" hidden="1">
      <c r="A148" s="4"/>
      <c r="B148" s="4"/>
      <c r="C148" s="4"/>
      <c r="D148" s="5"/>
      <c r="E148" s="10"/>
      <c r="F148" s="11" t="s">
        <v>348</v>
      </c>
      <c r="G148" s="21"/>
      <c r="H148" s="21"/>
      <c r="I148" s="58"/>
      <c r="J148" s="58"/>
      <c r="K148" s="21"/>
      <c r="L148" s="21"/>
      <c r="M148" s="58"/>
      <c r="N148" s="58"/>
      <c r="O148" s="21"/>
      <c r="P148" s="21"/>
      <c r="Q148" s="58"/>
      <c r="R148" s="58"/>
      <c r="S148" s="21"/>
      <c r="T148" s="21"/>
      <c r="U148" s="58"/>
      <c r="V148" s="58"/>
      <c r="W148" s="21"/>
      <c r="X148" s="21"/>
      <c r="Y148" s="58"/>
      <c r="Z148" s="58"/>
      <c r="AA148" s="21"/>
      <c r="AB148" s="21"/>
      <c r="AC148" s="58"/>
      <c r="AD148" s="58"/>
      <c r="AE148" s="21"/>
      <c r="AF148" s="58"/>
    </row>
    <row r="149" spans="1:32" hidden="1">
      <c r="A149" s="4"/>
      <c r="B149" s="4"/>
      <c r="C149" s="4"/>
      <c r="D149" s="5"/>
      <c r="E149" s="10"/>
      <c r="F149" s="11" t="s">
        <v>388</v>
      </c>
      <c r="G149" s="21"/>
      <c r="H149" s="21"/>
      <c r="I149" s="58"/>
      <c r="J149" s="58"/>
      <c r="K149" s="21"/>
      <c r="L149" s="21"/>
      <c r="M149" s="58"/>
      <c r="N149" s="58"/>
      <c r="O149" s="21"/>
      <c r="P149" s="21"/>
      <c r="Q149" s="58"/>
      <c r="R149" s="58"/>
      <c r="S149" s="21"/>
      <c r="T149" s="21"/>
      <c r="U149" s="58"/>
      <c r="V149" s="58"/>
      <c r="W149" s="21"/>
      <c r="X149" s="21"/>
      <c r="Y149" s="58"/>
      <c r="Z149" s="58"/>
      <c r="AA149" s="21"/>
      <c r="AB149" s="21"/>
      <c r="AC149" s="58"/>
      <c r="AD149" s="58"/>
      <c r="AE149" s="21"/>
      <c r="AF149" s="58"/>
    </row>
    <row r="150" spans="1:32">
      <c r="A150" s="4"/>
      <c r="B150" s="4"/>
      <c r="C150" s="16" t="s">
        <v>73</v>
      </c>
      <c r="D150" s="4" t="s">
        <v>261</v>
      </c>
      <c r="E150" s="10"/>
      <c r="F150" s="11"/>
      <c r="G150" s="21"/>
      <c r="H150" s="21"/>
      <c r="I150" s="58"/>
      <c r="J150" s="58"/>
      <c r="K150" s="21"/>
      <c r="L150" s="21"/>
      <c r="M150" s="58"/>
      <c r="N150" s="58"/>
      <c r="O150" s="21"/>
      <c r="P150" s="21"/>
      <c r="Q150" s="58"/>
      <c r="R150" s="58"/>
      <c r="S150" s="21"/>
      <c r="T150" s="21"/>
      <c r="U150" s="58"/>
      <c r="V150" s="58"/>
      <c r="W150" s="21"/>
      <c r="X150" s="21"/>
      <c r="Y150" s="58"/>
      <c r="Z150" s="58"/>
      <c r="AA150" s="21"/>
      <c r="AB150" s="21"/>
      <c r="AC150" s="58"/>
      <c r="AD150" s="58"/>
      <c r="AE150" s="21"/>
      <c r="AF150" s="58"/>
    </row>
    <row r="151" spans="1:32">
      <c r="A151" s="4"/>
      <c r="B151" s="4"/>
      <c r="C151" s="4"/>
      <c r="D151" s="10" t="s">
        <v>5</v>
      </c>
      <c r="E151" s="104" t="s">
        <v>262</v>
      </c>
      <c r="F151" s="9"/>
      <c r="G151" s="21"/>
      <c r="H151" s="21"/>
      <c r="I151" s="58"/>
      <c r="J151" s="58"/>
      <c r="K151" s="21"/>
      <c r="L151" s="21"/>
      <c r="M151" s="58"/>
      <c r="N151" s="58"/>
      <c r="O151" s="21"/>
      <c r="P151" s="21"/>
      <c r="Q151" s="58"/>
      <c r="R151" s="58"/>
      <c r="S151" s="21"/>
      <c r="T151" s="21"/>
      <c r="U151" s="58"/>
      <c r="V151" s="58"/>
      <c r="W151" s="21"/>
      <c r="X151" s="21"/>
      <c r="Y151" s="58"/>
      <c r="Z151" s="58"/>
      <c r="AA151" s="21"/>
      <c r="AB151" s="21"/>
      <c r="AC151" s="58"/>
      <c r="AD151" s="58"/>
      <c r="AE151" s="21"/>
      <c r="AF151" s="58"/>
    </row>
    <row r="152" spans="1:32">
      <c r="A152" s="4"/>
      <c r="B152" s="4"/>
      <c r="C152" s="4"/>
      <c r="D152" s="5"/>
      <c r="E152" s="10" t="s">
        <v>6</v>
      </c>
      <c r="F152" s="11" t="s">
        <v>276</v>
      </c>
      <c r="G152" s="21"/>
      <c r="H152" s="21"/>
      <c r="I152" s="58"/>
      <c r="J152" s="58"/>
      <c r="K152" s="21"/>
      <c r="L152" s="21"/>
      <c r="M152" s="58"/>
      <c r="N152" s="58"/>
      <c r="O152" s="21"/>
      <c r="P152" s="21"/>
      <c r="Q152" s="58"/>
      <c r="R152" s="58">
        <v>1</v>
      </c>
      <c r="S152" s="21"/>
      <c r="T152" s="21"/>
      <c r="U152" s="58"/>
      <c r="V152" s="58"/>
      <c r="W152" s="21"/>
      <c r="X152" s="21"/>
      <c r="Y152" s="58"/>
      <c r="Z152" s="58"/>
      <c r="AA152" s="21"/>
      <c r="AB152" s="21"/>
      <c r="AC152" s="58"/>
      <c r="AD152" s="58"/>
      <c r="AE152" s="21"/>
      <c r="AF152" s="58"/>
    </row>
    <row r="153" spans="1:32" hidden="1">
      <c r="A153" s="4"/>
      <c r="B153" s="4"/>
      <c r="C153" s="4"/>
      <c r="D153" s="5"/>
      <c r="E153" s="10"/>
      <c r="F153" s="11" t="s">
        <v>263</v>
      </c>
      <c r="G153" s="21"/>
      <c r="H153" s="21"/>
      <c r="I153" s="58"/>
      <c r="J153" s="58"/>
      <c r="K153" s="21"/>
      <c r="L153" s="21"/>
      <c r="M153" s="58"/>
      <c r="N153" s="58"/>
      <c r="O153" s="21"/>
      <c r="P153" s="21"/>
      <c r="Q153" s="58"/>
      <c r="R153" s="58"/>
      <c r="S153" s="21"/>
      <c r="T153" s="21"/>
      <c r="U153" s="58"/>
      <c r="V153" s="58"/>
      <c r="W153" s="21"/>
      <c r="X153" s="21"/>
      <c r="Y153" s="58"/>
      <c r="Z153" s="58"/>
      <c r="AA153" s="21"/>
      <c r="AB153" s="21"/>
      <c r="AC153" s="58"/>
      <c r="AD153" s="58"/>
      <c r="AE153" s="21"/>
      <c r="AF153" s="58"/>
    </row>
    <row r="154" spans="1:32">
      <c r="A154" s="4"/>
      <c r="B154" s="4"/>
      <c r="C154" s="4"/>
      <c r="D154" s="5"/>
      <c r="E154" s="10"/>
      <c r="F154" s="11"/>
      <c r="G154" s="21"/>
      <c r="H154" s="21"/>
      <c r="I154" s="58"/>
      <c r="J154" s="58"/>
      <c r="K154" s="21"/>
      <c r="L154" s="21"/>
      <c r="M154" s="58"/>
      <c r="N154" s="58"/>
      <c r="O154" s="21"/>
      <c r="P154" s="21"/>
      <c r="Q154" s="58"/>
      <c r="R154" s="58"/>
      <c r="S154" s="21"/>
      <c r="T154" s="21"/>
      <c r="U154" s="58"/>
      <c r="V154" s="58"/>
      <c r="W154" s="21"/>
      <c r="X154" s="21"/>
      <c r="Y154" s="58"/>
      <c r="Z154" s="58"/>
      <c r="AA154" s="21"/>
      <c r="AB154" s="21"/>
      <c r="AC154" s="58"/>
      <c r="AD154" s="58"/>
      <c r="AE154" s="21"/>
      <c r="AF154" s="58"/>
    </row>
    <row r="155" spans="1:32">
      <c r="A155" s="16"/>
      <c r="B155" s="16" t="s">
        <v>72</v>
      </c>
      <c r="C155" s="28" t="s">
        <v>233</v>
      </c>
      <c r="D155" s="4"/>
      <c r="E155" s="5"/>
      <c r="F155" s="9"/>
      <c r="G155" s="21"/>
      <c r="H155" s="21"/>
      <c r="I155" s="58"/>
      <c r="J155" s="58"/>
      <c r="K155" s="21"/>
      <c r="L155" s="21"/>
      <c r="M155" s="58"/>
      <c r="N155" s="58"/>
      <c r="O155" s="21"/>
      <c r="P155" s="21"/>
      <c r="Q155" s="58"/>
      <c r="R155" s="58"/>
      <c r="S155" s="21"/>
      <c r="T155" s="21"/>
      <c r="U155" s="58"/>
      <c r="V155" s="58"/>
      <c r="W155" s="21"/>
      <c r="X155" s="21"/>
      <c r="Y155" s="58"/>
      <c r="Z155" s="58"/>
      <c r="AA155" s="21"/>
      <c r="AB155" s="21"/>
      <c r="AC155" s="58"/>
      <c r="AD155" s="58"/>
      <c r="AE155" s="21"/>
      <c r="AF155" s="58"/>
    </row>
    <row r="156" spans="1:32">
      <c r="A156" s="16"/>
      <c r="B156" s="16"/>
      <c r="C156" s="16" t="s">
        <v>73</v>
      </c>
      <c r="D156" s="4" t="s">
        <v>234</v>
      </c>
      <c r="E156" s="5"/>
      <c r="F156" s="9"/>
      <c r="G156" s="21"/>
      <c r="H156" s="21"/>
      <c r="I156" s="58"/>
      <c r="J156" s="58"/>
      <c r="K156" s="21"/>
      <c r="L156" s="21"/>
      <c r="M156" s="58"/>
      <c r="N156" s="58"/>
      <c r="O156" s="21"/>
      <c r="P156" s="21"/>
      <c r="Q156" s="58"/>
      <c r="R156" s="58"/>
      <c r="S156" s="21"/>
      <c r="T156" s="21"/>
      <c r="U156" s="58"/>
      <c r="V156" s="58"/>
      <c r="W156" s="21"/>
      <c r="X156" s="21"/>
      <c r="Y156" s="58"/>
      <c r="Z156" s="58"/>
      <c r="AA156" s="21"/>
      <c r="AB156" s="21"/>
      <c r="AC156" s="58"/>
      <c r="AD156" s="58"/>
      <c r="AE156" s="21"/>
      <c r="AF156" s="58"/>
    </row>
    <row r="157" spans="1:32">
      <c r="A157" s="16"/>
      <c r="B157" s="16"/>
      <c r="C157" s="16"/>
      <c r="D157" s="10" t="s">
        <v>5</v>
      </c>
      <c r="E157" s="87" t="s">
        <v>235</v>
      </c>
      <c r="F157" s="9"/>
      <c r="G157" s="21"/>
      <c r="H157" s="21"/>
      <c r="I157" s="58"/>
      <c r="J157" s="58"/>
      <c r="K157" s="21"/>
      <c r="L157" s="21"/>
      <c r="M157" s="58"/>
      <c r="N157" s="58"/>
      <c r="O157" s="21"/>
      <c r="P157" s="21"/>
      <c r="Q157" s="58"/>
      <c r="R157" s="58"/>
      <c r="S157" s="21"/>
      <c r="T157" s="21"/>
      <c r="U157" s="58"/>
      <c r="V157" s="58"/>
      <c r="W157" s="21"/>
      <c r="X157" s="21"/>
      <c r="Y157" s="58"/>
      <c r="Z157" s="58"/>
      <c r="AA157" s="21"/>
      <c r="AB157" s="21"/>
      <c r="AC157" s="58"/>
      <c r="AD157" s="58"/>
      <c r="AE157" s="21"/>
      <c r="AF157" s="58"/>
    </row>
    <row r="158" spans="1:32">
      <c r="A158" s="4"/>
      <c r="B158" s="4"/>
      <c r="C158" s="4"/>
      <c r="D158" s="5"/>
      <c r="E158" s="10" t="s">
        <v>6</v>
      </c>
      <c r="F158" s="11" t="s">
        <v>236</v>
      </c>
      <c r="G158" s="21">
        <v>4</v>
      </c>
      <c r="H158" s="21"/>
      <c r="I158" s="58"/>
      <c r="J158" s="58">
        <v>1</v>
      </c>
      <c r="K158" s="21"/>
      <c r="L158" s="21"/>
      <c r="M158" s="58">
        <v>1</v>
      </c>
      <c r="N158" s="58"/>
      <c r="O158" s="21"/>
      <c r="P158" s="21"/>
      <c r="Q158" s="58"/>
      <c r="R158" s="58"/>
      <c r="S158" s="21"/>
      <c r="T158" s="21"/>
      <c r="U158" s="58"/>
      <c r="V158" s="58">
        <v>1</v>
      </c>
      <c r="W158" s="21"/>
      <c r="X158" s="21"/>
      <c r="Y158" s="58"/>
      <c r="Z158" s="58"/>
      <c r="AA158" s="21"/>
      <c r="AB158" s="21"/>
      <c r="AC158" s="58"/>
      <c r="AD158" s="58"/>
      <c r="AE158" s="21"/>
      <c r="AF158" s="58"/>
    </row>
    <row r="159" spans="1:32" hidden="1">
      <c r="A159" s="4"/>
      <c r="B159" s="4"/>
      <c r="C159" s="4"/>
      <c r="D159" s="5"/>
      <c r="E159" s="10"/>
      <c r="F159" s="11"/>
      <c r="G159" s="21"/>
      <c r="H159" s="21"/>
      <c r="I159" s="58"/>
      <c r="J159" s="58"/>
      <c r="K159" s="21"/>
      <c r="L159" s="21"/>
      <c r="M159" s="58"/>
      <c r="N159" s="58"/>
      <c r="O159" s="21"/>
      <c r="P159" s="21"/>
      <c r="Q159" s="58"/>
      <c r="R159" s="58"/>
      <c r="S159" s="21"/>
      <c r="T159" s="21"/>
      <c r="U159" s="58"/>
      <c r="V159" s="58"/>
      <c r="W159" s="21"/>
      <c r="X159" s="21"/>
      <c r="Y159" s="58"/>
      <c r="Z159" s="58"/>
      <c r="AA159" s="21"/>
      <c r="AB159" s="21"/>
      <c r="AC159" s="58"/>
      <c r="AD159" s="58"/>
      <c r="AE159" s="21"/>
      <c r="AF159" s="58"/>
    </row>
    <row r="160" spans="1:32" hidden="1">
      <c r="A160" s="16"/>
      <c r="B160" s="16" t="s">
        <v>72</v>
      </c>
      <c r="C160" s="28" t="s">
        <v>394</v>
      </c>
      <c r="D160" s="4"/>
      <c r="E160" s="5"/>
      <c r="F160" s="9"/>
      <c r="G160" s="21"/>
      <c r="H160" s="21"/>
      <c r="I160" s="58"/>
      <c r="J160" s="58"/>
      <c r="K160" s="21"/>
      <c r="L160" s="21"/>
      <c r="M160" s="58"/>
      <c r="N160" s="58"/>
      <c r="O160" s="21"/>
      <c r="P160" s="21"/>
      <c r="Q160" s="58"/>
      <c r="R160" s="58"/>
      <c r="S160" s="21"/>
      <c r="T160" s="21"/>
      <c r="U160" s="58"/>
      <c r="V160" s="58"/>
      <c r="W160" s="21"/>
      <c r="X160" s="21"/>
      <c r="Y160" s="58"/>
      <c r="Z160" s="58"/>
      <c r="AA160" s="21"/>
      <c r="AB160" s="21"/>
      <c r="AC160" s="58"/>
      <c r="AD160" s="58"/>
      <c r="AE160" s="21"/>
      <c r="AF160" s="58"/>
    </row>
    <row r="161" spans="1:32" hidden="1">
      <c r="A161" s="16"/>
      <c r="B161" s="16"/>
      <c r="C161" s="16" t="s">
        <v>73</v>
      </c>
      <c r="D161" s="4" t="s">
        <v>395</v>
      </c>
      <c r="E161" s="5"/>
      <c r="F161" s="9"/>
      <c r="G161" s="21"/>
      <c r="H161" s="21"/>
      <c r="I161" s="58"/>
      <c r="J161" s="58"/>
      <c r="K161" s="21"/>
      <c r="L161" s="21"/>
      <c r="M161" s="58"/>
      <c r="N161" s="58"/>
      <c r="O161" s="21"/>
      <c r="P161" s="21"/>
      <c r="Q161" s="58"/>
      <c r="R161" s="58"/>
      <c r="S161" s="21"/>
      <c r="T161" s="21"/>
      <c r="U161" s="58"/>
      <c r="V161" s="58"/>
      <c r="W161" s="21"/>
      <c r="X161" s="21"/>
      <c r="Y161" s="58"/>
      <c r="Z161" s="58"/>
      <c r="AA161" s="21"/>
      <c r="AB161" s="21"/>
      <c r="AC161" s="58"/>
      <c r="AD161" s="58"/>
      <c r="AE161" s="21"/>
      <c r="AF161" s="58"/>
    </row>
    <row r="162" spans="1:32" hidden="1">
      <c r="A162" s="16"/>
      <c r="B162" s="16"/>
      <c r="C162" s="16"/>
      <c r="D162" s="10" t="s">
        <v>5</v>
      </c>
      <c r="E162" s="172" t="s">
        <v>396</v>
      </c>
      <c r="F162" s="9"/>
      <c r="G162" s="21"/>
      <c r="H162" s="21"/>
      <c r="I162" s="58"/>
      <c r="J162" s="58"/>
      <c r="K162" s="21"/>
      <c r="L162" s="21"/>
      <c r="M162" s="58"/>
      <c r="N162" s="58"/>
      <c r="O162" s="21"/>
      <c r="P162" s="21"/>
      <c r="Q162" s="58"/>
      <c r="R162" s="58"/>
      <c r="S162" s="21"/>
      <c r="T162" s="21"/>
      <c r="U162" s="58"/>
      <c r="V162" s="58"/>
      <c r="W162" s="21"/>
      <c r="X162" s="21"/>
      <c r="Y162" s="58"/>
      <c r="Z162" s="58"/>
      <c r="AA162" s="21"/>
      <c r="AB162" s="21"/>
      <c r="AC162" s="58"/>
      <c r="AD162" s="58"/>
      <c r="AE162" s="21"/>
      <c r="AF162" s="58"/>
    </row>
    <row r="163" spans="1:32" hidden="1">
      <c r="A163" s="4"/>
      <c r="B163" s="4"/>
      <c r="C163" s="4"/>
      <c r="D163" s="5"/>
      <c r="E163" s="10" t="s">
        <v>6</v>
      </c>
      <c r="F163" s="11" t="s">
        <v>397</v>
      </c>
      <c r="G163" s="21"/>
      <c r="H163" s="21"/>
      <c r="I163" s="58"/>
      <c r="J163" s="58"/>
      <c r="K163" s="21"/>
      <c r="L163" s="21"/>
      <c r="M163" s="58"/>
      <c r="N163" s="58"/>
      <c r="O163" s="21"/>
      <c r="P163" s="21"/>
      <c r="Q163" s="58"/>
      <c r="R163" s="58"/>
      <c r="S163" s="21"/>
      <c r="T163" s="21"/>
      <c r="U163" s="58"/>
      <c r="V163" s="58"/>
      <c r="W163" s="21"/>
      <c r="X163" s="21"/>
      <c r="Y163" s="58"/>
      <c r="Z163" s="58"/>
      <c r="AA163" s="21"/>
      <c r="AB163" s="21"/>
      <c r="AC163" s="58"/>
      <c r="AD163" s="58"/>
      <c r="AE163" s="21"/>
      <c r="AF163" s="58"/>
    </row>
    <row r="164" spans="1:32" hidden="1">
      <c r="A164" s="4"/>
      <c r="B164" s="4"/>
      <c r="C164" s="4"/>
      <c r="D164" s="5"/>
      <c r="E164" s="10"/>
      <c r="F164" s="11"/>
      <c r="G164" s="21"/>
      <c r="H164" s="21"/>
      <c r="I164" s="58"/>
      <c r="J164" s="58"/>
      <c r="K164" s="21"/>
      <c r="L164" s="21"/>
      <c r="M164" s="58"/>
      <c r="N164" s="58"/>
      <c r="O164" s="21"/>
      <c r="P164" s="21"/>
      <c r="Q164" s="58"/>
      <c r="R164" s="58"/>
      <c r="S164" s="21"/>
      <c r="T164" s="21"/>
      <c r="U164" s="58"/>
      <c r="V164" s="58"/>
      <c r="W164" s="21"/>
      <c r="X164" s="21"/>
      <c r="Y164" s="58"/>
      <c r="Z164" s="58"/>
      <c r="AA164" s="21"/>
      <c r="AB164" s="21"/>
      <c r="AC164" s="58"/>
      <c r="AD164" s="58"/>
      <c r="AE164" s="21"/>
      <c r="AF164" s="58"/>
    </row>
    <row r="165" spans="1:32" hidden="1">
      <c r="A165" s="16" t="s">
        <v>4</v>
      </c>
      <c r="B165" s="4" t="s">
        <v>294</v>
      </c>
      <c r="C165" s="16"/>
      <c r="D165" s="4"/>
      <c r="E165" s="5"/>
      <c r="F165" s="9"/>
      <c r="G165" s="21"/>
      <c r="H165" s="21"/>
      <c r="I165" s="58"/>
      <c r="J165" s="58"/>
      <c r="K165" s="21"/>
      <c r="L165" s="21"/>
      <c r="M165" s="58"/>
      <c r="N165" s="58"/>
      <c r="O165" s="21"/>
      <c r="P165" s="21"/>
      <c r="Q165" s="58"/>
      <c r="R165" s="58"/>
      <c r="S165" s="21"/>
      <c r="T165" s="21"/>
      <c r="U165" s="58"/>
      <c r="V165" s="58"/>
      <c r="W165" s="21"/>
      <c r="X165" s="21"/>
      <c r="Y165" s="58"/>
      <c r="Z165" s="58"/>
      <c r="AA165" s="21"/>
      <c r="AB165" s="21"/>
      <c r="AC165" s="58"/>
      <c r="AD165" s="58"/>
      <c r="AE165" s="21"/>
      <c r="AF165" s="58"/>
    </row>
    <row r="166" spans="1:32" hidden="1">
      <c r="A166" s="16"/>
      <c r="B166" s="16" t="s">
        <v>72</v>
      </c>
      <c r="C166" s="28" t="s">
        <v>295</v>
      </c>
      <c r="D166" s="4"/>
      <c r="E166" s="5"/>
      <c r="F166" s="9"/>
      <c r="G166" s="21"/>
      <c r="H166" s="21"/>
      <c r="I166" s="58"/>
      <c r="J166" s="58"/>
      <c r="K166" s="21"/>
      <c r="L166" s="21"/>
      <c r="M166" s="58"/>
      <c r="N166" s="58"/>
      <c r="O166" s="21"/>
      <c r="P166" s="21"/>
      <c r="Q166" s="58"/>
      <c r="R166" s="58"/>
      <c r="S166" s="21"/>
      <c r="T166" s="21"/>
      <c r="U166" s="58"/>
      <c r="V166" s="58"/>
      <c r="W166" s="21"/>
      <c r="X166" s="21"/>
      <c r="Y166" s="58"/>
      <c r="Z166" s="58"/>
      <c r="AA166" s="21"/>
      <c r="AB166" s="21"/>
      <c r="AC166" s="58"/>
      <c r="AD166" s="58"/>
      <c r="AE166" s="21"/>
      <c r="AF166" s="58"/>
    </row>
    <row r="167" spans="1:32" hidden="1">
      <c r="A167" s="16"/>
      <c r="B167" s="16"/>
      <c r="C167" s="16" t="s">
        <v>73</v>
      </c>
      <c r="D167" s="4" t="s">
        <v>296</v>
      </c>
      <c r="E167" s="5"/>
      <c r="F167" s="9"/>
      <c r="G167" s="21"/>
      <c r="H167" s="21"/>
      <c r="I167" s="58"/>
      <c r="J167" s="58"/>
      <c r="K167" s="21"/>
      <c r="L167" s="21"/>
      <c r="M167" s="58"/>
      <c r="N167" s="58"/>
      <c r="O167" s="21"/>
      <c r="P167" s="21"/>
      <c r="Q167" s="58"/>
      <c r="R167" s="58"/>
      <c r="S167" s="21"/>
      <c r="T167" s="21"/>
      <c r="U167" s="58"/>
      <c r="V167" s="58"/>
      <c r="W167" s="21"/>
      <c r="X167" s="21"/>
      <c r="Y167" s="58"/>
      <c r="Z167" s="58"/>
      <c r="AA167" s="21"/>
      <c r="AB167" s="21"/>
      <c r="AC167" s="58"/>
      <c r="AD167" s="58"/>
      <c r="AE167" s="21"/>
      <c r="AF167" s="58"/>
    </row>
    <row r="168" spans="1:32" hidden="1">
      <c r="A168" s="16"/>
      <c r="B168" s="16"/>
      <c r="C168" s="16"/>
      <c r="D168" s="10" t="s">
        <v>5</v>
      </c>
      <c r="E168" s="128" t="s">
        <v>297</v>
      </c>
      <c r="F168" s="9"/>
      <c r="G168" s="21"/>
      <c r="H168" s="21"/>
      <c r="I168" s="58"/>
      <c r="J168" s="58"/>
      <c r="K168" s="21"/>
      <c r="L168" s="21"/>
      <c r="M168" s="58"/>
      <c r="N168" s="58"/>
      <c r="O168" s="21"/>
      <c r="P168" s="21"/>
      <c r="Q168" s="58"/>
      <c r="R168" s="58"/>
      <c r="S168" s="21"/>
      <c r="T168" s="21"/>
      <c r="U168" s="58"/>
      <c r="V168" s="58"/>
      <c r="W168" s="21"/>
      <c r="X168" s="21"/>
      <c r="Y168" s="58"/>
      <c r="Z168" s="58"/>
      <c r="AA168" s="21"/>
      <c r="AB168" s="21"/>
      <c r="AC168" s="58"/>
      <c r="AD168" s="58"/>
      <c r="AE168" s="21"/>
      <c r="AF168" s="58"/>
    </row>
    <row r="169" spans="1:32" hidden="1">
      <c r="A169" s="4"/>
      <c r="B169" s="4"/>
      <c r="C169" s="4"/>
      <c r="D169" s="5"/>
      <c r="E169" s="10" t="s">
        <v>6</v>
      </c>
      <c r="F169" s="11" t="s">
        <v>298</v>
      </c>
      <c r="G169" s="21"/>
      <c r="H169" s="21"/>
      <c r="I169" s="58"/>
      <c r="J169" s="58"/>
      <c r="K169" s="21"/>
      <c r="L169" s="21"/>
      <c r="M169" s="58"/>
      <c r="N169" s="58"/>
      <c r="O169" s="21"/>
      <c r="P169" s="21"/>
      <c r="Q169" s="58"/>
      <c r="R169" s="58"/>
      <c r="S169" s="21"/>
      <c r="T169" s="21"/>
      <c r="U169" s="58"/>
      <c r="V169" s="58"/>
      <c r="W169" s="21"/>
      <c r="X169" s="21"/>
      <c r="Y169" s="58"/>
      <c r="Z169" s="58"/>
      <c r="AA169" s="21"/>
      <c r="AB169" s="21"/>
      <c r="AC169" s="58"/>
      <c r="AD169" s="58"/>
      <c r="AE169" s="21"/>
      <c r="AF169" s="58"/>
    </row>
    <row r="170" spans="1:32" hidden="1">
      <c r="A170" s="16"/>
      <c r="B170" s="16"/>
      <c r="C170" s="16"/>
      <c r="D170" s="10" t="s">
        <v>5</v>
      </c>
      <c r="E170" s="164" t="s">
        <v>356</v>
      </c>
      <c r="F170" s="9"/>
      <c r="G170" s="21"/>
      <c r="H170" s="21"/>
      <c r="I170" s="58"/>
      <c r="J170" s="58"/>
      <c r="K170" s="21"/>
      <c r="L170" s="21"/>
      <c r="M170" s="58"/>
      <c r="N170" s="58"/>
      <c r="O170" s="21"/>
      <c r="P170" s="21"/>
      <c r="Q170" s="58"/>
      <c r="R170" s="58"/>
      <c r="S170" s="21"/>
      <c r="T170" s="21"/>
      <c r="U170" s="58"/>
      <c r="V170" s="58"/>
      <c r="W170" s="21"/>
      <c r="X170" s="21"/>
      <c r="Y170" s="58"/>
      <c r="Z170" s="58"/>
      <c r="AA170" s="21"/>
      <c r="AB170" s="21"/>
      <c r="AC170" s="58"/>
      <c r="AD170" s="58"/>
      <c r="AE170" s="21"/>
      <c r="AF170" s="58"/>
    </row>
    <row r="171" spans="1:32" hidden="1">
      <c r="A171" s="4"/>
      <c r="B171" s="4"/>
      <c r="C171" s="4"/>
      <c r="D171" s="5"/>
      <c r="E171" s="10" t="s">
        <v>6</v>
      </c>
      <c r="F171" s="11" t="s">
        <v>358</v>
      </c>
      <c r="G171" s="21"/>
      <c r="H171" s="21"/>
      <c r="I171" s="58"/>
      <c r="J171" s="58"/>
      <c r="K171" s="21"/>
      <c r="L171" s="21"/>
      <c r="M171" s="58"/>
      <c r="N171" s="58"/>
      <c r="O171" s="21"/>
      <c r="P171" s="21"/>
      <c r="Q171" s="58"/>
      <c r="R171" s="58"/>
      <c r="S171" s="21"/>
      <c r="T171" s="21"/>
      <c r="U171" s="58"/>
      <c r="V171" s="58"/>
      <c r="W171" s="21"/>
      <c r="X171" s="21"/>
      <c r="Y171" s="58"/>
      <c r="Z171" s="58"/>
      <c r="AA171" s="21"/>
      <c r="AB171" s="21"/>
      <c r="AC171" s="58"/>
      <c r="AD171" s="58"/>
      <c r="AE171" s="21"/>
      <c r="AF171" s="58"/>
    </row>
    <row r="172" spans="1:32" hidden="1">
      <c r="A172" s="4"/>
      <c r="B172" s="4"/>
      <c r="C172" s="4"/>
      <c r="D172" s="5"/>
      <c r="E172" s="10"/>
      <c r="F172" s="11" t="s">
        <v>368</v>
      </c>
      <c r="G172" s="21"/>
      <c r="H172" s="21"/>
      <c r="I172" s="58"/>
      <c r="J172" s="58"/>
      <c r="K172" s="21"/>
      <c r="L172" s="21"/>
      <c r="M172" s="58"/>
      <c r="N172" s="58"/>
      <c r="O172" s="21"/>
      <c r="P172" s="21"/>
      <c r="Q172" s="58"/>
      <c r="R172" s="58"/>
      <c r="S172" s="21"/>
      <c r="T172" s="21"/>
      <c r="U172" s="58"/>
      <c r="V172" s="58"/>
      <c r="W172" s="21"/>
      <c r="X172" s="21"/>
      <c r="Y172" s="58"/>
      <c r="Z172" s="58"/>
      <c r="AA172" s="21"/>
      <c r="AB172" s="21"/>
      <c r="AC172" s="58"/>
      <c r="AD172" s="58"/>
      <c r="AE172" s="21"/>
      <c r="AF172" s="58"/>
    </row>
    <row r="173" spans="1:32" hidden="1">
      <c r="A173" s="4"/>
      <c r="B173" s="4"/>
      <c r="C173" s="4"/>
      <c r="D173" s="5"/>
      <c r="E173" s="10"/>
      <c r="F173" s="11" t="s">
        <v>357</v>
      </c>
      <c r="G173" s="21"/>
      <c r="H173" s="21"/>
      <c r="I173" s="58"/>
      <c r="J173" s="58"/>
      <c r="K173" s="21"/>
      <c r="L173" s="21"/>
      <c r="M173" s="58"/>
      <c r="N173" s="58"/>
      <c r="O173" s="21"/>
      <c r="P173" s="21"/>
      <c r="Q173" s="58"/>
      <c r="R173" s="58"/>
      <c r="S173" s="21"/>
      <c r="T173" s="21"/>
      <c r="U173" s="58"/>
      <c r="V173" s="58"/>
      <c r="W173" s="21"/>
      <c r="X173" s="21"/>
      <c r="Y173" s="58"/>
      <c r="Z173" s="58"/>
      <c r="AA173" s="21"/>
      <c r="AB173" s="21"/>
      <c r="AC173" s="58"/>
      <c r="AD173" s="58"/>
      <c r="AE173" s="21"/>
      <c r="AF173" s="58"/>
    </row>
    <row r="174" spans="1:32" hidden="1">
      <c r="A174" s="4"/>
      <c r="B174" s="4"/>
      <c r="C174" s="4"/>
      <c r="D174" s="5"/>
      <c r="E174" s="10"/>
      <c r="F174" s="11" t="s">
        <v>359</v>
      </c>
      <c r="G174" s="21"/>
      <c r="H174" s="21"/>
      <c r="I174" s="58"/>
      <c r="J174" s="58"/>
      <c r="K174" s="21"/>
      <c r="L174" s="21"/>
      <c r="M174" s="58"/>
      <c r="N174" s="58"/>
      <c r="O174" s="21"/>
      <c r="P174" s="21"/>
      <c r="Q174" s="58"/>
      <c r="R174" s="58"/>
      <c r="S174" s="21"/>
      <c r="T174" s="21"/>
      <c r="U174" s="58"/>
      <c r="V174" s="58"/>
      <c r="W174" s="21"/>
      <c r="X174" s="21"/>
      <c r="Y174" s="58"/>
      <c r="Z174" s="58"/>
      <c r="AA174" s="21"/>
      <c r="AB174" s="21"/>
      <c r="AC174" s="58"/>
      <c r="AD174" s="58"/>
      <c r="AE174" s="21"/>
      <c r="AF174" s="58"/>
    </row>
    <row r="175" spans="1:32" hidden="1">
      <c r="A175" s="16"/>
      <c r="B175" s="16"/>
      <c r="C175" s="16" t="s">
        <v>73</v>
      </c>
      <c r="D175" s="4" t="s">
        <v>369</v>
      </c>
      <c r="E175" s="5"/>
      <c r="F175" s="9"/>
      <c r="G175" s="21"/>
      <c r="H175" s="21"/>
      <c r="I175" s="58"/>
      <c r="J175" s="58"/>
      <c r="K175" s="21"/>
      <c r="L175" s="21"/>
      <c r="M175" s="58"/>
      <c r="N175" s="58"/>
      <c r="O175" s="21"/>
      <c r="P175" s="21"/>
      <c r="Q175" s="58"/>
      <c r="R175" s="58"/>
      <c r="S175" s="21"/>
      <c r="T175" s="21"/>
      <c r="U175" s="58"/>
      <c r="V175" s="58"/>
      <c r="W175" s="21"/>
      <c r="X175" s="21"/>
      <c r="Y175" s="58"/>
      <c r="Z175" s="58"/>
      <c r="AA175" s="21"/>
      <c r="AB175" s="21"/>
      <c r="AC175" s="58"/>
      <c r="AD175" s="58"/>
      <c r="AE175" s="21"/>
      <c r="AF175" s="58"/>
    </row>
    <row r="176" spans="1:32" hidden="1">
      <c r="A176" s="16"/>
      <c r="B176" s="16"/>
      <c r="C176" s="16"/>
      <c r="D176" s="10" t="s">
        <v>5</v>
      </c>
      <c r="E176" s="164" t="s">
        <v>370</v>
      </c>
      <c r="F176" s="9"/>
      <c r="G176" s="21"/>
      <c r="H176" s="21"/>
      <c r="I176" s="58"/>
      <c r="J176" s="58"/>
      <c r="K176" s="21"/>
      <c r="L176" s="21"/>
      <c r="M176" s="58"/>
      <c r="N176" s="58"/>
      <c r="O176" s="21"/>
      <c r="P176" s="21"/>
      <c r="Q176" s="58"/>
      <c r="R176" s="58"/>
      <c r="S176" s="21"/>
      <c r="T176" s="21"/>
      <c r="U176" s="58"/>
      <c r="V176" s="58"/>
      <c r="W176" s="21"/>
      <c r="X176" s="21"/>
      <c r="Y176" s="58"/>
      <c r="Z176" s="58"/>
      <c r="AA176" s="21"/>
      <c r="AB176" s="21"/>
      <c r="AC176" s="58"/>
      <c r="AD176" s="58"/>
      <c r="AE176" s="21"/>
      <c r="AF176" s="58"/>
    </row>
    <row r="177" spans="1:32" hidden="1">
      <c r="A177" s="4"/>
      <c r="B177" s="4"/>
      <c r="C177" s="4"/>
      <c r="D177" s="5"/>
      <c r="E177" s="10" t="s">
        <v>6</v>
      </c>
      <c r="F177" s="11" t="s">
        <v>371</v>
      </c>
      <c r="G177" s="21"/>
      <c r="H177" s="21"/>
      <c r="I177" s="58"/>
      <c r="J177" s="58"/>
      <c r="K177" s="21"/>
      <c r="L177" s="21"/>
      <c r="M177" s="58"/>
      <c r="N177" s="58"/>
      <c r="O177" s="21"/>
      <c r="P177" s="21"/>
      <c r="Q177" s="58"/>
      <c r="R177" s="58"/>
      <c r="S177" s="21"/>
      <c r="T177" s="21"/>
      <c r="U177" s="58"/>
      <c r="V177" s="58"/>
      <c r="W177" s="21"/>
      <c r="X177" s="21"/>
      <c r="Y177" s="58"/>
      <c r="Z177" s="58"/>
      <c r="AA177" s="21"/>
      <c r="AB177" s="21"/>
      <c r="AC177" s="58"/>
      <c r="AD177" s="58"/>
      <c r="AE177" s="21"/>
      <c r="AF177" s="58"/>
    </row>
    <row r="178" spans="1:32" hidden="1">
      <c r="A178" s="16"/>
      <c r="B178" s="16"/>
      <c r="C178" s="16" t="s">
        <v>73</v>
      </c>
      <c r="D178" s="4" t="s">
        <v>324</v>
      </c>
      <c r="E178" s="5"/>
      <c r="F178" s="9"/>
      <c r="G178" s="21"/>
      <c r="H178" s="21"/>
      <c r="I178" s="58"/>
      <c r="J178" s="58"/>
      <c r="K178" s="21"/>
      <c r="L178" s="21"/>
      <c r="M178" s="58"/>
      <c r="N178" s="58"/>
      <c r="O178" s="21"/>
      <c r="P178" s="21"/>
      <c r="Q178" s="58"/>
      <c r="R178" s="58"/>
      <c r="S178" s="21"/>
      <c r="T178" s="21"/>
      <c r="U178" s="58"/>
      <c r="V178" s="58"/>
      <c r="W178" s="21"/>
      <c r="X178" s="21"/>
      <c r="Y178" s="58"/>
      <c r="Z178" s="58"/>
      <c r="AA178" s="21"/>
      <c r="AB178" s="21"/>
      <c r="AC178" s="58"/>
      <c r="AD178" s="58"/>
      <c r="AE178" s="21"/>
      <c r="AF178" s="58"/>
    </row>
    <row r="179" spans="1:32" hidden="1">
      <c r="A179" s="16"/>
      <c r="B179" s="16"/>
      <c r="C179" s="16"/>
      <c r="D179" s="10" t="s">
        <v>5</v>
      </c>
      <c r="E179" s="164" t="s">
        <v>374</v>
      </c>
      <c r="F179" s="9"/>
      <c r="G179" s="21"/>
      <c r="H179" s="21"/>
      <c r="I179" s="58"/>
      <c r="J179" s="58"/>
      <c r="K179" s="21"/>
      <c r="L179" s="21"/>
      <c r="M179" s="58"/>
      <c r="N179" s="58"/>
      <c r="O179" s="21"/>
      <c r="P179" s="21"/>
      <c r="Q179" s="58"/>
      <c r="R179" s="58"/>
      <c r="S179" s="21"/>
      <c r="T179" s="21"/>
      <c r="U179" s="58"/>
      <c r="V179" s="58"/>
      <c r="W179" s="21"/>
      <c r="X179" s="21"/>
      <c r="Y179" s="58"/>
      <c r="Z179" s="58"/>
      <c r="AA179" s="21"/>
      <c r="AB179" s="21"/>
      <c r="AC179" s="58"/>
      <c r="AD179" s="58"/>
      <c r="AE179" s="21"/>
      <c r="AF179" s="58"/>
    </row>
    <row r="180" spans="1:32" hidden="1">
      <c r="A180" s="4"/>
      <c r="B180" s="4"/>
      <c r="C180" s="4"/>
      <c r="D180" s="5"/>
      <c r="E180" s="10" t="s">
        <v>6</v>
      </c>
      <c r="F180" s="11" t="s">
        <v>375</v>
      </c>
      <c r="G180" s="21"/>
      <c r="H180" s="21"/>
      <c r="I180" s="58"/>
      <c r="J180" s="58"/>
      <c r="K180" s="21"/>
      <c r="L180" s="21"/>
      <c r="M180" s="58"/>
      <c r="N180" s="58"/>
      <c r="O180" s="21"/>
      <c r="P180" s="21"/>
      <c r="Q180" s="58"/>
      <c r="R180" s="58"/>
      <c r="S180" s="21"/>
      <c r="T180" s="21"/>
      <c r="U180" s="58"/>
      <c r="V180" s="58"/>
      <c r="W180" s="21"/>
      <c r="X180" s="21"/>
      <c r="Y180" s="58"/>
      <c r="Z180" s="58"/>
      <c r="AA180" s="21"/>
      <c r="AB180" s="21"/>
      <c r="AC180" s="58"/>
      <c r="AD180" s="58"/>
      <c r="AE180" s="21"/>
      <c r="AF180" s="58"/>
    </row>
    <row r="181" spans="1:32" hidden="1">
      <c r="A181" s="16"/>
      <c r="B181" s="16"/>
      <c r="C181" s="16"/>
      <c r="D181" s="10" t="s">
        <v>5</v>
      </c>
      <c r="E181" s="144" t="s">
        <v>325</v>
      </c>
      <c r="F181" s="9"/>
      <c r="G181" s="21"/>
      <c r="H181" s="21"/>
      <c r="I181" s="58"/>
      <c r="J181" s="58"/>
      <c r="K181" s="21"/>
      <c r="L181" s="21"/>
      <c r="M181" s="58"/>
      <c r="N181" s="58"/>
      <c r="O181" s="21"/>
      <c r="P181" s="21"/>
      <c r="Q181" s="58"/>
      <c r="R181" s="58"/>
      <c r="S181" s="21"/>
      <c r="T181" s="21"/>
      <c r="U181" s="58"/>
      <c r="V181" s="58"/>
      <c r="W181" s="21"/>
      <c r="X181" s="21"/>
      <c r="Y181" s="58"/>
      <c r="Z181" s="58"/>
      <c r="AA181" s="21"/>
      <c r="AB181" s="21"/>
      <c r="AC181" s="58"/>
      <c r="AD181" s="58"/>
      <c r="AE181" s="21"/>
      <c r="AF181" s="58"/>
    </row>
    <row r="182" spans="1:32" hidden="1">
      <c r="A182" s="4"/>
      <c r="B182" s="4"/>
      <c r="C182" s="4"/>
      <c r="D182" s="5"/>
      <c r="E182" s="10" t="s">
        <v>6</v>
      </c>
      <c r="F182" s="11" t="s">
        <v>326</v>
      </c>
      <c r="G182" s="21"/>
      <c r="H182" s="21"/>
      <c r="I182" s="58"/>
      <c r="J182" s="58"/>
      <c r="K182" s="21"/>
      <c r="L182" s="21"/>
      <c r="M182" s="58"/>
      <c r="N182" s="58"/>
      <c r="O182" s="21"/>
      <c r="P182" s="21"/>
      <c r="Q182" s="58"/>
      <c r="R182" s="58"/>
      <c r="S182" s="21"/>
      <c r="T182" s="21"/>
      <c r="U182" s="58"/>
      <c r="V182" s="58"/>
      <c r="W182" s="21"/>
      <c r="X182" s="21"/>
      <c r="Y182" s="58"/>
      <c r="Z182" s="58"/>
      <c r="AA182" s="21"/>
      <c r="AB182" s="21"/>
      <c r="AC182" s="58"/>
      <c r="AD182" s="58"/>
      <c r="AE182" s="21"/>
      <c r="AF182" s="58"/>
    </row>
    <row r="183" spans="1:32" hidden="1">
      <c r="A183" s="4"/>
      <c r="B183" s="4"/>
      <c r="C183" s="4"/>
      <c r="D183" s="4"/>
      <c r="E183" s="4"/>
      <c r="F183" s="16"/>
      <c r="G183" s="21"/>
      <c r="H183" s="21"/>
      <c r="I183" s="58"/>
      <c r="J183" s="58"/>
      <c r="K183" s="21"/>
      <c r="L183" s="21"/>
      <c r="M183" s="58"/>
      <c r="N183" s="58"/>
      <c r="O183" s="21"/>
      <c r="P183" s="21"/>
      <c r="Q183" s="58"/>
      <c r="R183" s="58"/>
      <c r="S183" s="21"/>
      <c r="T183" s="21"/>
      <c r="U183" s="58"/>
      <c r="V183" s="58"/>
      <c r="W183" s="21"/>
      <c r="X183" s="21"/>
      <c r="Y183" s="58"/>
      <c r="Z183" s="58"/>
      <c r="AA183" s="21"/>
      <c r="AB183" s="21"/>
      <c r="AC183" s="58"/>
      <c r="AD183" s="58"/>
      <c r="AE183" s="21"/>
      <c r="AF183" s="58"/>
    </row>
    <row r="184" spans="1:32" hidden="1">
      <c r="A184" s="16" t="s">
        <v>4</v>
      </c>
      <c r="B184" s="4" t="s">
        <v>383</v>
      </c>
      <c r="C184" s="16"/>
      <c r="D184" s="4"/>
      <c r="E184" s="5"/>
      <c r="F184" s="9"/>
      <c r="G184" s="21"/>
      <c r="H184" s="21"/>
      <c r="I184" s="58"/>
      <c r="J184" s="58"/>
      <c r="K184" s="21"/>
      <c r="L184" s="21"/>
      <c r="M184" s="58"/>
      <c r="N184" s="58"/>
      <c r="O184" s="21"/>
      <c r="P184" s="21"/>
      <c r="Q184" s="58"/>
      <c r="R184" s="58"/>
      <c r="S184" s="21"/>
      <c r="T184" s="21"/>
      <c r="U184" s="58"/>
      <c r="V184" s="58"/>
      <c r="W184" s="21"/>
      <c r="X184" s="21"/>
      <c r="Y184" s="58"/>
      <c r="Z184" s="58"/>
      <c r="AA184" s="21"/>
      <c r="AB184" s="21"/>
      <c r="AC184" s="58"/>
      <c r="AD184" s="58"/>
      <c r="AE184" s="21"/>
      <c r="AF184" s="58"/>
    </row>
    <row r="185" spans="1:32" hidden="1">
      <c r="A185" s="16"/>
      <c r="B185" s="16" t="s">
        <v>72</v>
      </c>
      <c r="C185" s="28" t="s">
        <v>384</v>
      </c>
      <c r="D185" s="4"/>
      <c r="E185" s="5"/>
      <c r="F185" s="9"/>
      <c r="G185" s="21"/>
      <c r="H185" s="21"/>
      <c r="I185" s="58"/>
      <c r="J185" s="58"/>
      <c r="K185" s="21"/>
      <c r="L185" s="21"/>
      <c r="M185" s="58"/>
      <c r="N185" s="58"/>
      <c r="O185" s="21"/>
      <c r="P185" s="21"/>
      <c r="Q185" s="58"/>
      <c r="R185" s="58"/>
      <c r="S185" s="21"/>
      <c r="T185" s="21"/>
      <c r="U185" s="58"/>
      <c r="V185" s="58"/>
      <c r="W185" s="21"/>
      <c r="X185" s="21"/>
      <c r="Y185" s="58"/>
      <c r="Z185" s="58"/>
      <c r="AA185" s="21"/>
      <c r="AB185" s="21"/>
      <c r="AC185" s="58"/>
      <c r="AD185" s="58"/>
      <c r="AE185" s="21"/>
      <c r="AF185" s="58"/>
    </row>
    <row r="186" spans="1:32" hidden="1">
      <c r="A186" s="16"/>
      <c r="B186" s="16"/>
      <c r="C186" s="16" t="s">
        <v>73</v>
      </c>
      <c r="D186" s="4" t="s">
        <v>385</v>
      </c>
      <c r="E186" s="5"/>
      <c r="F186" s="9"/>
      <c r="G186" s="21"/>
      <c r="H186" s="21"/>
      <c r="I186" s="58"/>
      <c r="J186" s="58"/>
      <c r="K186" s="21"/>
      <c r="L186" s="21"/>
      <c r="M186" s="58"/>
      <c r="N186" s="58"/>
      <c r="O186" s="21"/>
      <c r="P186" s="21"/>
      <c r="Q186" s="58"/>
      <c r="R186" s="58"/>
      <c r="S186" s="21"/>
      <c r="T186" s="21"/>
      <c r="U186" s="58"/>
      <c r="V186" s="58"/>
      <c r="W186" s="21"/>
      <c r="X186" s="21"/>
      <c r="Y186" s="58"/>
      <c r="Z186" s="58"/>
      <c r="AA186" s="21"/>
      <c r="AB186" s="21"/>
      <c r="AC186" s="58"/>
      <c r="AD186" s="58"/>
      <c r="AE186" s="21"/>
      <c r="AF186" s="58"/>
    </row>
    <row r="187" spans="1:32" hidden="1">
      <c r="A187" s="16"/>
      <c r="B187" s="16"/>
      <c r="C187" s="16"/>
      <c r="D187" s="10" t="s">
        <v>5</v>
      </c>
      <c r="E187" s="169" t="s">
        <v>386</v>
      </c>
      <c r="F187" s="9"/>
      <c r="G187" s="21"/>
      <c r="H187" s="21"/>
      <c r="I187" s="58"/>
      <c r="J187" s="58"/>
      <c r="K187" s="21"/>
      <c r="L187" s="21"/>
      <c r="M187" s="58"/>
      <c r="N187" s="58"/>
      <c r="O187" s="21"/>
      <c r="P187" s="21"/>
      <c r="Q187" s="58"/>
      <c r="R187" s="58"/>
      <c r="S187" s="21"/>
      <c r="T187" s="21"/>
      <c r="U187" s="58"/>
      <c r="V187" s="58"/>
      <c r="W187" s="21"/>
      <c r="X187" s="21"/>
      <c r="Y187" s="58"/>
      <c r="Z187" s="58"/>
      <c r="AA187" s="21"/>
      <c r="AB187" s="21"/>
      <c r="AC187" s="58"/>
      <c r="AD187" s="58"/>
      <c r="AE187" s="21"/>
      <c r="AF187" s="58"/>
    </row>
    <row r="188" spans="1:32" hidden="1">
      <c r="A188" s="4"/>
      <c r="B188" s="4"/>
      <c r="C188" s="4"/>
      <c r="D188" s="5"/>
      <c r="E188" s="10" t="s">
        <v>6</v>
      </c>
      <c r="F188" s="11" t="s">
        <v>387</v>
      </c>
      <c r="G188" s="21"/>
      <c r="H188" s="21"/>
      <c r="I188" s="58"/>
      <c r="J188" s="58"/>
      <c r="K188" s="21"/>
      <c r="L188" s="21"/>
      <c r="M188" s="58"/>
      <c r="N188" s="58"/>
      <c r="O188" s="21"/>
      <c r="P188" s="21"/>
      <c r="Q188" s="58"/>
      <c r="R188" s="58"/>
      <c r="S188" s="21"/>
      <c r="T188" s="21"/>
      <c r="U188" s="58"/>
      <c r="V188" s="58"/>
      <c r="W188" s="21"/>
      <c r="X188" s="21"/>
      <c r="Y188" s="58"/>
      <c r="Z188" s="58"/>
      <c r="AA188" s="21"/>
      <c r="AB188" s="21"/>
      <c r="AC188" s="58"/>
      <c r="AD188" s="58"/>
      <c r="AE188" s="21"/>
      <c r="AF188" s="58"/>
    </row>
    <row r="189" spans="1:32">
      <c r="A189" s="4"/>
      <c r="B189" s="4"/>
      <c r="C189" s="4"/>
      <c r="D189" s="5"/>
      <c r="E189" s="10"/>
      <c r="F189" s="11"/>
      <c r="G189" s="21"/>
      <c r="H189" s="21"/>
      <c r="I189" s="58"/>
      <c r="J189" s="58"/>
      <c r="K189" s="21"/>
      <c r="L189" s="21"/>
      <c r="M189" s="58"/>
      <c r="N189" s="58"/>
      <c r="O189" s="21"/>
      <c r="P189" s="21"/>
      <c r="Q189" s="58"/>
      <c r="R189" s="58"/>
      <c r="S189" s="21"/>
      <c r="T189" s="21"/>
      <c r="U189" s="58"/>
      <c r="V189" s="58"/>
      <c r="W189" s="21"/>
      <c r="X189" s="21"/>
      <c r="Y189" s="58"/>
      <c r="Z189" s="58"/>
      <c r="AA189" s="21"/>
      <c r="AB189" s="21"/>
      <c r="AC189" s="58"/>
      <c r="AD189" s="58"/>
      <c r="AE189" s="21"/>
      <c r="AF189" s="58"/>
    </row>
    <row r="190" spans="1:32">
      <c r="A190" s="16" t="s">
        <v>4</v>
      </c>
      <c r="B190" s="4" t="s">
        <v>304</v>
      </c>
      <c r="C190" s="16"/>
      <c r="D190" s="4"/>
      <c r="E190" s="5"/>
      <c r="F190" s="9"/>
      <c r="G190" s="21"/>
      <c r="H190" s="21"/>
      <c r="I190" s="58"/>
      <c r="J190" s="58"/>
      <c r="K190" s="21"/>
      <c r="L190" s="21"/>
      <c r="M190" s="58"/>
      <c r="N190" s="58"/>
      <c r="O190" s="21"/>
      <c r="P190" s="21"/>
      <c r="Q190" s="58"/>
      <c r="R190" s="58"/>
      <c r="S190" s="21"/>
      <c r="T190" s="21"/>
      <c r="U190" s="58"/>
      <c r="V190" s="58"/>
      <c r="W190" s="21"/>
      <c r="X190" s="21"/>
      <c r="Y190" s="58"/>
      <c r="Z190" s="58"/>
      <c r="AA190" s="21"/>
      <c r="AB190" s="21"/>
      <c r="AC190" s="58"/>
      <c r="AD190" s="58"/>
      <c r="AE190" s="21"/>
      <c r="AF190" s="58"/>
    </row>
    <row r="191" spans="1:32">
      <c r="A191" s="16"/>
      <c r="B191" s="16" t="s">
        <v>72</v>
      </c>
      <c r="C191" s="28" t="s">
        <v>92</v>
      </c>
      <c r="D191" s="4"/>
      <c r="E191" s="5"/>
      <c r="F191" s="9"/>
      <c r="G191" s="21"/>
      <c r="H191" s="21"/>
      <c r="I191" s="58"/>
      <c r="J191" s="58"/>
      <c r="K191" s="21"/>
      <c r="L191" s="21"/>
      <c r="M191" s="58"/>
      <c r="N191" s="58"/>
      <c r="O191" s="21"/>
      <c r="P191" s="21"/>
      <c r="Q191" s="58"/>
      <c r="R191" s="58"/>
      <c r="S191" s="21"/>
      <c r="T191" s="21"/>
      <c r="U191" s="58"/>
      <c r="V191" s="58"/>
      <c r="W191" s="21"/>
      <c r="X191" s="21"/>
      <c r="Y191" s="58"/>
      <c r="Z191" s="58"/>
      <c r="AA191" s="21"/>
      <c r="AB191" s="21"/>
      <c r="AC191" s="58"/>
      <c r="AD191" s="58"/>
      <c r="AE191" s="21"/>
      <c r="AF191" s="58"/>
    </row>
    <row r="192" spans="1:32">
      <c r="A192" s="16"/>
      <c r="B192" s="16"/>
      <c r="C192" s="16" t="s">
        <v>73</v>
      </c>
      <c r="D192" s="4" t="s">
        <v>97</v>
      </c>
      <c r="E192" s="5"/>
      <c r="F192" s="9"/>
      <c r="G192" s="21"/>
      <c r="H192" s="21"/>
      <c r="I192" s="58"/>
      <c r="J192" s="58"/>
      <c r="K192" s="21"/>
      <c r="L192" s="21"/>
      <c r="M192" s="58"/>
      <c r="N192" s="58"/>
      <c r="O192" s="21"/>
      <c r="P192" s="21"/>
      <c r="Q192" s="58"/>
      <c r="R192" s="58"/>
      <c r="S192" s="21"/>
      <c r="T192" s="21"/>
      <c r="U192" s="58"/>
      <c r="V192" s="58"/>
      <c r="W192" s="21"/>
      <c r="X192" s="21"/>
      <c r="Y192" s="58"/>
      <c r="Z192" s="58"/>
      <c r="AA192" s="21"/>
      <c r="AB192" s="21"/>
      <c r="AC192" s="58"/>
      <c r="AD192" s="58"/>
      <c r="AE192" s="21"/>
      <c r="AF192" s="58"/>
    </row>
    <row r="193" spans="1:32">
      <c r="A193" s="16"/>
      <c r="B193" s="16"/>
      <c r="C193" s="16"/>
      <c r="D193" s="121" t="s">
        <v>5</v>
      </c>
      <c r="E193" s="122" t="s">
        <v>153</v>
      </c>
      <c r="F193" s="123"/>
      <c r="G193" s="21"/>
      <c r="H193" s="21"/>
      <c r="I193" s="58"/>
      <c r="J193" s="58"/>
      <c r="K193" s="21"/>
      <c r="L193" s="21"/>
      <c r="M193" s="58"/>
      <c r="N193" s="58"/>
      <c r="O193" s="21"/>
      <c r="P193" s="21"/>
      <c r="Q193" s="58"/>
      <c r="R193" s="58"/>
      <c r="S193" s="21"/>
      <c r="T193" s="21"/>
      <c r="U193" s="58"/>
      <c r="V193" s="58"/>
      <c r="W193" s="21"/>
      <c r="X193" s="21"/>
      <c r="Y193" s="58"/>
      <c r="Z193" s="58"/>
      <c r="AA193" s="21"/>
      <c r="AB193" s="21"/>
      <c r="AC193" s="58"/>
      <c r="AD193" s="58"/>
      <c r="AE193" s="21"/>
      <c r="AF193" s="58"/>
    </row>
    <row r="194" spans="1:32">
      <c r="A194" s="4"/>
      <c r="B194" s="4"/>
      <c r="C194" s="4"/>
      <c r="D194" s="122"/>
      <c r="E194" s="121" t="s">
        <v>6</v>
      </c>
      <c r="F194" s="11" t="s">
        <v>290</v>
      </c>
      <c r="G194" s="21"/>
      <c r="H194" s="21"/>
      <c r="I194" s="58"/>
      <c r="J194" s="58">
        <v>1</v>
      </c>
      <c r="K194" s="21">
        <v>2</v>
      </c>
      <c r="L194" s="21"/>
      <c r="M194" s="58"/>
      <c r="N194" s="58">
        <v>1</v>
      </c>
      <c r="O194" s="21"/>
      <c r="P194" s="21">
        <v>3</v>
      </c>
      <c r="Q194" s="58"/>
      <c r="R194" s="58">
        <v>1</v>
      </c>
      <c r="S194" s="21"/>
      <c r="T194" s="21">
        <v>1</v>
      </c>
      <c r="U194" s="58">
        <v>2</v>
      </c>
      <c r="V194" s="58">
        <v>2</v>
      </c>
      <c r="W194" s="21"/>
      <c r="X194" s="21"/>
      <c r="Y194" s="58"/>
      <c r="Z194" s="58"/>
      <c r="AA194" s="21"/>
      <c r="AB194" s="21"/>
      <c r="AC194" s="58"/>
      <c r="AD194" s="58"/>
      <c r="AE194" s="21">
        <v>1</v>
      </c>
      <c r="AF194" s="58"/>
    </row>
    <row r="195" spans="1:32">
      <c r="A195" s="16"/>
      <c r="B195" s="16"/>
      <c r="C195" s="16"/>
      <c r="D195" s="10" t="s">
        <v>5</v>
      </c>
      <c r="E195" s="125" t="s">
        <v>292</v>
      </c>
      <c r="F195" s="9"/>
      <c r="G195" s="21"/>
      <c r="H195" s="21"/>
      <c r="I195" s="58"/>
      <c r="J195" s="58"/>
      <c r="K195" s="21"/>
      <c r="L195" s="21"/>
      <c r="M195" s="58"/>
      <c r="N195" s="58"/>
      <c r="O195" s="21"/>
      <c r="P195" s="21"/>
      <c r="Q195" s="58"/>
      <c r="R195" s="58"/>
      <c r="S195" s="21"/>
      <c r="T195" s="21"/>
      <c r="U195" s="58"/>
      <c r="V195" s="58"/>
      <c r="W195" s="21"/>
      <c r="X195" s="21"/>
      <c r="Y195" s="58"/>
      <c r="Z195" s="58"/>
      <c r="AA195" s="21"/>
      <c r="AB195" s="21"/>
      <c r="AC195" s="58"/>
      <c r="AD195" s="58"/>
      <c r="AE195" s="21"/>
      <c r="AF195" s="58"/>
    </row>
    <row r="196" spans="1:32">
      <c r="A196" s="4"/>
      <c r="B196" s="4"/>
      <c r="C196" s="4"/>
      <c r="D196" s="90"/>
      <c r="E196" s="89" t="s">
        <v>6</v>
      </c>
      <c r="F196" s="11" t="s">
        <v>293</v>
      </c>
      <c r="G196" s="21"/>
      <c r="H196" s="21"/>
      <c r="I196" s="58"/>
      <c r="J196" s="58"/>
      <c r="K196" s="21"/>
      <c r="L196" s="21"/>
      <c r="M196" s="58">
        <v>1</v>
      </c>
      <c r="N196" s="58"/>
      <c r="O196" s="21"/>
      <c r="P196" s="21"/>
      <c r="Q196" s="58"/>
      <c r="R196" s="58">
        <v>1</v>
      </c>
      <c r="S196" s="21"/>
      <c r="T196" s="21"/>
      <c r="U196" s="58"/>
      <c r="V196" s="58"/>
      <c r="W196" s="21"/>
      <c r="X196" s="21"/>
      <c r="Y196" s="58"/>
      <c r="Z196" s="58"/>
      <c r="AA196" s="21"/>
      <c r="AB196" s="21"/>
      <c r="AC196" s="58">
        <v>1</v>
      </c>
      <c r="AD196" s="58"/>
      <c r="AE196" s="21"/>
      <c r="AF196" s="58"/>
    </row>
    <row r="197" spans="1:32">
      <c r="A197" s="16"/>
      <c r="B197" s="16"/>
      <c r="C197" s="16"/>
      <c r="D197" s="10" t="s">
        <v>5</v>
      </c>
      <c r="E197" s="168" t="s">
        <v>381</v>
      </c>
      <c r="F197" s="9"/>
      <c r="G197" s="21"/>
      <c r="H197" s="21"/>
      <c r="I197" s="58"/>
      <c r="J197" s="58"/>
      <c r="K197" s="21"/>
      <c r="L197" s="21"/>
      <c r="M197" s="58"/>
      <c r="N197" s="58"/>
      <c r="O197" s="21"/>
      <c r="P197" s="21"/>
      <c r="Q197" s="58"/>
      <c r="R197" s="58"/>
      <c r="S197" s="21"/>
      <c r="T197" s="21"/>
      <c r="U197" s="58"/>
      <c r="V197" s="58"/>
      <c r="W197" s="21"/>
      <c r="X197" s="21"/>
      <c r="Y197" s="58"/>
      <c r="Z197" s="58"/>
      <c r="AA197" s="21"/>
      <c r="AB197" s="21"/>
      <c r="AC197" s="58"/>
      <c r="AD197" s="58"/>
      <c r="AE197" s="21"/>
      <c r="AF197" s="58"/>
    </row>
    <row r="198" spans="1:32">
      <c r="A198" s="4"/>
      <c r="B198" s="4"/>
      <c r="C198" s="4"/>
      <c r="D198" s="90"/>
      <c r="E198" s="89" t="s">
        <v>6</v>
      </c>
      <c r="F198" s="11" t="s">
        <v>382</v>
      </c>
      <c r="G198" s="21"/>
      <c r="H198" s="21"/>
      <c r="I198" s="58"/>
      <c r="J198" s="58"/>
      <c r="K198" s="21"/>
      <c r="L198" s="21"/>
      <c r="M198" s="58"/>
      <c r="N198" s="58"/>
      <c r="O198" s="21"/>
      <c r="P198" s="21"/>
      <c r="Q198" s="58"/>
      <c r="R198" s="58"/>
      <c r="S198" s="21"/>
      <c r="T198" s="21"/>
      <c r="U198" s="58"/>
      <c r="V198" s="58">
        <v>1</v>
      </c>
      <c r="W198" s="21"/>
      <c r="X198" s="21"/>
      <c r="Y198" s="58"/>
      <c r="Z198" s="58"/>
      <c r="AA198" s="21">
        <v>1</v>
      </c>
      <c r="AB198" s="21"/>
      <c r="AC198" s="58"/>
      <c r="AD198" s="58"/>
      <c r="AE198" s="21"/>
      <c r="AF198" s="58">
        <v>1</v>
      </c>
    </row>
    <row r="199" spans="1:32">
      <c r="A199" s="16"/>
      <c r="B199" s="16"/>
      <c r="C199" s="16"/>
      <c r="D199" s="89" t="s">
        <v>5</v>
      </c>
      <c r="E199" s="90" t="s">
        <v>239</v>
      </c>
      <c r="F199" s="91"/>
      <c r="G199" s="21"/>
      <c r="H199" s="21"/>
      <c r="I199" s="58"/>
      <c r="J199" s="58"/>
      <c r="K199" s="21"/>
      <c r="L199" s="21"/>
      <c r="M199" s="58"/>
      <c r="N199" s="58"/>
      <c r="O199" s="21"/>
      <c r="P199" s="21"/>
      <c r="Q199" s="58"/>
      <c r="R199" s="58"/>
      <c r="S199" s="21"/>
      <c r="T199" s="21"/>
      <c r="U199" s="58"/>
      <c r="V199" s="58"/>
      <c r="W199" s="21"/>
      <c r="X199" s="21"/>
      <c r="Y199" s="58"/>
      <c r="Z199" s="58"/>
      <c r="AA199" s="21"/>
      <c r="AB199" s="21"/>
      <c r="AC199" s="58"/>
      <c r="AD199" s="58"/>
      <c r="AE199" s="21"/>
      <c r="AF199" s="58"/>
    </row>
    <row r="200" spans="1:32" ht="15.75" hidden="1" customHeight="1">
      <c r="A200" s="4"/>
      <c r="B200" s="4"/>
      <c r="C200" s="4"/>
      <c r="D200" s="90"/>
      <c r="F200" s="11" t="s">
        <v>240</v>
      </c>
      <c r="G200" s="21"/>
      <c r="H200" s="21"/>
      <c r="I200" s="58"/>
      <c r="J200" s="58"/>
      <c r="K200" s="21"/>
      <c r="L200" s="21"/>
      <c r="M200" s="58"/>
      <c r="N200" s="58"/>
      <c r="O200" s="21"/>
      <c r="P200" s="21"/>
      <c r="Q200" s="58"/>
      <c r="R200" s="58"/>
      <c r="S200" s="21"/>
      <c r="T200" s="21"/>
      <c r="U200" s="58"/>
      <c r="V200" s="58"/>
      <c r="W200" s="21"/>
      <c r="X200" s="21"/>
      <c r="Y200" s="58"/>
      <c r="Z200" s="58"/>
      <c r="AA200" s="21"/>
      <c r="AB200" s="21"/>
      <c r="AC200" s="58"/>
      <c r="AD200" s="58"/>
      <c r="AE200" s="21"/>
      <c r="AF200" s="58"/>
    </row>
    <row r="201" spans="1:32" ht="15.75" hidden="1" customHeight="1">
      <c r="A201" s="4"/>
      <c r="B201" s="4"/>
      <c r="C201" s="4"/>
      <c r="D201" s="90"/>
      <c r="E201" s="89"/>
      <c r="F201" s="11" t="s">
        <v>241</v>
      </c>
      <c r="G201" s="21"/>
      <c r="H201" s="21"/>
      <c r="I201" s="58"/>
      <c r="J201" s="58"/>
      <c r="K201" s="21"/>
      <c r="L201" s="21"/>
      <c r="M201" s="58"/>
      <c r="N201" s="58"/>
      <c r="O201" s="21"/>
      <c r="P201" s="21"/>
      <c r="Q201" s="58"/>
      <c r="R201" s="58"/>
      <c r="S201" s="21"/>
      <c r="T201" s="21"/>
      <c r="U201" s="58"/>
      <c r="V201" s="58"/>
      <c r="W201" s="21"/>
      <c r="X201" s="21"/>
      <c r="Y201" s="58"/>
      <c r="Z201" s="58"/>
      <c r="AA201" s="21"/>
      <c r="AB201" s="21"/>
      <c r="AC201" s="58"/>
      <c r="AD201" s="58"/>
      <c r="AE201" s="21"/>
      <c r="AF201" s="58"/>
    </row>
    <row r="202" spans="1:32" ht="15.75" customHeight="1">
      <c r="A202" s="4"/>
      <c r="B202" s="4"/>
      <c r="C202" s="4"/>
      <c r="D202" s="90"/>
      <c r="E202" s="89" t="s">
        <v>6</v>
      </c>
      <c r="F202" s="11" t="s">
        <v>50</v>
      </c>
      <c r="G202" s="21"/>
      <c r="H202" s="21"/>
      <c r="I202" s="58"/>
      <c r="J202" s="58">
        <v>1</v>
      </c>
      <c r="K202" s="21"/>
      <c r="L202" s="21"/>
      <c r="M202" s="58"/>
      <c r="N202" s="58"/>
      <c r="O202" s="21"/>
      <c r="P202" s="21"/>
      <c r="Q202" s="58"/>
      <c r="R202" s="58"/>
      <c r="S202" s="21"/>
      <c r="T202" s="21"/>
      <c r="U202" s="58">
        <v>2</v>
      </c>
      <c r="V202" s="58">
        <v>1</v>
      </c>
      <c r="W202" s="21">
        <v>1</v>
      </c>
      <c r="X202" s="21">
        <v>1</v>
      </c>
      <c r="Y202" s="58"/>
      <c r="Z202" s="58"/>
      <c r="AA202" s="21">
        <v>1</v>
      </c>
      <c r="AB202" s="21"/>
      <c r="AC202" s="58"/>
      <c r="AD202" s="58">
        <v>2</v>
      </c>
      <c r="AE202" s="21"/>
      <c r="AF202" s="58">
        <v>4</v>
      </c>
    </row>
    <row r="203" spans="1:32">
      <c r="A203" s="16"/>
      <c r="B203" s="4"/>
      <c r="C203" s="16" t="s">
        <v>73</v>
      </c>
      <c r="D203" s="4" t="s">
        <v>93</v>
      </c>
      <c r="E203" s="5"/>
      <c r="F203" s="11"/>
      <c r="G203" s="21"/>
      <c r="H203" s="21"/>
      <c r="I203" s="58"/>
      <c r="J203" s="58"/>
      <c r="K203" s="21"/>
      <c r="L203" s="21"/>
      <c r="M203" s="58"/>
      <c r="N203" s="58"/>
      <c r="O203" s="21"/>
      <c r="P203" s="21"/>
      <c r="Q203" s="58"/>
      <c r="R203" s="58"/>
      <c r="S203" s="21"/>
      <c r="T203" s="21"/>
      <c r="U203" s="58"/>
      <c r="V203" s="58"/>
      <c r="W203" s="21"/>
      <c r="X203" s="21"/>
      <c r="Y203" s="58"/>
      <c r="Z203" s="58"/>
      <c r="AA203" s="21"/>
      <c r="AB203" s="21"/>
      <c r="AC203" s="58"/>
      <c r="AD203" s="58"/>
      <c r="AE203" s="21"/>
      <c r="AF203" s="58"/>
    </row>
    <row r="204" spans="1:32">
      <c r="A204" s="4"/>
      <c r="B204" s="4"/>
      <c r="C204" s="4"/>
      <c r="D204" s="10" t="s">
        <v>5</v>
      </c>
      <c r="E204" s="12" t="s">
        <v>40</v>
      </c>
      <c r="F204" s="11"/>
      <c r="G204" s="21"/>
      <c r="H204" s="21"/>
      <c r="I204" s="58"/>
      <c r="J204" s="58"/>
      <c r="K204" s="21"/>
      <c r="L204" s="21"/>
      <c r="M204" s="58"/>
      <c r="N204" s="58"/>
      <c r="O204" s="21"/>
      <c r="P204" s="21"/>
      <c r="Q204" s="58"/>
      <c r="R204" s="58"/>
      <c r="S204" s="21"/>
      <c r="T204" s="21"/>
      <c r="U204" s="58"/>
      <c r="V204" s="58"/>
      <c r="W204" s="21"/>
      <c r="X204" s="21"/>
      <c r="Y204" s="58"/>
      <c r="Z204" s="58"/>
      <c r="AA204" s="21"/>
      <c r="AB204" s="21"/>
      <c r="AC204" s="58"/>
      <c r="AD204" s="58"/>
      <c r="AE204" s="21"/>
      <c r="AF204" s="58"/>
    </row>
    <row r="205" spans="1:32">
      <c r="A205" s="4"/>
      <c r="B205" s="4"/>
      <c r="C205" s="4"/>
      <c r="D205" s="5"/>
      <c r="E205" s="10" t="s">
        <v>6</v>
      </c>
      <c r="F205" s="11" t="s">
        <v>41</v>
      </c>
      <c r="G205" s="21"/>
      <c r="H205" s="21"/>
      <c r="I205" s="58"/>
      <c r="J205" s="58"/>
      <c r="K205" s="21"/>
      <c r="L205" s="21"/>
      <c r="M205" s="58">
        <v>1</v>
      </c>
      <c r="N205" s="58"/>
      <c r="O205" s="21"/>
      <c r="P205" s="21"/>
      <c r="Q205" s="58">
        <v>2</v>
      </c>
      <c r="R205" s="58"/>
      <c r="S205" s="21"/>
      <c r="T205" s="21"/>
      <c r="U205" s="58"/>
      <c r="V205" s="58"/>
      <c r="W205" s="21"/>
      <c r="X205" s="21"/>
      <c r="Y205" s="58"/>
      <c r="Z205" s="58">
        <v>1</v>
      </c>
      <c r="AA205" s="21"/>
      <c r="AB205" s="21"/>
      <c r="AC205" s="58"/>
      <c r="AD205" s="58"/>
      <c r="AE205" s="21">
        <v>1</v>
      </c>
      <c r="AF205" s="58"/>
    </row>
    <row r="206" spans="1:32">
      <c r="A206" s="4"/>
      <c r="B206" s="4"/>
      <c r="C206" s="16" t="s">
        <v>73</v>
      </c>
      <c r="D206" s="4" t="s">
        <v>280</v>
      </c>
      <c r="E206" s="10"/>
      <c r="F206" s="11"/>
      <c r="G206" s="21"/>
      <c r="H206" s="21"/>
      <c r="I206" s="58"/>
      <c r="J206" s="58"/>
      <c r="K206" s="21"/>
      <c r="L206" s="21"/>
      <c r="M206" s="58"/>
      <c r="N206" s="58"/>
      <c r="O206" s="21"/>
      <c r="P206" s="21"/>
      <c r="Q206" s="58"/>
      <c r="R206" s="58"/>
      <c r="S206" s="21"/>
      <c r="T206" s="21"/>
      <c r="U206" s="58"/>
      <c r="V206" s="58"/>
      <c r="W206" s="21"/>
      <c r="X206" s="21"/>
      <c r="Y206" s="58"/>
      <c r="Z206" s="58"/>
      <c r="AA206" s="21"/>
      <c r="AB206" s="21"/>
      <c r="AC206" s="58"/>
      <c r="AD206" s="58"/>
      <c r="AE206" s="21"/>
      <c r="AF206" s="58"/>
    </row>
    <row r="207" spans="1:32">
      <c r="A207" s="16"/>
      <c r="B207" s="16"/>
      <c r="C207" s="16"/>
      <c r="D207" s="10" t="s">
        <v>5</v>
      </c>
      <c r="E207" s="111" t="s">
        <v>281</v>
      </c>
      <c r="F207" s="9"/>
      <c r="G207" s="21"/>
      <c r="H207" s="21"/>
      <c r="I207" s="58"/>
      <c r="J207" s="58"/>
      <c r="K207" s="21"/>
      <c r="L207" s="21"/>
      <c r="M207" s="58"/>
      <c r="N207" s="58"/>
      <c r="O207" s="21"/>
      <c r="P207" s="21"/>
      <c r="Q207" s="58"/>
      <c r="R207" s="58"/>
      <c r="S207" s="21"/>
      <c r="T207" s="21"/>
      <c r="U207" s="58"/>
      <c r="V207" s="58"/>
      <c r="W207" s="21"/>
      <c r="X207" s="21"/>
      <c r="Y207" s="58"/>
      <c r="Z207" s="58"/>
      <c r="AA207" s="21"/>
      <c r="AB207" s="21"/>
      <c r="AC207" s="58"/>
      <c r="AD207" s="58"/>
      <c r="AE207" s="21"/>
      <c r="AF207" s="58"/>
    </row>
    <row r="208" spans="1:32">
      <c r="A208" s="4"/>
      <c r="B208" s="4"/>
      <c r="C208" s="4"/>
      <c r="D208" s="90"/>
      <c r="E208" s="89" t="s">
        <v>6</v>
      </c>
      <c r="F208" s="11" t="s">
        <v>282</v>
      </c>
      <c r="G208" s="21"/>
      <c r="H208" s="21">
        <v>1</v>
      </c>
      <c r="I208" s="58">
        <v>1</v>
      </c>
      <c r="J208" s="58"/>
      <c r="K208" s="21">
        <v>1</v>
      </c>
      <c r="L208" s="21"/>
      <c r="M208" s="58">
        <v>1</v>
      </c>
      <c r="N208" s="58"/>
      <c r="O208" s="21"/>
      <c r="P208" s="21">
        <v>1</v>
      </c>
      <c r="Q208" s="58">
        <v>1</v>
      </c>
      <c r="R208" s="58">
        <v>1</v>
      </c>
      <c r="S208" s="21"/>
      <c r="T208" s="21">
        <v>1</v>
      </c>
      <c r="U208" s="58"/>
      <c r="V208" s="58">
        <v>3</v>
      </c>
      <c r="W208" s="21"/>
      <c r="X208" s="21"/>
      <c r="Y208" s="58">
        <v>1</v>
      </c>
      <c r="Z208" s="58">
        <v>1</v>
      </c>
      <c r="AA208" s="21"/>
      <c r="AB208" s="21"/>
      <c r="AC208" s="58"/>
      <c r="AD208" s="58">
        <v>2</v>
      </c>
      <c r="AE208" s="21">
        <v>2</v>
      </c>
      <c r="AF208" s="58">
        <v>1</v>
      </c>
    </row>
    <row r="209" spans="1:32">
      <c r="A209" s="4"/>
      <c r="B209" s="4"/>
      <c r="C209" s="4"/>
      <c r="D209" s="10" t="s">
        <v>5</v>
      </c>
      <c r="E209" s="12" t="s">
        <v>95</v>
      </c>
      <c r="F209" s="11"/>
      <c r="G209" s="21"/>
      <c r="H209" s="21"/>
      <c r="I209" s="58"/>
      <c r="J209" s="58"/>
      <c r="K209" s="21"/>
      <c r="L209" s="21"/>
      <c r="M209" s="58"/>
      <c r="N209" s="58"/>
      <c r="O209" s="21"/>
      <c r="P209" s="21"/>
      <c r="Q209" s="58"/>
      <c r="R209" s="58"/>
      <c r="S209" s="21"/>
      <c r="T209" s="21"/>
      <c r="U209" s="58"/>
      <c r="V209" s="58"/>
      <c r="W209" s="21"/>
      <c r="X209" s="21"/>
      <c r="Y209" s="58"/>
      <c r="Z209" s="58"/>
      <c r="AA209" s="21"/>
      <c r="AB209" s="21"/>
      <c r="AC209" s="58"/>
      <c r="AD209" s="58"/>
      <c r="AE209" s="21"/>
      <c r="AF209" s="58"/>
    </row>
    <row r="210" spans="1:32">
      <c r="A210" s="4"/>
      <c r="B210" s="4"/>
      <c r="C210" s="4"/>
      <c r="D210" s="5"/>
      <c r="E210" s="10" t="s">
        <v>6</v>
      </c>
      <c r="F210" s="11" t="s">
        <v>42</v>
      </c>
      <c r="G210" s="21"/>
      <c r="H210" s="21"/>
      <c r="I210" s="58"/>
      <c r="J210" s="58"/>
      <c r="K210" s="21"/>
      <c r="L210" s="21"/>
      <c r="M210" s="58"/>
      <c r="N210" s="58"/>
      <c r="O210" s="21"/>
      <c r="P210" s="21"/>
      <c r="Q210" s="58"/>
      <c r="R210" s="58"/>
      <c r="S210" s="21"/>
      <c r="T210" s="21"/>
      <c r="U210" s="58"/>
      <c r="V210" s="58"/>
      <c r="W210" s="21"/>
      <c r="X210" s="21"/>
      <c r="Y210" s="58"/>
      <c r="Z210" s="58"/>
      <c r="AA210" s="21"/>
      <c r="AB210" s="21">
        <v>1</v>
      </c>
      <c r="AC210" s="58"/>
      <c r="AD210" s="58"/>
      <c r="AE210" s="21"/>
      <c r="AF210" s="58">
        <v>1</v>
      </c>
    </row>
    <row r="211" spans="1:32">
      <c r="A211" s="4"/>
      <c r="B211" s="4"/>
      <c r="C211" s="4"/>
      <c r="D211" s="5"/>
      <c r="E211" s="10"/>
      <c r="F211" s="11" t="s">
        <v>237</v>
      </c>
      <c r="G211" s="21"/>
      <c r="H211" s="21">
        <v>1</v>
      </c>
      <c r="I211" s="58"/>
      <c r="J211" s="58">
        <v>1</v>
      </c>
      <c r="K211" s="21"/>
      <c r="L211" s="21">
        <v>1</v>
      </c>
      <c r="M211" s="58">
        <v>1</v>
      </c>
      <c r="N211" s="58"/>
      <c r="O211" s="21">
        <v>3</v>
      </c>
      <c r="P211" s="21"/>
      <c r="Q211" s="58"/>
      <c r="R211" s="58"/>
      <c r="S211" s="21"/>
      <c r="T211" s="21"/>
      <c r="U211" s="58"/>
      <c r="V211" s="58"/>
      <c r="W211" s="21"/>
      <c r="X211" s="21"/>
      <c r="Y211" s="58"/>
      <c r="Z211" s="58"/>
      <c r="AA211" s="21"/>
      <c r="AB211" s="21"/>
      <c r="AC211" s="58"/>
      <c r="AD211" s="58"/>
      <c r="AE211" s="21">
        <v>1</v>
      </c>
      <c r="AF211" s="58">
        <v>1</v>
      </c>
    </row>
    <row r="212" spans="1:32">
      <c r="A212" s="4"/>
      <c r="B212" s="4"/>
      <c r="C212" s="4"/>
      <c r="D212" s="10" t="s">
        <v>5</v>
      </c>
      <c r="E212" s="174" t="s">
        <v>400</v>
      </c>
      <c r="F212" s="11"/>
      <c r="G212" s="21"/>
      <c r="H212" s="21"/>
      <c r="I212" s="58"/>
      <c r="J212" s="58"/>
      <c r="K212" s="21"/>
      <c r="L212" s="21"/>
      <c r="M212" s="58"/>
      <c r="N212" s="58"/>
      <c r="O212" s="21"/>
      <c r="P212" s="21"/>
      <c r="Q212" s="58"/>
      <c r="R212" s="58"/>
      <c r="S212" s="21"/>
      <c r="T212" s="21"/>
      <c r="U212" s="58"/>
      <c r="V212" s="58"/>
      <c r="W212" s="21"/>
      <c r="X212" s="21"/>
      <c r="Y212" s="58"/>
      <c r="Z212" s="58"/>
      <c r="AA212" s="21"/>
      <c r="AB212" s="21"/>
      <c r="AC212" s="58"/>
      <c r="AD212" s="58"/>
      <c r="AE212" s="21"/>
      <c r="AF212" s="58"/>
    </row>
    <row r="213" spans="1:32">
      <c r="A213" s="4"/>
      <c r="B213" s="4"/>
      <c r="C213" s="4"/>
      <c r="D213" s="5"/>
      <c r="E213" s="10" t="s">
        <v>6</v>
      </c>
      <c r="F213" s="11" t="s">
        <v>401</v>
      </c>
      <c r="G213" s="21">
        <v>1</v>
      </c>
      <c r="H213" s="21"/>
      <c r="I213" s="58"/>
      <c r="J213" s="58"/>
      <c r="K213" s="21"/>
      <c r="L213" s="21"/>
      <c r="M213" s="58"/>
      <c r="N213" s="58">
        <v>1</v>
      </c>
      <c r="O213" s="21">
        <v>2</v>
      </c>
      <c r="P213" s="21"/>
      <c r="Q213" s="58"/>
      <c r="R213" s="58"/>
      <c r="S213" s="21"/>
      <c r="T213" s="21"/>
      <c r="U213" s="58">
        <v>1</v>
      </c>
      <c r="V213" s="58"/>
      <c r="W213" s="21"/>
      <c r="X213" s="21"/>
      <c r="Y213" s="58"/>
      <c r="Z213" s="58"/>
      <c r="AA213" s="21"/>
      <c r="AB213" s="21"/>
      <c r="AC213" s="58"/>
      <c r="AD213" s="58"/>
      <c r="AE213" s="21"/>
      <c r="AF213" s="58"/>
    </row>
    <row r="214" spans="1:32">
      <c r="A214" s="4"/>
      <c r="B214" s="4"/>
      <c r="C214" s="16" t="s">
        <v>73</v>
      </c>
      <c r="D214" s="4" t="s">
        <v>162</v>
      </c>
      <c r="E214" s="10"/>
      <c r="F214" s="11"/>
      <c r="G214" s="21"/>
      <c r="H214" s="21"/>
      <c r="I214" s="58"/>
      <c r="J214" s="58"/>
      <c r="K214" s="21"/>
      <c r="L214" s="21"/>
      <c r="M214" s="58"/>
      <c r="N214" s="58"/>
      <c r="O214" s="21"/>
      <c r="P214" s="21"/>
      <c r="Q214" s="58"/>
      <c r="R214" s="58"/>
      <c r="S214" s="21"/>
      <c r="T214" s="21"/>
      <c r="U214" s="58"/>
      <c r="V214" s="58"/>
      <c r="W214" s="21"/>
      <c r="X214" s="21"/>
      <c r="Y214" s="58"/>
      <c r="Z214" s="58"/>
      <c r="AA214" s="21"/>
      <c r="AB214" s="21"/>
      <c r="AC214" s="58"/>
      <c r="AD214" s="58"/>
      <c r="AE214" s="21"/>
      <c r="AF214" s="58"/>
    </row>
    <row r="215" spans="1:32">
      <c r="A215" s="4"/>
      <c r="B215" s="4"/>
      <c r="C215" s="4"/>
      <c r="D215" s="10" t="s">
        <v>5</v>
      </c>
      <c r="E215" s="55" t="s">
        <v>163</v>
      </c>
      <c r="F215" s="11"/>
      <c r="G215" s="21"/>
      <c r="H215" s="21"/>
      <c r="I215" s="58"/>
      <c r="J215" s="58"/>
      <c r="K215" s="21"/>
      <c r="L215" s="21"/>
      <c r="M215" s="58"/>
      <c r="N215" s="58"/>
      <c r="O215" s="21"/>
      <c r="P215" s="21"/>
      <c r="Q215" s="58"/>
      <c r="R215" s="58"/>
      <c r="S215" s="21"/>
      <c r="T215" s="21"/>
      <c r="U215" s="58"/>
      <c r="V215" s="58"/>
      <c r="W215" s="21"/>
      <c r="X215" s="21"/>
      <c r="Y215" s="58"/>
      <c r="Z215" s="58"/>
      <c r="AA215" s="21"/>
      <c r="AB215" s="21"/>
      <c r="AC215" s="58"/>
      <c r="AD215" s="58"/>
      <c r="AE215" s="21"/>
      <c r="AF215" s="58"/>
    </row>
    <row r="216" spans="1:32">
      <c r="A216" s="4"/>
      <c r="B216" s="4"/>
      <c r="C216" s="4"/>
      <c r="D216" s="5"/>
      <c r="E216" s="10" t="s">
        <v>6</v>
      </c>
      <c r="F216" s="11" t="s">
        <v>43</v>
      </c>
      <c r="G216" s="21"/>
      <c r="H216" s="21"/>
      <c r="I216" s="58"/>
      <c r="J216" s="58"/>
      <c r="K216" s="21"/>
      <c r="L216" s="21"/>
      <c r="M216" s="58"/>
      <c r="N216" s="58"/>
      <c r="O216" s="21"/>
      <c r="P216" s="21"/>
      <c r="Q216" s="58"/>
      <c r="R216" s="58"/>
      <c r="S216" s="21"/>
      <c r="T216" s="21"/>
      <c r="U216" s="58"/>
      <c r="V216" s="58"/>
      <c r="W216" s="21"/>
      <c r="X216" s="21"/>
      <c r="Y216" s="58"/>
      <c r="Z216" s="58"/>
      <c r="AA216" s="21">
        <v>1</v>
      </c>
      <c r="AB216" s="21"/>
      <c r="AC216" s="58"/>
      <c r="AD216" s="58"/>
      <c r="AE216" s="21"/>
      <c r="AF216" s="58"/>
    </row>
    <row r="217" spans="1:32">
      <c r="A217" s="4"/>
      <c r="B217" s="4"/>
      <c r="C217" s="4"/>
      <c r="D217" s="10" t="s">
        <v>5</v>
      </c>
      <c r="E217" s="129" t="s">
        <v>305</v>
      </c>
      <c r="F217" s="11"/>
      <c r="G217" s="21"/>
      <c r="H217" s="21"/>
      <c r="I217" s="58"/>
      <c r="J217" s="58"/>
      <c r="K217" s="21"/>
      <c r="L217" s="21"/>
      <c r="M217" s="58"/>
      <c r="N217" s="58"/>
      <c r="O217" s="21"/>
      <c r="P217" s="21"/>
      <c r="Q217" s="58"/>
      <c r="R217" s="58"/>
      <c r="S217" s="21"/>
      <c r="T217" s="21"/>
      <c r="U217" s="58"/>
      <c r="V217" s="58"/>
      <c r="W217" s="21"/>
      <c r="X217" s="21"/>
      <c r="Y217" s="58"/>
      <c r="Z217" s="58"/>
      <c r="AA217" s="21"/>
      <c r="AB217" s="21"/>
      <c r="AC217" s="58"/>
      <c r="AD217" s="58"/>
      <c r="AE217" s="21"/>
      <c r="AF217" s="58"/>
    </row>
    <row r="218" spans="1:32">
      <c r="A218" s="4"/>
      <c r="B218" s="4"/>
      <c r="C218" s="4"/>
      <c r="D218" s="5"/>
      <c r="E218" s="10" t="s">
        <v>6</v>
      </c>
      <c r="F218" s="11" t="s">
        <v>173</v>
      </c>
      <c r="G218" s="21"/>
      <c r="H218" s="21"/>
      <c r="I218" s="58"/>
      <c r="J218" s="58"/>
      <c r="K218" s="21"/>
      <c r="L218" s="21"/>
      <c r="M218" s="58"/>
      <c r="N218" s="58"/>
      <c r="O218" s="21"/>
      <c r="P218" s="21"/>
      <c r="Q218" s="58"/>
      <c r="R218" s="58"/>
      <c r="S218" s="21"/>
      <c r="T218" s="21">
        <v>1</v>
      </c>
      <c r="U218" s="58">
        <v>1</v>
      </c>
      <c r="V218" s="58"/>
      <c r="W218" s="21"/>
      <c r="X218" s="21"/>
      <c r="Y218" s="58"/>
      <c r="Z218" s="58"/>
      <c r="AA218" s="21"/>
      <c r="AB218" s="21"/>
      <c r="AC218" s="58"/>
      <c r="AD218" s="58"/>
      <c r="AE218" s="21"/>
      <c r="AF218" s="58"/>
    </row>
    <row r="219" spans="1:32" hidden="1">
      <c r="A219" s="4"/>
      <c r="B219" s="4"/>
      <c r="C219" s="16" t="s">
        <v>73</v>
      </c>
      <c r="D219" s="4" t="s">
        <v>389</v>
      </c>
      <c r="E219" s="10"/>
      <c r="F219" s="9"/>
      <c r="G219" s="21"/>
      <c r="H219" s="21"/>
      <c r="I219" s="58"/>
      <c r="J219" s="58"/>
      <c r="K219" s="21"/>
      <c r="L219" s="21"/>
      <c r="M219" s="58"/>
      <c r="N219" s="58"/>
      <c r="O219" s="21"/>
      <c r="P219" s="21"/>
      <c r="Q219" s="58"/>
      <c r="R219" s="58"/>
      <c r="S219" s="21"/>
      <c r="T219" s="21"/>
      <c r="U219" s="58"/>
      <c r="V219" s="58"/>
      <c r="W219" s="21"/>
      <c r="X219" s="21"/>
      <c r="Y219" s="58"/>
      <c r="Z219" s="58"/>
      <c r="AA219" s="21"/>
      <c r="AB219" s="21"/>
      <c r="AC219" s="58"/>
      <c r="AD219" s="58"/>
      <c r="AE219" s="21"/>
      <c r="AF219" s="58"/>
    </row>
    <row r="220" spans="1:32" hidden="1">
      <c r="A220" s="4"/>
      <c r="B220" s="4"/>
      <c r="C220" s="4"/>
      <c r="D220" s="10" t="s">
        <v>5</v>
      </c>
      <c r="E220" s="170" t="s">
        <v>390</v>
      </c>
      <c r="F220" s="9"/>
      <c r="G220" s="21"/>
      <c r="H220" s="21"/>
      <c r="I220" s="58"/>
      <c r="J220" s="58"/>
      <c r="K220" s="21"/>
      <c r="L220" s="21"/>
      <c r="M220" s="58"/>
      <c r="N220" s="58"/>
      <c r="O220" s="21"/>
      <c r="P220" s="21"/>
      <c r="Q220" s="58"/>
      <c r="R220" s="58"/>
      <c r="S220" s="21"/>
      <c r="T220" s="21"/>
      <c r="U220" s="58"/>
      <c r="V220" s="58"/>
      <c r="W220" s="21"/>
      <c r="X220" s="21"/>
      <c r="Y220" s="58"/>
      <c r="Z220" s="58"/>
      <c r="AA220" s="21"/>
      <c r="AB220" s="21"/>
      <c r="AC220" s="58"/>
      <c r="AD220" s="58"/>
      <c r="AE220" s="21"/>
      <c r="AF220" s="58"/>
    </row>
    <row r="221" spans="1:32" hidden="1">
      <c r="A221" s="4"/>
      <c r="B221" s="4"/>
      <c r="C221" s="4"/>
      <c r="D221" s="5"/>
      <c r="E221" s="10" t="s">
        <v>6</v>
      </c>
      <c r="F221" s="11" t="s">
        <v>391</v>
      </c>
      <c r="G221" s="21"/>
      <c r="H221" s="21"/>
      <c r="I221" s="58"/>
      <c r="J221" s="58"/>
      <c r="K221" s="21"/>
      <c r="L221" s="21"/>
      <c r="M221" s="58"/>
      <c r="N221" s="58"/>
      <c r="O221" s="21"/>
      <c r="P221" s="21"/>
      <c r="Q221" s="58"/>
      <c r="R221" s="58"/>
      <c r="S221" s="21"/>
      <c r="T221" s="21"/>
      <c r="U221" s="58"/>
      <c r="V221" s="58"/>
      <c r="W221" s="21"/>
      <c r="X221" s="21"/>
      <c r="Y221" s="58"/>
      <c r="Z221" s="58"/>
      <c r="AA221" s="21"/>
      <c r="AB221" s="21"/>
      <c r="AC221" s="58"/>
      <c r="AD221" s="58"/>
      <c r="AE221" s="21"/>
      <c r="AF221" s="58"/>
    </row>
    <row r="222" spans="1:32">
      <c r="A222" s="4"/>
      <c r="B222" s="4"/>
      <c r="C222" s="16" t="s">
        <v>73</v>
      </c>
      <c r="D222" s="4" t="s">
        <v>96</v>
      </c>
      <c r="E222" s="10"/>
      <c r="F222" s="9"/>
      <c r="G222" s="21"/>
      <c r="H222" s="21"/>
      <c r="I222" s="58"/>
      <c r="J222" s="58"/>
      <c r="K222" s="21"/>
      <c r="L222" s="21"/>
      <c r="M222" s="58"/>
      <c r="N222" s="58"/>
      <c r="O222" s="21"/>
      <c r="P222" s="21"/>
      <c r="Q222" s="58"/>
      <c r="R222" s="58"/>
      <c r="S222" s="21"/>
      <c r="T222" s="21"/>
      <c r="U222" s="58"/>
      <c r="V222" s="58"/>
      <c r="W222" s="21"/>
      <c r="X222" s="21"/>
      <c r="Y222" s="58"/>
      <c r="Z222" s="58"/>
      <c r="AA222" s="21"/>
      <c r="AB222" s="21"/>
      <c r="AC222" s="58"/>
      <c r="AD222" s="58"/>
      <c r="AE222" s="21"/>
      <c r="AF222" s="58"/>
    </row>
    <row r="223" spans="1:32">
      <c r="A223" s="4"/>
      <c r="B223" s="4"/>
      <c r="C223" s="4"/>
      <c r="D223" s="10" t="s">
        <v>5</v>
      </c>
      <c r="E223" s="12" t="s">
        <v>46</v>
      </c>
      <c r="F223" s="9"/>
      <c r="G223" s="21"/>
      <c r="H223" s="21"/>
      <c r="I223" s="58"/>
      <c r="J223" s="58"/>
      <c r="K223" s="21"/>
      <c r="L223" s="21"/>
      <c r="M223" s="58"/>
      <c r="N223" s="58"/>
      <c r="O223" s="21"/>
      <c r="P223" s="21"/>
      <c r="Q223" s="58"/>
      <c r="R223" s="58"/>
      <c r="S223" s="21"/>
      <c r="T223" s="21"/>
      <c r="U223" s="58"/>
      <c r="V223" s="58"/>
      <c r="W223" s="21"/>
      <c r="X223" s="21"/>
      <c r="Y223" s="58"/>
      <c r="Z223" s="58"/>
      <c r="AA223" s="21"/>
      <c r="AB223" s="21"/>
      <c r="AC223" s="58"/>
      <c r="AD223" s="58"/>
      <c r="AE223" s="21"/>
      <c r="AF223" s="58"/>
    </row>
    <row r="224" spans="1:32" hidden="1">
      <c r="A224" s="4"/>
      <c r="B224" s="4"/>
      <c r="C224" s="4"/>
      <c r="D224" s="5"/>
      <c r="F224" s="11" t="s">
        <v>47</v>
      </c>
      <c r="G224" s="21"/>
      <c r="H224" s="21"/>
      <c r="I224" s="58"/>
      <c r="J224" s="58"/>
      <c r="K224" s="21"/>
      <c r="L224" s="21"/>
      <c r="M224" s="58"/>
      <c r="N224" s="58"/>
      <c r="O224" s="21"/>
      <c r="P224" s="21"/>
      <c r="Q224" s="58"/>
      <c r="R224" s="58"/>
      <c r="S224" s="21"/>
      <c r="T224" s="21"/>
      <c r="U224" s="58"/>
      <c r="V224" s="58"/>
      <c r="W224" s="21"/>
      <c r="X224" s="21"/>
      <c r="Y224" s="58"/>
      <c r="Z224" s="58"/>
      <c r="AA224" s="21"/>
      <c r="AB224" s="21"/>
      <c r="AC224" s="58"/>
      <c r="AD224" s="58"/>
      <c r="AE224" s="21"/>
      <c r="AF224" s="58"/>
    </row>
    <row r="225" spans="1:32">
      <c r="A225" s="4"/>
      <c r="B225" s="4"/>
      <c r="C225" s="4"/>
      <c r="D225" s="5"/>
      <c r="E225" s="10" t="s">
        <v>6</v>
      </c>
      <c r="F225" s="11" t="s">
        <v>352</v>
      </c>
      <c r="G225" s="21">
        <v>29</v>
      </c>
      <c r="H225" s="21">
        <v>15</v>
      </c>
      <c r="I225" s="58">
        <v>1</v>
      </c>
      <c r="J225" s="58">
        <v>13</v>
      </c>
      <c r="K225" s="21">
        <v>15</v>
      </c>
      <c r="L225" s="21"/>
      <c r="M225" s="58">
        <v>9</v>
      </c>
      <c r="N225" s="58">
        <v>10</v>
      </c>
      <c r="O225" s="21">
        <v>20</v>
      </c>
      <c r="P225" s="21">
        <v>12</v>
      </c>
      <c r="Q225" s="58">
        <v>11</v>
      </c>
      <c r="R225" s="58">
        <v>12</v>
      </c>
      <c r="S225" s="21">
        <v>7</v>
      </c>
      <c r="T225" s="21">
        <v>3</v>
      </c>
      <c r="U225" s="58">
        <v>21</v>
      </c>
      <c r="V225" s="58">
        <v>8</v>
      </c>
      <c r="W225" s="21">
        <v>2</v>
      </c>
      <c r="X225" s="21">
        <v>1</v>
      </c>
      <c r="Y225" s="58">
        <v>6</v>
      </c>
      <c r="Z225" s="58">
        <v>4</v>
      </c>
      <c r="AA225" s="21">
        <v>10</v>
      </c>
      <c r="AB225" s="21">
        <v>1</v>
      </c>
      <c r="AC225" s="58">
        <v>11</v>
      </c>
      <c r="AD225" s="58">
        <v>11</v>
      </c>
      <c r="AE225" s="21">
        <v>13</v>
      </c>
      <c r="AF225" s="58">
        <v>36</v>
      </c>
    </row>
    <row r="226" spans="1:32">
      <c r="A226" s="4"/>
      <c r="B226" s="4"/>
      <c r="C226" s="4"/>
      <c r="D226" s="10" t="s">
        <v>5</v>
      </c>
      <c r="E226" s="12" t="s">
        <v>48</v>
      </c>
      <c r="F226" s="11"/>
      <c r="G226" s="21"/>
      <c r="H226" s="21"/>
      <c r="I226" s="58"/>
      <c r="J226" s="58"/>
      <c r="K226" s="21"/>
      <c r="L226" s="21"/>
      <c r="M226" s="58"/>
      <c r="N226" s="58"/>
      <c r="O226" s="21"/>
      <c r="P226" s="21"/>
      <c r="Q226" s="58"/>
      <c r="R226" s="58"/>
      <c r="S226" s="21"/>
      <c r="T226" s="21"/>
      <c r="U226" s="58"/>
      <c r="V226" s="58"/>
      <c r="W226" s="21"/>
      <c r="X226" s="21"/>
      <c r="Y226" s="58"/>
      <c r="Z226" s="58"/>
      <c r="AA226" s="21"/>
      <c r="AB226" s="21"/>
      <c r="AC226" s="58"/>
      <c r="AD226" s="58"/>
      <c r="AE226" s="21"/>
      <c r="AF226" s="58"/>
    </row>
    <row r="227" spans="1:32">
      <c r="A227" s="4"/>
      <c r="B227" s="4"/>
      <c r="C227" s="4"/>
      <c r="D227" s="5"/>
      <c r="E227" s="10" t="s">
        <v>6</v>
      </c>
      <c r="F227" s="11" t="s">
        <v>49</v>
      </c>
      <c r="G227" s="21"/>
      <c r="H227" s="21"/>
      <c r="I227" s="58"/>
      <c r="J227" s="58"/>
      <c r="K227" s="21"/>
      <c r="L227" s="21"/>
      <c r="M227" s="58"/>
      <c r="N227" s="58">
        <v>1</v>
      </c>
      <c r="O227" s="21"/>
      <c r="P227" s="21"/>
      <c r="Q227" s="58">
        <v>1</v>
      </c>
      <c r="R227" s="58"/>
      <c r="S227" s="21"/>
      <c r="T227" s="21"/>
      <c r="U227" s="58">
        <v>1</v>
      </c>
      <c r="V227" s="58">
        <v>1</v>
      </c>
      <c r="W227" s="21">
        <v>1</v>
      </c>
      <c r="X227" s="21">
        <v>1</v>
      </c>
      <c r="Y227" s="58"/>
      <c r="Z227" s="58"/>
      <c r="AA227" s="21">
        <v>1</v>
      </c>
      <c r="AB227" s="21"/>
      <c r="AC227" s="58"/>
      <c r="AD227" s="58"/>
      <c r="AE227" s="21">
        <v>2</v>
      </c>
      <c r="AF227" s="58">
        <v>2</v>
      </c>
    </row>
    <row r="228" spans="1:32">
      <c r="A228" s="4"/>
      <c r="B228" s="4"/>
      <c r="C228" s="4"/>
      <c r="D228" s="10" t="s">
        <v>5</v>
      </c>
      <c r="E228" s="166" t="s">
        <v>377</v>
      </c>
      <c r="F228" s="11"/>
      <c r="G228" s="21"/>
      <c r="H228" s="21"/>
      <c r="I228" s="58"/>
      <c r="J228" s="58"/>
      <c r="K228" s="21"/>
      <c r="L228" s="21"/>
      <c r="M228" s="58"/>
      <c r="N228" s="58"/>
      <c r="O228" s="21"/>
      <c r="P228" s="21"/>
      <c r="Q228" s="58"/>
      <c r="R228" s="58"/>
      <c r="S228" s="21"/>
      <c r="T228" s="21"/>
      <c r="U228" s="58"/>
      <c r="V228" s="58"/>
      <c r="W228" s="21"/>
      <c r="X228" s="21"/>
      <c r="Y228" s="58"/>
      <c r="Z228" s="58"/>
      <c r="AA228" s="21"/>
      <c r="AB228" s="21"/>
      <c r="AC228" s="58"/>
      <c r="AD228" s="58"/>
      <c r="AE228" s="21"/>
      <c r="AF228" s="58"/>
    </row>
    <row r="229" spans="1:32">
      <c r="A229" s="4"/>
      <c r="B229" s="4"/>
      <c r="C229" s="4"/>
      <c r="D229" s="5"/>
      <c r="E229" s="10" t="s">
        <v>6</v>
      </c>
      <c r="F229" s="11" t="s">
        <v>378</v>
      </c>
      <c r="G229" s="21"/>
      <c r="H229" s="21"/>
      <c r="I229" s="58"/>
      <c r="J229" s="58"/>
      <c r="K229" s="21"/>
      <c r="L229" s="21"/>
      <c r="M229" s="58"/>
      <c r="N229" s="58">
        <v>2</v>
      </c>
      <c r="O229" s="21"/>
      <c r="P229" s="21"/>
      <c r="Q229" s="58">
        <v>1</v>
      </c>
      <c r="R229" s="58"/>
      <c r="S229" s="21">
        <v>1</v>
      </c>
      <c r="T229" s="21"/>
      <c r="U229" s="58">
        <v>1</v>
      </c>
      <c r="V229" s="58">
        <v>3</v>
      </c>
      <c r="W229" s="21">
        <v>1</v>
      </c>
      <c r="X229" s="21"/>
      <c r="Y229" s="58"/>
      <c r="Z229" s="58">
        <v>1</v>
      </c>
      <c r="AA229" s="21"/>
      <c r="AB229" s="21"/>
      <c r="AC229" s="58"/>
      <c r="AD229" s="58"/>
      <c r="AE229" s="21"/>
      <c r="AF229" s="58"/>
    </row>
    <row r="230" spans="1:32">
      <c r="A230" s="4"/>
      <c r="B230" s="4"/>
      <c r="C230" s="4"/>
      <c r="D230" s="10" t="s">
        <v>5</v>
      </c>
      <c r="E230" s="162" t="s">
        <v>350</v>
      </c>
      <c r="F230" s="11"/>
      <c r="G230" s="21"/>
      <c r="H230" s="21"/>
      <c r="I230" s="58"/>
      <c r="J230" s="58"/>
      <c r="K230" s="21"/>
      <c r="L230" s="21"/>
      <c r="M230" s="58"/>
      <c r="N230" s="58"/>
      <c r="O230" s="21"/>
      <c r="P230" s="21"/>
      <c r="Q230" s="58"/>
      <c r="R230" s="58"/>
      <c r="S230" s="21"/>
      <c r="T230" s="21"/>
      <c r="U230" s="58"/>
      <c r="V230" s="58"/>
      <c r="W230" s="21"/>
      <c r="X230" s="21"/>
      <c r="Y230" s="58"/>
      <c r="Z230" s="58"/>
      <c r="AA230" s="21"/>
      <c r="AB230" s="21"/>
      <c r="AC230" s="58"/>
      <c r="AD230" s="58"/>
      <c r="AE230" s="21"/>
      <c r="AF230" s="58"/>
    </row>
    <row r="231" spans="1:32">
      <c r="A231" s="4"/>
      <c r="B231" s="4"/>
      <c r="C231" s="4"/>
      <c r="D231" s="5"/>
      <c r="E231" s="10" t="s">
        <v>6</v>
      </c>
      <c r="F231" s="11" t="s">
        <v>175</v>
      </c>
      <c r="G231" s="21"/>
      <c r="H231" s="21"/>
      <c r="I231" s="58"/>
      <c r="J231" s="58"/>
      <c r="K231" s="21"/>
      <c r="L231" s="21">
        <v>1</v>
      </c>
      <c r="M231" s="58"/>
      <c r="N231" s="58"/>
      <c r="O231" s="21">
        <v>2</v>
      </c>
      <c r="P231" s="21"/>
      <c r="Q231" s="58"/>
      <c r="R231" s="58"/>
      <c r="S231" s="21"/>
      <c r="T231" s="21"/>
      <c r="U231" s="58"/>
      <c r="V231" s="58">
        <v>1</v>
      </c>
      <c r="W231" s="21"/>
      <c r="X231" s="21"/>
      <c r="Y231" s="58"/>
      <c r="Z231" s="58"/>
      <c r="AA231" s="21"/>
      <c r="AB231" s="21"/>
      <c r="AC231" s="58"/>
      <c r="AD231" s="58"/>
      <c r="AE231" s="21"/>
      <c r="AF231" s="58"/>
    </row>
    <row r="232" spans="1:32">
      <c r="A232" s="4"/>
      <c r="B232" s="4"/>
      <c r="C232" s="4"/>
      <c r="D232" s="5"/>
      <c r="E232" s="10"/>
      <c r="F232" s="11" t="s">
        <v>264</v>
      </c>
      <c r="G232" s="21"/>
      <c r="H232" s="21"/>
      <c r="I232" s="58"/>
      <c r="J232" s="58"/>
      <c r="K232" s="21">
        <v>1</v>
      </c>
      <c r="L232" s="21"/>
      <c r="M232" s="58"/>
      <c r="N232" s="58"/>
      <c r="O232" s="21"/>
      <c r="P232" s="21"/>
      <c r="Q232" s="58">
        <v>1</v>
      </c>
      <c r="R232" s="58"/>
      <c r="S232" s="21"/>
      <c r="T232" s="21"/>
      <c r="U232" s="58"/>
      <c r="V232" s="58"/>
      <c r="W232" s="21"/>
      <c r="X232" s="21"/>
      <c r="Y232" s="58"/>
      <c r="Z232" s="58"/>
      <c r="AA232" s="21"/>
      <c r="AB232" s="21"/>
      <c r="AC232" s="58"/>
      <c r="AD232" s="58"/>
      <c r="AE232" s="21"/>
      <c r="AF232" s="58"/>
    </row>
    <row r="233" spans="1:32" hidden="1">
      <c r="A233" s="4"/>
      <c r="B233" s="4"/>
      <c r="C233" s="4"/>
      <c r="D233" s="10" t="s">
        <v>5</v>
      </c>
      <c r="E233" s="140" t="s">
        <v>307</v>
      </c>
      <c r="F233" s="11"/>
      <c r="G233" s="21"/>
      <c r="H233" s="21"/>
      <c r="I233" s="58"/>
      <c r="J233" s="58"/>
      <c r="K233" s="21"/>
      <c r="L233" s="21"/>
      <c r="M233" s="58"/>
      <c r="N233" s="58"/>
      <c r="O233" s="21"/>
      <c r="P233" s="21"/>
      <c r="Q233" s="58"/>
      <c r="R233" s="58"/>
      <c r="S233" s="21"/>
      <c r="T233" s="21"/>
      <c r="U233" s="58"/>
      <c r="V233" s="58"/>
      <c r="W233" s="21"/>
      <c r="X233" s="21"/>
      <c r="Y233" s="58"/>
      <c r="Z233" s="58"/>
      <c r="AA233" s="21"/>
      <c r="AB233" s="21"/>
      <c r="AC233" s="58"/>
      <c r="AD233" s="58"/>
      <c r="AE233" s="21"/>
      <c r="AF233" s="58"/>
    </row>
    <row r="234" spans="1:32" hidden="1">
      <c r="A234" s="4"/>
      <c r="B234" s="4"/>
      <c r="C234" s="4"/>
      <c r="D234" s="5"/>
      <c r="E234" s="10" t="s">
        <v>6</v>
      </c>
      <c r="F234" s="11" t="s">
        <v>308</v>
      </c>
      <c r="G234" s="21"/>
      <c r="H234" s="21"/>
      <c r="I234" s="58"/>
      <c r="J234" s="58"/>
      <c r="K234" s="21"/>
      <c r="L234" s="21"/>
      <c r="M234" s="58"/>
      <c r="N234" s="58"/>
      <c r="O234" s="21"/>
      <c r="P234" s="21"/>
      <c r="Q234" s="58"/>
      <c r="R234" s="58"/>
      <c r="S234" s="21"/>
      <c r="T234" s="21"/>
      <c r="U234" s="58"/>
      <c r="V234" s="58"/>
      <c r="W234" s="21"/>
      <c r="X234" s="21"/>
      <c r="Y234" s="58"/>
      <c r="Z234" s="58"/>
      <c r="AA234" s="21"/>
      <c r="AB234" s="21"/>
      <c r="AC234" s="58"/>
      <c r="AD234" s="58"/>
      <c r="AE234" s="21"/>
      <c r="AF234" s="58"/>
    </row>
    <row r="235" spans="1:32">
      <c r="A235" s="4"/>
      <c r="B235" s="4"/>
      <c r="C235" s="4"/>
      <c r="D235" s="10" t="s">
        <v>5</v>
      </c>
      <c r="E235" s="129" t="s">
        <v>243</v>
      </c>
      <c r="F235" s="11"/>
      <c r="G235" s="21"/>
      <c r="H235" s="21"/>
      <c r="I235" s="58"/>
      <c r="J235" s="58"/>
      <c r="K235" s="21"/>
      <c r="L235" s="21"/>
      <c r="M235" s="58"/>
      <c r="N235" s="58"/>
      <c r="O235" s="21"/>
      <c r="P235" s="21"/>
      <c r="Q235" s="58"/>
      <c r="R235" s="58"/>
      <c r="S235" s="21"/>
      <c r="T235" s="21"/>
      <c r="U235" s="58"/>
      <c r="V235" s="58"/>
      <c r="W235" s="21"/>
      <c r="X235" s="21"/>
      <c r="Y235" s="58"/>
      <c r="Z235" s="58"/>
      <c r="AA235" s="21"/>
      <c r="AB235" s="21"/>
      <c r="AC235" s="58"/>
      <c r="AD235" s="58"/>
      <c r="AE235" s="21"/>
      <c r="AF235" s="58"/>
    </row>
    <row r="236" spans="1:32" hidden="1">
      <c r="A236" s="4"/>
      <c r="B236" s="4"/>
      <c r="C236" s="4"/>
      <c r="D236" s="5"/>
      <c r="F236" s="11" t="s">
        <v>271</v>
      </c>
      <c r="G236" s="21"/>
      <c r="H236" s="21"/>
      <c r="I236" s="58"/>
      <c r="J236" s="58"/>
      <c r="K236" s="21"/>
      <c r="L236" s="21"/>
      <c r="M236" s="58"/>
      <c r="N236" s="58"/>
      <c r="O236" s="21"/>
      <c r="P236" s="21"/>
      <c r="Q236" s="58"/>
      <c r="R236" s="58"/>
      <c r="S236" s="21"/>
      <c r="T236" s="21"/>
      <c r="U236" s="58"/>
      <c r="V236" s="58"/>
      <c r="W236" s="21"/>
      <c r="X236" s="21"/>
      <c r="Y236" s="58"/>
      <c r="Z236" s="58"/>
      <c r="AA236" s="21"/>
      <c r="AB236" s="21"/>
      <c r="AC236" s="58"/>
      <c r="AD236" s="58"/>
      <c r="AE236" s="21"/>
      <c r="AF236" s="58"/>
    </row>
    <row r="237" spans="1:32">
      <c r="A237" s="4"/>
      <c r="B237" s="4"/>
      <c r="C237" s="4"/>
      <c r="D237" s="5"/>
      <c r="E237" s="10" t="s">
        <v>6</v>
      </c>
      <c r="F237" s="11" t="s">
        <v>238</v>
      </c>
      <c r="G237" s="21"/>
      <c r="H237" s="21"/>
      <c r="I237" s="58">
        <v>1</v>
      </c>
      <c r="J237" s="58"/>
      <c r="K237" s="21"/>
      <c r="L237" s="21"/>
      <c r="M237" s="58"/>
      <c r="N237" s="58"/>
      <c r="O237" s="21">
        <v>2</v>
      </c>
      <c r="P237" s="21"/>
      <c r="Q237" s="58"/>
      <c r="R237" s="58">
        <v>1</v>
      </c>
      <c r="S237" s="21"/>
      <c r="T237" s="21"/>
      <c r="U237" s="58"/>
      <c r="V237" s="58"/>
      <c r="W237" s="21"/>
      <c r="X237" s="21"/>
      <c r="Y237" s="58"/>
      <c r="Z237" s="58"/>
      <c r="AA237" s="21"/>
      <c r="AB237" s="21"/>
      <c r="AC237" s="58"/>
      <c r="AD237" s="58"/>
      <c r="AE237" s="21">
        <v>1</v>
      </c>
      <c r="AF237" s="58"/>
    </row>
    <row r="238" spans="1:32">
      <c r="A238" s="4"/>
      <c r="B238" s="4"/>
      <c r="C238" s="4"/>
      <c r="D238" s="92"/>
      <c r="E238" s="93"/>
      <c r="F238" s="11" t="s">
        <v>244</v>
      </c>
      <c r="G238" s="21"/>
      <c r="H238" s="21">
        <v>2</v>
      </c>
      <c r="I238" s="58"/>
      <c r="J238" s="58">
        <v>1</v>
      </c>
      <c r="K238" s="21">
        <v>1</v>
      </c>
      <c r="L238" s="21">
        <v>1</v>
      </c>
      <c r="M238" s="58">
        <v>2</v>
      </c>
      <c r="N238" s="58">
        <v>1</v>
      </c>
      <c r="O238" s="21">
        <v>1</v>
      </c>
      <c r="P238" s="21">
        <v>1</v>
      </c>
      <c r="Q238" s="58">
        <v>1</v>
      </c>
      <c r="R238" s="58">
        <v>1</v>
      </c>
      <c r="S238" s="21"/>
      <c r="T238" s="21"/>
      <c r="U238" s="58">
        <v>1</v>
      </c>
      <c r="V238" s="58">
        <v>4</v>
      </c>
      <c r="W238" s="21">
        <v>1</v>
      </c>
      <c r="X238" s="21">
        <v>1</v>
      </c>
      <c r="Y238" s="58">
        <v>1</v>
      </c>
      <c r="Z238" s="58">
        <v>1</v>
      </c>
      <c r="AA238" s="21"/>
      <c r="AB238" s="21"/>
      <c r="AC238" s="58"/>
      <c r="AD238" s="58">
        <v>1</v>
      </c>
      <c r="AE238" s="21"/>
      <c r="AF238" s="58">
        <v>2</v>
      </c>
    </row>
    <row r="239" spans="1:32" hidden="1">
      <c r="A239" s="16"/>
      <c r="B239" s="4"/>
      <c r="C239" s="16" t="s">
        <v>73</v>
      </c>
      <c r="D239" s="4" t="s">
        <v>277</v>
      </c>
      <c r="E239" s="92"/>
      <c r="F239" s="11"/>
      <c r="G239" s="21"/>
      <c r="H239" s="21"/>
      <c r="I239" s="58"/>
      <c r="J239" s="58"/>
      <c r="K239" s="21"/>
      <c r="L239" s="21"/>
      <c r="M239" s="58"/>
      <c r="N239" s="58"/>
      <c r="O239" s="21"/>
      <c r="P239" s="21"/>
      <c r="Q239" s="58"/>
      <c r="R239" s="58"/>
      <c r="S239" s="21"/>
      <c r="T239" s="21"/>
      <c r="U239" s="58"/>
      <c r="V239" s="58"/>
      <c r="W239" s="21"/>
      <c r="X239" s="21"/>
      <c r="Y239" s="58"/>
      <c r="Z239" s="58"/>
      <c r="AA239" s="21"/>
      <c r="AB239" s="21"/>
      <c r="AC239" s="58"/>
      <c r="AD239" s="58"/>
      <c r="AE239" s="21"/>
      <c r="AF239" s="58"/>
    </row>
    <row r="240" spans="1:32" hidden="1">
      <c r="A240" s="4"/>
      <c r="B240" s="4"/>
      <c r="C240" s="4"/>
      <c r="D240" s="93" t="s">
        <v>5</v>
      </c>
      <c r="E240" s="113" t="s">
        <v>278</v>
      </c>
      <c r="F240" s="11"/>
      <c r="G240" s="21"/>
      <c r="H240" s="21"/>
      <c r="I240" s="58"/>
      <c r="J240" s="58"/>
      <c r="K240" s="21"/>
      <c r="L240" s="21"/>
      <c r="M240" s="58"/>
      <c r="N240" s="58"/>
      <c r="O240" s="21"/>
      <c r="P240" s="21"/>
      <c r="Q240" s="58"/>
      <c r="R240" s="58"/>
      <c r="S240" s="21"/>
      <c r="T240" s="21"/>
      <c r="U240" s="58"/>
      <c r="V240" s="58"/>
      <c r="W240" s="21"/>
      <c r="X240" s="21"/>
      <c r="Y240" s="58"/>
      <c r="Z240" s="58"/>
      <c r="AA240" s="21"/>
      <c r="AB240" s="21"/>
      <c r="AC240" s="58"/>
      <c r="AD240" s="58"/>
      <c r="AE240" s="21"/>
      <c r="AF240" s="58"/>
    </row>
    <row r="241" spans="1:32" hidden="1">
      <c r="A241" s="4"/>
      <c r="B241" s="4"/>
      <c r="C241" s="4"/>
      <c r="D241" s="92"/>
      <c r="E241" s="93" t="s">
        <v>6</v>
      </c>
      <c r="F241" s="11" t="s">
        <v>279</v>
      </c>
      <c r="G241" s="21"/>
      <c r="H241" s="21"/>
      <c r="I241" s="58"/>
      <c r="J241" s="58"/>
      <c r="K241" s="21"/>
      <c r="L241" s="21"/>
      <c r="M241" s="58"/>
      <c r="N241" s="58"/>
      <c r="O241" s="21"/>
      <c r="P241" s="21"/>
      <c r="Q241" s="58"/>
      <c r="R241" s="58"/>
      <c r="S241" s="21"/>
      <c r="T241" s="21"/>
      <c r="U241" s="58"/>
      <c r="V241" s="58"/>
      <c r="W241" s="21"/>
      <c r="X241" s="21"/>
      <c r="Y241" s="58"/>
      <c r="Z241" s="58"/>
      <c r="AA241" s="21"/>
      <c r="AB241" s="21"/>
      <c r="AC241" s="58"/>
      <c r="AD241" s="58"/>
      <c r="AE241" s="21"/>
      <c r="AF241" s="58"/>
    </row>
    <row r="242" spans="1:32">
      <c r="A242" s="4"/>
      <c r="B242" s="4"/>
      <c r="C242" s="4"/>
      <c r="D242" s="4"/>
      <c r="E242" s="4"/>
      <c r="F242" s="16"/>
      <c r="G242" s="21"/>
      <c r="H242" s="21"/>
      <c r="I242" s="58"/>
      <c r="J242" s="58"/>
      <c r="K242" s="21"/>
      <c r="L242" s="21"/>
      <c r="M242" s="58"/>
      <c r="N242" s="58"/>
      <c r="O242" s="21"/>
      <c r="P242" s="21"/>
      <c r="Q242" s="58"/>
      <c r="R242" s="58"/>
      <c r="S242" s="21"/>
      <c r="T242" s="21"/>
      <c r="U242" s="58"/>
      <c r="V242" s="58"/>
      <c r="W242" s="21"/>
      <c r="X242" s="21"/>
      <c r="Y242" s="58"/>
      <c r="Z242" s="58"/>
      <c r="AA242" s="21"/>
      <c r="AB242" s="21"/>
      <c r="AC242" s="58"/>
      <c r="AD242" s="58"/>
      <c r="AE242" s="21"/>
      <c r="AF242" s="58"/>
    </row>
    <row r="243" spans="1:32">
      <c r="A243" s="4"/>
      <c r="B243" s="16" t="s">
        <v>72</v>
      </c>
      <c r="C243" s="4" t="s">
        <v>187</v>
      </c>
      <c r="D243" s="4"/>
      <c r="E243" s="16"/>
      <c r="F243" s="59"/>
      <c r="G243" s="21"/>
      <c r="H243" s="21"/>
      <c r="I243" s="58"/>
      <c r="J243" s="58"/>
      <c r="K243" s="21"/>
      <c r="L243" s="21"/>
      <c r="M243" s="58"/>
      <c r="N243" s="58"/>
      <c r="O243" s="21"/>
      <c r="P243" s="21"/>
      <c r="Q243" s="58"/>
      <c r="R243" s="58"/>
      <c r="S243" s="21"/>
      <c r="T243" s="21"/>
      <c r="U243" s="58"/>
      <c r="V243" s="58"/>
      <c r="W243" s="21"/>
      <c r="X243" s="21"/>
      <c r="Y243" s="58"/>
      <c r="Z243" s="58"/>
      <c r="AA243" s="21"/>
      <c r="AB243" s="21"/>
      <c r="AC243" s="58"/>
      <c r="AD243" s="58"/>
      <c r="AE243" s="21"/>
      <c r="AF243" s="58"/>
    </row>
    <row r="244" spans="1:32">
      <c r="A244" s="4"/>
      <c r="B244" s="4"/>
      <c r="C244" s="16" t="s">
        <v>73</v>
      </c>
      <c r="D244" s="4" t="s">
        <v>98</v>
      </c>
      <c r="E244" s="10"/>
      <c r="F244" s="9"/>
      <c r="G244" s="21"/>
      <c r="H244" s="21"/>
      <c r="I244" s="58"/>
      <c r="J244" s="58"/>
      <c r="K244" s="21"/>
      <c r="L244" s="21"/>
      <c r="M244" s="58"/>
      <c r="N244" s="58"/>
      <c r="O244" s="21"/>
      <c r="P244" s="21"/>
      <c r="Q244" s="58"/>
      <c r="R244" s="58"/>
      <c r="S244" s="21"/>
      <c r="T244" s="21"/>
      <c r="U244" s="58"/>
      <c r="V244" s="58"/>
      <c r="W244" s="21"/>
      <c r="X244" s="21"/>
      <c r="Y244" s="58"/>
      <c r="Z244" s="58"/>
      <c r="AA244" s="21"/>
      <c r="AB244" s="21"/>
      <c r="AC244" s="58"/>
      <c r="AD244" s="58"/>
      <c r="AE244" s="21"/>
      <c r="AF244" s="58"/>
    </row>
    <row r="245" spans="1:32">
      <c r="A245" s="4"/>
      <c r="B245" s="4"/>
      <c r="C245" s="4"/>
      <c r="D245" s="10" t="s">
        <v>5</v>
      </c>
      <c r="E245" s="167" t="s">
        <v>379</v>
      </c>
      <c r="F245" s="11"/>
      <c r="G245" s="21"/>
      <c r="H245" s="21"/>
      <c r="I245" s="58"/>
      <c r="J245" s="58"/>
      <c r="K245" s="21"/>
      <c r="L245" s="21"/>
      <c r="M245" s="58"/>
      <c r="N245" s="58"/>
      <c r="O245" s="21"/>
      <c r="P245" s="21"/>
      <c r="Q245" s="58"/>
      <c r="R245" s="58"/>
      <c r="S245" s="21"/>
      <c r="T245" s="21"/>
      <c r="U245" s="58"/>
      <c r="V245" s="58"/>
      <c r="W245" s="21"/>
      <c r="X245" s="21"/>
      <c r="Y245" s="58"/>
      <c r="Z245" s="58"/>
      <c r="AA245" s="21"/>
      <c r="AB245" s="21"/>
      <c r="AC245" s="58"/>
      <c r="AD245" s="58"/>
      <c r="AE245" s="21"/>
      <c r="AF245" s="58"/>
    </row>
    <row r="246" spans="1:32">
      <c r="A246" s="4"/>
      <c r="B246" s="4"/>
      <c r="C246" s="4"/>
      <c r="D246" s="5"/>
      <c r="E246" s="10" t="s">
        <v>6</v>
      </c>
      <c r="F246" s="11" t="s">
        <v>380</v>
      </c>
      <c r="G246" s="21"/>
      <c r="H246" s="21"/>
      <c r="I246" s="58"/>
      <c r="J246" s="58"/>
      <c r="K246" s="21">
        <v>1</v>
      </c>
      <c r="L246" s="21"/>
      <c r="M246" s="58"/>
      <c r="N246" s="58"/>
      <c r="O246" s="21"/>
      <c r="P246" s="21"/>
      <c r="Q246" s="58"/>
      <c r="R246" s="58"/>
      <c r="S246" s="21"/>
      <c r="T246" s="21"/>
      <c r="U246" s="58"/>
      <c r="V246" s="58">
        <v>1</v>
      </c>
      <c r="W246" s="21"/>
      <c r="X246" s="21">
        <v>1</v>
      </c>
      <c r="Y246" s="58"/>
      <c r="Z246" s="58"/>
      <c r="AA246" s="21">
        <v>1</v>
      </c>
      <c r="AB246" s="21"/>
      <c r="AC246" s="58"/>
      <c r="AD246" s="58"/>
      <c r="AE246" s="21"/>
      <c r="AF246" s="58"/>
    </row>
    <row r="247" spans="1:32" hidden="1">
      <c r="A247" s="4"/>
      <c r="B247" s="4"/>
      <c r="C247" s="4"/>
      <c r="D247" s="10" t="s">
        <v>5</v>
      </c>
      <c r="E247" s="12" t="s">
        <v>44</v>
      </c>
      <c r="F247" s="11"/>
      <c r="G247" s="21"/>
      <c r="H247" s="21"/>
      <c r="I247" s="58"/>
      <c r="J247" s="58"/>
      <c r="K247" s="21"/>
      <c r="L247" s="21"/>
      <c r="M247" s="58"/>
      <c r="N247" s="58"/>
      <c r="O247" s="21"/>
      <c r="P247" s="21"/>
      <c r="Q247" s="58"/>
      <c r="R247" s="58"/>
      <c r="S247" s="21"/>
      <c r="T247" s="21"/>
      <c r="U247" s="58"/>
      <c r="V247" s="58"/>
      <c r="W247" s="21"/>
      <c r="X247" s="21"/>
      <c r="Y247" s="58"/>
      <c r="Z247" s="58"/>
      <c r="AA247" s="21"/>
      <c r="AB247" s="21"/>
      <c r="AC247" s="58"/>
      <c r="AD247" s="58"/>
      <c r="AE247" s="21"/>
      <c r="AF247" s="58"/>
    </row>
    <row r="248" spans="1:32" hidden="1">
      <c r="A248" s="4"/>
      <c r="B248" s="4"/>
      <c r="C248" s="4"/>
      <c r="D248" s="5"/>
      <c r="E248" s="10" t="s">
        <v>6</v>
      </c>
      <c r="F248" s="11" t="s">
        <v>45</v>
      </c>
      <c r="G248" s="21"/>
      <c r="H248" s="21"/>
      <c r="I248" s="58"/>
      <c r="J248" s="58"/>
      <c r="K248" s="21"/>
      <c r="L248" s="21"/>
      <c r="M248" s="58"/>
      <c r="N248" s="58"/>
      <c r="O248" s="21"/>
      <c r="P248" s="21"/>
      <c r="Q248" s="58"/>
      <c r="R248" s="58"/>
      <c r="S248" s="21"/>
      <c r="T248" s="21"/>
      <c r="U248" s="58"/>
      <c r="V248" s="58"/>
      <c r="W248" s="21"/>
      <c r="X248" s="21"/>
      <c r="Y248" s="58"/>
      <c r="Z248" s="58"/>
      <c r="AA248" s="21"/>
      <c r="AB248" s="21"/>
      <c r="AC248" s="58"/>
      <c r="AD248" s="58"/>
      <c r="AE248" s="21"/>
      <c r="AF248" s="58"/>
    </row>
    <row r="249" spans="1:32">
      <c r="A249" s="4"/>
      <c r="B249" s="4"/>
      <c r="C249" s="4"/>
      <c r="D249" s="5"/>
      <c r="E249" s="10"/>
      <c r="F249" s="11"/>
      <c r="G249" s="21"/>
      <c r="H249" s="21"/>
      <c r="I249" s="58"/>
      <c r="J249" s="58"/>
      <c r="K249" s="21"/>
      <c r="L249" s="21"/>
      <c r="M249" s="58"/>
      <c r="N249" s="58"/>
      <c r="O249" s="21"/>
      <c r="P249" s="21"/>
      <c r="Q249" s="58"/>
      <c r="R249" s="58"/>
      <c r="S249" s="21"/>
      <c r="T249" s="21"/>
      <c r="U249" s="58"/>
      <c r="V249" s="58"/>
      <c r="W249" s="21"/>
      <c r="X249" s="21"/>
      <c r="Y249" s="58"/>
      <c r="Z249" s="58"/>
      <c r="AA249" s="21"/>
      <c r="AB249" s="21"/>
      <c r="AC249" s="58"/>
      <c r="AD249" s="58"/>
      <c r="AE249" s="21"/>
      <c r="AF249" s="58"/>
    </row>
    <row r="250" spans="1:32">
      <c r="A250" s="16" t="s">
        <v>4</v>
      </c>
      <c r="B250" s="4" t="s">
        <v>155</v>
      </c>
      <c r="C250" s="16"/>
      <c r="D250" s="4"/>
      <c r="E250" s="5"/>
      <c r="F250" s="9"/>
      <c r="G250" s="21"/>
      <c r="H250" s="21"/>
      <c r="I250" s="58"/>
      <c r="J250" s="58"/>
      <c r="K250" s="21"/>
      <c r="L250" s="21"/>
      <c r="M250" s="58"/>
      <c r="N250" s="58"/>
      <c r="O250" s="21"/>
      <c r="P250" s="21"/>
      <c r="Q250" s="58"/>
      <c r="R250" s="58"/>
      <c r="S250" s="21"/>
      <c r="T250" s="21"/>
      <c r="U250" s="58"/>
      <c r="V250" s="58"/>
      <c r="W250" s="21"/>
      <c r="X250" s="21"/>
      <c r="Y250" s="58"/>
      <c r="Z250" s="58"/>
      <c r="AA250" s="21"/>
      <c r="AB250" s="21"/>
      <c r="AC250" s="58"/>
      <c r="AD250" s="58"/>
      <c r="AE250" s="21"/>
      <c r="AF250" s="58"/>
    </row>
    <row r="251" spans="1:32">
      <c r="A251" s="16"/>
      <c r="B251" s="16" t="s">
        <v>72</v>
      </c>
      <c r="C251" s="28" t="s">
        <v>10</v>
      </c>
      <c r="D251" s="4"/>
      <c r="E251" s="5"/>
      <c r="F251" s="9"/>
      <c r="G251" s="21"/>
      <c r="H251" s="21"/>
      <c r="I251" s="58"/>
      <c r="J251" s="58"/>
      <c r="K251" s="21"/>
      <c r="L251" s="21"/>
      <c r="M251" s="58"/>
      <c r="N251" s="58"/>
      <c r="O251" s="21"/>
      <c r="P251" s="21"/>
      <c r="Q251" s="58"/>
      <c r="R251" s="58"/>
      <c r="S251" s="21"/>
      <c r="T251" s="21"/>
      <c r="U251" s="58"/>
      <c r="V251" s="58"/>
      <c r="W251" s="21"/>
      <c r="X251" s="21"/>
      <c r="Y251" s="58"/>
      <c r="Z251" s="58"/>
      <c r="AA251" s="21"/>
      <c r="AB251" s="21"/>
      <c r="AC251" s="58"/>
      <c r="AD251" s="58"/>
      <c r="AE251" s="21"/>
      <c r="AF251" s="58"/>
    </row>
    <row r="252" spans="1:32" hidden="1">
      <c r="A252" s="16"/>
      <c r="B252" s="16"/>
      <c r="C252" s="16" t="s">
        <v>73</v>
      </c>
      <c r="D252" s="4" t="s">
        <v>365</v>
      </c>
      <c r="E252" s="5"/>
      <c r="F252" s="9"/>
      <c r="G252" s="21"/>
      <c r="H252" s="21"/>
      <c r="I252" s="58"/>
      <c r="J252" s="58"/>
      <c r="K252" s="21"/>
      <c r="L252" s="21"/>
      <c r="M252" s="58"/>
      <c r="N252" s="58"/>
      <c r="O252" s="21"/>
      <c r="P252" s="21"/>
      <c r="Q252" s="58"/>
      <c r="R252" s="58"/>
      <c r="S252" s="21"/>
      <c r="T252" s="21"/>
      <c r="U252" s="58"/>
      <c r="V252" s="58"/>
      <c r="W252" s="21"/>
      <c r="X252" s="21"/>
      <c r="Y252" s="58"/>
      <c r="Z252" s="58"/>
      <c r="AA252" s="21"/>
      <c r="AB252" s="21"/>
      <c r="AC252" s="58"/>
      <c r="AD252" s="58"/>
      <c r="AE252" s="21"/>
      <c r="AF252" s="58"/>
    </row>
    <row r="253" spans="1:32" hidden="1">
      <c r="A253" s="16"/>
      <c r="B253" s="16"/>
      <c r="C253" s="16"/>
      <c r="D253" s="10" t="s">
        <v>5</v>
      </c>
      <c r="E253" s="164" t="s">
        <v>366</v>
      </c>
      <c r="F253" s="9"/>
      <c r="G253" s="21"/>
      <c r="H253" s="21"/>
      <c r="I253" s="58"/>
      <c r="J253" s="58"/>
      <c r="K253" s="21"/>
      <c r="L253" s="21"/>
      <c r="M253" s="58"/>
      <c r="N253" s="58"/>
      <c r="O253" s="21"/>
      <c r="P253" s="21"/>
      <c r="Q253" s="58"/>
      <c r="R253" s="58"/>
      <c r="S253" s="21"/>
      <c r="T253" s="21"/>
      <c r="U253" s="58"/>
      <c r="V253" s="58"/>
      <c r="W253" s="21"/>
      <c r="X253" s="21"/>
      <c r="Y253" s="58"/>
      <c r="Z253" s="58"/>
      <c r="AA253" s="21"/>
      <c r="AB253" s="21"/>
      <c r="AC253" s="58"/>
      <c r="AD253" s="58"/>
      <c r="AE253" s="21"/>
      <c r="AF253" s="58"/>
    </row>
    <row r="254" spans="1:32" hidden="1">
      <c r="A254" s="4"/>
      <c r="B254" s="4"/>
      <c r="C254" s="4"/>
      <c r="D254" s="5"/>
      <c r="E254" s="10" t="s">
        <v>6</v>
      </c>
      <c r="F254" s="11" t="s">
        <v>367</v>
      </c>
      <c r="G254" s="21"/>
      <c r="H254" s="21"/>
      <c r="I254" s="58"/>
      <c r="J254" s="58"/>
      <c r="K254" s="21"/>
      <c r="L254" s="21"/>
      <c r="M254" s="58"/>
      <c r="N254" s="58"/>
      <c r="O254" s="21"/>
      <c r="P254" s="21"/>
      <c r="Q254" s="58"/>
      <c r="R254" s="58"/>
      <c r="S254" s="21"/>
      <c r="T254" s="21"/>
      <c r="U254" s="58"/>
      <c r="V254" s="58"/>
      <c r="W254" s="21"/>
      <c r="X254" s="21"/>
      <c r="Y254" s="58"/>
      <c r="Z254" s="58"/>
      <c r="AA254" s="21"/>
      <c r="AB254" s="21"/>
      <c r="AC254" s="58"/>
      <c r="AD254" s="58"/>
      <c r="AE254" s="21"/>
      <c r="AF254" s="58"/>
    </row>
    <row r="255" spans="1:32" hidden="1">
      <c r="A255" s="4"/>
      <c r="B255" s="4"/>
      <c r="C255" s="16" t="s">
        <v>73</v>
      </c>
      <c r="D255" s="4" t="s">
        <v>408</v>
      </c>
      <c r="E255" s="10"/>
      <c r="F255" s="9"/>
      <c r="G255" s="21"/>
      <c r="H255" s="21"/>
      <c r="I255" s="58"/>
      <c r="J255" s="58"/>
      <c r="K255" s="21"/>
      <c r="L255" s="21"/>
      <c r="M255" s="58"/>
      <c r="N255" s="58"/>
      <c r="O255" s="21"/>
      <c r="P255" s="21"/>
      <c r="Q255" s="58"/>
      <c r="R255" s="58"/>
      <c r="S255" s="21"/>
      <c r="T255" s="21"/>
      <c r="U255" s="58"/>
      <c r="V255" s="58"/>
      <c r="W255" s="21"/>
      <c r="X255" s="21"/>
      <c r="Y255" s="58"/>
      <c r="Z255" s="58"/>
      <c r="AA255" s="21"/>
      <c r="AB255" s="21"/>
      <c r="AC255" s="58"/>
      <c r="AD255" s="58"/>
      <c r="AE255" s="21"/>
      <c r="AF255" s="58"/>
    </row>
    <row r="256" spans="1:32" hidden="1">
      <c r="A256" s="4"/>
      <c r="B256" s="4"/>
      <c r="C256" s="4"/>
      <c r="D256" s="10" t="s">
        <v>5</v>
      </c>
      <c r="E256" s="177" t="s">
        <v>409</v>
      </c>
      <c r="F256" s="11"/>
      <c r="G256" s="21"/>
      <c r="H256" s="21"/>
      <c r="I256" s="58"/>
      <c r="J256" s="58"/>
      <c r="K256" s="21"/>
      <c r="L256" s="21"/>
      <c r="M256" s="58"/>
      <c r="N256" s="58"/>
      <c r="O256" s="21"/>
      <c r="P256" s="21"/>
      <c r="Q256" s="58"/>
      <c r="R256" s="58"/>
      <c r="S256" s="21"/>
      <c r="T256" s="21"/>
      <c r="U256" s="58"/>
      <c r="V256" s="58"/>
      <c r="W256" s="21"/>
      <c r="X256" s="21"/>
      <c r="Y256" s="58"/>
      <c r="Z256" s="58"/>
      <c r="AA256" s="21"/>
      <c r="AB256" s="21"/>
      <c r="AC256" s="58"/>
      <c r="AD256" s="58"/>
      <c r="AE256" s="21"/>
      <c r="AF256" s="58"/>
    </row>
    <row r="257" spans="1:32" hidden="1">
      <c r="A257" s="4"/>
      <c r="B257" s="4"/>
      <c r="C257" s="4"/>
      <c r="D257" s="5"/>
      <c r="E257" s="10" t="s">
        <v>6</v>
      </c>
      <c r="F257" s="11" t="s">
        <v>410</v>
      </c>
      <c r="G257" s="21"/>
      <c r="H257" s="21"/>
      <c r="I257" s="58"/>
      <c r="J257" s="58"/>
      <c r="K257" s="21"/>
      <c r="L257" s="21"/>
      <c r="M257" s="58"/>
      <c r="N257" s="58"/>
      <c r="O257" s="21"/>
      <c r="P257" s="21"/>
      <c r="Q257" s="58"/>
      <c r="R257" s="58"/>
      <c r="S257" s="21"/>
      <c r="T257" s="21"/>
      <c r="U257" s="58"/>
      <c r="V257" s="58"/>
      <c r="W257" s="21"/>
      <c r="X257" s="21"/>
      <c r="Y257" s="58"/>
      <c r="Z257" s="58"/>
      <c r="AA257" s="21"/>
      <c r="AB257" s="21"/>
      <c r="AC257" s="58"/>
      <c r="AD257" s="58"/>
      <c r="AE257" s="21"/>
      <c r="AF257" s="58"/>
    </row>
    <row r="258" spans="1:32">
      <c r="A258" s="16"/>
      <c r="B258" s="16"/>
      <c r="C258" s="16" t="s">
        <v>73</v>
      </c>
      <c r="D258" s="4" t="s">
        <v>74</v>
      </c>
      <c r="E258" s="5"/>
      <c r="F258" s="9"/>
      <c r="G258" s="21"/>
      <c r="H258" s="21"/>
      <c r="I258" s="58"/>
      <c r="J258" s="58"/>
      <c r="K258" s="21"/>
      <c r="L258" s="21"/>
      <c r="M258" s="58"/>
      <c r="N258" s="58"/>
      <c r="O258" s="21"/>
      <c r="P258" s="21"/>
      <c r="Q258" s="58"/>
      <c r="R258" s="58"/>
      <c r="S258" s="21"/>
      <c r="T258" s="21"/>
      <c r="U258" s="58"/>
      <c r="V258" s="58"/>
      <c r="W258" s="21"/>
      <c r="X258" s="21"/>
      <c r="Y258" s="58"/>
      <c r="Z258" s="58"/>
      <c r="AA258" s="21"/>
      <c r="AB258" s="21"/>
      <c r="AC258" s="58"/>
      <c r="AD258" s="58"/>
      <c r="AE258" s="21"/>
      <c r="AF258" s="58"/>
    </row>
    <row r="259" spans="1:32">
      <c r="A259" s="16"/>
      <c r="B259" s="16"/>
      <c r="C259" s="16"/>
      <c r="D259" s="10" t="s">
        <v>5</v>
      </c>
      <c r="E259" s="5" t="s">
        <v>75</v>
      </c>
      <c r="F259" s="9"/>
      <c r="G259" s="21"/>
      <c r="H259" s="21"/>
      <c r="I259" s="58"/>
      <c r="J259" s="58"/>
      <c r="K259" s="21"/>
      <c r="L259" s="21"/>
      <c r="M259" s="58"/>
      <c r="N259" s="58"/>
      <c r="O259" s="21"/>
      <c r="P259" s="21"/>
      <c r="Q259" s="58"/>
      <c r="R259" s="58"/>
      <c r="S259" s="21"/>
      <c r="T259" s="21"/>
      <c r="U259" s="58"/>
      <c r="V259" s="58"/>
      <c r="W259" s="21"/>
      <c r="X259" s="21"/>
      <c r="Y259" s="58"/>
      <c r="Z259" s="58"/>
      <c r="AA259" s="21"/>
      <c r="AB259" s="21"/>
      <c r="AC259" s="58"/>
      <c r="AD259" s="58"/>
      <c r="AE259" s="21"/>
      <c r="AF259" s="58"/>
    </row>
    <row r="260" spans="1:32">
      <c r="A260" s="4"/>
      <c r="B260" s="4"/>
      <c r="C260" s="4"/>
      <c r="D260" s="5"/>
      <c r="E260" s="10" t="s">
        <v>6</v>
      </c>
      <c r="F260" s="11" t="s">
        <v>11</v>
      </c>
      <c r="G260" s="21"/>
      <c r="H260" s="21"/>
      <c r="I260" s="58">
        <v>4</v>
      </c>
      <c r="J260" s="58">
        <v>1</v>
      </c>
      <c r="K260" s="21">
        <v>9</v>
      </c>
      <c r="L260" s="21">
        <v>6</v>
      </c>
      <c r="M260" s="58"/>
      <c r="N260" s="58">
        <v>1</v>
      </c>
      <c r="O260" s="21"/>
      <c r="P260" s="21">
        <v>1</v>
      </c>
      <c r="Q260" s="58">
        <v>4</v>
      </c>
      <c r="R260" s="58">
        <v>1</v>
      </c>
      <c r="S260" s="21">
        <v>1</v>
      </c>
      <c r="T260" s="21">
        <v>2</v>
      </c>
      <c r="U260" s="58"/>
      <c r="V260" s="58"/>
      <c r="W260" s="21"/>
      <c r="X260" s="21">
        <v>1</v>
      </c>
      <c r="Y260" s="58"/>
      <c r="Z260" s="58">
        <v>1</v>
      </c>
      <c r="AA260" s="21"/>
      <c r="AB260" s="21">
        <v>1</v>
      </c>
      <c r="AC260" s="58"/>
      <c r="AD260" s="58">
        <v>4</v>
      </c>
      <c r="AE260" s="21"/>
      <c r="AF260" s="58"/>
    </row>
    <row r="261" spans="1:32" hidden="1">
      <c r="A261" s="4"/>
      <c r="B261" s="4"/>
      <c r="C261" s="4"/>
      <c r="D261" s="5"/>
      <c r="E261" s="10"/>
      <c r="F261" s="11" t="s">
        <v>315</v>
      </c>
      <c r="G261" s="21"/>
      <c r="H261" s="21"/>
      <c r="I261" s="58"/>
      <c r="J261" s="58"/>
      <c r="K261" s="21"/>
      <c r="L261" s="21"/>
      <c r="M261" s="58"/>
      <c r="N261" s="58"/>
      <c r="O261" s="21"/>
      <c r="P261" s="21"/>
      <c r="Q261" s="58"/>
      <c r="R261" s="58"/>
      <c r="S261" s="21"/>
      <c r="T261" s="21"/>
      <c r="U261" s="58"/>
      <c r="V261" s="58"/>
      <c r="W261" s="21"/>
      <c r="X261" s="21"/>
      <c r="Y261" s="58"/>
      <c r="Z261" s="58"/>
      <c r="AA261" s="21"/>
      <c r="AB261" s="21"/>
      <c r="AC261" s="58"/>
      <c r="AD261" s="58"/>
      <c r="AE261" s="21"/>
      <c r="AF261" s="58"/>
    </row>
    <row r="262" spans="1:32">
      <c r="A262" s="16"/>
      <c r="B262" s="16"/>
      <c r="C262" s="16"/>
      <c r="D262" s="10" t="s">
        <v>5</v>
      </c>
      <c r="E262" s="5" t="s">
        <v>156</v>
      </c>
      <c r="F262" s="9"/>
      <c r="G262" s="21"/>
      <c r="H262" s="21"/>
      <c r="I262" s="58"/>
      <c r="J262" s="58"/>
      <c r="K262" s="21"/>
      <c r="L262" s="21"/>
      <c r="M262" s="58"/>
      <c r="N262" s="58"/>
      <c r="O262" s="21"/>
      <c r="P262" s="21"/>
      <c r="Q262" s="58"/>
      <c r="R262" s="58"/>
      <c r="S262" s="21"/>
      <c r="T262" s="21"/>
      <c r="U262" s="58"/>
      <c r="V262" s="58"/>
      <c r="W262" s="21"/>
      <c r="X262" s="21"/>
      <c r="Y262" s="58"/>
      <c r="Z262" s="58"/>
      <c r="AA262" s="21"/>
      <c r="AB262" s="21"/>
      <c r="AC262" s="58"/>
      <c r="AD262" s="58"/>
      <c r="AE262" s="21"/>
      <c r="AF262" s="58"/>
    </row>
    <row r="263" spans="1:32" hidden="1">
      <c r="A263" s="4"/>
      <c r="B263" s="4"/>
      <c r="C263" s="4"/>
      <c r="D263" s="5"/>
      <c r="F263" s="11" t="s">
        <v>415</v>
      </c>
      <c r="G263" s="58"/>
      <c r="H263" s="9"/>
      <c r="I263" s="58"/>
      <c r="J263" s="58"/>
      <c r="K263" s="9"/>
      <c r="L263" s="9"/>
      <c r="M263" s="58"/>
      <c r="N263" s="58"/>
      <c r="O263" s="9"/>
      <c r="P263" s="9"/>
      <c r="Q263" s="58"/>
      <c r="R263" s="58"/>
      <c r="S263" s="9"/>
      <c r="T263" s="9"/>
      <c r="U263" s="58"/>
      <c r="V263" s="58"/>
      <c r="W263" s="9"/>
      <c r="X263" s="9"/>
      <c r="Y263" s="58"/>
      <c r="Z263" s="58"/>
      <c r="AA263" s="9"/>
      <c r="AB263" s="9"/>
      <c r="AC263" s="58"/>
      <c r="AD263" s="58"/>
      <c r="AE263" s="9"/>
      <c r="AF263" s="58"/>
    </row>
    <row r="264" spans="1:32">
      <c r="A264" s="4"/>
      <c r="B264" s="4"/>
      <c r="C264" s="4"/>
      <c r="D264" s="5"/>
      <c r="E264" s="10" t="s">
        <v>6</v>
      </c>
      <c r="F264" s="11" t="s">
        <v>411</v>
      </c>
      <c r="G264" s="21"/>
      <c r="H264" s="21"/>
      <c r="I264" s="58"/>
      <c r="J264" s="58"/>
      <c r="K264" s="21"/>
      <c r="L264" s="21"/>
      <c r="M264" s="58"/>
      <c r="N264" s="58"/>
      <c r="O264" s="21"/>
      <c r="P264" s="21"/>
      <c r="Q264" s="58"/>
      <c r="R264" s="58"/>
      <c r="S264" s="21"/>
      <c r="T264" s="21"/>
      <c r="U264" s="58"/>
      <c r="V264" s="58"/>
      <c r="W264" s="21"/>
      <c r="X264" s="21"/>
      <c r="Y264" s="58"/>
      <c r="Z264" s="58"/>
      <c r="AA264" s="21"/>
      <c r="AB264" s="21">
        <v>1</v>
      </c>
      <c r="AC264" s="58"/>
      <c r="AD264" s="58"/>
      <c r="AE264" s="21"/>
      <c r="AF264" s="58"/>
    </row>
    <row r="265" spans="1:32">
      <c r="A265" s="4"/>
      <c r="B265" s="4"/>
      <c r="C265" s="4"/>
      <c r="D265" s="5"/>
      <c r="F265" s="11" t="s">
        <v>115</v>
      </c>
      <c r="G265" s="58"/>
      <c r="H265" s="9">
        <v>30</v>
      </c>
      <c r="I265" s="58"/>
      <c r="J265" s="58">
        <v>4</v>
      </c>
      <c r="K265" s="9">
        <v>3</v>
      </c>
      <c r="L265" s="9">
        <v>4</v>
      </c>
      <c r="M265" s="58">
        <v>5</v>
      </c>
      <c r="N265" s="58">
        <v>1</v>
      </c>
      <c r="O265" s="9">
        <v>7</v>
      </c>
      <c r="P265" s="9">
        <v>1</v>
      </c>
      <c r="Q265" s="58">
        <v>2</v>
      </c>
      <c r="R265" s="58"/>
      <c r="S265" s="9">
        <v>4</v>
      </c>
      <c r="T265" s="9">
        <v>10</v>
      </c>
      <c r="U265" s="58">
        <v>9</v>
      </c>
      <c r="V265" s="58">
        <v>3</v>
      </c>
      <c r="W265" s="9">
        <v>1</v>
      </c>
      <c r="X265" s="9">
        <v>3</v>
      </c>
      <c r="Y265" s="58">
        <v>12</v>
      </c>
      <c r="Z265" s="58">
        <v>20</v>
      </c>
      <c r="AA265" s="9">
        <v>6</v>
      </c>
      <c r="AB265" s="9">
        <v>6</v>
      </c>
      <c r="AC265" s="58">
        <v>16</v>
      </c>
      <c r="AD265" s="58">
        <v>10</v>
      </c>
      <c r="AE265" s="9">
        <v>3</v>
      </c>
      <c r="AF265" s="58">
        <v>64</v>
      </c>
    </row>
    <row r="266" spans="1:32">
      <c r="A266" s="4"/>
      <c r="B266" s="4"/>
      <c r="C266" s="16" t="s">
        <v>73</v>
      </c>
      <c r="D266" s="4" t="s">
        <v>283</v>
      </c>
      <c r="E266" s="10"/>
      <c r="F266" s="9"/>
      <c r="G266" s="21"/>
      <c r="H266" s="21"/>
      <c r="I266" s="58"/>
      <c r="J266" s="58"/>
      <c r="K266" s="21"/>
      <c r="L266" s="21"/>
      <c r="M266" s="58"/>
      <c r="N266" s="58"/>
      <c r="O266" s="21"/>
      <c r="P266" s="21"/>
      <c r="Q266" s="58"/>
      <c r="R266" s="58"/>
      <c r="S266" s="21"/>
      <c r="T266" s="21"/>
      <c r="U266" s="58"/>
      <c r="V266" s="58"/>
      <c r="W266" s="21"/>
      <c r="X266" s="21"/>
      <c r="Y266" s="58"/>
      <c r="Z266" s="58"/>
      <c r="AA266" s="21"/>
      <c r="AB266" s="21"/>
      <c r="AC266" s="58"/>
      <c r="AD266" s="58"/>
      <c r="AE266" s="21"/>
      <c r="AF266" s="58"/>
    </row>
    <row r="267" spans="1:32" hidden="1">
      <c r="A267" s="4"/>
      <c r="B267" s="4"/>
      <c r="C267" s="4"/>
      <c r="D267" s="10" t="s">
        <v>5</v>
      </c>
      <c r="E267" s="129" t="s">
        <v>306</v>
      </c>
      <c r="F267" s="11"/>
      <c r="G267" s="21"/>
      <c r="H267" s="21"/>
      <c r="I267" s="58"/>
      <c r="J267" s="58"/>
      <c r="K267" s="21"/>
      <c r="L267" s="21"/>
      <c r="M267" s="58"/>
      <c r="N267" s="58"/>
      <c r="O267" s="21"/>
      <c r="P267" s="21"/>
      <c r="Q267" s="58"/>
      <c r="R267" s="58"/>
      <c r="S267" s="21"/>
      <c r="T267" s="21"/>
      <c r="U267" s="58"/>
      <c r="V267" s="58"/>
      <c r="W267" s="21"/>
      <c r="X267" s="21"/>
      <c r="Y267" s="58"/>
      <c r="Z267" s="58"/>
      <c r="AA267" s="21"/>
      <c r="AB267" s="21"/>
      <c r="AC267" s="58"/>
      <c r="AD267" s="58"/>
      <c r="AE267" s="21"/>
      <c r="AF267" s="58"/>
    </row>
    <row r="268" spans="1:32" hidden="1">
      <c r="A268" s="4"/>
      <c r="B268" s="4"/>
      <c r="C268" s="4"/>
      <c r="D268" s="5"/>
      <c r="E268" s="10" t="s">
        <v>6</v>
      </c>
      <c r="F268" s="11" t="s">
        <v>284</v>
      </c>
      <c r="G268" s="21"/>
      <c r="H268" s="21"/>
      <c r="I268" s="58"/>
      <c r="J268" s="58"/>
      <c r="K268" s="21"/>
      <c r="L268" s="21"/>
      <c r="M268" s="58"/>
      <c r="N268" s="58"/>
      <c r="O268" s="21"/>
      <c r="P268" s="21"/>
      <c r="Q268" s="58"/>
      <c r="R268" s="58"/>
      <c r="S268" s="21"/>
      <c r="T268" s="21"/>
      <c r="U268" s="58"/>
      <c r="V268" s="58"/>
      <c r="W268" s="21"/>
      <c r="X268" s="21"/>
      <c r="Y268" s="58"/>
      <c r="Z268" s="58"/>
      <c r="AA268" s="21"/>
      <c r="AB268" s="21"/>
      <c r="AC268" s="58"/>
      <c r="AD268" s="58"/>
      <c r="AE268" s="21"/>
      <c r="AF268" s="58"/>
    </row>
    <row r="269" spans="1:32" hidden="1">
      <c r="A269" s="4"/>
      <c r="B269" s="4"/>
      <c r="C269" s="4"/>
      <c r="D269" s="5"/>
      <c r="E269" s="10"/>
      <c r="F269" s="11" t="s">
        <v>354</v>
      </c>
      <c r="G269" s="21"/>
      <c r="H269" s="21"/>
      <c r="I269" s="58"/>
      <c r="J269" s="58"/>
      <c r="K269" s="21"/>
      <c r="L269" s="21"/>
      <c r="M269" s="58"/>
      <c r="N269" s="58"/>
      <c r="O269" s="21"/>
      <c r="P269" s="21"/>
      <c r="Q269" s="58"/>
      <c r="R269" s="58"/>
      <c r="S269" s="21"/>
      <c r="T269" s="21"/>
      <c r="U269" s="58"/>
      <c r="V269" s="58"/>
      <c r="W269" s="21"/>
      <c r="X269" s="21"/>
      <c r="Y269" s="58"/>
      <c r="Z269" s="58"/>
      <c r="AA269" s="21"/>
      <c r="AB269" s="21"/>
      <c r="AC269" s="58"/>
      <c r="AD269" s="58"/>
      <c r="AE269" s="21"/>
      <c r="AF269" s="58"/>
    </row>
    <row r="270" spans="1:32">
      <c r="A270" s="4"/>
      <c r="B270" s="4"/>
      <c r="C270" s="4"/>
      <c r="D270" s="10" t="s">
        <v>5</v>
      </c>
      <c r="E270" s="176" t="s">
        <v>403</v>
      </c>
      <c r="F270" s="11"/>
      <c r="G270" s="21"/>
      <c r="H270" s="21"/>
      <c r="I270" s="58"/>
      <c r="J270" s="58"/>
      <c r="K270" s="21"/>
      <c r="L270" s="21"/>
      <c r="M270" s="58"/>
      <c r="N270" s="58"/>
      <c r="O270" s="21"/>
      <c r="P270" s="21"/>
      <c r="Q270" s="58"/>
      <c r="R270" s="58"/>
      <c r="S270" s="21"/>
      <c r="T270" s="21"/>
      <c r="U270" s="58"/>
      <c r="V270" s="58"/>
      <c r="W270" s="21"/>
      <c r="X270" s="21"/>
      <c r="Y270" s="58"/>
      <c r="Z270" s="58"/>
      <c r="AA270" s="21"/>
      <c r="AB270" s="21"/>
      <c r="AC270" s="58"/>
      <c r="AD270" s="58"/>
      <c r="AE270" s="21"/>
      <c r="AF270" s="58"/>
    </row>
    <row r="271" spans="1:32">
      <c r="A271" s="4"/>
      <c r="B271" s="4"/>
      <c r="C271" s="4"/>
      <c r="D271" s="5"/>
      <c r="E271" s="10" t="s">
        <v>6</v>
      </c>
      <c r="F271" s="11" t="s">
        <v>412</v>
      </c>
      <c r="G271" s="21">
        <v>2</v>
      </c>
      <c r="H271" s="21">
        <v>7</v>
      </c>
      <c r="I271" s="58"/>
      <c r="J271" s="58">
        <v>3</v>
      </c>
      <c r="K271" s="21">
        <v>4</v>
      </c>
      <c r="L271" s="21">
        <v>1</v>
      </c>
      <c r="M271" s="58">
        <v>3</v>
      </c>
      <c r="N271" s="58">
        <v>1</v>
      </c>
      <c r="O271" s="21"/>
      <c r="P271" s="21">
        <v>1</v>
      </c>
      <c r="Q271" s="58">
        <v>3</v>
      </c>
      <c r="R271" s="58">
        <v>4</v>
      </c>
      <c r="S271" s="21">
        <v>3</v>
      </c>
      <c r="T271" s="21"/>
      <c r="U271" s="58">
        <v>16</v>
      </c>
      <c r="V271" s="58">
        <v>5</v>
      </c>
      <c r="W271" s="21">
        <v>2</v>
      </c>
      <c r="X271" s="21">
        <v>3</v>
      </c>
      <c r="Y271" s="58">
        <v>1</v>
      </c>
      <c r="Z271" s="58">
        <v>2</v>
      </c>
      <c r="AA271" s="21">
        <v>6</v>
      </c>
      <c r="AB271" s="21"/>
      <c r="AC271" s="58">
        <v>8</v>
      </c>
      <c r="AD271" s="58">
        <v>10</v>
      </c>
      <c r="AE271" s="21">
        <v>1</v>
      </c>
      <c r="AF271" s="58">
        <v>5</v>
      </c>
    </row>
    <row r="272" spans="1:32" hidden="1">
      <c r="A272" s="4"/>
      <c r="B272" s="4"/>
      <c r="C272" s="4"/>
      <c r="D272" s="5"/>
      <c r="E272" s="10"/>
      <c r="F272" s="11" t="s">
        <v>404</v>
      </c>
      <c r="G272" s="21"/>
      <c r="H272" s="21"/>
      <c r="I272" s="58"/>
      <c r="J272" s="58"/>
      <c r="K272" s="21"/>
      <c r="L272" s="21"/>
      <c r="M272" s="58"/>
      <c r="N272" s="58"/>
      <c r="O272" s="21"/>
      <c r="P272" s="21"/>
      <c r="Q272" s="58"/>
      <c r="R272" s="58"/>
      <c r="S272" s="21"/>
      <c r="T272" s="21"/>
      <c r="U272" s="58"/>
      <c r="V272" s="58"/>
      <c r="W272" s="21"/>
      <c r="X272" s="21"/>
      <c r="Y272" s="58"/>
      <c r="Z272" s="58"/>
      <c r="AA272" s="21"/>
      <c r="AB272" s="21"/>
      <c r="AC272" s="58"/>
      <c r="AD272" s="58"/>
      <c r="AE272" s="21"/>
      <c r="AF272" s="58"/>
    </row>
    <row r="273" spans="1:32" hidden="1">
      <c r="A273" s="4"/>
      <c r="B273" s="4"/>
      <c r="C273" s="16" t="s">
        <v>73</v>
      </c>
      <c r="D273" s="4" t="s">
        <v>405</v>
      </c>
      <c r="E273" s="10"/>
      <c r="F273" s="9"/>
      <c r="G273" s="21"/>
      <c r="H273" s="21"/>
      <c r="I273" s="58"/>
      <c r="J273" s="58"/>
      <c r="K273" s="21"/>
      <c r="L273" s="21"/>
      <c r="M273" s="58"/>
      <c r="N273" s="58"/>
      <c r="O273" s="21"/>
      <c r="P273" s="21"/>
      <c r="Q273" s="58"/>
      <c r="R273" s="58"/>
      <c r="S273" s="21"/>
      <c r="T273" s="21"/>
      <c r="U273" s="58"/>
      <c r="V273" s="58"/>
      <c r="W273" s="21"/>
      <c r="X273" s="21"/>
      <c r="Y273" s="58"/>
      <c r="Z273" s="58"/>
      <c r="AA273" s="21"/>
      <c r="AB273" s="21"/>
      <c r="AC273" s="58"/>
      <c r="AD273" s="58"/>
      <c r="AE273" s="21"/>
      <c r="AF273" s="58"/>
    </row>
    <row r="274" spans="1:32" hidden="1">
      <c r="A274" s="4"/>
      <c r="B274" s="4"/>
      <c r="C274" s="4"/>
      <c r="D274" s="10" t="s">
        <v>5</v>
      </c>
      <c r="E274" s="177" t="s">
        <v>406</v>
      </c>
      <c r="F274" s="11"/>
      <c r="G274" s="21"/>
      <c r="H274" s="21"/>
      <c r="I274" s="58"/>
      <c r="J274" s="58"/>
      <c r="K274" s="21"/>
      <c r="L274" s="21"/>
      <c r="M274" s="58"/>
      <c r="N274" s="58"/>
      <c r="O274" s="21"/>
      <c r="P274" s="21"/>
      <c r="Q274" s="58"/>
      <c r="R274" s="58"/>
      <c r="S274" s="21"/>
      <c r="T274" s="21"/>
      <c r="U274" s="58"/>
      <c r="V274" s="58"/>
      <c r="W274" s="21"/>
      <c r="X274" s="21"/>
      <c r="Y274" s="58"/>
      <c r="Z274" s="58"/>
      <c r="AA274" s="21"/>
      <c r="AB274" s="21"/>
      <c r="AC274" s="58"/>
      <c r="AD274" s="58"/>
      <c r="AE274" s="21"/>
      <c r="AF274" s="58"/>
    </row>
    <row r="275" spans="1:32" hidden="1">
      <c r="A275" s="4"/>
      <c r="B275" s="4"/>
      <c r="C275" s="4"/>
      <c r="D275" s="5"/>
      <c r="E275" s="10" t="s">
        <v>6</v>
      </c>
      <c r="F275" s="11" t="s">
        <v>407</v>
      </c>
      <c r="G275" s="21"/>
      <c r="H275" s="21"/>
      <c r="I275" s="58"/>
      <c r="J275" s="58"/>
      <c r="K275" s="21"/>
      <c r="L275" s="21"/>
      <c r="M275" s="58"/>
      <c r="N275" s="58"/>
      <c r="O275" s="21"/>
      <c r="P275" s="21"/>
      <c r="Q275" s="58"/>
      <c r="R275" s="58"/>
      <c r="S275" s="21"/>
      <c r="T275" s="21"/>
      <c r="U275" s="58"/>
      <c r="V275" s="58"/>
      <c r="W275" s="21"/>
      <c r="X275" s="21"/>
      <c r="Y275" s="58"/>
      <c r="Z275" s="58"/>
      <c r="AA275" s="21"/>
      <c r="AB275" s="21"/>
      <c r="AC275" s="58"/>
      <c r="AD275" s="58"/>
      <c r="AE275" s="21"/>
      <c r="AF275" s="58"/>
    </row>
    <row r="276" spans="1:32" hidden="1">
      <c r="A276" s="4"/>
      <c r="B276" s="4"/>
      <c r="C276" s="4"/>
      <c r="D276" s="5"/>
      <c r="E276" s="10"/>
      <c r="F276" s="11"/>
      <c r="G276" s="21"/>
      <c r="H276" s="21"/>
      <c r="I276" s="58"/>
      <c r="J276" s="58"/>
      <c r="K276" s="21"/>
      <c r="L276" s="21"/>
      <c r="M276" s="58"/>
      <c r="N276" s="58"/>
      <c r="O276" s="21"/>
      <c r="P276" s="21"/>
      <c r="Q276" s="58"/>
      <c r="R276" s="58"/>
      <c r="S276" s="21"/>
      <c r="T276" s="21"/>
      <c r="U276" s="58"/>
      <c r="V276" s="58"/>
      <c r="W276" s="21"/>
      <c r="X276" s="21"/>
      <c r="Y276" s="58"/>
      <c r="Z276" s="58"/>
      <c r="AA276" s="21"/>
      <c r="AB276" s="21"/>
      <c r="AC276" s="58"/>
      <c r="AD276" s="58"/>
      <c r="AE276" s="21"/>
      <c r="AF276" s="58"/>
    </row>
    <row r="277" spans="1:32" hidden="1">
      <c r="A277" s="16" t="s">
        <v>4</v>
      </c>
      <c r="B277" s="4" t="s">
        <v>316</v>
      </c>
      <c r="C277" s="16"/>
      <c r="D277" s="4"/>
      <c r="E277" s="5"/>
      <c r="F277" s="9"/>
      <c r="G277" s="21"/>
      <c r="H277" s="21"/>
      <c r="I277" s="58"/>
      <c r="J277" s="58"/>
      <c r="K277" s="21"/>
      <c r="L277" s="21"/>
      <c r="M277" s="58"/>
      <c r="N277" s="58"/>
      <c r="O277" s="21"/>
      <c r="P277" s="21"/>
      <c r="Q277" s="58"/>
      <c r="R277" s="58"/>
      <c r="S277" s="21"/>
      <c r="T277" s="21"/>
      <c r="U277" s="58"/>
      <c r="V277" s="58"/>
      <c r="W277" s="21"/>
      <c r="X277" s="21"/>
      <c r="Y277" s="58"/>
      <c r="Z277" s="58"/>
      <c r="AA277" s="21"/>
      <c r="AB277" s="21"/>
      <c r="AC277" s="58"/>
      <c r="AD277" s="58"/>
      <c r="AE277" s="21"/>
      <c r="AF277" s="58"/>
    </row>
    <row r="278" spans="1:32" hidden="1">
      <c r="A278" s="16"/>
      <c r="B278" s="16" t="s">
        <v>72</v>
      </c>
      <c r="C278" s="28" t="s">
        <v>317</v>
      </c>
      <c r="D278" s="4"/>
      <c r="E278" s="5"/>
      <c r="F278" s="9"/>
      <c r="G278" s="21"/>
      <c r="H278" s="21"/>
      <c r="I278" s="58"/>
      <c r="J278" s="58"/>
      <c r="K278" s="21"/>
      <c r="L278" s="21"/>
      <c r="M278" s="58"/>
      <c r="N278" s="58"/>
      <c r="O278" s="21"/>
      <c r="P278" s="21"/>
      <c r="Q278" s="58"/>
      <c r="R278" s="58"/>
      <c r="S278" s="21"/>
      <c r="T278" s="21"/>
      <c r="U278" s="58"/>
      <c r="V278" s="58"/>
      <c r="W278" s="21"/>
      <c r="X278" s="21"/>
      <c r="Y278" s="58"/>
      <c r="Z278" s="58"/>
      <c r="AA278" s="21"/>
      <c r="AB278" s="21"/>
      <c r="AC278" s="58"/>
      <c r="AD278" s="58"/>
      <c r="AE278" s="21"/>
      <c r="AF278" s="58"/>
    </row>
    <row r="279" spans="1:32" hidden="1">
      <c r="A279" s="16"/>
      <c r="B279" s="16"/>
      <c r="C279" s="16" t="s">
        <v>73</v>
      </c>
      <c r="D279" s="4" t="s">
        <v>318</v>
      </c>
      <c r="E279" s="5"/>
      <c r="F279" s="9"/>
      <c r="G279" s="21"/>
      <c r="H279" s="21"/>
      <c r="I279" s="58"/>
      <c r="J279" s="58"/>
      <c r="K279" s="21"/>
      <c r="L279" s="21"/>
      <c r="M279" s="58"/>
      <c r="N279" s="58"/>
      <c r="O279" s="21"/>
      <c r="P279" s="21"/>
      <c r="Q279" s="58"/>
      <c r="R279" s="58"/>
      <c r="S279" s="21"/>
      <c r="T279" s="21"/>
      <c r="U279" s="58"/>
      <c r="V279" s="58"/>
      <c r="W279" s="21"/>
      <c r="X279" s="21"/>
      <c r="Y279" s="58"/>
      <c r="Z279" s="58"/>
      <c r="AA279" s="21"/>
      <c r="AB279" s="21"/>
      <c r="AC279" s="58"/>
      <c r="AD279" s="58"/>
      <c r="AE279" s="21"/>
      <c r="AF279" s="58"/>
    </row>
    <row r="280" spans="1:32" hidden="1">
      <c r="A280" s="16"/>
      <c r="B280" s="16"/>
      <c r="C280" s="16"/>
      <c r="D280" s="10" t="s">
        <v>5</v>
      </c>
      <c r="E280" s="144" t="s">
        <v>319</v>
      </c>
      <c r="F280" s="9"/>
      <c r="G280" s="21"/>
      <c r="H280" s="21"/>
      <c r="I280" s="58"/>
      <c r="J280" s="58"/>
      <c r="K280" s="21"/>
      <c r="L280" s="21"/>
      <c r="M280" s="58"/>
      <c r="N280" s="58"/>
      <c r="O280" s="21"/>
      <c r="P280" s="21"/>
      <c r="Q280" s="58"/>
      <c r="R280" s="58"/>
      <c r="S280" s="21"/>
      <c r="T280" s="21"/>
      <c r="U280" s="58"/>
      <c r="V280" s="58"/>
      <c r="W280" s="21"/>
      <c r="X280" s="21"/>
      <c r="Y280" s="58"/>
      <c r="Z280" s="58"/>
      <c r="AA280" s="21"/>
      <c r="AB280" s="21"/>
      <c r="AC280" s="58"/>
      <c r="AD280" s="58"/>
      <c r="AE280" s="21"/>
      <c r="AF280" s="58"/>
    </row>
    <row r="281" spans="1:32" hidden="1">
      <c r="A281" s="4"/>
      <c r="B281" s="4"/>
      <c r="C281" s="4"/>
      <c r="D281" s="5"/>
      <c r="E281" s="10" t="s">
        <v>6</v>
      </c>
      <c r="F281" s="11" t="s">
        <v>320</v>
      </c>
      <c r="G281" s="21"/>
      <c r="H281" s="21"/>
      <c r="I281" s="58"/>
      <c r="J281" s="58"/>
      <c r="K281" s="21"/>
      <c r="L281" s="21"/>
      <c r="M281" s="58"/>
      <c r="N281" s="58"/>
      <c r="O281" s="21"/>
      <c r="P281" s="21"/>
      <c r="Q281" s="58"/>
      <c r="R281" s="58"/>
      <c r="S281" s="21"/>
      <c r="T281" s="21"/>
      <c r="U281" s="58"/>
      <c r="V281" s="58"/>
      <c r="W281" s="21"/>
      <c r="X281" s="21"/>
      <c r="Y281" s="58"/>
      <c r="Z281" s="58"/>
      <c r="AA281" s="21"/>
      <c r="AB281" s="21"/>
      <c r="AC281" s="58"/>
      <c r="AD281" s="58"/>
      <c r="AE281" s="21"/>
      <c r="AF281" s="58"/>
    </row>
    <row r="282" spans="1:32" hidden="1">
      <c r="A282" s="16"/>
      <c r="B282" s="146"/>
      <c r="C282" s="146"/>
      <c r="D282" s="147" t="s">
        <v>5</v>
      </c>
      <c r="E282" s="151" t="s">
        <v>327</v>
      </c>
      <c r="F282" s="148"/>
      <c r="G282" s="21"/>
      <c r="H282" s="21"/>
      <c r="I282" s="58"/>
      <c r="J282" s="58"/>
      <c r="K282" s="21"/>
      <c r="L282" s="21"/>
      <c r="M282" s="58"/>
      <c r="N282" s="58"/>
      <c r="O282" s="21"/>
      <c r="P282" s="21"/>
      <c r="Q282" s="58"/>
      <c r="R282" s="58"/>
      <c r="S282" s="21"/>
      <c r="T282" s="21"/>
      <c r="U282" s="58"/>
      <c r="V282" s="58"/>
      <c r="W282" s="21"/>
      <c r="X282" s="21"/>
      <c r="Y282" s="58"/>
      <c r="Z282" s="58"/>
      <c r="AA282" s="21"/>
      <c r="AB282" s="21"/>
      <c r="AC282" s="58"/>
      <c r="AD282" s="58"/>
      <c r="AE282" s="21"/>
      <c r="AF282" s="58"/>
    </row>
    <row r="283" spans="1:32" hidden="1">
      <c r="A283" s="4"/>
      <c r="B283" s="145"/>
      <c r="C283" s="145"/>
      <c r="D283" s="151"/>
      <c r="E283" s="147" t="s">
        <v>6</v>
      </c>
      <c r="F283" s="150" t="s">
        <v>328</v>
      </c>
      <c r="G283" s="58"/>
      <c r="H283" s="9"/>
      <c r="I283" s="58"/>
      <c r="J283" s="58"/>
      <c r="K283" s="9"/>
      <c r="L283" s="9"/>
      <c r="M283" s="58"/>
      <c r="N283" s="58"/>
      <c r="O283" s="9"/>
      <c r="P283" s="9"/>
      <c r="Q283" s="58"/>
      <c r="R283" s="58"/>
      <c r="S283" s="9"/>
      <c r="T283" s="9"/>
      <c r="U283" s="58"/>
      <c r="V283" s="58"/>
      <c r="W283" s="9"/>
      <c r="X283" s="9"/>
      <c r="Y283" s="58"/>
      <c r="Z283" s="58"/>
      <c r="AA283" s="9"/>
      <c r="AB283" s="9"/>
      <c r="AC283" s="58"/>
      <c r="AD283" s="58"/>
      <c r="AE283" s="9"/>
      <c r="AF283" s="58"/>
    </row>
    <row r="284" spans="1:32" hidden="1">
      <c r="A284" s="4"/>
      <c r="B284" s="145"/>
      <c r="C284" s="145"/>
      <c r="D284" s="151"/>
      <c r="E284" s="147"/>
      <c r="F284" s="150" t="s">
        <v>355</v>
      </c>
      <c r="G284" s="58"/>
      <c r="H284" s="5"/>
      <c r="I284" s="58"/>
      <c r="J284" s="58"/>
      <c r="K284" s="58"/>
      <c r="L284" s="5"/>
      <c r="M284" s="58"/>
      <c r="N284" s="58"/>
      <c r="O284" s="58"/>
      <c r="P284" s="5"/>
      <c r="Q284" s="58"/>
      <c r="R284" s="58"/>
      <c r="S284" s="58"/>
      <c r="T284" s="5"/>
      <c r="U284" s="58"/>
      <c r="V284" s="58"/>
      <c r="W284" s="58"/>
      <c r="X284" s="5"/>
      <c r="Y284" s="58"/>
      <c r="Z284" s="58"/>
      <c r="AA284" s="58"/>
      <c r="AB284" s="5"/>
      <c r="AC284" s="58"/>
      <c r="AD284" s="58"/>
      <c r="AE284" s="58"/>
      <c r="AF284" s="58"/>
    </row>
    <row r="285" spans="1:32" hidden="1">
      <c r="A285" s="16"/>
      <c r="B285" s="146"/>
      <c r="C285" s="146"/>
      <c r="D285" s="147" t="s">
        <v>5</v>
      </c>
      <c r="E285" s="151" t="s">
        <v>334</v>
      </c>
      <c r="F285" s="148"/>
      <c r="G285" s="21"/>
      <c r="H285" s="21"/>
      <c r="I285" s="58"/>
      <c r="J285" s="58"/>
      <c r="K285" s="21"/>
      <c r="L285" s="21"/>
      <c r="M285" s="58"/>
      <c r="N285" s="58"/>
      <c r="O285" s="21"/>
      <c r="P285" s="21"/>
      <c r="Q285" s="58"/>
      <c r="R285" s="58"/>
      <c r="S285" s="21"/>
      <c r="T285" s="21"/>
      <c r="U285" s="58"/>
      <c r="V285" s="58"/>
      <c r="W285" s="21"/>
      <c r="X285" s="21"/>
      <c r="Y285" s="58"/>
      <c r="Z285" s="58"/>
      <c r="AA285" s="21"/>
      <c r="AB285" s="21"/>
      <c r="AC285" s="58"/>
      <c r="AD285" s="58"/>
      <c r="AE285" s="21"/>
      <c r="AF285" s="58"/>
    </row>
    <row r="286" spans="1:32" hidden="1">
      <c r="A286" s="4"/>
      <c r="B286" s="145"/>
      <c r="C286" s="145"/>
      <c r="D286" s="151"/>
      <c r="E286" s="147" t="s">
        <v>6</v>
      </c>
      <c r="F286" s="150" t="s">
        <v>335</v>
      </c>
      <c r="G286" s="58"/>
      <c r="H286" s="9"/>
      <c r="I286" s="58"/>
      <c r="J286" s="58"/>
      <c r="K286" s="9"/>
      <c r="L286" s="9"/>
      <c r="M286" s="58"/>
      <c r="N286" s="58"/>
      <c r="O286" s="9"/>
      <c r="P286" s="9"/>
      <c r="Q286" s="58"/>
      <c r="R286" s="58"/>
      <c r="S286" s="9"/>
      <c r="T286" s="9"/>
      <c r="U286" s="58"/>
      <c r="V286" s="58"/>
      <c r="W286" s="9"/>
      <c r="X286" s="9"/>
      <c r="Y286" s="58"/>
      <c r="Z286" s="58"/>
      <c r="AA286" s="9"/>
      <c r="AB286" s="9"/>
      <c r="AC286" s="58"/>
      <c r="AD286" s="58"/>
      <c r="AE286" s="9"/>
      <c r="AF286" s="58"/>
    </row>
    <row r="287" spans="1:32" hidden="1">
      <c r="A287" s="16"/>
      <c r="B287" s="146"/>
      <c r="C287" s="146"/>
      <c r="D287" s="147" t="s">
        <v>5</v>
      </c>
      <c r="E287" s="151" t="s">
        <v>398</v>
      </c>
      <c r="F287" s="148"/>
      <c r="G287" s="21"/>
      <c r="H287" s="21"/>
      <c r="I287" s="58"/>
      <c r="J287" s="58"/>
      <c r="K287" s="21"/>
      <c r="L287" s="21"/>
      <c r="M287" s="58"/>
      <c r="N287" s="58"/>
      <c r="O287" s="21"/>
      <c r="P287" s="21"/>
      <c r="Q287" s="58"/>
      <c r="R287" s="58"/>
      <c r="S287" s="21"/>
      <c r="T287" s="21"/>
      <c r="U287" s="58"/>
      <c r="V287" s="58"/>
      <c r="W287" s="21"/>
      <c r="X287" s="21"/>
      <c r="Y287" s="58"/>
      <c r="Z287" s="58"/>
      <c r="AA287" s="21"/>
      <c r="AB287" s="21"/>
      <c r="AC287" s="58"/>
      <c r="AD287" s="58"/>
      <c r="AE287" s="21"/>
      <c r="AF287" s="58"/>
    </row>
    <row r="288" spans="1:32" hidden="1">
      <c r="A288" s="4"/>
      <c r="B288" s="145"/>
      <c r="C288" s="145"/>
      <c r="D288" s="151"/>
      <c r="E288" s="147" t="s">
        <v>6</v>
      </c>
      <c r="F288" s="150" t="s">
        <v>399</v>
      </c>
      <c r="G288" s="58"/>
      <c r="H288" s="9"/>
      <c r="I288" s="58"/>
      <c r="J288" s="58"/>
      <c r="K288" s="9"/>
      <c r="L288" s="9"/>
      <c r="M288" s="58"/>
      <c r="N288" s="58"/>
      <c r="O288" s="9"/>
      <c r="P288" s="9"/>
      <c r="Q288" s="58"/>
      <c r="R288" s="58"/>
      <c r="S288" s="9"/>
      <c r="T288" s="9"/>
      <c r="U288" s="58"/>
      <c r="V288" s="58"/>
      <c r="W288" s="9"/>
      <c r="X288" s="9"/>
      <c r="Y288" s="58"/>
      <c r="Z288" s="58"/>
      <c r="AA288" s="9"/>
      <c r="AB288" s="9"/>
      <c r="AC288" s="58"/>
      <c r="AD288" s="58"/>
      <c r="AE288" s="9"/>
      <c r="AF288" s="58"/>
    </row>
    <row r="289" spans="1:32" hidden="1">
      <c r="A289" s="4"/>
      <c r="B289" s="145"/>
      <c r="C289" s="146" t="s">
        <v>73</v>
      </c>
      <c r="D289" s="145" t="s">
        <v>321</v>
      </c>
      <c r="E289" s="147"/>
      <c r="F289" s="148"/>
      <c r="G289" s="21"/>
      <c r="H289" s="21"/>
      <c r="I289" s="58"/>
      <c r="J289" s="58"/>
      <c r="K289" s="21"/>
      <c r="L289" s="21"/>
      <c r="M289" s="58"/>
      <c r="N289" s="58"/>
      <c r="O289" s="21"/>
      <c r="P289" s="21"/>
      <c r="Q289" s="58"/>
      <c r="R289" s="58"/>
      <c r="S289" s="21"/>
      <c r="T289" s="21"/>
      <c r="U289" s="58"/>
      <c r="V289" s="58"/>
      <c r="W289" s="21"/>
      <c r="X289" s="21"/>
      <c r="Y289" s="58"/>
      <c r="Z289" s="58"/>
      <c r="AA289" s="21"/>
      <c r="AB289" s="21"/>
      <c r="AC289" s="58"/>
      <c r="AD289" s="58"/>
      <c r="AE289" s="21"/>
      <c r="AF289" s="58"/>
    </row>
    <row r="290" spans="1:32" hidden="1">
      <c r="A290" s="4"/>
      <c r="B290" s="145"/>
      <c r="C290" s="145"/>
      <c r="D290" s="147" t="s">
        <v>5</v>
      </c>
      <c r="E290" s="149" t="s">
        <v>322</v>
      </c>
      <c r="F290" s="150"/>
      <c r="G290" s="21"/>
      <c r="H290" s="21"/>
      <c r="I290" s="58"/>
      <c r="J290" s="58"/>
      <c r="K290" s="21"/>
      <c r="L290" s="21"/>
      <c r="M290" s="58"/>
      <c r="N290" s="58"/>
      <c r="O290" s="21"/>
      <c r="P290" s="21"/>
      <c r="Q290" s="58"/>
      <c r="R290" s="58"/>
      <c r="S290" s="21"/>
      <c r="T290" s="21"/>
      <c r="U290" s="58"/>
      <c r="V290" s="58"/>
      <c r="W290" s="21"/>
      <c r="X290" s="21"/>
      <c r="Y290" s="58"/>
      <c r="Z290" s="58"/>
      <c r="AA290" s="21"/>
      <c r="AB290" s="21"/>
      <c r="AC290" s="58"/>
      <c r="AD290" s="58"/>
      <c r="AE290" s="21"/>
      <c r="AF290" s="58"/>
    </row>
    <row r="291" spans="1:32" hidden="1">
      <c r="A291" s="4"/>
      <c r="B291" s="145"/>
      <c r="C291" s="145"/>
      <c r="D291" s="151"/>
      <c r="E291" s="147" t="s">
        <v>6</v>
      </c>
      <c r="F291" s="150" t="s">
        <v>323</v>
      </c>
      <c r="G291" s="21"/>
      <c r="H291" s="21"/>
      <c r="I291" s="58"/>
      <c r="J291" s="58"/>
      <c r="K291" s="21"/>
      <c r="L291" s="21"/>
      <c r="M291" s="58"/>
      <c r="N291" s="58"/>
      <c r="O291" s="21"/>
      <c r="P291" s="21"/>
      <c r="Q291" s="58"/>
      <c r="R291" s="58"/>
      <c r="S291" s="21"/>
      <c r="T291" s="21"/>
      <c r="U291" s="58"/>
      <c r="V291" s="58"/>
      <c r="W291" s="21"/>
      <c r="X291" s="21"/>
      <c r="Y291" s="58"/>
      <c r="Z291" s="58"/>
      <c r="AA291" s="21"/>
      <c r="AB291" s="21"/>
      <c r="AC291" s="58"/>
      <c r="AD291" s="58"/>
      <c r="AE291" s="21"/>
      <c r="AF291" s="58"/>
    </row>
    <row r="292" spans="1:32" hidden="1">
      <c r="A292" s="4"/>
      <c r="B292" s="145"/>
      <c r="C292" s="145"/>
      <c r="D292" s="151"/>
      <c r="E292" s="147"/>
      <c r="F292" s="150"/>
      <c r="G292" s="21"/>
      <c r="H292" s="21"/>
      <c r="I292" s="58"/>
      <c r="J292" s="58"/>
      <c r="K292" s="21"/>
      <c r="L292" s="21"/>
      <c r="M292" s="58"/>
      <c r="N292" s="58"/>
      <c r="O292" s="21"/>
      <c r="P292" s="21"/>
      <c r="Q292" s="58"/>
      <c r="R292" s="58"/>
      <c r="S292" s="21"/>
      <c r="T292" s="21"/>
      <c r="U292" s="58"/>
      <c r="V292" s="58"/>
      <c r="W292" s="21"/>
      <c r="X292" s="21"/>
      <c r="Y292" s="58"/>
      <c r="Z292" s="58"/>
      <c r="AA292" s="21"/>
      <c r="AB292" s="21"/>
      <c r="AC292" s="58"/>
      <c r="AD292" s="58"/>
      <c r="AE292" s="21"/>
      <c r="AF292" s="58"/>
    </row>
    <row r="293" spans="1:32" hidden="1">
      <c r="A293" s="16" t="s">
        <v>4</v>
      </c>
      <c r="B293" s="4" t="s">
        <v>329</v>
      </c>
      <c r="C293" s="16"/>
      <c r="D293" s="4"/>
      <c r="E293" s="5"/>
      <c r="F293" s="9"/>
      <c r="G293" s="21"/>
      <c r="H293" s="21"/>
      <c r="I293" s="58"/>
      <c r="J293" s="58"/>
      <c r="K293" s="21"/>
      <c r="L293" s="21"/>
      <c r="M293" s="58"/>
      <c r="N293" s="58"/>
      <c r="O293" s="21"/>
      <c r="P293" s="21"/>
      <c r="Q293" s="58"/>
      <c r="R293" s="58"/>
      <c r="S293" s="21"/>
      <c r="T293" s="21"/>
      <c r="U293" s="58"/>
      <c r="V293" s="58"/>
      <c r="W293" s="21"/>
      <c r="X293" s="21"/>
      <c r="Y293" s="58"/>
      <c r="Z293" s="58"/>
      <c r="AA293" s="21"/>
      <c r="AB293" s="21"/>
      <c r="AC293" s="58"/>
      <c r="AD293" s="58"/>
      <c r="AE293" s="21"/>
      <c r="AF293" s="58"/>
    </row>
    <row r="294" spans="1:32" hidden="1">
      <c r="A294" s="16"/>
      <c r="B294" s="16" t="s">
        <v>72</v>
      </c>
      <c r="C294" s="28" t="s">
        <v>330</v>
      </c>
      <c r="D294" s="4"/>
      <c r="E294" s="5"/>
      <c r="F294" s="9"/>
      <c r="G294" s="21"/>
      <c r="H294" s="21"/>
      <c r="I294" s="58"/>
      <c r="J294" s="58"/>
      <c r="K294" s="21"/>
      <c r="L294" s="21"/>
      <c r="M294" s="58"/>
      <c r="N294" s="58"/>
      <c r="O294" s="21"/>
      <c r="P294" s="21"/>
      <c r="Q294" s="58"/>
      <c r="R294" s="58"/>
      <c r="S294" s="21"/>
      <c r="T294" s="21"/>
      <c r="U294" s="58"/>
      <c r="V294" s="58"/>
      <c r="W294" s="21"/>
      <c r="X294" s="21"/>
      <c r="Y294" s="58"/>
      <c r="Z294" s="58"/>
      <c r="AA294" s="21"/>
      <c r="AB294" s="21"/>
      <c r="AC294" s="58"/>
      <c r="AD294" s="58"/>
      <c r="AE294" s="21"/>
      <c r="AF294" s="58"/>
    </row>
    <row r="295" spans="1:32" hidden="1">
      <c r="A295" s="16"/>
      <c r="B295" s="16"/>
      <c r="C295" s="16" t="s">
        <v>73</v>
      </c>
      <c r="D295" s="4" t="s">
        <v>331</v>
      </c>
      <c r="E295" s="5"/>
      <c r="F295" s="9"/>
      <c r="G295" s="21"/>
      <c r="H295" s="21"/>
      <c r="I295" s="58"/>
      <c r="J295" s="58"/>
      <c r="K295" s="21"/>
      <c r="L295" s="21"/>
      <c r="M295" s="58"/>
      <c r="N295" s="58"/>
      <c r="O295" s="21"/>
      <c r="P295" s="21"/>
      <c r="Q295" s="58"/>
      <c r="R295" s="58"/>
      <c r="S295" s="21"/>
      <c r="T295" s="21"/>
      <c r="U295" s="58"/>
      <c r="V295" s="58"/>
      <c r="W295" s="21"/>
      <c r="X295" s="21"/>
      <c r="Y295" s="58"/>
      <c r="Z295" s="58"/>
      <c r="AA295" s="21"/>
      <c r="AB295" s="21"/>
      <c r="AC295" s="58"/>
      <c r="AD295" s="58"/>
      <c r="AE295" s="21"/>
      <c r="AF295" s="58"/>
    </row>
    <row r="296" spans="1:32" hidden="1">
      <c r="A296" s="16"/>
      <c r="B296" s="16"/>
      <c r="C296" s="16"/>
      <c r="D296" s="10" t="s">
        <v>5</v>
      </c>
      <c r="E296" s="144" t="s">
        <v>332</v>
      </c>
      <c r="F296" s="9"/>
      <c r="G296" s="21"/>
      <c r="H296" s="21"/>
      <c r="I296" s="58"/>
      <c r="J296" s="58"/>
      <c r="K296" s="21"/>
      <c r="L296" s="21"/>
      <c r="M296" s="58"/>
      <c r="N296" s="58"/>
      <c r="O296" s="21"/>
      <c r="P296" s="21"/>
      <c r="Q296" s="58"/>
      <c r="R296" s="58"/>
      <c r="S296" s="21"/>
      <c r="T296" s="21"/>
      <c r="U296" s="58"/>
      <c r="V296" s="58"/>
      <c r="W296" s="21"/>
      <c r="X296" s="21"/>
      <c r="Y296" s="58"/>
      <c r="Z296" s="58"/>
      <c r="AA296" s="21"/>
      <c r="AB296" s="21"/>
      <c r="AC296" s="58"/>
      <c r="AD296" s="58"/>
      <c r="AE296" s="21"/>
      <c r="AF296" s="58"/>
    </row>
    <row r="297" spans="1:32" hidden="1">
      <c r="A297" s="4"/>
      <c r="B297" s="4"/>
      <c r="C297" s="4"/>
      <c r="D297" s="5"/>
      <c r="E297" s="10" t="s">
        <v>6</v>
      </c>
      <c r="F297" s="11" t="s">
        <v>333</v>
      </c>
      <c r="G297" s="21"/>
      <c r="H297" s="21"/>
      <c r="I297" s="58"/>
      <c r="J297" s="58"/>
      <c r="K297" s="21"/>
      <c r="L297" s="21"/>
      <c r="M297" s="58"/>
      <c r="N297" s="58"/>
      <c r="O297" s="21"/>
      <c r="P297" s="21"/>
      <c r="Q297" s="58"/>
      <c r="R297" s="58"/>
      <c r="S297" s="21"/>
      <c r="T297" s="21"/>
      <c r="U297" s="58"/>
      <c r="V297" s="58"/>
      <c r="W297" s="21"/>
      <c r="X297" s="21"/>
      <c r="Y297" s="58"/>
      <c r="Z297" s="58"/>
      <c r="AA297" s="21"/>
      <c r="AB297" s="21"/>
      <c r="AC297" s="58"/>
      <c r="AD297" s="58"/>
      <c r="AE297" s="21"/>
      <c r="AF297" s="58"/>
    </row>
    <row r="298" spans="1:32" hidden="1">
      <c r="A298" s="16"/>
      <c r="B298" s="16"/>
      <c r="C298" s="16"/>
      <c r="D298" s="10" t="s">
        <v>5</v>
      </c>
      <c r="E298" s="144" t="s">
        <v>336</v>
      </c>
      <c r="F298" s="9"/>
      <c r="G298" s="21"/>
      <c r="H298" s="21"/>
      <c r="I298" s="58"/>
      <c r="J298" s="58"/>
      <c r="K298" s="21"/>
      <c r="L298" s="21"/>
      <c r="M298" s="58"/>
      <c r="N298" s="58"/>
      <c r="O298" s="21"/>
      <c r="P298" s="21"/>
      <c r="Q298" s="58"/>
      <c r="R298" s="58"/>
      <c r="S298" s="21"/>
      <c r="T298" s="21"/>
      <c r="U298" s="58"/>
      <c r="V298" s="58"/>
      <c r="W298" s="21"/>
      <c r="X298" s="21"/>
      <c r="Y298" s="58"/>
      <c r="Z298" s="58"/>
      <c r="AA298" s="21"/>
      <c r="AB298" s="21"/>
      <c r="AC298" s="58"/>
      <c r="AD298" s="58"/>
      <c r="AE298" s="21"/>
      <c r="AF298" s="58"/>
    </row>
    <row r="299" spans="1:32" hidden="1">
      <c r="A299" s="4"/>
      <c r="B299" s="4"/>
      <c r="C299" s="4"/>
      <c r="D299" s="5"/>
      <c r="E299" s="10" t="s">
        <v>6</v>
      </c>
      <c r="F299" s="11" t="s">
        <v>337</v>
      </c>
      <c r="G299" s="21"/>
      <c r="H299" s="21"/>
      <c r="I299" s="58"/>
      <c r="J299" s="58"/>
      <c r="K299" s="21"/>
      <c r="L299" s="21"/>
      <c r="M299" s="58"/>
      <c r="N299" s="58"/>
      <c r="O299" s="21"/>
      <c r="P299" s="21"/>
      <c r="Q299" s="58"/>
      <c r="R299" s="58"/>
      <c r="S299" s="21"/>
      <c r="T299" s="21"/>
      <c r="U299" s="58"/>
      <c r="V299" s="58"/>
      <c r="W299" s="21"/>
      <c r="X299" s="21"/>
      <c r="Y299" s="58"/>
      <c r="Z299" s="58"/>
      <c r="AA299" s="21"/>
      <c r="AB299" s="21"/>
      <c r="AC299" s="58"/>
      <c r="AD299" s="58"/>
      <c r="AE299" s="21"/>
      <c r="AF299" s="58"/>
    </row>
    <row r="300" spans="1:32" hidden="1">
      <c r="A300" s="4"/>
      <c r="B300" s="4"/>
      <c r="C300" s="4"/>
      <c r="D300" s="5"/>
      <c r="E300" s="10"/>
      <c r="F300" s="76"/>
      <c r="G300" s="21"/>
      <c r="H300" s="21"/>
      <c r="I300" s="58"/>
      <c r="J300" s="58"/>
      <c r="K300" s="21"/>
      <c r="L300" s="21"/>
      <c r="M300" s="58"/>
      <c r="N300" s="58"/>
      <c r="O300" s="21"/>
      <c r="P300" s="21"/>
      <c r="Q300" s="58"/>
      <c r="R300" s="58"/>
      <c r="S300" s="21"/>
      <c r="T300" s="21"/>
      <c r="U300" s="58"/>
      <c r="V300" s="58"/>
      <c r="W300" s="21"/>
      <c r="X300" s="21"/>
      <c r="Y300" s="58"/>
      <c r="Z300" s="58"/>
      <c r="AA300" s="21"/>
      <c r="AB300" s="21"/>
      <c r="AC300" s="58"/>
      <c r="AD300" s="58"/>
      <c r="AE300" s="21"/>
      <c r="AF300" s="58"/>
    </row>
    <row r="301" spans="1:32" hidden="1">
      <c r="A301" s="4"/>
      <c r="B301" s="16" t="s">
        <v>268</v>
      </c>
      <c r="C301" s="4"/>
      <c r="D301" s="101"/>
      <c r="E301" s="102"/>
      <c r="F301" s="101"/>
      <c r="G301" s="21"/>
      <c r="H301" s="21"/>
      <c r="I301" s="58"/>
      <c r="J301" s="58"/>
      <c r="K301" s="21"/>
      <c r="L301" s="21"/>
      <c r="M301" s="58"/>
      <c r="N301" s="58"/>
      <c r="O301" s="21"/>
      <c r="P301" s="21"/>
      <c r="Q301" s="58"/>
      <c r="R301" s="58"/>
      <c r="S301" s="21"/>
      <c r="T301" s="21"/>
      <c r="U301" s="58"/>
      <c r="V301" s="58"/>
      <c r="W301" s="21"/>
      <c r="X301" s="21"/>
      <c r="Y301" s="58"/>
      <c r="Z301" s="58"/>
      <c r="AA301" s="21"/>
      <c r="AB301" s="21"/>
      <c r="AC301" s="58"/>
      <c r="AD301" s="58"/>
      <c r="AE301" s="21"/>
      <c r="AF301" s="58"/>
    </row>
    <row r="302" spans="1:32" ht="16.2" thickBot="1">
      <c r="A302" s="4"/>
      <c r="B302" s="4"/>
      <c r="C302" s="4"/>
      <c r="D302" s="5"/>
      <c r="E302" s="5"/>
      <c r="F302" s="9"/>
      <c r="G302" s="163"/>
      <c r="H302" s="163"/>
      <c r="I302" s="159"/>
      <c r="J302" s="159"/>
      <c r="K302" s="163"/>
      <c r="L302" s="163"/>
      <c r="M302" s="159"/>
      <c r="N302" s="159"/>
      <c r="O302" s="163"/>
      <c r="P302" s="163"/>
      <c r="Q302" s="159"/>
      <c r="R302" s="159"/>
      <c r="S302" s="163"/>
      <c r="T302" s="163"/>
      <c r="U302" s="159"/>
      <c r="V302" s="159"/>
      <c r="W302" s="163"/>
      <c r="X302" s="163"/>
      <c r="Y302" s="159"/>
      <c r="Z302" s="159"/>
      <c r="AA302" s="163"/>
      <c r="AB302" s="163"/>
      <c r="AC302" s="159"/>
      <c r="AD302" s="159"/>
      <c r="AE302" s="163"/>
      <c r="AF302" s="159"/>
    </row>
    <row r="303" spans="1:32" s="2" customFormat="1" ht="16.2" thickBot="1">
      <c r="A303" s="112"/>
      <c r="B303" s="112"/>
      <c r="C303" s="112"/>
      <c r="D303" s="13"/>
      <c r="E303" s="13"/>
      <c r="F303" s="14" t="s">
        <v>7</v>
      </c>
      <c r="G303" s="32">
        <f t="shared" ref="G303:AF303" si="6">COUNT(G14:G302)</f>
        <v>13</v>
      </c>
      <c r="H303" s="32">
        <f t="shared" si="6"/>
        <v>14</v>
      </c>
      <c r="I303" s="32">
        <f t="shared" si="6"/>
        <v>12</v>
      </c>
      <c r="J303" s="32">
        <f t="shared" si="6"/>
        <v>20</v>
      </c>
      <c r="K303" s="32">
        <f t="shared" si="6"/>
        <v>21</v>
      </c>
      <c r="L303" s="32">
        <f t="shared" si="6"/>
        <v>14</v>
      </c>
      <c r="M303" s="32">
        <f t="shared" si="6"/>
        <v>16</v>
      </c>
      <c r="N303" s="32">
        <f t="shared" si="6"/>
        <v>20</v>
      </c>
      <c r="O303" s="32">
        <f t="shared" si="6"/>
        <v>20</v>
      </c>
      <c r="P303" s="32">
        <f t="shared" si="6"/>
        <v>17</v>
      </c>
      <c r="Q303" s="32">
        <f t="shared" si="6"/>
        <v>22</v>
      </c>
      <c r="R303" s="32">
        <f t="shared" si="6"/>
        <v>22</v>
      </c>
      <c r="S303" s="32">
        <f t="shared" si="6"/>
        <v>14</v>
      </c>
      <c r="T303" s="32">
        <f t="shared" si="6"/>
        <v>17</v>
      </c>
      <c r="U303" s="32">
        <f t="shared" si="6"/>
        <v>21</v>
      </c>
      <c r="V303" s="32">
        <f t="shared" si="6"/>
        <v>28</v>
      </c>
      <c r="W303" s="32">
        <f t="shared" si="6"/>
        <v>17</v>
      </c>
      <c r="X303" s="32">
        <f t="shared" si="6"/>
        <v>15</v>
      </c>
      <c r="Y303" s="32">
        <f t="shared" si="6"/>
        <v>13</v>
      </c>
      <c r="Z303" s="32">
        <f t="shared" si="6"/>
        <v>16</v>
      </c>
      <c r="AA303" s="32">
        <f t="shared" si="6"/>
        <v>18</v>
      </c>
      <c r="AB303" s="32">
        <f t="shared" si="6"/>
        <v>15</v>
      </c>
      <c r="AC303" s="32">
        <f t="shared" si="6"/>
        <v>16</v>
      </c>
      <c r="AD303" s="32">
        <f t="shared" si="6"/>
        <v>19</v>
      </c>
      <c r="AE303" s="32">
        <f t="shared" si="6"/>
        <v>19</v>
      </c>
      <c r="AF303" s="32">
        <f t="shared" si="6"/>
        <v>21</v>
      </c>
    </row>
    <row r="304" spans="1:32">
      <c r="A304" s="4"/>
      <c r="B304" s="4"/>
      <c r="C304" s="4"/>
      <c r="D304" s="5"/>
      <c r="E304" s="5"/>
      <c r="F304" s="6" t="s">
        <v>8</v>
      </c>
      <c r="G304" s="48">
        <f t="shared" ref="G304:M304" si="7">SUM(G14:G302)</f>
        <v>181</v>
      </c>
      <c r="H304" s="48">
        <f t="shared" si="7"/>
        <v>205</v>
      </c>
      <c r="I304" s="138">
        <f t="shared" si="7"/>
        <v>45</v>
      </c>
      <c r="J304" s="160">
        <f t="shared" si="7"/>
        <v>102</v>
      </c>
      <c r="K304" s="48">
        <f t="shared" si="7"/>
        <v>134</v>
      </c>
      <c r="L304" s="48">
        <f t="shared" si="7"/>
        <v>117</v>
      </c>
      <c r="M304" s="138">
        <f t="shared" si="7"/>
        <v>70</v>
      </c>
      <c r="N304" s="160">
        <f t="shared" ref="N304:AF304" si="8">SUM(N14:N302)</f>
        <v>117</v>
      </c>
      <c r="O304" s="48">
        <f t="shared" si="8"/>
        <v>149</v>
      </c>
      <c r="P304" s="48">
        <f t="shared" si="8"/>
        <v>217</v>
      </c>
      <c r="Q304" s="138">
        <f t="shared" si="8"/>
        <v>106</v>
      </c>
      <c r="R304" s="160">
        <f t="shared" si="8"/>
        <v>108</v>
      </c>
      <c r="S304" s="48">
        <f t="shared" si="8"/>
        <v>45</v>
      </c>
      <c r="T304" s="48">
        <f t="shared" si="8"/>
        <v>233</v>
      </c>
      <c r="U304" s="138">
        <f t="shared" si="8"/>
        <v>183</v>
      </c>
      <c r="V304" s="160">
        <f t="shared" si="8"/>
        <v>134</v>
      </c>
      <c r="W304" s="48">
        <f t="shared" si="8"/>
        <v>77</v>
      </c>
      <c r="X304" s="48">
        <f t="shared" si="8"/>
        <v>141</v>
      </c>
      <c r="Y304" s="138">
        <f t="shared" si="8"/>
        <v>86</v>
      </c>
      <c r="Z304" s="160">
        <f t="shared" si="8"/>
        <v>306</v>
      </c>
      <c r="AA304" s="48">
        <f t="shared" si="8"/>
        <v>147</v>
      </c>
      <c r="AB304" s="48">
        <f t="shared" si="8"/>
        <v>58</v>
      </c>
      <c r="AC304" s="138">
        <f t="shared" si="8"/>
        <v>165</v>
      </c>
      <c r="AD304" s="160">
        <f t="shared" si="8"/>
        <v>230</v>
      </c>
      <c r="AE304" s="48">
        <f t="shared" si="8"/>
        <v>104</v>
      </c>
      <c r="AF304" s="138">
        <f t="shared" si="8"/>
        <v>255</v>
      </c>
    </row>
    <row r="305" spans="1:9">
      <c r="A305" s="4"/>
      <c r="B305" s="4"/>
      <c r="C305" s="4"/>
      <c r="D305" s="5"/>
      <c r="E305" s="5"/>
      <c r="F305" s="5"/>
      <c r="G305" s="5"/>
      <c r="H305" s="5"/>
      <c r="I305" s="5"/>
    </row>
    <row r="306" spans="1:9">
      <c r="A306" s="4"/>
      <c r="B306" s="4"/>
      <c r="C306" s="4"/>
      <c r="D306" s="5"/>
      <c r="E306" s="5"/>
      <c r="F306" s="5"/>
      <c r="G306" s="5"/>
      <c r="H306" s="5"/>
      <c r="I306" s="5"/>
    </row>
  </sheetData>
  <phoneticPr fontId="48" type="noConversion"/>
  <pageMargins left="0.94685039370078738" right="0.75000000000000011" top="1" bottom="1" header="0.5" footer="0.5"/>
  <pageSetup paperSize="9" scale="10" fitToHeight="2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20"/>
  <sheetViews>
    <sheetView zoomScale="80" zoomScaleNormal="80" zoomScalePageLayoutView="125" workbookViewId="0">
      <selection sqref="A1:AF6 A14:AF17 A19:AF24 A37:AF39 A45:AF47 A50:AF51 A53:AF57 A62:AF62 A64:AF64 A71:AF78 A82:AF82 A85:AF86 A90:AF95 A102:AF105 A110:AF112 A115:AF116 A128:AF135 A137:AF137 A142:AF143 A145:AF145 A150:AF152 A154:AF158 A189:AF199 A202:AF218 A222:AF223 A225:AF232 A235:AF235 A237:AF238 A242:AF246 A249:AF251 A258:AF260 A262:AF262 A264:AF266 A270:AF271 A302:AF306"/>
    </sheetView>
  </sheetViews>
  <sheetFormatPr defaultColWidth="10.8984375" defaultRowHeight="14.4"/>
  <cols>
    <col min="1" max="1" width="8.59765625" style="5" customWidth="1"/>
    <col min="2" max="5" width="2.09765625" style="5" customWidth="1"/>
    <col min="6" max="6" width="20.59765625" style="5" customWidth="1"/>
    <col min="7" max="32" width="10.69921875" style="5" customWidth="1"/>
    <col min="33" max="16384" width="10.8984375" style="5"/>
  </cols>
  <sheetData>
    <row r="1" spans="1:32" s="17" customFormat="1" ht="24.9" customHeight="1">
      <c r="A1" s="17" t="s">
        <v>55</v>
      </c>
    </row>
    <row r="2" spans="1:32" s="4" customFormat="1">
      <c r="A2" s="4" t="s">
        <v>286</v>
      </c>
    </row>
    <row r="3" spans="1:32" s="4" customFormat="1">
      <c r="F3" s="16" t="s">
        <v>61</v>
      </c>
    </row>
    <row r="4" spans="1:32" s="4" customFormat="1">
      <c r="F4" s="6" t="str">
        <f>'Phytopl Count'!F3</f>
        <v>Reference ID:</v>
      </c>
      <c r="G4" s="33" t="str">
        <f>'Phytopl Count'!G3</f>
        <v>BP14798</v>
      </c>
      <c r="H4" s="33" t="str">
        <f>'Phytopl Count'!H3</f>
        <v>BP14799</v>
      </c>
      <c r="I4" s="33" t="str">
        <f>'Phytopl Count'!I3</f>
        <v>BP14800</v>
      </c>
      <c r="J4" s="33" t="str">
        <f>'Phytopl Count'!J3</f>
        <v>BP14801</v>
      </c>
      <c r="K4" s="33" t="str">
        <f>'Phytopl Count'!K3</f>
        <v>BP14802</v>
      </c>
      <c r="L4" s="33" t="str">
        <f>'Phytopl Count'!L3</f>
        <v>BP14803</v>
      </c>
      <c r="M4" s="33" t="str">
        <f>'Phytopl Count'!M3</f>
        <v>BP14804</v>
      </c>
      <c r="N4" s="33" t="str">
        <f>'Phytopl Count'!N3</f>
        <v>BP14805</v>
      </c>
      <c r="O4" s="33" t="str">
        <f>'Phytopl Count'!O3</f>
        <v>BP14806</v>
      </c>
      <c r="P4" s="33" t="str">
        <f>'Phytopl Count'!P3</f>
        <v>BP14807</v>
      </c>
      <c r="Q4" s="33" t="str">
        <f>'Phytopl Count'!Q3</f>
        <v>BP14808</v>
      </c>
      <c r="R4" s="33" t="str">
        <f>'Phytopl Count'!R3</f>
        <v>BP14809</v>
      </c>
      <c r="S4" s="33" t="str">
        <f>'Phytopl Count'!S3</f>
        <v>BP14810</v>
      </c>
      <c r="T4" s="33" t="str">
        <f>'Phytopl Count'!T3</f>
        <v>BP14811</v>
      </c>
      <c r="U4" s="33" t="str">
        <f>'Phytopl Count'!U3</f>
        <v>BP14812</v>
      </c>
      <c r="V4" s="33" t="str">
        <f>'Phytopl Count'!V3</f>
        <v>BP14813</v>
      </c>
      <c r="W4" s="33" t="str">
        <f>'Phytopl Count'!W3</f>
        <v>BP14814</v>
      </c>
      <c r="X4" s="33" t="str">
        <f>'Phytopl Count'!X3</f>
        <v>BP14815</v>
      </c>
      <c r="Y4" s="33" t="str">
        <f>'Phytopl Count'!Y3</f>
        <v>BP14816</v>
      </c>
      <c r="Z4" s="33" t="str">
        <f>'Phytopl Count'!Z3</f>
        <v>BP14817</v>
      </c>
      <c r="AA4" s="33" t="str">
        <f>'Phytopl Count'!AA3</f>
        <v>BP14818</v>
      </c>
      <c r="AB4" s="33" t="str">
        <f>'Phytopl Count'!AB3</f>
        <v>BP14819</v>
      </c>
      <c r="AC4" s="33" t="str">
        <f>'Phytopl Count'!AC3</f>
        <v>BP14820</v>
      </c>
      <c r="AD4" s="33" t="str">
        <f>'Phytopl Count'!AD3</f>
        <v>BP14821</v>
      </c>
      <c r="AE4" s="33" t="str">
        <f>'Phytopl Count'!AE3</f>
        <v>BP14822</v>
      </c>
      <c r="AF4" s="33" t="str">
        <f>'Phytopl Count'!AF3</f>
        <v>BP14823</v>
      </c>
    </row>
    <row r="5" spans="1:32" s="4" customFormat="1" ht="16.5" customHeight="1">
      <c r="F5" s="6" t="str">
        <f>'Phytopl Count'!F4</f>
        <v>Sample Marking:</v>
      </c>
      <c r="G5" s="33" t="str">
        <f>'Phytopl Count'!G4</f>
        <v>S1</v>
      </c>
      <c r="H5" s="33" t="str">
        <f>'Phytopl Count'!H4</f>
        <v>S2</v>
      </c>
      <c r="I5" s="33" t="str">
        <f>'Phytopl Count'!I4</f>
        <v>S3</v>
      </c>
      <c r="J5" s="33" t="str">
        <f>'Phytopl Count'!J4</f>
        <v>S4</v>
      </c>
      <c r="K5" s="33" t="str">
        <f>'Phytopl Count'!K4</f>
        <v>S5</v>
      </c>
      <c r="L5" s="33" t="str">
        <f>'Phytopl Count'!L4</f>
        <v>S6</v>
      </c>
      <c r="M5" s="33" t="str">
        <f>'Phytopl Count'!M4</f>
        <v>S7</v>
      </c>
      <c r="N5" s="33" t="str">
        <f>'Phytopl Count'!N4</f>
        <v>S8</v>
      </c>
      <c r="O5" s="33" t="str">
        <f>'Phytopl Count'!O4</f>
        <v>S9</v>
      </c>
      <c r="P5" s="33" t="str">
        <f>'Phytopl Count'!P4</f>
        <v>S10</v>
      </c>
      <c r="Q5" s="33" t="str">
        <f>'Phytopl Count'!Q4</f>
        <v>S11</v>
      </c>
      <c r="R5" s="33" t="str">
        <f>'Phytopl Count'!R4</f>
        <v>S12</v>
      </c>
      <c r="S5" s="33" t="str">
        <f>'Phytopl Count'!S4</f>
        <v>S13</v>
      </c>
      <c r="T5" s="33" t="str">
        <f>'Phytopl Count'!T4</f>
        <v>S14</v>
      </c>
      <c r="U5" s="33" t="str">
        <f>'Phytopl Count'!U4</f>
        <v>S15</v>
      </c>
      <c r="V5" s="33" t="str">
        <f>'Phytopl Count'!V4</f>
        <v>S16</v>
      </c>
      <c r="W5" s="33" t="str">
        <f>'Phytopl Count'!W4</f>
        <v>S17</v>
      </c>
      <c r="X5" s="33" t="str">
        <f>'Phytopl Count'!X4</f>
        <v>S18</v>
      </c>
      <c r="Y5" s="33" t="str">
        <f>'Phytopl Count'!Y4</f>
        <v>S19</v>
      </c>
      <c r="Z5" s="33" t="str">
        <f>'Phytopl Count'!Z4</f>
        <v>S20</v>
      </c>
      <c r="AA5" s="33" t="str">
        <f>'Phytopl Count'!AA4</f>
        <v>S21</v>
      </c>
      <c r="AB5" s="33" t="str">
        <f>'Phytopl Count'!AB4</f>
        <v>S22</v>
      </c>
      <c r="AC5" s="33" t="str">
        <f>'Phytopl Count'!AC4</f>
        <v>S23</v>
      </c>
      <c r="AD5" s="33" t="str">
        <f>'Phytopl Count'!AD4</f>
        <v>S24</v>
      </c>
      <c r="AE5" s="33" t="str">
        <f>'Phytopl Count'!AE4</f>
        <v>S25</v>
      </c>
      <c r="AF5" s="33" t="str">
        <f>'Phytopl Count'!AF4</f>
        <v>S26</v>
      </c>
    </row>
    <row r="6" spans="1:32" s="4" customFormat="1" ht="15" thickBot="1">
      <c r="A6" s="7"/>
      <c r="B6" s="7"/>
      <c r="C6" s="7"/>
      <c r="D6" s="7"/>
      <c r="E6" s="7"/>
      <c r="F6" s="8" t="s">
        <v>311</v>
      </c>
      <c r="G6" s="197">
        <f>'Phytopl Count'!G8</f>
        <v>1963.4954084936207</v>
      </c>
      <c r="H6" s="197">
        <f>'Phytopl Count'!H8</f>
        <v>1963.4954084936207</v>
      </c>
      <c r="I6" s="197">
        <f>'Phytopl Count'!I8</f>
        <v>1963.4954084936207</v>
      </c>
      <c r="J6" s="197">
        <f>'Phytopl Count'!J8</f>
        <v>1963.4954084936207</v>
      </c>
      <c r="K6" s="197">
        <f>'Phytopl Count'!K8</f>
        <v>1963.4954084936207</v>
      </c>
      <c r="L6" s="197">
        <f>'Phytopl Count'!L8</f>
        <v>1963.4954084936207</v>
      </c>
      <c r="M6" s="197">
        <f>'Phytopl Count'!M8</f>
        <v>1963.4954084936207</v>
      </c>
      <c r="N6" s="197">
        <f>'Phytopl Count'!N8</f>
        <v>1963.4954084936207</v>
      </c>
      <c r="O6" s="197">
        <f>'Phytopl Count'!O8</f>
        <v>1963.4954084936207</v>
      </c>
      <c r="P6" s="197">
        <f>'Phytopl Count'!P8</f>
        <v>1963.4954084936207</v>
      </c>
      <c r="Q6" s="197">
        <f>'Phytopl Count'!Q8</f>
        <v>1963.4954084936207</v>
      </c>
      <c r="R6" s="197">
        <f>'Phytopl Count'!R8</f>
        <v>1963.4954084936207</v>
      </c>
      <c r="S6" s="197">
        <f>'Phytopl Count'!S8</f>
        <v>1963.4954084936207</v>
      </c>
      <c r="T6" s="197">
        <f>'Phytopl Count'!T8</f>
        <v>1963.4954084936207</v>
      </c>
      <c r="U6" s="197">
        <f>'Phytopl Count'!U8</f>
        <v>1963.4954084936207</v>
      </c>
      <c r="V6" s="197">
        <f>'Phytopl Count'!V8</f>
        <v>1963.4954084936207</v>
      </c>
      <c r="W6" s="197">
        <f>'Phytopl Count'!W8</f>
        <v>1963.4954084936207</v>
      </c>
      <c r="X6" s="197">
        <f>'Phytopl Count'!X8</f>
        <v>1963.4954084936207</v>
      </c>
      <c r="Y6" s="197">
        <f>'Phytopl Count'!Y8</f>
        <v>1963.4954084936207</v>
      </c>
      <c r="Z6" s="197">
        <f>'Phytopl Count'!Z8</f>
        <v>1963.4954084936207</v>
      </c>
      <c r="AA6" s="197">
        <f>'Phytopl Count'!AA8</f>
        <v>1963.4954084936207</v>
      </c>
      <c r="AB6" s="197">
        <f>'Phytopl Count'!AB8</f>
        <v>1963.4954084936207</v>
      </c>
      <c r="AC6" s="197">
        <f>'Phytopl Count'!AC8</f>
        <v>1963.4954084936207</v>
      </c>
      <c r="AD6" s="197">
        <f>'Phytopl Count'!AD8</f>
        <v>1963.4954084936207</v>
      </c>
      <c r="AE6" s="197">
        <f>'Phytopl Count'!AE8</f>
        <v>1963.4954084936207</v>
      </c>
      <c r="AF6" s="197">
        <f>'Phytopl Count'!AF8</f>
        <v>1963.4954084936207</v>
      </c>
    </row>
    <row r="7" spans="1:32" s="4" customFormat="1" ht="15" hidden="1" thickTop="1">
      <c r="F7" s="6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</row>
    <row r="8" spans="1:32" s="4" customFormat="1" ht="15" hidden="1" thickTop="1">
      <c r="F8" s="6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</row>
    <row r="9" spans="1:32" s="4" customFormat="1" ht="15" hidden="1" thickTop="1">
      <c r="F9" s="6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</row>
    <row r="10" spans="1:32" s="4" customFormat="1" ht="15" hidden="1" thickTop="1">
      <c r="F10" s="6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</row>
    <row r="11" spans="1:32" s="4" customFormat="1" ht="15" hidden="1" thickTop="1">
      <c r="F11" s="6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</row>
    <row r="12" spans="1:32" s="4" customFormat="1" ht="15" hidden="1" thickTop="1">
      <c r="F12" s="6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</row>
    <row r="13" spans="1:32" s="4" customFormat="1" ht="15" hidden="1" thickTop="1">
      <c r="F13" s="6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</row>
    <row r="14" spans="1:32" s="4" customFormat="1" ht="15" thickTop="1">
      <c r="A14" s="16" t="s">
        <v>4</v>
      </c>
      <c r="B14" s="4" t="s">
        <v>299</v>
      </c>
      <c r="C14" s="16"/>
      <c r="F14" s="59"/>
      <c r="G14" s="31" t="str">
        <f>IF('Phytopl Count'!G14=0,"",'Phytopl Count'!G14*'Phytopl Count'!G$13/'Phytopl Count'!G$8)</f>
        <v/>
      </c>
      <c r="H14" s="31" t="str">
        <f>IF('Phytopl Count'!H14=0,"",'Phytopl Count'!H14*'Phytopl Count'!H$13/'Phytopl Count'!H$8)</f>
        <v/>
      </c>
      <c r="I14" s="31" t="str">
        <f>IF('Phytopl Count'!I14=0,"",'Phytopl Count'!I14*'Phytopl Count'!I$13/'Phytopl Count'!I$8)</f>
        <v/>
      </c>
      <c r="J14" s="31" t="str">
        <f>IF('Phytopl Count'!J14=0,"",'Phytopl Count'!J14*'Phytopl Count'!J$13/'Phytopl Count'!J$8)</f>
        <v/>
      </c>
      <c r="K14" s="31" t="str">
        <f>IF('Phytopl Count'!K14=0,"",'Phytopl Count'!K14*'Phytopl Count'!K$13/'Phytopl Count'!K$8)</f>
        <v/>
      </c>
      <c r="L14" s="31" t="str">
        <f>IF('Phytopl Count'!L14=0,"",'Phytopl Count'!L14*'Phytopl Count'!L$13/'Phytopl Count'!L$8)</f>
        <v/>
      </c>
      <c r="M14" s="31" t="str">
        <f>IF('Phytopl Count'!M14=0,"",'Phytopl Count'!M14*'Phytopl Count'!M$13/'Phytopl Count'!M$8)</f>
        <v/>
      </c>
      <c r="N14" s="31" t="str">
        <f>IF('Phytopl Count'!N14=0,"",'Phytopl Count'!N14*'Phytopl Count'!N$13/'Phytopl Count'!N$8)</f>
        <v/>
      </c>
      <c r="O14" s="31" t="str">
        <f>IF('Phytopl Count'!O14=0,"",'Phytopl Count'!O14*'Phytopl Count'!O$13/'Phytopl Count'!O$8)</f>
        <v/>
      </c>
      <c r="P14" s="31" t="str">
        <f>IF('Phytopl Count'!P14=0,"",'Phytopl Count'!P14*'Phytopl Count'!P$13/'Phytopl Count'!P$8)</f>
        <v/>
      </c>
      <c r="Q14" s="31" t="str">
        <f>IF('Phytopl Count'!Q14=0,"",'Phytopl Count'!Q14*'Phytopl Count'!Q$13/'Phytopl Count'!Q$8)</f>
        <v/>
      </c>
      <c r="R14" s="31" t="str">
        <f>IF('Phytopl Count'!R14=0,"",'Phytopl Count'!R14*'Phytopl Count'!R$13/'Phytopl Count'!R$8)</f>
        <v/>
      </c>
      <c r="S14" s="31" t="str">
        <f>IF('Phytopl Count'!S14=0,"",'Phytopl Count'!S14*'Phytopl Count'!S$13/'Phytopl Count'!S$8)</f>
        <v/>
      </c>
      <c r="T14" s="31" t="str">
        <f>IF('Phytopl Count'!T14=0,"",'Phytopl Count'!T14*'Phytopl Count'!T$13/'Phytopl Count'!T$8)</f>
        <v/>
      </c>
      <c r="U14" s="31" t="str">
        <f>IF('Phytopl Count'!U14=0,"",'Phytopl Count'!U14*'Phytopl Count'!U$13/'Phytopl Count'!U$8)</f>
        <v/>
      </c>
      <c r="V14" s="31" t="str">
        <f>IF('Phytopl Count'!V14=0,"",'Phytopl Count'!V14*'Phytopl Count'!V$13/'Phytopl Count'!V$8)</f>
        <v/>
      </c>
      <c r="W14" s="31" t="str">
        <f>IF('Phytopl Count'!W14=0,"",'Phytopl Count'!W14*'Phytopl Count'!W$13/'Phytopl Count'!W$8)</f>
        <v/>
      </c>
      <c r="X14" s="31" t="str">
        <f>IF('Phytopl Count'!X14=0,"",'Phytopl Count'!X14*'Phytopl Count'!X$13/'Phytopl Count'!X$8)</f>
        <v/>
      </c>
      <c r="Y14" s="31" t="str">
        <f>IF('Phytopl Count'!Y14=0,"",'Phytopl Count'!Y14*'Phytopl Count'!Y$13/'Phytopl Count'!Y$8)</f>
        <v/>
      </c>
      <c r="Z14" s="31" t="str">
        <f>IF('Phytopl Count'!Z14=0,"",'Phytopl Count'!Z14*'Phytopl Count'!Z$13/'Phytopl Count'!Z$8)</f>
        <v/>
      </c>
      <c r="AA14" s="31" t="str">
        <f>IF('Phytopl Count'!AA14=0,"",'Phytopl Count'!AA14*'Phytopl Count'!AA$13/'Phytopl Count'!AA$8)</f>
        <v/>
      </c>
      <c r="AB14" s="31" t="str">
        <f>IF('Phytopl Count'!AB14=0,"",'Phytopl Count'!AB14*'Phytopl Count'!AB$13/'Phytopl Count'!AB$8)</f>
        <v/>
      </c>
      <c r="AC14" s="31" t="str">
        <f>IF('Phytopl Count'!AC14=0,"",'Phytopl Count'!AC14*'Phytopl Count'!AC$13/'Phytopl Count'!AC$8)</f>
        <v/>
      </c>
      <c r="AD14" s="31" t="str">
        <f>IF('Phytopl Count'!AD14=0,"",'Phytopl Count'!AD14*'Phytopl Count'!AD$13/'Phytopl Count'!AD$8)</f>
        <v/>
      </c>
      <c r="AE14" s="31" t="str">
        <f>IF('Phytopl Count'!AE14=0,"",'Phytopl Count'!AE14*'Phytopl Count'!AE$13/'Phytopl Count'!AE$8)</f>
        <v/>
      </c>
      <c r="AF14" s="31" t="str">
        <f>IF('Phytopl Count'!AF14=0,"",'Phytopl Count'!AF14*'Phytopl Count'!AF$13/'Phytopl Count'!AF$8)</f>
        <v/>
      </c>
    </row>
    <row r="15" spans="1:32" s="4" customFormat="1">
      <c r="A15" s="16"/>
      <c r="B15" s="16" t="s">
        <v>72</v>
      </c>
      <c r="C15" s="4" t="s">
        <v>13</v>
      </c>
      <c r="F15" s="59"/>
      <c r="G15" s="31" t="str">
        <f>IF('Phytopl Count'!G15=0,"",'Phytopl Count'!G15*'Phytopl Count'!G$13/'Phytopl Count'!G$8)</f>
        <v/>
      </c>
      <c r="H15" s="31" t="str">
        <f>IF('Phytopl Count'!H15=0,"",'Phytopl Count'!H15*'Phytopl Count'!H$13/'Phytopl Count'!H$8)</f>
        <v/>
      </c>
      <c r="I15" s="31" t="str">
        <f>IF('Phytopl Count'!I15=0,"",'Phytopl Count'!I15*'Phytopl Count'!I$13/'Phytopl Count'!I$8)</f>
        <v/>
      </c>
      <c r="J15" s="31" t="str">
        <f>IF('Phytopl Count'!J15=0,"",'Phytopl Count'!J15*'Phytopl Count'!J$13/'Phytopl Count'!J$8)</f>
        <v/>
      </c>
      <c r="K15" s="31" t="str">
        <f>IF('Phytopl Count'!K15=0,"",'Phytopl Count'!K15*'Phytopl Count'!K$13/'Phytopl Count'!K$8)</f>
        <v/>
      </c>
      <c r="L15" s="31" t="str">
        <f>IF('Phytopl Count'!L15=0,"",'Phytopl Count'!L15*'Phytopl Count'!L$13/'Phytopl Count'!L$8)</f>
        <v/>
      </c>
      <c r="M15" s="31" t="str">
        <f>IF('Phytopl Count'!M15=0,"",'Phytopl Count'!M15*'Phytopl Count'!M$13/'Phytopl Count'!M$8)</f>
        <v/>
      </c>
      <c r="N15" s="31" t="str">
        <f>IF('Phytopl Count'!N15=0,"",'Phytopl Count'!N15*'Phytopl Count'!N$13/'Phytopl Count'!N$8)</f>
        <v/>
      </c>
      <c r="O15" s="31" t="str">
        <f>IF('Phytopl Count'!O15=0,"",'Phytopl Count'!O15*'Phytopl Count'!O$13/'Phytopl Count'!O$8)</f>
        <v/>
      </c>
      <c r="P15" s="31" t="str">
        <f>IF('Phytopl Count'!P15=0,"",'Phytopl Count'!P15*'Phytopl Count'!P$13/'Phytopl Count'!P$8)</f>
        <v/>
      </c>
      <c r="Q15" s="31" t="str">
        <f>IF('Phytopl Count'!Q15=0,"",'Phytopl Count'!Q15*'Phytopl Count'!Q$13/'Phytopl Count'!Q$8)</f>
        <v/>
      </c>
      <c r="R15" s="31" t="str">
        <f>IF('Phytopl Count'!R15=0,"",'Phytopl Count'!R15*'Phytopl Count'!R$13/'Phytopl Count'!R$8)</f>
        <v/>
      </c>
      <c r="S15" s="31" t="str">
        <f>IF('Phytopl Count'!S15=0,"",'Phytopl Count'!S15*'Phytopl Count'!S$13/'Phytopl Count'!S$8)</f>
        <v/>
      </c>
      <c r="T15" s="31" t="str">
        <f>IF('Phytopl Count'!T15=0,"",'Phytopl Count'!T15*'Phytopl Count'!T$13/'Phytopl Count'!T$8)</f>
        <v/>
      </c>
      <c r="U15" s="31" t="str">
        <f>IF('Phytopl Count'!U15=0,"",'Phytopl Count'!U15*'Phytopl Count'!U$13/'Phytopl Count'!U$8)</f>
        <v/>
      </c>
      <c r="V15" s="31" t="str">
        <f>IF('Phytopl Count'!V15=0,"",'Phytopl Count'!V15*'Phytopl Count'!V$13/'Phytopl Count'!V$8)</f>
        <v/>
      </c>
      <c r="W15" s="31" t="str">
        <f>IF('Phytopl Count'!W15=0,"",'Phytopl Count'!W15*'Phytopl Count'!W$13/'Phytopl Count'!W$8)</f>
        <v/>
      </c>
      <c r="X15" s="31" t="str">
        <f>IF('Phytopl Count'!X15=0,"",'Phytopl Count'!X15*'Phytopl Count'!X$13/'Phytopl Count'!X$8)</f>
        <v/>
      </c>
      <c r="Y15" s="31" t="str">
        <f>IF('Phytopl Count'!Y15=0,"",'Phytopl Count'!Y15*'Phytopl Count'!Y$13/'Phytopl Count'!Y$8)</f>
        <v/>
      </c>
      <c r="Z15" s="31" t="str">
        <f>IF('Phytopl Count'!Z15=0,"",'Phytopl Count'!Z15*'Phytopl Count'!Z$13/'Phytopl Count'!Z$8)</f>
        <v/>
      </c>
      <c r="AA15" s="31" t="str">
        <f>IF('Phytopl Count'!AA15=0,"",'Phytopl Count'!AA15*'Phytopl Count'!AA$13/'Phytopl Count'!AA$8)</f>
        <v/>
      </c>
      <c r="AB15" s="31" t="str">
        <f>IF('Phytopl Count'!AB15=0,"",'Phytopl Count'!AB15*'Phytopl Count'!AB$13/'Phytopl Count'!AB$8)</f>
        <v/>
      </c>
      <c r="AC15" s="31" t="str">
        <f>IF('Phytopl Count'!AC15=0,"",'Phytopl Count'!AC15*'Phytopl Count'!AC$13/'Phytopl Count'!AC$8)</f>
        <v/>
      </c>
      <c r="AD15" s="31" t="str">
        <f>IF('Phytopl Count'!AD15=0,"",'Phytopl Count'!AD15*'Phytopl Count'!AD$13/'Phytopl Count'!AD$8)</f>
        <v/>
      </c>
      <c r="AE15" s="31" t="str">
        <f>IF('Phytopl Count'!AE15=0,"",'Phytopl Count'!AE15*'Phytopl Count'!AE$13/'Phytopl Count'!AE$8)</f>
        <v/>
      </c>
      <c r="AF15" s="31" t="str">
        <f>IF('Phytopl Count'!AF15=0,"",'Phytopl Count'!AF15*'Phytopl Count'!AF$13/'Phytopl Count'!AF$8)</f>
        <v/>
      </c>
    </row>
    <row r="16" spans="1:32" s="4" customFormat="1">
      <c r="A16" s="16"/>
      <c r="B16" s="16"/>
      <c r="C16" s="16" t="s">
        <v>73</v>
      </c>
      <c r="D16" s="4" t="s">
        <v>89</v>
      </c>
      <c r="F16" s="59"/>
      <c r="G16" s="31" t="str">
        <f>IF('Phytopl Count'!G16=0,"",'Phytopl Count'!G16*'Phytopl Count'!G$13/'Phytopl Count'!G$8)</f>
        <v/>
      </c>
      <c r="H16" s="31" t="str">
        <f>IF('Phytopl Count'!H16=0,"",'Phytopl Count'!H16*'Phytopl Count'!H$13/'Phytopl Count'!H$8)</f>
        <v/>
      </c>
      <c r="I16" s="31" t="str">
        <f>IF('Phytopl Count'!I16=0,"",'Phytopl Count'!I16*'Phytopl Count'!I$13/'Phytopl Count'!I$8)</f>
        <v/>
      </c>
      <c r="J16" s="31" t="str">
        <f>IF('Phytopl Count'!J16=0,"",'Phytopl Count'!J16*'Phytopl Count'!J$13/'Phytopl Count'!J$8)</f>
        <v/>
      </c>
      <c r="K16" s="31" t="str">
        <f>IF('Phytopl Count'!K16=0,"",'Phytopl Count'!K16*'Phytopl Count'!K$13/'Phytopl Count'!K$8)</f>
        <v/>
      </c>
      <c r="L16" s="31" t="str">
        <f>IF('Phytopl Count'!L16=0,"",'Phytopl Count'!L16*'Phytopl Count'!L$13/'Phytopl Count'!L$8)</f>
        <v/>
      </c>
      <c r="M16" s="31" t="str">
        <f>IF('Phytopl Count'!M16=0,"",'Phytopl Count'!M16*'Phytopl Count'!M$13/'Phytopl Count'!M$8)</f>
        <v/>
      </c>
      <c r="N16" s="31" t="str">
        <f>IF('Phytopl Count'!N16=0,"",'Phytopl Count'!N16*'Phytopl Count'!N$13/'Phytopl Count'!N$8)</f>
        <v/>
      </c>
      <c r="O16" s="31" t="str">
        <f>IF('Phytopl Count'!O16=0,"",'Phytopl Count'!O16*'Phytopl Count'!O$13/'Phytopl Count'!O$8)</f>
        <v/>
      </c>
      <c r="P16" s="31" t="str">
        <f>IF('Phytopl Count'!P16=0,"",'Phytopl Count'!P16*'Phytopl Count'!P$13/'Phytopl Count'!P$8)</f>
        <v/>
      </c>
      <c r="Q16" s="31" t="str">
        <f>IF('Phytopl Count'!Q16=0,"",'Phytopl Count'!Q16*'Phytopl Count'!Q$13/'Phytopl Count'!Q$8)</f>
        <v/>
      </c>
      <c r="R16" s="31" t="str">
        <f>IF('Phytopl Count'!R16=0,"",'Phytopl Count'!R16*'Phytopl Count'!R$13/'Phytopl Count'!R$8)</f>
        <v/>
      </c>
      <c r="S16" s="31" t="str">
        <f>IF('Phytopl Count'!S16=0,"",'Phytopl Count'!S16*'Phytopl Count'!S$13/'Phytopl Count'!S$8)</f>
        <v/>
      </c>
      <c r="T16" s="31" t="str">
        <f>IF('Phytopl Count'!T16=0,"",'Phytopl Count'!T16*'Phytopl Count'!T$13/'Phytopl Count'!T$8)</f>
        <v/>
      </c>
      <c r="U16" s="31" t="str">
        <f>IF('Phytopl Count'!U16=0,"",'Phytopl Count'!U16*'Phytopl Count'!U$13/'Phytopl Count'!U$8)</f>
        <v/>
      </c>
      <c r="V16" s="31" t="str">
        <f>IF('Phytopl Count'!V16=0,"",'Phytopl Count'!V16*'Phytopl Count'!V$13/'Phytopl Count'!V$8)</f>
        <v/>
      </c>
      <c r="W16" s="31" t="str">
        <f>IF('Phytopl Count'!W16=0,"",'Phytopl Count'!W16*'Phytopl Count'!W$13/'Phytopl Count'!W$8)</f>
        <v/>
      </c>
      <c r="X16" s="31" t="str">
        <f>IF('Phytopl Count'!X16=0,"",'Phytopl Count'!X16*'Phytopl Count'!X$13/'Phytopl Count'!X$8)</f>
        <v/>
      </c>
      <c r="Y16" s="31" t="str">
        <f>IF('Phytopl Count'!Y16=0,"",'Phytopl Count'!Y16*'Phytopl Count'!Y$13/'Phytopl Count'!Y$8)</f>
        <v/>
      </c>
      <c r="Z16" s="31" t="str">
        <f>IF('Phytopl Count'!Z16=0,"",'Phytopl Count'!Z16*'Phytopl Count'!Z$13/'Phytopl Count'!Z$8)</f>
        <v/>
      </c>
      <c r="AA16" s="31" t="str">
        <f>IF('Phytopl Count'!AA16=0,"",'Phytopl Count'!AA16*'Phytopl Count'!AA$13/'Phytopl Count'!AA$8)</f>
        <v/>
      </c>
      <c r="AB16" s="31" t="str">
        <f>IF('Phytopl Count'!AB16=0,"",'Phytopl Count'!AB16*'Phytopl Count'!AB$13/'Phytopl Count'!AB$8)</f>
        <v/>
      </c>
      <c r="AC16" s="31" t="str">
        <f>IF('Phytopl Count'!AC16=0,"",'Phytopl Count'!AC16*'Phytopl Count'!AC$13/'Phytopl Count'!AC$8)</f>
        <v/>
      </c>
      <c r="AD16" s="31" t="str">
        <f>IF('Phytopl Count'!AD16=0,"",'Phytopl Count'!AD16*'Phytopl Count'!AD$13/'Phytopl Count'!AD$8)</f>
        <v/>
      </c>
      <c r="AE16" s="31" t="str">
        <f>IF('Phytopl Count'!AE16=0,"",'Phytopl Count'!AE16*'Phytopl Count'!AE$13/'Phytopl Count'!AE$8)</f>
        <v/>
      </c>
      <c r="AF16" s="31" t="str">
        <f>IF('Phytopl Count'!AF16=0,"",'Phytopl Count'!AF16*'Phytopl Count'!AF$13/'Phytopl Count'!AF$8)</f>
        <v/>
      </c>
    </row>
    <row r="17" spans="1:32" s="4" customFormat="1">
      <c r="A17" s="10"/>
      <c r="B17" s="10"/>
      <c r="C17" s="95"/>
      <c r="D17" s="95" t="s">
        <v>5</v>
      </c>
      <c r="E17" s="161" t="s">
        <v>349</v>
      </c>
      <c r="F17" s="97"/>
      <c r="G17" s="31" t="str">
        <f>IF('Phytopl Count'!G17=0,"",'Phytopl Count'!G17*'Phytopl Count'!G$13/'Phytopl Count'!G$8)</f>
        <v/>
      </c>
      <c r="H17" s="31" t="str">
        <f>IF('Phytopl Count'!H17=0,"",'Phytopl Count'!H17*'Phytopl Count'!H$13/'Phytopl Count'!H$8)</f>
        <v/>
      </c>
      <c r="I17" s="31" t="str">
        <f>IF('Phytopl Count'!I17=0,"",'Phytopl Count'!I17*'Phytopl Count'!I$13/'Phytopl Count'!I$8)</f>
        <v/>
      </c>
      <c r="J17" s="31" t="str">
        <f>IF('Phytopl Count'!J17=0,"",'Phytopl Count'!J17*'Phytopl Count'!J$13/'Phytopl Count'!J$8)</f>
        <v/>
      </c>
      <c r="K17" s="31" t="str">
        <f>IF('Phytopl Count'!K17=0,"",'Phytopl Count'!K17*'Phytopl Count'!K$13/'Phytopl Count'!K$8)</f>
        <v/>
      </c>
      <c r="L17" s="31" t="str">
        <f>IF('Phytopl Count'!L17=0,"",'Phytopl Count'!L17*'Phytopl Count'!L$13/'Phytopl Count'!L$8)</f>
        <v/>
      </c>
      <c r="M17" s="31" t="str">
        <f>IF('Phytopl Count'!M17=0,"",'Phytopl Count'!M17*'Phytopl Count'!M$13/'Phytopl Count'!M$8)</f>
        <v/>
      </c>
      <c r="N17" s="31" t="str">
        <f>IF('Phytopl Count'!N17=0,"",'Phytopl Count'!N17*'Phytopl Count'!N$13/'Phytopl Count'!N$8)</f>
        <v/>
      </c>
      <c r="O17" s="31" t="str">
        <f>IF('Phytopl Count'!O17=0,"",'Phytopl Count'!O17*'Phytopl Count'!O$13/'Phytopl Count'!O$8)</f>
        <v/>
      </c>
      <c r="P17" s="31" t="str">
        <f>IF('Phytopl Count'!P17=0,"",'Phytopl Count'!P17*'Phytopl Count'!P$13/'Phytopl Count'!P$8)</f>
        <v/>
      </c>
      <c r="Q17" s="31" t="str">
        <f>IF('Phytopl Count'!Q17=0,"",'Phytopl Count'!Q17*'Phytopl Count'!Q$13/'Phytopl Count'!Q$8)</f>
        <v/>
      </c>
      <c r="R17" s="31" t="str">
        <f>IF('Phytopl Count'!R17=0,"",'Phytopl Count'!R17*'Phytopl Count'!R$13/'Phytopl Count'!R$8)</f>
        <v/>
      </c>
      <c r="S17" s="31" t="str">
        <f>IF('Phytopl Count'!S17=0,"",'Phytopl Count'!S17*'Phytopl Count'!S$13/'Phytopl Count'!S$8)</f>
        <v/>
      </c>
      <c r="T17" s="31" t="str">
        <f>IF('Phytopl Count'!T17=0,"",'Phytopl Count'!T17*'Phytopl Count'!T$13/'Phytopl Count'!T$8)</f>
        <v/>
      </c>
      <c r="U17" s="31" t="str">
        <f>IF('Phytopl Count'!U17=0,"",'Phytopl Count'!U17*'Phytopl Count'!U$13/'Phytopl Count'!U$8)</f>
        <v/>
      </c>
      <c r="V17" s="31" t="str">
        <f>IF('Phytopl Count'!V17=0,"",'Phytopl Count'!V17*'Phytopl Count'!V$13/'Phytopl Count'!V$8)</f>
        <v/>
      </c>
      <c r="W17" s="31" t="str">
        <f>IF('Phytopl Count'!W17=0,"",'Phytopl Count'!W17*'Phytopl Count'!W$13/'Phytopl Count'!W$8)</f>
        <v/>
      </c>
      <c r="X17" s="31" t="str">
        <f>IF('Phytopl Count'!X17=0,"",'Phytopl Count'!X17*'Phytopl Count'!X$13/'Phytopl Count'!X$8)</f>
        <v/>
      </c>
      <c r="Y17" s="31" t="str">
        <f>IF('Phytopl Count'!Y17=0,"",'Phytopl Count'!Y17*'Phytopl Count'!Y$13/'Phytopl Count'!Y$8)</f>
        <v/>
      </c>
      <c r="Z17" s="31" t="str">
        <f>IF('Phytopl Count'!Z17=0,"",'Phytopl Count'!Z17*'Phytopl Count'!Z$13/'Phytopl Count'!Z$8)</f>
        <v/>
      </c>
      <c r="AA17" s="31" t="str">
        <f>IF('Phytopl Count'!AA17=0,"",'Phytopl Count'!AA17*'Phytopl Count'!AA$13/'Phytopl Count'!AA$8)</f>
        <v/>
      </c>
      <c r="AB17" s="31" t="str">
        <f>IF('Phytopl Count'!AB17=0,"",'Phytopl Count'!AB17*'Phytopl Count'!AB$13/'Phytopl Count'!AB$8)</f>
        <v/>
      </c>
      <c r="AC17" s="31" t="str">
        <f>IF('Phytopl Count'!AC17=0,"",'Phytopl Count'!AC17*'Phytopl Count'!AC$13/'Phytopl Count'!AC$8)</f>
        <v/>
      </c>
      <c r="AD17" s="31" t="str">
        <f>IF('Phytopl Count'!AD17=0,"",'Phytopl Count'!AD17*'Phytopl Count'!AD$13/'Phytopl Count'!AD$8)</f>
        <v/>
      </c>
      <c r="AE17" s="31" t="str">
        <f>IF('Phytopl Count'!AE17=0,"",'Phytopl Count'!AE17*'Phytopl Count'!AE$13/'Phytopl Count'!AE$8)</f>
        <v/>
      </c>
      <c r="AF17" s="31" t="str">
        <f>IF('Phytopl Count'!AF17=0,"",'Phytopl Count'!AF17*'Phytopl Count'!AF$13/'Phytopl Count'!AF$8)</f>
        <v/>
      </c>
    </row>
    <row r="18" spans="1:32" s="4" customFormat="1" ht="15.75" hidden="1" customHeight="1">
      <c r="A18" s="5"/>
      <c r="B18" s="5"/>
      <c r="C18" s="5"/>
      <c r="D18" s="5"/>
      <c r="F18" s="11" t="s">
        <v>147</v>
      </c>
      <c r="G18" s="31" t="str">
        <f>IF('Phytopl Count'!G18=0,"",'Phytopl Count'!G18*'Phytopl Count'!G$13/'Phytopl Count'!G$8)</f>
        <v/>
      </c>
      <c r="H18" s="31" t="str">
        <f>IF('Phytopl Count'!H18=0,"",'Phytopl Count'!H18*'Phytopl Count'!H$13/'Phytopl Count'!H$8)</f>
        <v/>
      </c>
      <c r="I18" s="31" t="str">
        <f>IF('Phytopl Count'!I18=0,"",'Phytopl Count'!I18*'Phytopl Count'!I$13/'Phytopl Count'!I$8)</f>
        <v/>
      </c>
      <c r="J18" s="31" t="str">
        <f>IF('Phytopl Count'!J18=0,"",'Phytopl Count'!J18*'Phytopl Count'!J$13/'Phytopl Count'!J$8)</f>
        <v/>
      </c>
      <c r="K18" s="31" t="str">
        <f>IF('Phytopl Count'!K18=0,"",'Phytopl Count'!K18*'Phytopl Count'!K$13/'Phytopl Count'!K$8)</f>
        <v/>
      </c>
      <c r="L18" s="31" t="str">
        <f>IF('Phytopl Count'!L18=0,"",'Phytopl Count'!L18*'Phytopl Count'!L$13/'Phytopl Count'!L$8)</f>
        <v/>
      </c>
      <c r="M18" s="31" t="str">
        <f>IF('Phytopl Count'!M18=0,"",'Phytopl Count'!M18*'Phytopl Count'!M$13/'Phytopl Count'!M$8)</f>
        <v/>
      </c>
      <c r="N18" s="31" t="str">
        <f>IF('Phytopl Count'!N18=0,"",'Phytopl Count'!N18*'Phytopl Count'!N$13/'Phytopl Count'!N$8)</f>
        <v/>
      </c>
      <c r="O18" s="31" t="str">
        <f>IF('Phytopl Count'!O18=0,"",'Phytopl Count'!O18*'Phytopl Count'!O$13/'Phytopl Count'!O$8)</f>
        <v/>
      </c>
      <c r="P18" s="31" t="str">
        <f>IF('Phytopl Count'!P18=0,"",'Phytopl Count'!P18*'Phytopl Count'!P$13/'Phytopl Count'!P$8)</f>
        <v/>
      </c>
      <c r="Q18" s="31" t="str">
        <f>IF('Phytopl Count'!Q18=0,"",'Phytopl Count'!Q18*'Phytopl Count'!Q$13/'Phytopl Count'!Q$8)</f>
        <v/>
      </c>
      <c r="R18" s="31" t="str">
        <f>IF('Phytopl Count'!R18=0,"",'Phytopl Count'!R18*'Phytopl Count'!R$13/'Phytopl Count'!R$8)</f>
        <v/>
      </c>
      <c r="S18" s="31" t="str">
        <f>IF('Phytopl Count'!S18=0,"",'Phytopl Count'!S18*'Phytopl Count'!S$13/'Phytopl Count'!S$8)</f>
        <v/>
      </c>
      <c r="T18" s="31" t="str">
        <f>IF('Phytopl Count'!T18=0,"",'Phytopl Count'!T18*'Phytopl Count'!T$13/'Phytopl Count'!T$8)</f>
        <v/>
      </c>
      <c r="U18" s="31" t="str">
        <f>IF('Phytopl Count'!U18=0,"",'Phytopl Count'!U18*'Phytopl Count'!U$13/'Phytopl Count'!U$8)</f>
        <v/>
      </c>
      <c r="V18" s="31" t="str">
        <f>IF('Phytopl Count'!V18=0,"",'Phytopl Count'!V18*'Phytopl Count'!V$13/'Phytopl Count'!V$8)</f>
        <v/>
      </c>
      <c r="W18" s="31" t="str">
        <f>IF('Phytopl Count'!W18=0,"",'Phytopl Count'!W18*'Phytopl Count'!W$13/'Phytopl Count'!W$8)</f>
        <v/>
      </c>
      <c r="X18" s="31" t="str">
        <f>IF('Phytopl Count'!X18=0,"",'Phytopl Count'!X18*'Phytopl Count'!X$13/'Phytopl Count'!X$8)</f>
        <v/>
      </c>
      <c r="Y18" s="31" t="str">
        <f>IF('Phytopl Count'!Y18=0,"",'Phytopl Count'!Y18*'Phytopl Count'!Y$13/'Phytopl Count'!Y$8)</f>
        <v/>
      </c>
      <c r="Z18" s="31" t="str">
        <f>IF('Phytopl Count'!Z18=0,"",'Phytopl Count'!Z18*'Phytopl Count'!Z$13/'Phytopl Count'!Z$8)</f>
        <v/>
      </c>
      <c r="AA18" s="31" t="str">
        <f>IF('Phytopl Count'!AA18=0,"",'Phytopl Count'!AA18*'Phytopl Count'!AA$13/'Phytopl Count'!AA$8)</f>
        <v/>
      </c>
      <c r="AB18" s="31" t="str">
        <f>IF('Phytopl Count'!AB18=0,"",'Phytopl Count'!AB18*'Phytopl Count'!AB$13/'Phytopl Count'!AB$8)</f>
        <v/>
      </c>
      <c r="AC18" s="31" t="str">
        <f>IF('Phytopl Count'!AC18=0,"",'Phytopl Count'!AC18*'Phytopl Count'!AC$13/'Phytopl Count'!AC$8)</f>
        <v/>
      </c>
      <c r="AD18" s="31" t="str">
        <f>IF('Phytopl Count'!AD18=0,"",'Phytopl Count'!AD18*'Phytopl Count'!AD$13/'Phytopl Count'!AD$8)</f>
        <v/>
      </c>
      <c r="AE18" s="31" t="str">
        <f>IF('Phytopl Count'!AE18=0,"",'Phytopl Count'!AE18*'Phytopl Count'!AE$13/'Phytopl Count'!AE$8)</f>
        <v/>
      </c>
      <c r="AF18" s="31" t="str">
        <f>IF('Phytopl Count'!AF18=0,"",'Phytopl Count'!AF18*'Phytopl Count'!AF$13/'Phytopl Count'!AF$8)</f>
        <v/>
      </c>
    </row>
    <row r="19" spans="1:32" s="4" customFormat="1">
      <c r="A19" s="5"/>
      <c r="B19" s="5"/>
      <c r="C19" s="5"/>
      <c r="D19" s="5"/>
      <c r="E19" s="10" t="s">
        <v>6</v>
      </c>
      <c r="F19" s="11" t="s">
        <v>265</v>
      </c>
      <c r="G19" s="31" t="str">
        <f>IF('Phytopl Count'!G19=0,"",'Phytopl Count'!G19*'Phytopl Count'!G$13/'Phytopl Count'!G$8)</f>
        <v/>
      </c>
      <c r="H19" s="31" t="str">
        <f>IF('Phytopl Count'!H19=0,"",'Phytopl Count'!H19*'Phytopl Count'!H$13/'Phytopl Count'!H$8)</f>
        <v/>
      </c>
      <c r="I19" s="31" t="str">
        <f>IF('Phytopl Count'!I19=0,"",'Phytopl Count'!I19*'Phytopl Count'!I$13/'Phytopl Count'!I$8)</f>
        <v/>
      </c>
      <c r="J19" s="31" t="str">
        <f>IF('Phytopl Count'!J19=0,"",'Phytopl Count'!J19*'Phytopl Count'!J$13/'Phytopl Count'!J$8)</f>
        <v/>
      </c>
      <c r="K19" s="31" t="str">
        <f>IF('Phytopl Count'!K19=0,"",'Phytopl Count'!K19*'Phytopl Count'!K$13/'Phytopl Count'!K$8)</f>
        <v/>
      </c>
      <c r="L19" s="31" t="str">
        <f>IF('Phytopl Count'!L19=0,"",'Phytopl Count'!L19*'Phytopl Count'!L$13/'Phytopl Count'!L$8)</f>
        <v/>
      </c>
      <c r="M19" s="31" t="str">
        <f>IF('Phytopl Count'!M19=0,"",'Phytopl Count'!M19*'Phytopl Count'!M$13/'Phytopl Count'!M$8)</f>
        <v/>
      </c>
      <c r="N19" s="31" t="str">
        <f>IF('Phytopl Count'!N19=0,"",'Phytopl Count'!N19*'Phytopl Count'!N$13/'Phytopl Count'!N$8)</f>
        <v/>
      </c>
      <c r="O19" s="31">
        <f>IF('Phytopl Count'!O19=0,"",'Phytopl Count'!O19*'Phytopl Count'!O$13/'Phytopl Count'!O$8)</f>
        <v>3.2031183515350004E-2</v>
      </c>
      <c r="P19" s="31" t="str">
        <f>IF('Phytopl Count'!P19=0,"",'Phytopl Count'!P19*'Phytopl Count'!P$13/'Phytopl Count'!P$8)</f>
        <v/>
      </c>
      <c r="Q19" s="31" t="str">
        <f>IF('Phytopl Count'!Q19=0,"",'Phytopl Count'!Q19*'Phytopl Count'!Q$13/'Phytopl Count'!Q$8)</f>
        <v/>
      </c>
      <c r="R19" s="31" t="str">
        <f>IF('Phytopl Count'!R19=0,"",'Phytopl Count'!R19*'Phytopl Count'!R$13/'Phytopl Count'!R$8)</f>
        <v/>
      </c>
      <c r="S19" s="31" t="str">
        <f>IF('Phytopl Count'!S19=0,"",'Phytopl Count'!S19*'Phytopl Count'!S$13/'Phytopl Count'!S$8)</f>
        <v/>
      </c>
      <c r="T19" s="31" t="str">
        <f>IF('Phytopl Count'!T19=0,"",'Phytopl Count'!T19*'Phytopl Count'!T$13/'Phytopl Count'!T$8)</f>
        <v/>
      </c>
      <c r="U19" s="31" t="str">
        <f>IF('Phytopl Count'!U19=0,"",'Phytopl Count'!U19*'Phytopl Count'!U$13/'Phytopl Count'!U$8)</f>
        <v/>
      </c>
      <c r="V19" s="31" t="str">
        <f>IF('Phytopl Count'!V19=0,"",'Phytopl Count'!V19*'Phytopl Count'!V$13/'Phytopl Count'!V$8)</f>
        <v/>
      </c>
      <c r="W19" s="31" t="str">
        <f>IF('Phytopl Count'!W19=0,"",'Phytopl Count'!W19*'Phytopl Count'!W$13/'Phytopl Count'!W$8)</f>
        <v/>
      </c>
      <c r="X19" s="31" t="str">
        <f>IF('Phytopl Count'!X19=0,"",'Phytopl Count'!X19*'Phytopl Count'!X$13/'Phytopl Count'!X$8)</f>
        <v/>
      </c>
      <c r="Y19" s="31" t="str">
        <f>IF('Phytopl Count'!Y19=0,"",'Phytopl Count'!Y19*'Phytopl Count'!Y$13/'Phytopl Count'!Y$8)</f>
        <v/>
      </c>
      <c r="Z19" s="31" t="str">
        <f>IF('Phytopl Count'!Z19=0,"",'Phytopl Count'!Z19*'Phytopl Count'!Z$13/'Phytopl Count'!Z$8)</f>
        <v/>
      </c>
      <c r="AA19" s="31" t="str">
        <f>IF('Phytopl Count'!AA19=0,"",'Phytopl Count'!AA19*'Phytopl Count'!AA$13/'Phytopl Count'!AA$8)</f>
        <v/>
      </c>
      <c r="AB19" s="31" t="str">
        <f>IF('Phytopl Count'!AB19=0,"",'Phytopl Count'!AB19*'Phytopl Count'!AB$13/'Phytopl Count'!AB$8)</f>
        <v/>
      </c>
      <c r="AC19" s="31" t="str">
        <f>IF('Phytopl Count'!AC19=0,"",'Phytopl Count'!AC19*'Phytopl Count'!AC$13/'Phytopl Count'!AC$8)</f>
        <v/>
      </c>
      <c r="AD19" s="31" t="str">
        <f>IF('Phytopl Count'!AD19=0,"",'Phytopl Count'!AD19*'Phytopl Count'!AD$13/'Phytopl Count'!AD$8)</f>
        <v/>
      </c>
      <c r="AE19" s="31" t="str">
        <f>IF('Phytopl Count'!AE19=0,"",'Phytopl Count'!AE19*'Phytopl Count'!AE$13/'Phytopl Count'!AE$8)</f>
        <v/>
      </c>
      <c r="AF19" s="31" t="str">
        <f>IF('Phytopl Count'!AF19=0,"",'Phytopl Count'!AF19*'Phytopl Count'!AF$13/'Phytopl Count'!AF$8)</f>
        <v/>
      </c>
    </row>
    <row r="20" spans="1:32">
      <c r="F20" s="11" t="s">
        <v>171</v>
      </c>
      <c r="G20" s="31" t="str">
        <f>IF('Phytopl Count'!G20=0,"",'Phytopl Count'!G20*'Phytopl Count'!G$13/'Phytopl Count'!G$8)</f>
        <v/>
      </c>
      <c r="H20" s="31" t="str">
        <f>IF('Phytopl Count'!H20=0,"",'Phytopl Count'!H20*'Phytopl Count'!H$13/'Phytopl Count'!H$8)</f>
        <v/>
      </c>
      <c r="I20" s="31" t="str">
        <f>IF('Phytopl Count'!I20=0,"",'Phytopl Count'!I20*'Phytopl Count'!I$13/'Phytopl Count'!I$8)</f>
        <v/>
      </c>
      <c r="J20" s="31" t="str">
        <f>IF('Phytopl Count'!J20=0,"",'Phytopl Count'!J20*'Phytopl Count'!J$13/'Phytopl Count'!J$8)</f>
        <v/>
      </c>
      <c r="K20" s="31" t="str">
        <f>IF('Phytopl Count'!K20=0,"",'Phytopl Count'!K20*'Phytopl Count'!K$13/'Phytopl Count'!K$8)</f>
        <v/>
      </c>
      <c r="L20" s="31" t="str">
        <f>IF('Phytopl Count'!L20=0,"",'Phytopl Count'!L20*'Phytopl Count'!L$13/'Phytopl Count'!L$8)</f>
        <v/>
      </c>
      <c r="M20" s="31" t="str">
        <f>IF('Phytopl Count'!M20=0,"",'Phytopl Count'!M20*'Phytopl Count'!M$13/'Phytopl Count'!M$8)</f>
        <v/>
      </c>
      <c r="N20" s="31" t="str">
        <f>IF('Phytopl Count'!N20=0,"",'Phytopl Count'!N20*'Phytopl Count'!N$13/'Phytopl Count'!N$8)</f>
        <v/>
      </c>
      <c r="O20" s="31" t="str">
        <f>IF('Phytopl Count'!O20=0,"",'Phytopl Count'!O20*'Phytopl Count'!O$13/'Phytopl Count'!O$8)</f>
        <v/>
      </c>
      <c r="P20" s="31" t="str">
        <f>IF('Phytopl Count'!P20=0,"",'Phytopl Count'!P20*'Phytopl Count'!P$13/'Phytopl Count'!P$8)</f>
        <v/>
      </c>
      <c r="Q20" s="31" t="str">
        <f>IF('Phytopl Count'!Q20=0,"",'Phytopl Count'!Q20*'Phytopl Count'!Q$13/'Phytopl Count'!Q$8)</f>
        <v/>
      </c>
      <c r="R20" s="31" t="str">
        <f>IF('Phytopl Count'!R20=0,"",'Phytopl Count'!R20*'Phytopl Count'!R$13/'Phytopl Count'!R$8)</f>
        <v/>
      </c>
      <c r="S20" s="31" t="str">
        <f>IF('Phytopl Count'!S20=0,"",'Phytopl Count'!S20*'Phytopl Count'!S$13/'Phytopl Count'!S$8)</f>
        <v/>
      </c>
      <c r="T20" s="31" t="str">
        <f>IF('Phytopl Count'!T20=0,"",'Phytopl Count'!T20*'Phytopl Count'!T$13/'Phytopl Count'!T$8)</f>
        <v/>
      </c>
      <c r="U20" s="31" t="str">
        <f>IF('Phytopl Count'!U20=0,"",'Phytopl Count'!U20*'Phytopl Count'!U$13/'Phytopl Count'!U$8)</f>
        <v/>
      </c>
      <c r="V20" s="31" t="str">
        <f>IF('Phytopl Count'!V20=0,"",'Phytopl Count'!V20*'Phytopl Count'!V$13/'Phytopl Count'!V$8)</f>
        <v/>
      </c>
      <c r="W20" s="31" t="str">
        <f>IF('Phytopl Count'!W20=0,"",'Phytopl Count'!W20*'Phytopl Count'!W$13/'Phytopl Count'!W$8)</f>
        <v/>
      </c>
      <c r="X20" s="31" t="str">
        <f>IF('Phytopl Count'!X20=0,"",'Phytopl Count'!X20*'Phytopl Count'!X$13/'Phytopl Count'!X$8)</f>
        <v/>
      </c>
      <c r="Y20" s="31" t="str">
        <f>IF('Phytopl Count'!Y20=0,"",'Phytopl Count'!Y20*'Phytopl Count'!Y$13/'Phytopl Count'!Y$8)</f>
        <v/>
      </c>
      <c r="Z20" s="31" t="str">
        <f>IF('Phytopl Count'!Z20=0,"",'Phytopl Count'!Z20*'Phytopl Count'!Z$13/'Phytopl Count'!Z$8)</f>
        <v/>
      </c>
      <c r="AA20" s="31" t="str">
        <f>IF('Phytopl Count'!AA20=0,"",'Phytopl Count'!AA20*'Phytopl Count'!AA$13/'Phytopl Count'!AA$8)</f>
        <v/>
      </c>
      <c r="AB20" s="31" t="str">
        <f>IF('Phytopl Count'!AB20=0,"",'Phytopl Count'!AB20*'Phytopl Count'!AB$13/'Phytopl Count'!AB$8)</f>
        <v/>
      </c>
      <c r="AC20" s="31" t="str">
        <f>IF('Phytopl Count'!AC20=0,"",'Phytopl Count'!AC20*'Phytopl Count'!AC$13/'Phytopl Count'!AC$8)</f>
        <v/>
      </c>
      <c r="AD20" s="31" t="str">
        <f>IF('Phytopl Count'!AD20=0,"",'Phytopl Count'!AD20*'Phytopl Count'!AD$13/'Phytopl Count'!AD$8)</f>
        <v/>
      </c>
      <c r="AE20" s="31" t="str">
        <f>IF('Phytopl Count'!AE20=0,"",'Phytopl Count'!AE20*'Phytopl Count'!AE$13/'Phytopl Count'!AE$8)</f>
        <v/>
      </c>
      <c r="AF20" s="31" t="str">
        <f>IF('Phytopl Count'!AF20=0,"",'Phytopl Count'!AF20*'Phytopl Count'!AF$13/'Phytopl Count'!AF$8)</f>
        <v/>
      </c>
    </row>
    <row r="21" spans="1:32">
      <c r="F21" s="11" t="s">
        <v>184</v>
      </c>
      <c r="G21" s="31">
        <f>IF('Phytopl Count'!G21=0,"",'Phytopl Count'!G21*'Phytopl Count'!G$13/'Phytopl Count'!G$8)</f>
        <v>0.61926954796343348</v>
      </c>
      <c r="H21" s="31">
        <f>IF('Phytopl Count'!H21=0,"",'Phytopl Count'!H21*'Phytopl Count'!H$13/'Phytopl Count'!H$8)</f>
        <v>2.3062452131052003</v>
      </c>
      <c r="I21" s="31">
        <f>IF('Phytopl Count'!I21=0,"",'Phytopl Count'!I21*'Phytopl Count'!I$13/'Phytopl Count'!I$8)</f>
        <v>1.1210914230372502</v>
      </c>
      <c r="J21" s="31">
        <f>IF('Phytopl Count'!J21=0,"",'Phytopl Count'!J21*'Phytopl Count'!J$13/'Phytopl Count'!J$8)</f>
        <v>0.52050673212443754</v>
      </c>
      <c r="K21" s="31">
        <f>IF('Phytopl Count'!K21=0,"",'Phytopl Count'!K21*'Phytopl Count'!K$13/'Phytopl Count'!K$8)</f>
        <v>0.70468603733770008</v>
      </c>
      <c r="L21" s="31">
        <f>IF('Phytopl Count'!L21=0,"",'Phytopl Count'!L21*'Phytopl Count'!L$13/'Phytopl Count'!L$8)</f>
        <v>0.7687484043684002</v>
      </c>
      <c r="M21" s="31">
        <f>IF('Phytopl Count'!M21=0,"",'Phytopl Count'!M21*'Phytopl Count'!M$13/'Phytopl Count'!M$8)</f>
        <v>8.0077958788375009E-2</v>
      </c>
      <c r="N21" s="31">
        <f>IF('Phytopl Count'!N21=0,"",'Phytopl Count'!N21*'Phytopl Count'!N$13/'Phytopl Count'!N$8)</f>
        <v>1.5374968087368004</v>
      </c>
      <c r="O21" s="31">
        <f>IF('Phytopl Count'!O21=0,"",'Phytopl Count'!O21*'Phytopl Count'!O$13/'Phytopl Count'!O$8)</f>
        <v>0.83281077139910009</v>
      </c>
      <c r="P21" s="31">
        <f>IF('Phytopl Count'!P21=0,"",'Phytopl Count'!P21*'Phytopl Count'!P$13/'Phytopl Count'!P$8)</f>
        <v>1.7937462768596002</v>
      </c>
      <c r="Q21" s="31">
        <f>IF('Phytopl Count'!Q21=0,"",'Phytopl Count'!Q21*'Phytopl Count'!Q$13/'Phytopl Count'!Q$8)</f>
        <v>0.88085754667212501</v>
      </c>
      <c r="R21" s="31">
        <f>IF('Phytopl Count'!R21=0,"",'Phytopl Count'!R21*'Phytopl Count'!R$13/'Phytopl Count'!R$8)</f>
        <v>0.3843742021842001</v>
      </c>
      <c r="S21" s="31">
        <f>IF('Phytopl Count'!S21=0,"",'Phytopl Count'!S21*'Phytopl Count'!S$13/'Phytopl Count'!S$8)</f>
        <v>0.33632742691117506</v>
      </c>
      <c r="T21" s="31">
        <f>IF('Phytopl Count'!T21=0,"",'Phytopl Count'!T21*'Phytopl Count'!T$13/'Phytopl Count'!T$8)</f>
        <v>5.669519482216951</v>
      </c>
      <c r="U21" s="31">
        <f>IF('Phytopl Count'!U21=0,"",'Phytopl Count'!U21*'Phytopl Count'!U$13/'Phytopl Count'!U$8)</f>
        <v>0.64062367030700007</v>
      </c>
      <c r="V21" s="31">
        <f>IF('Phytopl Count'!V21=0,"",'Phytopl Count'!V21*'Phytopl Count'!V$13/'Phytopl Count'!V$8)</f>
        <v>0.48046775273025005</v>
      </c>
      <c r="W21" s="31">
        <f>IF('Phytopl Count'!W21=0,"",'Phytopl Count'!W21*'Phytopl Count'!W$13/'Phytopl Count'!W$8)</f>
        <v>1.2492161570986502</v>
      </c>
      <c r="X21" s="31">
        <f>IF('Phytopl Count'!X21=0,"",'Phytopl Count'!X21*'Phytopl Count'!X$13/'Phytopl Count'!X$8)</f>
        <v>0.44843656921490005</v>
      </c>
      <c r="Y21" s="31">
        <f>IF('Phytopl Count'!Y21=0,"",'Phytopl Count'!Y21*'Phytopl Count'!Y$13/'Phytopl Count'!Y$8)</f>
        <v>7.2070162909537508E-2</v>
      </c>
      <c r="Z21" s="31">
        <f>IF('Phytopl Count'!Z21=0,"",'Phytopl Count'!Z21*'Phytopl Count'!Z$13/'Phytopl Count'!Z$8)</f>
        <v>24.151512370573901</v>
      </c>
      <c r="AA21" s="31">
        <f>IF('Phytopl Count'!AA21=0,"",'Phytopl Count'!AA21*'Phytopl Count'!AA$13/'Phytopl Count'!AA$8)</f>
        <v>0.32031183515350004</v>
      </c>
      <c r="AB21" s="31">
        <f>IF('Phytopl Count'!AB21=0,"",'Phytopl Count'!AB21*'Phytopl Count'!AB$13/'Phytopl Count'!AB$8)</f>
        <v>0.40038979394187507</v>
      </c>
      <c r="AC21" s="31">
        <f>IF('Phytopl Count'!AC21=0,"",'Phytopl Count'!AC21*'Phytopl Count'!AC$13/'Phytopl Count'!AC$8)</f>
        <v>0.8968731384298001</v>
      </c>
      <c r="AD21" s="31">
        <f>IF('Phytopl Count'!AD21=0,"",'Phytopl Count'!AD21*'Phytopl Count'!AD$13/'Phytopl Count'!AD$8)</f>
        <v>2.21015166255915</v>
      </c>
      <c r="AE21" s="31">
        <f>IF('Phytopl Count'!AE21=0,"",'Phytopl Count'!AE21*'Phytopl Count'!AE$13/'Phytopl Count'!AE$8)</f>
        <v>7.2070162909537508E-2</v>
      </c>
      <c r="AF21" s="31">
        <f>IF('Phytopl Count'!AF21=0,"",'Phytopl Count'!AF21*'Phytopl Count'!AF$13/'Phytopl Count'!AF$8)</f>
        <v>0.12812473406140001</v>
      </c>
    </row>
    <row r="22" spans="1:32">
      <c r="A22" s="16"/>
      <c r="B22" s="16"/>
      <c r="C22" s="16" t="s">
        <v>73</v>
      </c>
      <c r="D22" s="4" t="s">
        <v>300</v>
      </c>
      <c r="E22" s="4"/>
      <c r="F22" s="9"/>
      <c r="G22" s="31" t="str">
        <f>IF('Phytopl Count'!G22=0,"",'Phytopl Count'!G22*'Phytopl Count'!G$13/'Phytopl Count'!G$8)</f>
        <v/>
      </c>
      <c r="H22" s="31" t="str">
        <f>IF('Phytopl Count'!H22=0,"",'Phytopl Count'!H22*'Phytopl Count'!H$13/'Phytopl Count'!H$8)</f>
        <v/>
      </c>
      <c r="I22" s="31" t="str">
        <f>IF('Phytopl Count'!I22=0,"",'Phytopl Count'!I22*'Phytopl Count'!I$13/'Phytopl Count'!I$8)</f>
        <v/>
      </c>
      <c r="J22" s="31" t="str">
        <f>IF('Phytopl Count'!J22=0,"",'Phytopl Count'!J22*'Phytopl Count'!J$13/'Phytopl Count'!J$8)</f>
        <v/>
      </c>
      <c r="K22" s="31" t="str">
        <f>IF('Phytopl Count'!K22=0,"",'Phytopl Count'!K22*'Phytopl Count'!K$13/'Phytopl Count'!K$8)</f>
        <v/>
      </c>
      <c r="L22" s="31" t="str">
        <f>IF('Phytopl Count'!L22=0,"",'Phytopl Count'!L22*'Phytopl Count'!L$13/'Phytopl Count'!L$8)</f>
        <v/>
      </c>
      <c r="M22" s="31" t="str">
        <f>IF('Phytopl Count'!M22=0,"",'Phytopl Count'!M22*'Phytopl Count'!M$13/'Phytopl Count'!M$8)</f>
        <v/>
      </c>
      <c r="N22" s="31" t="str">
        <f>IF('Phytopl Count'!N22=0,"",'Phytopl Count'!N22*'Phytopl Count'!N$13/'Phytopl Count'!N$8)</f>
        <v/>
      </c>
      <c r="O22" s="31" t="str">
        <f>IF('Phytopl Count'!O22=0,"",'Phytopl Count'!O22*'Phytopl Count'!O$13/'Phytopl Count'!O$8)</f>
        <v/>
      </c>
      <c r="P22" s="31" t="str">
        <f>IF('Phytopl Count'!P22=0,"",'Phytopl Count'!P22*'Phytopl Count'!P$13/'Phytopl Count'!P$8)</f>
        <v/>
      </c>
      <c r="Q22" s="31" t="str">
        <f>IF('Phytopl Count'!Q22=0,"",'Phytopl Count'!Q22*'Phytopl Count'!Q$13/'Phytopl Count'!Q$8)</f>
        <v/>
      </c>
      <c r="R22" s="31" t="str">
        <f>IF('Phytopl Count'!R22=0,"",'Phytopl Count'!R22*'Phytopl Count'!R$13/'Phytopl Count'!R$8)</f>
        <v/>
      </c>
      <c r="S22" s="31" t="str">
        <f>IF('Phytopl Count'!S22=0,"",'Phytopl Count'!S22*'Phytopl Count'!S$13/'Phytopl Count'!S$8)</f>
        <v/>
      </c>
      <c r="T22" s="31" t="str">
        <f>IF('Phytopl Count'!T22=0,"",'Phytopl Count'!T22*'Phytopl Count'!T$13/'Phytopl Count'!T$8)</f>
        <v/>
      </c>
      <c r="U22" s="31" t="str">
        <f>IF('Phytopl Count'!U22=0,"",'Phytopl Count'!U22*'Phytopl Count'!U$13/'Phytopl Count'!U$8)</f>
        <v/>
      </c>
      <c r="V22" s="31" t="str">
        <f>IF('Phytopl Count'!V22=0,"",'Phytopl Count'!V22*'Phytopl Count'!V$13/'Phytopl Count'!V$8)</f>
        <v/>
      </c>
      <c r="W22" s="31" t="str">
        <f>IF('Phytopl Count'!W22=0,"",'Phytopl Count'!W22*'Phytopl Count'!W$13/'Phytopl Count'!W$8)</f>
        <v/>
      </c>
      <c r="X22" s="31" t="str">
        <f>IF('Phytopl Count'!X22=0,"",'Phytopl Count'!X22*'Phytopl Count'!X$13/'Phytopl Count'!X$8)</f>
        <v/>
      </c>
      <c r="Y22" s="31" t="str">
        <f>IF('Phytopl Count'!Y22=0,"",'Phytopl Count'!Y22*'Phytopl Count'!Y$13/'Phytopl Count'!Y$8)</f>
        <v/>
      </c>
      <c r="Z22" s="31" t="str">
        <f>IF('Phytopl Count'!Z22=0,"",'Phytopl Count'!Z22*'Phytopl Count'!Z$13/'Phytopl Count'!Z$8)</f>
        <v/>
      </c>
      <c r="AA22" s="31" t="str">
        <f>IF('Phytopl Count'!AA22=0,"",'Phytopl Count'!AA22*'Phytopl Count'!AA$13/'Phytopl Count'!AA$8)</f>
        <v/>
      </c>
      <c r="AB22" s="31" t="str">
        <f>IF('Phytopl Count'!AB22=0,"",'Phytopl Count'!AB22*'Phytopl Count'!AB$13/'Phytopl Count'!AB$8)</f>
        <v/>
      </c>
      <c r="AC22" s="31" t="str">
        <f>IF('Phytopl Count'!AC22=0,"",'Phytopl Count'!AC22*'Phytopl Count'!AC$13/'Phytopl Count'!AC$8)</f>
        <v/>
      </c>
      <c r="AD22" s="31" t="str">
        <f>IF('Phytopl Count'!AD22=0,"",'Phytopl Count'!AD22*'Phytopl Count'!AD$13/'Phytopl Count'!AD$8)</f>
        <v/>
      </c>
      <c r="AE22" s="31" t="str">
        <f>IF('Phytopl Count'!AE22=0,"",'Phytopl Count'!AE22*'Phytopl Count'!AE$13/'Phytopl Count'!AE$8)</f>
        <v/>
      </c>
      <c r="AF22" s="31" t="str">
        <f>IF('Phytopl Count'!AF22=0,"",'Phytopl Count'!AF22*'Phytopl Count'!AF$13/'Phytopl Count'!AF$8)</f>
        <v/>
      </c>
    </row>
    <row r="23" spans="1:32">
      <c r="A23" s="16"/>
      <c r="B23" s="10"/>
      <c r="C23" s="95"/>
      <c r="D23" s="95" t="s">
        <v>5</v>
      </c>
      <c r="E23" s="158" t="s">
        <v>342</v>
      </c>
      <c r="F23" s="97"/>
      <c r="G23" s="31" t="str">
        <f>IF('Phytopl Count'!G23=0,"",'Phytopl Count'!G23*'Phytopl Count'!G$13/'Phytopl Count'!G$8)</f>
        <v/>
      </c>
      <c r="H23" s="31" t="str">
        <f>IF('Phytopl Count'!H23=0,"",'Phytopl Count'!H23*'Phytopl Count'!H$13/'Phytopl Count'!H$8)</f>
        <v/>
      </c>
      <c r="I23" s="31" t="str">
        <f>IF('Phytopl Count'!I23=0,"",'Phytopl Count'!I23*'Phytopl Count'!I$13/'Phytopl Count'!I$8)</f>
        <v/>
      </c>
      <c r="J23" s="31" t="str">
        <f>IF('Phytopl Count'!J23=0,"",'Phytopl Count'!J23*'Phytopl Count'!J$13/'Phytopl Count'!J$8)</f>
        <v/>
      </c>
      <c r="K23" s="31" t="str">
        <f>IF('Phytopl Count'!K23=0,"",'Phytopl Count'!K23*'Phytopl Count'!K$13/'Phytopl Count'!K$8)</f>
        <v/>
      </c>
      <c r="L23" s="31" t="str">
        <f>IF('Phytopl Count'!L23=0,"",'Phytopl Count'!L23*'Phytopl Count'!L$13/'Phytopl Count'!L$8)</f>
        <v/>
      </c>
      <c r="M23" s="31" t="str">
        <f>IF('Phytopl Count'!M23=0,"",'Phytopl Count'!M23*'Phytopl Count'!M$13/'Phytopl Count'!M$8)</f>
        <v/>
      </c>
      <c r="N23" s="31" t="str">
        <f>IF('Phytopl Count'!N23=0,"",'Phytopl Count'!N23*'Phytopl Count'!N$13/'Phytopl Count'!N$8)</f>
        <v/>
      </c>
      <c r="O23" s="31" t="str">
        <f>IF('Phytopl Count'!O23=0,"",'Phytopl Count'!O23*'Phytopl Count'!O$13/'Phytopl Count'!O$8)</f>
        <v/>
      </c>
      <c r="P23" s="31" t="str">
        <f>IF('Phytopl Count'!P23=0,"",'Phytopl Count'!P23*'Phytopl Count'!P$13/'Phytopl Count'!P$8)</f>
        <v/>
      </c>
      <c r="Q23" s="31" t="str">
        <f>IF('Phytopl Count'!Q23=0,"",'Phytopl Count'!Q23*'Phytopl Count'!Q$13/'Phytopl Count'!Q$8)</f>
        <v/>
      </c>
      <c r="R23" s="31" t="str">
        <f>IF('Phytopl Count'!R23=0,"",'Phytopl Count'!R23*'Phytopl Count'!R$13/'Phytopl Count'!R$8)</f>
        <v/>
      </c>
      <c r="S23" s="31" t="str">
        <f>IF('Phytopl Count'!S23=0,"",'Phytopl Count'!S23*'Phytopl Count'!S$13/'Phytopl Count'!S$8)</f>
        <v/>
      </c>
      <c r="T23" s="31" t="str">
        <f>IF('Phytopl Count'!T23=0,"",'Phytopl Count'!T23*'Phytopl Count'!T$13/'Phytopl Count'!T$8)</f>
        <v/>
      </c>
      <c r="U23" s="31" t="str">
        <f>IF('Phytopl Count'!U23=0,"",'Phytopl Count'!U23*'Phytopl Count'!U$13/'Phytopl Count'!U$8)</f>
        <v/>
      </c>
      <c r="V23" s="31" t="str">
        <f>IF('Phytopl Count'!V23=0,"",'Phytopl Count'!V23*'Phytopl Count'!V$13/'Phytopl Count'!V$8)</f>
        <v/>
      </c>
      <c r="W23" s="31" t="str">
        <f>IF('Phytopl Count'!W23=0,"",'Phytopl Count'!W23*'Phytopl Count'!W$13/'Phytopl Count'!W$8)</f>
        <v/>
      </c>
      <c r="X23" s="31" t="str">
        <f>IF('Phytopl Count'!X23=0,"",'Phytopl Count'!X23*'Phytopl Count'!X$13/'Phytopl Count'!X$8)</f>
        <v/>
      </c>
      <c r="Y23" s="31" t="str">
        <f>IF('Phytopl Count'!Y23=0,"",'Phytopl Count'!Y23*'Phytopl Count'!Y$13/'Phytopl Count'!Y$8)</f>
        <v/>
      </c>
      <c r="Z23" s="31" t="str">
        <f>IF('Phytopl Count'!Z23=0,"",'Phytopl Count'!Z23*'Phytopl Count'!Z$13/'Phytopl Count'!Z$8)</f>
        <v/>
      </c>
      <c r="AA23" s="31" t="str">
        <f>IF('Phytopl Count'!AA23=0,"",'Phytopl Count'!AA23*'Phytopl Count'!AA$13/'Phytopl Count'!AA$8)</f>
        <v/>
      </c>
      <c r="AB23" s="31" t="str">
        <f>IF('Phytopl Count'!AB23=0,"",'Phytopl Count'!AB23*'Phytopl Count'!AB$13/'Phytopl Count'!AB$8)</f>
        <v/>
      </c>
      <c r="AC23" s="31" t="str">
        <f>IF('Phytopl Count'!AC23=0,"",'Phytopl Count'!AC23*'Phytopl Count'!AC$13/'Phytopl Count'!AC$8)</f>
        <v/>
      </c>
      <c r="AD23" s="31" t="str">
        <f>IF('Phytopl Count'!AD23=0,"",'Phytopl Count'!AD23*'Phytopl Count'!AD$13/'Phytopl Count'!AD$8)</f>
        <v/>
      </c>
      <c r="AE23" s="31" t="str">
        <f>IF('Phytopl Count'!AE23=0,"",'Phytopl Count'!AE23*'Phytopl Count'!AE$13/'Phytopl Count'!AE$8)</f>
        <v/>
      </c>
      <c r="AF23" s="31" t="str">
        <f>IF('Phytopl Count'!AF23=0,"",'Phytopl Count'!AF23*'Phytopl Count'!AF$13/'Phytopl Count'!AF$8)</f>
        <v/>
      </c>
    </row>
    <row r="24" spans="1:32">
      <c r="A24" s="16"/>
      <c r="B24" s="101"/>
      <c r="C24" s="101"/>
      <c r="D24" s="101"/>
      <c r="E24" s="102" t="s">
        <v>6</v>
      </c>
      <c r="F24" s="11" t="s">
        <v>343</v>
      </c>
      <c r="G24" s="31" t="str">
        <f>IF('Phytopl Count'!G24=0,"",'Phytopl Count'!G24*'Phytopl Count'!G$13/'Phytopl Count'!G$8)</f>
        <v/>
      </c>
      <c r="H24" s="31" t="str">
        <f>IF('Phytopl Count'!H24=0,"",'Phytopl Count'!H24*'Phytopl Count'!H$13/'Phytopl Count'!H$8)</f>
        <v/>
      </c>
      <c r="I24" s="31" t="str">
        <f>IF('Phytopl Count'!I24=0,"",'Phytopl Count'!I24*'Phytopl Count'!I$13/'Phytopl Count'!I$8)</f>
        <v/>
      </c>
      <c r="J24" s="31" t="str">
        <f>IF('Phytopl Count'!J24=0,"",'Phytopl Count'!J24*'Phytopl Count'!J$13/'Phytopl Count'!J$8)</f>
        <v/>
      </c>
      <c r="K24" s="31" t="str">
        <f>IF('Phytopl Count'!K24=0,"",'Phytopl Count'!K24*'Phytopl Count'!K$13/'Phytopl Count'!K$8)</f>
        <v/>
      </c>
      <c r="L24" s="31" t="str">
        <f>IF('Phytopl Count'!L24=0,"",'Phytopl Count'!L24*'Phytopl Count'!L$13/'Phytopl Count'!L$8)</f>
        <v/>
      </c>
      <c r="M24" s="31" t="str">
        <f>IF('Phytopl Count'!M24=0,"",'Phytopl Count'!M24*'Phytopl Count'!M$13/'Phytopl Count'!M$8)</f>
        <v/>
      </c>
      <c r="N24" s="31" t="str">
        <f>IF('Phytopl Count'!N24=0,"",'Phytopl Count'!N24*'Phytopl Count'!N$13/'Phytopl Count'!N$8)</f>
        <v/>
      </c>
      <c r="O24" s="31" t="str">
        <f>IF('Phytopl Count'!O24=0,"",'Phytopl Count'!O24*'Phytopl Count'!O$13/'Phytopl Count'!O$8)</f>
        <v/>
      </c>
      <c r="P24" s="31" t="str">
        <f>IF('Phytopl Count'!P24=0,"",'Phytopl Count'!P24*'Phytopl Count'!P$13/'Phytopl Count'!P$8)</f>
        <v/>
      </c>
      <c r="Q24" s="31" t="str">
        <f>IF('Phytopl Count'!Q24=0,"",'Phytopl Count'!Q24*'Phytopl Count'!Q$13/'Phytopl Count'!Q$8)</f>
        <v/>
      </c>
      <c r="R24" s="31" t="str">
        <f>IF('Phytopl Count'!R24=0,"",'Phytopl Count'!R24*'Phytopl Count'!R$13/'Phytopl Count'!R$8)</f>
        <v/>
      </c>
      <c r="S24" s="31" t="str">
        <f>IF('Phytopl Count'!S24=0,"",'Phytopl Count'!S24*'Phytopl Count'!S$13/'Phytopl Count'!S$8)</f>
        <v/>
      </c>
      <c r="T24" s="31" t="str">
        <f>IF('Phytopl Count'!T24=0,"",'Phytopl Count'!T24*'Phytopl Count'!T$13/'Phytopl Count'!T$8)</f>
        <v/>
      </c>
      <c r="U24" s="31" t="str">
        <f>IF('Phytopl Count'!U24=0,"",'Phytopl Count'!U24*'Phytopl Count'!U$13/'Phytopl Count'!U$8)</f>
        <v/>
      </c>
      <c r="V24" s="31" t="str">
        <f>IF('Phytopl Count'!V24=0,"",'Phytopl Count'!V24*'Phytopl Count'!V$13/'Phytopl Count'!V$8)</f>
        <v/>
      </c>
      <c r="W24" s="31" t="str">
        <f>IF('Phytopl Count'!W24=0,"",'Phytopl Count'!W24*'Phytopl Count'!W$13/'Phytopl Count'!W$8)</f>
        <v/>
      </c>
      <c r="X24" s="31" t="str">
        <f>IF('Phytopl Count'!X24=0,"",'Phytopl Count'!X24*'Phytopl Count'!X$13/'Phytopl Count'!X$8)</f>
        <v/>
      </c>
      <c r="Y24" s="31" t="str">
        <f>IF('Phytopl Count'!Y24=0,"",'Phytopl Count'!Y24*'Phytopl Count'!Y$13/'Phytopl Count'!Y$8)</f>
        <v/>
      </c>
      <c r="Z24" s="31">
        <f>IF('Phytopl Count'!Z24=0,"",'Phytopl Count'!Z24*'Phytopl Count'!Z$13/'Phytopl Count'!Z$8)</f>
        <v>0.31230403927466255</v>
      </c>
      <c r="AA24" s="31" t="str">
        <f>IF('Phytopl Count'!AA24=0,"",'Phytopl Count'!AA24*'Phytopl Count'!AA$13/'Phytopl Count'!AA$8)</f>
        <v/>
      </c>
      <c r="AB24" s="31" t="str">
        <f>IF('Phytopl Count'!AB24=0,"",'Phytopl Count'!AB24*'Phytopl Count'!AB$13/'Phytopl Count'!AB$8)</f>
        <v/>
      </c>
      <c r="AC24" s="31" t="str">
        <f>IF('Phytopl Count'!AC24=0,"",'Phytopl Count'!AC24*'Phytopl Count'!AC$13/'Phytopl Count'!AC$8)</f>
        <v/>
      </c>
      <c r="AD24" s="31" t="str">
        <f>IF('Phytopl Count'!AD24=0,"",'Phytopl Count'!AD24*'Phytopl Count'!AD$13/'Phytopl Count'!AD$8)</f>
        <v/>
      </c>
      <c r="AE24" s="31" t="str">
        <f>IF('Phytopl Count'!AE24=0,"",'Phytopl Count'!AE24*'Phytopl Count'!AE$13/'Phytopl Count'!AE$8)</f>
        <v/>
      </c>
      <c r="AF24" s="31" t="str">
        <f>IF('Phytopl Count'!AF24=0,"",'Phytopl Count'!AF24*'Phytopl Count'!AF$13/'Phytopl Count'!AF$8)</f>
        <v/>
      </c>
    </row>
    <row r="25" spans="1:32" hidden="1">
      <c r="A25" s="10"/>
      <c r="B25" s="10"/>
      <c r="C25" s="95"/>
      <c r="D25" s="95" t="s">
        <v>5</v>
      </c>
      <c r="E25" s="105" t="s">
        <v>275</v>
      </c>
      <c r="F25" s="97"/>
      <c r="G25" s="31" t="str">
        <f>IF('Phytopl Count'!G25=0,"",'Phytopl Count'!G25*'Phytopl Count'!G$13/'Phytopl Count'!G$8)</f>
        <v/>
      </c>
      <c r="H25" s="31" t="str">
        <f>IF('Phytopl Count'!H25=0,"",'Phytopl Count'!H25*'Phytopl Count'!H$13/'Phytopl Count'!H$8)</f>
        <v/>
      </c>
      <c r="I25" s="31" t="str">
        <f>IF('Phytopl Count'!I25=0,"",'Phytopl Count'!I25*'Phytopl Count'!I$13/'Phytopl Count'!I$8)</f>
        <v/>
      </c>
      <c r="J25" s="31" t="str">
        <f>IF('Phytopl Count'!J25=0,"",'Phytopl Count'!J25*'Phytopl Count'!J$13/'Phytopl Count'!J$8)</f>
        <v/>
      </c>
      <c r="K25" s="31" t="str">
        <f>IF('Phytopl Count'!K25=0,"",'Phytopl Count'!K25*'Phytopl Count'!K$13/'Phytopl Count'!K$8)</f>
        <v/>
      </c>
      <c r="L25" s="31" t="str">
        <f>IF('Phytopl Count'!L25=0,"",'Phytopl Count'!L25*'Phytopl Count'!L$13/'Phytopl Count'!L$8)</f>
        <v/>
      </c>
      <c r="M25" s="31" t="str">
        <f>IF('Phytopl Count'!M25=0,"",'Phytopl Count'!M25*'Phytopl Count'!M$13/'Phytopl Count'!M$8)</f>
        <v/>
      </c>
      <c r="N25" s="31" t="str">
        <f>IF('Phytopl Count'!N25=0,"",'Phytopl Count'!N25*'Phytopl Count'!N$13/'Phytopl Count'!N$8)</f>
        <v/>
      </c>
      <c r="O25" s="31" t="str">
        <f>IF('Phytopl Count'!O25=0,"",'Phytopl Count'!O25*'Phytopl Count'!O$13/'Phytopl Count'!O$8)</f>
        <v/>
      </c>
      <c r="P25" s="31" t="str">
        <f>IF('Phytopl Count'!P25=0,"",'Phytopl Count'!P25*'Phytopl Count'!P$13/'Phytopl Count'!P$8)</f>
        <v/>
      </c>
      <c r="Q25" s="31" t="str">
        <f>IF('Phytopl Count'!Q25=0,"",'Phytopl Count'!Q25*'Phytopl Count'!Q$13/'Phytopl Count'!Q$8)</f>
        <v/>
      </c>
      <c r="R25" s="31" t="str">
        <f>IF('Phytopl Count'!R25=0,"",'Phytopl Count'!R25*'Phytopl Count'!R$13/'Phytopl Count'!R$8)</f>
        <v/>
      </c>
      <c r="S25" s="31" t="str">
        <f>IF('Phytopl Count'!S25=0,"",'Phytopl Count'!S25*'Phytopl Count'!S$13/'Phytopl Count'!S$8)</f>
        <v/>
      </c>
      <c r="T25" s="31" t="str">
        <f>IF('Phytopl Count'!T25=0,"",'Phytopl Count'!T25*'Phytopl Count'!T$13/'Phytopl Count'!T$8)</f>
        <v/>
      </c>
      <c r="U25" s="31" t="str">
        <f>IF('Phytopl Count'!U25=0,"",'Phytopl Count'!U25*'Phytopl Count'!U$13/'Phytopl Count'!U$8)</f>
        <v/>
      </c>
      <c r="V25" s="31" t="str">
        <f>IF('Phytopl Count'!V25=0,"",'Phytopl Count'!V25*'Phytopl Count'!V$13/'Phytopl Count'!V$8)</f>
        <v/>
      </c>
      <c r="W25" s="31" t="str">
        <f>IF('Phytopl Count'!W25=0,"",'Phytopl Count'!W25*'Phytopl Count'!W$13/'Phytopl Count'!W$8)</f>
        <v/>
      </c>
      <c r="X25" s="31" t="str">
        <f>IF('Phytopl Count'!X25=0,"",'Phytopl Count'!X25*'Phytopl Count'!X$13/'Phytopl Count'!X$8)</f>
        <v/>
      </c>
      <c r="Y25" s="31" t="str">
        <f>IF('Phytopl Count'!Y25=0,"",'Phytopl Count'!Y25*'Phytopl Count'!Y$13/'Phytopl Count'!Y$8)</f>
        <v/>
      </c>
      <c r="Z25" s="31" t="str">
        <f>IF('Phytopl Count'!Z25=0,"",'Phytopl Count'!Z25*'Phytopl Count'!Z$13/'Phytopl Count'!Z$8)</f>
        <v/>
      </c>
      <c r="AA25" s="31" t="str">
        <f>IF('Phytopl Count'!AA25=0,"",'Phytopl Count'!AA25*'Phytopl Count'!AA$13/'Phytopl Count'!AA$8)</f>
        <v/>
      </c>
      <c r="AB25" s="31" t="str">
        <f>IF('Phytopl Count'!AB25=0,"",'Phytopl Count'!AB25*'Phytopl Count'!AB$13/'Phytopl Count'!AB$8)</f>
        <v/>
      </c>
      <c r="AC25" s="31" t="str">
        <f>IF('Phytopl Count'!AC25=0,"",'Phytopl Count'!AC25*'Phytopl Count'!AC$13/'Phytopl Count'!AC$8)</f>
        <v/>
      </c>
      <c r="AD25" s="31" t="str">
        <f>IF('Phytopl Count'!AD25=0,"",'Phytopl Count'!AD25*'Phytopl Count'!AD$13/'Phytopl Count'!AD$8)</f>
        <v/>
      </c>
      <c r="AE25" s="31" t="str">
        <f>IF('Phytopl Count'!AE25=0,"",'Phytopl Count'!AE25*'Phytopl Count'!AE$13/'Phytopl Count'!AE$8)</f>
        <v/>
      </c>
      <c r="AF25" s="31" t="str">
        <f>IF('Phytopl Count'!AF25=0,"",'Phytopl Count'!AF25*'Phytopl Count'!AF$13/'Phytopl Count'!AF$8)</f>
        <v/>
      </c>
    </row>
    <row r="26" spans="1:32" hidden="1">
      <c r="A26" s="101"/>
      <c r="B26" s="101"/>
      <c r="C26" s="101"/>
      <c r="D26" s="101"/>
      <c r="E26" s="102" t="s">
        <v>6</v>
      </c>
      <c r="F26" s="11" t="s">
        <v>274</v>
      </c>
      <c r="G26" s="31" t="str">
        <f>IF('Phytopl Count'!G26=0,"",'Phytopl Count'!G26*'Phytopl Count'!G$13/'Phytopl Count'!G$8)</f>
        <v/>
      </c>
      <c r="H26" s="31" t="str">
        <f>IF('Phytopl Count'!H26=0,"",'Phytopl Count'!H26*'Phytopl Count'!H$13/'Phytopl Count'!H$8)</f>
        <v/>
      </c>
      <c r="I26" s="31" t="str">
        <f>IF('Phytopl Count'!I26=0,"",'Phytopl Count'!I26*'Phytopl Count'!I$13/'Phytopl Count'!I$8)</f>
        <v/>
      </c>
      <c r="J26" s="31" t="str">
        <f>IF('Phytopl Count'!J26=0,"",'Phytopl Count'!J26*'Phytopl Count'!J$13/'Phytopl Count'!J$8)</f>
        <v/>
      </c>
      <c r="K26" s="31" t="str">
        <f>IF('Phytopl Count'!K26=0,"",'Phytopl Count'!K26*'Phytopl Count'!K$13/'Phytopl Count'!K$8)</f>
        <v/>
      </c>
      <c r="L26" s="31" t="str">
        <f>IF('Phytopl Count'!L26=0,"",'Phytopl Count'!L26*'Phytopl Count'!L$13/'Phytopl Count'!L$8)</f>
        <v/>
      </c>
      <c r="M26" s="31" t="str">
        <f>IF('Phytopl Count'!M26=0,"",'Phytopl Count'!M26*'Phytopl Count'!M$13/'Phytopl Count'!M$8)</f>
        <v/>
      </c>
      <c r="N26" s="31" t="str">
        <f>IF('Phytopl Count'!N26=0,"",'Phytopl Count'!N26*'Phytopl Count'!N$13/'Phytopl Count'!N$8)</f>
        <v/>
      </c>
      <c r="O26" s="31" t="str">
        <f>IF('Phytopl Count'!O26=0,"",'Phytopl Count'!O26*'Phytopl Count'!O$13/'Phytopl Count'!O$8)</f>
        <v/>
      </c>
      <c r="P26" s="31" t="str">
        <f>IF('Phytopl Count'!P26=0,"",'Phytopl Count'!P26*'Phytopl Count'!P$13/'Phytopl Count'!P$8)</f>
        <v/>
      </c>
      <c r="Q26" s="31" t="str">
        <f>IF('Phytopl Count'!Q26=0,"",'Phytopl Count'!Q26*'Phytopl Count'!Q$13/'Phytopl Count'!Q$8)</f>
        <v/>
      </c>
      <c r="R26" s="31" t="str">
        <f>IF('Phytopl Count'!R26=0,"",'Phytopl Count'!R26*'Phytopl Count'!R$13/'Phytopl Count'!R$8)</f>
        <v/>
      </c>
      <c r="S26" s="31" t="str">
        <f>IF('Phytopl Count'!S26=0,"",'Phytopl Count'!S26*'Phytopl Count'!S$13/'Phytopl Count'!S$8)</f>
        <v/>
      </c>
      <c r="T26" s="31" t="str">
        <f>IF('Phytopl Count'!T26=0,"",'Phytopl Count'!T26*'Phytopl Count'!T$13/'Phytopl Count'!T$8)</f>
        <v/>
      </c>
      <c r="U26" s="31" t="str">
        <f>IF('Phytopl Count'!U26=0,"",'Phytopl Count'!U26*'Phytopl Count'!U$13/'Phytopl Count'!U$8)</f>
        <v/>
      </c>
      <c r="V26" s="31" t="str">
        <f>IF('Phytopl Count'!V26=0,"",'Phytopl Count'!V26*'Phytopl Count'!V$13/'Phytopl Count'!V$8)</f>
        <v/>
      </c>
      <c r="W26" s="31" t="str">
        <f>IF('Phytopl Count'!W26=0,"",'Phytopl Count'!W26*'Phytopl Count'!W$13/'Phytopl Count'!W$8)</f>
        <v/>
      </c>
      <c r="X26" s="31" t="str">
        <f>IF('Phytopl Count'!X26=0,"",'Phytopl Count'!X26*'Phytopl Count'!X$13/'Phytopl Count'!X$8)</f>
        <v/>
      </c>
      <c r="Y26" s="31" t="str">
        <f>IF('Phytopl Count'!Y26=0,"",'Phytopl Count'!Y26*'Phytopl Count'!Y$13/'Phytopl Count'!Y$8)</f>
        <v/>
      </c>
      <c r="Z26" s="31" t="str">
        <f>IF('Phytopl Count'!Z26=0,"",'Phytopl Count'!Z26*'Phytopl Count'!Z$13/'Phytopl Count'!Z$8)</f>
        <v/>
      </c>
      <c r="AA26" s="31" t="str">
        <f>IF('Phytopl Count'!AA26=0,"",'Phytopl Count'!AA26*'Phytopl Count'!AA$13/'Phytopl Count'!AA$8)</f>
        <v/>
      </c>
      <c r="AB26" s="31" t="str">
        <f>IF('Phytopl Count'!AB26=0,"",'Phytopl Count'!AB26*'Phytopl Count'!AB$13/'Phytopl Count'!AB$8)</f>
        <v/>
      </c>
      <c r="AC26" s="31" t="str">
        <f>IF('Phytopl Count'!AC26=0,"",'Phytopl Count'!AC26*'Phytopl Count'!AC$13/'Phytopl Count'!AC$8)</f>
        <v/>
      </c>
      <c r="AD26" s="31" t="str">
        <f>IF('Phytopl Count'!AD26=0,"",'Phytopl Count'!AD26*'Phytopl Count'!AD$13/'Phytopl Count'!AD$8)</f>
        <v/>
      </c>
      <c r="AE26" s="31" t="str">
        <f>IF('Phytopl Count'!AE26=0,"",'Phytopl Count'!AE26*'Phytopl Count'!AE$13/'Phytopl Count'!AE$8)</f>
        <v/>
      </c>
      <c r="AF26" s="31" t="str">
        <f>IF('Phytopl Count'!AF26=0,"",'Phytopl Count'!AF26*'Phytopl Count'!AF$13/'Phytopl Count'!AF$8)</f>
        <v/>
      </c>
    </row>
    <row r="27" spans="1:32" hidden="1">
      <c r="A27" s="16"/>
      <c r="B27" s="16"/>
      <c r="C27" s="16" t="s">
        <v>73</v>
      </c>
      <c r="D27" s="4" t="s">
        <v>249</v>
      </c>
      <c r="E27" s="4"/>
      <c r="F27" s="59"/>
      <c r="G27" s="31" t="str">
        <f>IF('Phytopl Count'!G27=0,"",'Phytopl Count'!G27*'Phytopl Count'!G$13/'Phytopl Count'!G$8)</f>
        <v/>
      </c>
      <c r="H27" s="31" t="str">
        <f>IF('Phytopl Count'!H27=0,"",'Phytopl Count'!H27*'Phytopl Count'!H$13/'Phytopl Count'!H$8)</f>
        <v/>
      </c>
      <c r="I27" s="31" t="str">
        <f>IF('Phytopl Count'!I27=0,"",'Phytopl Count'!I27*'Phytopl Count'!I$13/'Phytopl Count'!I$8)</f>
        <v/>
      </c>
      <c r="J27" s="31" t="str">
        <f>IF('Phytopl Count'!J27=0,"",'Phytopl Count'!J27*'Phytopl Count'!J$13/'Phytopl Count'!J$8)</f>
        <v/>
      </c>
      <c r="K27" s="31" t="str">
        <f>IF('Phytopl Count'!K27=0,"",'Phytopl Count'!K27*'Phytopl Count'!K$13/'Phytopl Count'!K$8)</f>
        <v/>
      </c>
      <c r="L27" s="31" t="str">
        <f>IF('Phytopl Count'!L27=0,"",'Phytopl Count'!L27*'Phytopl Count'!L$13/'Phytopl Count'!L$8)</f>
        <v/>
      </c>
      <c r="M27" s="31" t="str">
        <f>IF('Phytopl Count'!M27=0,"",'Phytopl Count'!M27*'Phytopl Count'!M$13/'Phytopl Count'!M$8)</f>
        <v/>
      </c>
      <c r="N27" s="31" t="str">
        <f>IF('Phytopl Count'!N27=0,"",'Phytopl Count'!N27*'Phytopl Count'!N$13/'Phytopl Count'!N$8)</f>
        <v/>
      </c>
      <c r="O27" s="31" t="str">
        <f>IF('Phytopl Count'!O27=0,"",'Phytopl Count'!O27*'Phytopl Count'!O$13/'Phytopl Count'!O$8)</f>
        <v/>
      </c>
      <c r="P27" s="31" t="str">
        <f>IF('Phytopl Count'!P27=0,"",'Phytopl Count'!P27*'Phytopl Count'!P$13/'Phytopl Count'!P$8)</f>
        <v/>
      </c>
      <c r="Q27" s="31" t="str">
        <f>IF('Phytopl Count'!Q27=0,"",'Phytopl Count'!Q27*'Phytopl Count'!Q$13/'Phytopl Count'!Q$8)</f>
        <v/>
      </c>
      <c r="R27" s="31" t="str">
        <f>IF('Phytopl Count'!R27=0,"",'Phytopl Count'!R27*'Phytopl Count'!R$13/'Phytopl Count'!R$8)</f>
        <v/>
      </c>
      <c r="S27" s="31" t="str">
        <f>IF('Phytopl Count'!S27=0,"",'Phytopl Count'!S27*'Phytopl Count'!S$13/'Phytopl Count'!S$8)</f>
        <v/>
      </c>
      <c r="T27" s="31" t="str">
        <f>IF('Phytopl Count'!T27=0,"",'Phytopl Count'!T27*'Phytopl Count'!T$13/'Phytopl Count'!T$8)</f>
        <v/>
      </c>
      <c r="U27" s="31" t="str">
        <f>IF('Phytopl Count'!U27=0,"",'Phytopl Count'!U27*'Phytopl Count'!U$13/'Phytopl Count'!U$8)</f>
        <v/>
      </c>
      <c r="V27" s="31" t="str">
        <f>IF('Phytopl Count'!V27=0,"",'Phytopl Count'!V27*'Phytopl Count'!V$13/'Phytopl Count'!V$8)</f>
        <v/>
      </c>
      <c r="W27" s="31" t="str">
        <f>IF('Phytopl Count'!W27=0,"",'Phytopl Count'!W27*'Phytopl Count'!W$13/'Phytopl Count'!W$8)</f>
        <v/>
      </c>
      <c r="X27" s="31" t="str">
        <f>IF('Phytopl Count'!X27=0,"",'Phytopl Count'!X27*'Phytopl Count'!X$13/'Phytopl Count'!X$8)</f>
        <v/>
      </c>
      <c r="Y27" s="31" t="str">
        <f>IF('Phytopl Count'!Y27=0,"",'Phytopl Count'!Y27*'Phytopl Count'!Y$13/'Phytopl Count'!Y$8)</f>
        <v/>
      </c>
      <c r="Z27" s="31" t="str">
        <f>IF('Phytopl Count'!Z27=0,"",'Phytopl Count'!Z27*'Phytopl Count'!Z$13/'Phytopl Count'!Z$8)</f>
        <v/>
      </c>
      <c r="AA27" s="31" t="str">
        <f>IF('Phytopl Count'!AA27=0,"",'Phytopl Count'!AA27*'Phytopl Count'!AA$13/'Phytopl Count'!AA$8)</f>
        <v/>
      </c>
      <c r="AB27" s="31" t="str">
        <f>IF('Phytopl Count'!AB27=0,"",'Phytopl Count'!AB27*'Phytopl Count'!AB$13/'Phytopl Count'!AB$8)</f>
        <v/>
      </c>
      <c r="AC27" s="31" t="str">
        <f>IF('Phytopl Count'!AC27=0,"",'Phytopl Count'!AC27*'Phytopl Count'!AC$13/'Phytopl Count'!AC$8)</f>
        <v/>
      </c>
      <c r="AD27" s="31" t="str">
        <f>IF('Phytopl Count'!AD27=0,"",'Phytopl Count'!AD27*'Phytopl Count'!AD$13/'Phytopl Count'!AD$8)</f>
        <v/>
      </c>
      <c r="AE27" s="31" t="str">
        <f>IF('Phytopl Count'!AE27=0,"",'Phytopl Count'!AE27*'Phytopl Count'!AE$13/'Phytopl Count'!AE$8)</f>
        <v/>
      </c>
      <c r="AF27" s="31" t="str">
        <f>IF('Phytopl Count'!AF27=0,"",'Phytopl Count'!AF27*'Phytopl Count'!AF$13/'Phytopl Count'!AF$8)</f>
        <v/>
      </c>
    </row>
    <row r="28" spans="1:32" hidden="1">
      <c r="A28" s="95"/>
      <c r="B28" s="95"/>
      <c r="C28" s="95"/>
      <c r="D28" s="95" t="s">
        <v>5</v>
      </c>
      <c r="E28" s="96" t="s">
        <v>250</v>
      </c>
      <c r="F28" s="97"/>
      <c r="G28" s="31" t="str">
        <f>IF('Phytopl Count'!G28=0,"",'Phytopl Count'!G28*'Phytopl Count'!G$13/'Phytopl Count'!G$8)</f>
        <v/>
      </c>
      <c r="H28" s="31" t="str">
        <f>IF('Phytopl Count'!H28=0,"",'Phytopl Count'!H28*'Phytopl Count'!H$13/'Phytopl Count'!H$8)</f>
        <v/>
      </c>
      <c r="I28" s="31" t="str">
        <f>IF('Phytopl Count'!I28=0,"",'Phytopl Count'!I28*'Phytopl Count'!I$13/'Phytopl Count'!I$8)</f>
        <v/>
      </c>
      <c r="J28" s="31" t="str">
        <f>IF('Phytopl Count'!J28=0,"",'Phytopl Count'!J28*'Phytopl Count'!J$13/'Phytopl Count'!J$8)</f>
        <v/>
      </c>
      <c r="K28" s="31" t="str">
        <f>IF('Phytopl Count'!K28=0,"",'Phytopl Count'!K28*'Phytopl Count'!K$13/'Phytopl Count'!K$8)</f>
        <v/>
      </c>
      <c r="L28" s="31" t="str">
        <f>IF('Phytopl Count'!L28=0,"",'Phytopl Count'!L28*'Phytopl Count'!L$13/'Phytopl Count'!L$8)</f>
        <v/>
      </c>
      <c r="M28" s="31" t="str">
        <f>IF('Phytopl Count'!M28=0,"",'Phytopl Count'!M28*'Phytopl Count'!M$13/'Phytopl Count'!M$8)</f>
        <v/>
      </c>
      <c r="N28" s="31" t="str">
        <f>IF('Phytopl Count'!N28=0,"",'Phytopl Count'!N28*'Phytopl Count'!N$13/'Phytopl Count'!N$8)</f>
        <v/>
      </c>
      <c r="O28" s="31" t="str">
        <f>IF('Phytopl Count'!O28=0,"",'Phytopl Count'!O28*'Phytopl Count'!O$13/'Phytopl Count'!O$8)</f>
        <v/>
      </c>
      <c r="P28" s="31" t="str">
        <f>IF('Phytopl Count'!P28=0,"",'Phytopl Count'!P28*'Phytopl Count'!P$13/'Phytopl Count'!P$8)</f>
        <v/>
      </c>
      <c r="Q28" s="31" t="str">
        <f>IF('Phytopl Count'!Q28=0,"",'Phytopl Count'!Q28*'Phytopl Count'!Q$13/'Phytopl Count'!Q$8)</f>
        <v/>
      </c>
      <c r="R28" s="31" t="str">
        <f>IF('Phytopl Count'!R28=0,"",'Phytopl Count'!R28*'Phytopl Count'!R$13/'Phytopl Count'!R$8)</f>
        <v/>
      </c>
      <c r="S28" s="31" t="str">
        <f>IF('Phytopl Count'!S28=0,"",'Phytopl Count'!S28*'Phytopl Count'!S$13/'Phytopl Count'!S$8)</f>
        <v/>
      </c>
      <c r="T28" s="31" t="str">
        <f>IF('Phytopl Count'!T28=0,"",'Phytopl Count'!T28*'Phytopl Count'!T$13/'Phytopl Count'!T$8)</f>
        <v/>
      </c>
      <c r="U28" s="31" t="str">
        <f>IF('Phytopl Count'!U28=0,"",'Phytopl Count'!U28*'Phytopl Count'!U$13/'Phytopl Count'!U$8)</f>
        <v/>
      </c>
      <c r="V28" s="31" t="str">
        <f>IF('Phytopl Count'!V28=0,"",'Phytopl Count'!V28*'Phytopl Count'!V$13/'Phytopl Count'!V$8)</f>
        <v/>
      </c>
      <c r="W28" s="31" t="str">
        <f>IF('Phytopl Count'!W28=0,"",'Phytopl Count'!W28*'Phytopl Count'!W$13/'Phytopl Count'!W$8)</f>
        <v/>
      </c>
      <c r="X28" s="31" t="str">
        <f>IF('Phytopl Count'!X28=0,"",'Phytopl Count'!X28*'Phytopl Count'!X$13/'Phytopl Count'!X$8)</f>
        <v/>
      </c>
      <c r="Y28" s="31" t="str">
        <f>IF('Phytopl Count'!Y28=0,"",'Phytopl Count'!Y28*'Phytopl Count'!Y$13/'Phytopl Count'!Y$8)</f>
        <v/>
      </c>
      <c r="Z28" s="31" t="str">
        <f>IF('Phytopl Count'!Z28=0,"",'Phytopl Count'!Z28*'Phytopl Count'!Z$13/'Phytopl Count'!Z$8)</f>
        <v/>
      </c>
      <c r="AA28" s="31" t="str">
        <f>IF('Phytopl Count'!AA28=0,"",'Phytopl Count'!AA28*'Phytopl Count'!AA$13/'Phytopl Count'!AA$8)</f>
        <v/>
      </c>
      <c r="AB28" s="31" t="str">
        <f>IF('Phytopl Count'!AB28=0,"",'Phytopl Count'!AB28*'Phytopl Count'!AB$13/'Phytopl Count'!AB$8)</f>
        <v/>
      </c>
      <c r="AC28" s="31" t="str">
        <f>IF('Phytopl Count'!AC28=0,"",'Phytopl Count'!AC28*'Phytopl Count'!AC$13/'Phytopl Count'!AC$8)</f>
        <v/>
      </c>
      <c r="AD28" s="31" t="str">
        <f>IF('Phytopl Count'!AD28=0,"",'Phytopl Count'!AD28*'Phytopl Count'!AD$13/'Phytopl Count'!AD$8)</f>
        <v/>
      </c>
      <c r="AE28" s="31" t="str">
        <f>IF('Phytopl Count'!AE28=0,"",'Phytopl Count'!AE28*'Phytopl Count'!AE$13/'Phytopl Count'!AE$8)</f>
        <v/>
      </c>
      <c r="AF28" s="31" t="str">
        <f>IF('Phytopl Count'!AF28=0,"",'Phytopl Count'!AF28*'Phytopl Count'!AF$13/'Phytopl Count'!AF$8)</f>
        <v/>
      </c>
    </row>
    <row r="29" spans="1:32" hidden="1">
      <c r="A29" s="96"/>
      <c r="B29" s="96"/>
      <c r="C29" s="96"/>
      <c r="D29" s="96"/>
      <c r="E29" s="95" t="s">
        <v>6</v>
      </c>
      <c r="F29" s="11" t="s">
        <v>251</v>
      </c>
      <c r="G29" s="31" t="str">
        <f>IF('Phytopl Count'!G29=0,"",'Phytopl Count'!G29*'Phytopl Count'!G$13/'Phytopl Count'!G$8)</f>
        <v/>
      </c>
      <c r="H29" s="31" t="str">
        <f>IF('Phytopl Count'!H29=0,"",'Phytopl Count'!H29*'Phytopl Count'!H$13/'Phytopl Count'!H$8)</f>
        <v/>
      </c>
      <c r="I29" s="31" t="str">
        <f>IF('Phytopl Count'!I29=0,"",'Phytopl Count'!I29*'Phytopl Count'!I$13/'Phytopl Count'!I$8)</f>
        <v/>
      </c>
      <c r="J29" s="31" t="str">
        <f>IF('Phytopl Count'!J29=0,"",'Phytopl Count'!J29*'Phytopl Count'!J$13/'Phytopl Count'!J$8)</f>
        <v/>
      </c>
      <c r="K29" s="31" t="str">
        <f>IF('Phytopl Count'!K29=0,"",'Phytopl Count'!K29*'Phytopl Count'!K$13/'Phytopl Count'!K$8)</f>
        <v/>
      </c>
      <c r="L29" s="31" t="str">
        <f>IF('Phytopl Count'!L29=0,"",'Phytopl Count'!L29*'Phytopl Count'!L$13/'Phytopl Count'!L$8)</f>
        <v/>
      </c>
      <c r="M29" s="31" t="str">
        <f>IF('Phytopl Count'!M29=0,"",'Phytopl Count'!M29*'Phytopl Count'!M$13/'Phytopl Count'!M$8)</f>
        <v/>
      </c>
      <c r="N29" s="31" t="str">
        <f>IF('Phytopl Count'!N29=0,"",'Phytopl Count'!N29*'Phytopl Count'!N$13/'Phytopl Count'!N$8)</f>
        <v/>
      </c>
      <c r="O29" s="31" t="str">
        <f>IF('Phytopl Count'!O29=0,"",'Phytopl Count'!O29*'Phytopl Count'!O$13/'Phytopl Count'!O$8)</f>
        <v/>
      </c>
      <c r="P29" s="31" t="str">
        <f>IF('Phytopl Count'!P29=0,"",'Phytopl Count'!P29*'Phytopl Count'!P$13/'Phytopl Count'!P$8)</f>
        <v/>
      </c>
      <c r="Q29" s="31" t="str">
        <f>IF('Phytopl Count'!Q29=0,"",'Phytopl Count'!Q29*'Phytopl Count'!Q$13/'Phytopl Count'!Q$8)</f>
        <v/>
      </c>
      <c r="R29" s="31" t="str">
        <f>IF('Phytopl Count'!R29=0,"",'Phytopl Count'!R29*'Phytopl Count'!R$13/'Phytopl Count'!R$8)</f>
        <v/>
      </c>
      <c r="S29" s="31" t="str">
        <f>IF('Phytopl Count'!S29=0,"",'Phytopl Count'!S29*'Phytopl Count'!S$13/'Phytopl Count'!S$8)</f>
        <v/>
      </c>
      <c r="T29" s="31" t="str">
        <f>IF('Phytopl Count'!T29=0,"",'Phytopl Count'!T29*'Phytopl Count'!T$13/'Phytopl Count'!T$8)</f>
        <v/>
      </c>
      <c r="U29" s="31" t="str">
        <f>IF('Phytopl Count'!U29=0,"",'Phytopl Count'!U29*'Phytopl Count'!U$13/'Phytopl Count'!U$8)</f>
        <v/>
      </c>
      <c r="V29" s="31" t="str">
        <f>IF('Phytopl Count'!V29=0,"",'Phytopl Count'!V29*'Phytopl Count'!V$13/'Phytopl Count'!V$8)</f>
        <v/>
      </c>
      <c r="W29" s="31" t="str">
        <f>IF('Phytopl Count'!W29=0,"",'Phytopl Count'!W29*'Phytopl Count'!W$13/'Phytopl Count'!W$8)</f>
        <v/>
      </c>
      <c r="X29" s="31" t="str">
        <f>IF('Phytopl Count'!X29=0,"",'Phytopl Count'!X29*'Phytopl Count'!X$13/'Phytopl Count'!X$8)</f>
        <v/>
      </c>
      <c r="Y29" s="31" t="str">
        <f>IF('Phytopl Count'!Y29=0,"",'Phytopl Count'!Y29*'Phytopl Count'!Y$13/'Phytopl Count'!Y$8)</f>
        <v/>
      </c>
      <c r="Z29" s="31" t="str">
        <f>IF('Phytopl Count'!Z29=0,"",'Phytopl Count'!Z29*'Phytopl Count'!Z$13/'Phytopl Count'!Z$8)</f>
        <v/>
      </c>
      <c r="AA29" s="31" t="str">
        <f>IF('Phytopl Count'!AA29=0,"",'Phytopl Count'!AA29*'Phytopl Count'!AA$13/'Phytopl Count'!AA$8)</f>
        <v/>
      </c>
      <c r="AB29" s="31" t="str">
        <f>IF('Phytopl Count'!AB29=0,"",'Phytopl Count'!AB29*'Phytopl Count'!AB$13/'Phytopl Count'!AB$8)</f>
        <v/>
      </c>
      <c r="AC29" s="31" t="str">
        <f>IF('Phytopl Count'!AC29=0,"",'Phytopl Count'!AC29*'Phytopl Count'!AC$13/'Phytopl Count'!AC$8)</f>
        <v/>
      </c>
      <c r="AD29" s="31" t="str">
        <f>IF('Phytopl Count'!AD29=0,"",'Phytopl Count'!AD29*'Phytopl Count'!AD$13/'Phytopl Count'!AD$8)</f>
        <v/>
      </c>
      <c r="AE29" s="31" t="str">
        <f>IF('Phytopl Count'!AE29=0,"",'Phytopl Count'!AE29*'Phytopl Count'!AE$13/'Phytopl Count'!AE$8)</f>
        <v/>
      </c>
      <c r="AF29" s="31" t="str">
        <f>IF('Phytopl Count'!AF29=0,"",'Phytopl Count'!AF29*'Phytopl Count'!AF$13/'Phytopl Count'!AF$8)</f>
        <v/>
      </c>
    </row>
    <row r="30" spans="1:32" hidden="1">
      <c r="A30" s="95"/>
      <c r="B30" s="95"/>
      <c r="C30" s="95"/>
      <c r="D30" s="95" t="s">
        <v>5</v>
      </c>
      <c r="E30" s="185" t="s">
        <v>416</v>
      </c>
      <c r="F30" s="97"/>
      <c r="G30" s="31" t="str">
        <f>IF('Phytopl Count'!G30=0,"",'Phytopl Count'!G30*'Phytopl Count'!G$13/'Phytopl Count'!G$8)</f>
        <v/>
      </c>
      <c r="H30" s="31" t="str">
        <f>IF('Phytopl Count'!H30=0,"",'Phytopl Count'!H30*'Phytopl Count'!H$13/'Phytopl Count'!H$8)</f>
        <v/>
      </c>
      <c r="I30" s="31" t="str">
        <f>IF('Phytopl Count'!I30=0,"",'Phytopl Count'!I30*'Phytopl Count'!I$13/'Phytopl Count'!I$8)</f>
        <v/>
      </c>
      <c r="J30" s="31" t="str">
        <f>IF('Phytopl Count'!J30=0,"",'Phytopl Count'!J30*'Phytopl Count'!J$13/'Phytopl Count'!J$8)</f>
        <v/>
      </c>
      <c r="K30" s="31" t="str">
        <f>IF('Phytopl Count'!K30=0,"",'Phytopl Count'!K30*'Phytopl Count'!K$13/'Phytopl Count'!K$8)</f>
        <v/>
      </c>
      <c r="L30" s="31" t="str">
        <f>IF('Phytopl Count'!L30=0,"",'Phytopl Count'!L30*'Phytopl Count'!L$13/'Phytopl Count'!L$8)</f>
        <v/>
      </c>
      <c r="M30" s="31" t="str">
        <f>IF('Phytopl Count'!M30=0,"",'Phytopl Count'!M30*'Phytopl Count'!M$13/'Phytopl Count'!M$8)</f>
        <v/>
      </c>
      <c r="N30" s="31" t="str">
        <f>IF('Phytopl Count'!N30=0,"",'Phytopl Count'!N30*'Phytopl Count'!N$13/'Phytopl Count'!N$8)</f>
        <v/>
      </c>
      <c r="O30" s="31" t="str">
        <f>IF('Phytopl Count'!O30=0,"",'Phytopl Count'!O30*'Phytopl Count'!O$13/'Phytopl Count'!O$8)</f>
        <v/>
      </c>
      <c r="P30" s="31" t="str">
        <f>IF('Phytopl Count'!P30=0,"",'Phytopl Count'!P30*'Phytopl Count'!P$13/'Phytopl Count'!P$8)</f>
        <v/>
      </c>
      <c r="Q30" s="31" t="str">
        <f>IF('Phytopl Count'!Q30=0,"",'Phytopl Count'!Q30*'Phytopl Count'!Q$13/'Phytopl Count'!Q$8)</f>
        <v/>
      </c>
      <c r="R30" s="31" t="str">
        <f>IF('Phytopl Count'!R30=0,"",'Phytopl Count'!R30*'Phytopl Count'!R$13/'Phytopl Count'!R$8)</f>
        <v/>
      </c>
      <c r="S30" s="31" t="str">
        <f>IF('Phytopl Count'!S30=0,"",'Phytopl Count'!S30*'Phytopl Count'!S$13/'Phytopl Count'!S$8)</f>
        <v/>
      </c>
      <c r="T30" s="31" t="str">
        <f>IF('Phytopl Count'!T30=0,"",'Phytopl Count'!T30*'Phytopl Count'!T$13/'Phytopl Count'!T$8)</f>
        <v/>
      </c>
      <c r="U30" s="31" t="str">
        <f>IF('Phytopl Count'!U30=0,"",'Phytopl Count'!U30*'Phytopl Count'!U$13/'Phytopl Count'!U$8)</f>
        <v/>
      </c>
      <c r="V30" s="31" t="str">
        <f>IF('Phytopl Count'!V30=0,"",'Phytopl Count'!V30*'Phytopl Count'!V$13/'Phytopl Count'!V$8)</f>
        <v/>
      </c>
      <c r="W30" s="31" t="str">
        <f>IF('Phytopl Count'!W30=0,"",'Phytopl Count'!W30*'Phytopl Count'!W$13/'Phytopl Count'!W$8)</f>
        <v/>
      </c>
      <c r="X30" s="31" t="str">
        <f>IF('Phytopl Count'!X30=0,"",'Phytopl Count'!X30*'Phytopl Count'!X$13/'Phytopl Count'!X$8)</f>
        <v/>
      </c>
      <c r="Y30" s="31" t="str">
        <f>IF('Phytopl Count'!Y30=0,"",'Phytopl Count'!Y30*'Phytopl Count'!Y$13/'Phytopl Count'!Y$8)</f>
        <v/>
      </c>
      <c r="Z30" s="31" t="str">
        <f>IF('Phytopl Count'!Z30=0,"",'Phytopl Count'!Z30*'Phytopl Count'!Z$13/'Phytopl Count'!Z$8)</f>
        <v/>
      </c>
      <c r="AA30" s="31" t="str">
        <f>IF('Phytopl Count'!AA30=0,"",'Phytopl Count'!AA30*'Phytopl Count'!AA$13/'Phytopl Count'!AA$8)</f>
        <v/>
      </c>
      <c r="AB30" s="31" t="str">
        <f>IF('Phytopl Count'!AB30=0,"",'Phytopl Count'!AB30*'Phytopl Count'!AB$13/'Phytopl Count'!AB$8)</f>
        <v/>
      </c>
      <c r="AC30" s="31" t="str">
        <f>IF('Phytopl Count'!AC30=0,"",'Phytopl Count'!AC30*'Phytopl Count'!AC$13/'Phytopl Count'!AC$8)</f>
        <v/>
      </c>
      <c r="AD30" s="31" t="str">
        <f>IF('Phytopl Count'!AD30=0,"",'Phytopl Count'!AD30*'Phytopl Count'!AD$13/'Phytopl Count'!AD$8)</f>
        <v/>
      </c>
      <c r="AE30" s="31" t="str">
        <f>IF('Phytopl Count'!AE30=0,"",'Phytopl Count'!AE30*'Phytopl Count'!AE$13/'Phytopl Count'!AE$8)</f>
        <v/>
      </c>
      <c r="AF30" s="31" t="str">
        <f>IF('Phytopl Count'!AF30=0,"",'Phytopl Count'!AF30*'Phytopl Count'!AF$13/'Phytopl Count'!AF$8)</f>
        <v/>
      </c>
    </row>
    <row r="31" spans="1:32" hidden="1">
      <c r="A31" s="96"/>
      <c r="B31" s="96"/>
      <c r="C31" s="96"/>
      <c r="D31" s="96"/>
      <c r="E31" s="95" t="s">
        <v>6</v>
      </c>
      <c r="F31" s="11" t="s">
        <v>417</v>
      </c>
      <c r="G31" s="31" t="str">
        <f>IF('Phytopl Count'!G31=0,"",'Phytopl Count'!G31*'Phytopl Count'!G$13/'Phytopl Count'!G$8)</f>
        <v/>
      </c>
      <c r="H31" s="31" t="str">
        <f>IF('Phytopl Count'!H31=0,"",'Phytopl Count'!H31*'Phytopl Count'!H$13/'Phytopl Count'!H$8)</f>
        <v/>
      </c>
      <c r="I31" s="31" t="str">
        <f>IF('Phytopl Count'!I31=0,"",'Phytopl Count'!I31*'Phytopl Count'!I$13/'Phytopl Count'!I$8)</f>
        <v/>
      </c>
      <c r="J31" s="31" t="str">
        <f>IF('Phytopl Count'!J31=0,"",'Phytopl Count'!J31*'Phytopl Count'!J$13/'Phytopl Count'!J$8)</f>
        <v/>
      </c>
      <c r="K31" s="31" t="str">
        <f>IF('Phytopl Count'!K31=0,"",'Phytopl Count'!K31*'Phytopl Count'!K$13/'Phytopl Count'!K$8)</f>
        <v/>
      </c>
      <c r="L31" s="31" t="str">
        <f>IF('Phytopl Count'!L31=0,"",'Phytopl Count'!L31*'Phytopl Count'!L$13/'Phytopl Count'!L$8)</f>
        <v/>
      </c>
      <c r="M31" s="31" t="str">
        <f>IF('Phytopl Count'!M31=0,"",'Phytopl Count'!M31*'Phytopl Count'!M$13/'Phytopl Count'!M$8)</f>
        <v/>
      </c>
      <c r="N31" s="31" t="str">
        <f>IF('Phytopl Count'!N31=0,"",'Phytopl Count'!N31*'Phytopl Count'!N$13/'Phytopl Count'!N$8)</f>
        <v/>
      </c>
      <c r="O31" s="31" t="str">
        <f>IF('Phytopl Count'!O31=0,"",'Phytopl Count'!O31*'Phytopl Count'!O$13/'Phytopl Count'!O$8)</f>
        <v/>
      </c>
      <c r="P31" s="31" t="str">
        <f>IF('Phytopl Count'!P31=0,"",'Phytopl Count'!P31*'Phytopl Count'!P$13/'Phytopl Count'!P$8)</f>
        <v/>
      </c>
      <c r="Q31" s="31" t="str">
        <f>IF('Phytopl Count'!Q31=0,"",'Phytopl Count'!Q31*'Phytopl Count'!Q$13/'Phytopl Count'!Q$8)</f>
        <v/>
      </c>
      <c r="R31" s="31" t="str">
        <f>IF('Phytopl Count'!R31=0,"",'Phytopl Count'!R31*'Phytopl Count'!R$13/'Phytopl Count'!R$8)</f>
        <v/>
      </c>
      <c r="S31" s="31" t="str">
        <f>IF('Phytopl Count'!S31=0,"",'Phytopl Count'!S31*'Phytopl Count'!S$13/'Phytopl Count'!S$8)</f>
        <v/>
      </c>
      <c r="T31" s="31" t="str">
        <f>IF('Phytopl Count'!T31=0,"",'Phytopl Count'!T31*'Phytopl Count'!T$13/'Phytopl Count'!T$8)</f>
        <v/>
      </c>
      <c r="U31" s="31" t="str">
        <f>IF('Phytopl Count'!U31=0,"",'Phytopl Count'!U31*'Phytopl Count'!U$13/'Phytopl Count'!U$8)</f>
        <v/>
      </c>
      <c r="V31" s="31" t="str">
        <f>IF('Phytopl Count'!V31=0,"",'Phytopl Count'!V31*'Phytopl Count'!V$13/'Phytopl Count'!V$8)</f>
        <v/>
      </c>
      <c r="W31" s="31" t="str">
        <f>IF('Phytopl Count'!W31=0,"",'Phytopl Count'!W31*'Phytopl Count'!W$13/'Phytopl Count'!W$8)</f>
        <v/>
      </c>
      <c r="X31" s="31" t="str">
        <f>IF('Phytopl Count'!X31=0,"",'Phytopl Count'!X31*'Phytopl Count'!X$13/'Phytopl Count'!X$8)</f>
        <v/>
      </c>
      <c r="Y31" s="31" t="str">
        <f>IF('Phytopl Count'!Y31=0,"",'Phytopl Count'!Y31*'Phytopl Count'!Y$13/'Phytopl Count'!Y$8)</f>
        <v/>
      </c>
      <c r="Z31" s="31" t="str">
        <f>IF('Phytopl Count'!Z31=0,"",'Phytopl Count'!Z31*'Phytopl Count'!Z$13/'Phytopl Count'!Z$8)</f>
        <v/>
      </c>
      <c r="AA31" s="31" t="str">
        <f>IF('Phytopl Count'!AA31=0,"",'Phytopl Count'!AA31*'Phytopl Count'!AA$13/'Phytopl Count'!AA$8)</f>
        <v/>
      </c>
      <c r="AB31" s="31" t="str">
        <f>IF('Phytopl Count'!AB31=0,"",'Phytopl Count'!AB31*'Phytopl Count'!AB$13/'Phytopl Count'!AB$8)</f>
        <v/>
      </c>
      <c r="AC31" s="31" t="str">
        <f>IF('Phytopl Count'!AC31=0,"",'Phytopl Count'!AC31*'Phytopl Count'!AC$13/'Phytopl Count'!AC$8)</f>
        <v/>
      </c>
      <c r="AD31" s="31" t="str">
        <f>IF('Phytopl Count'!AD31=0,"",'Phytopl Count'!AD31*'Phytopl Count'!AD$13/'Phytopl Count'!AD$8)</f>
        <v/>
      </c>
      <c r="AE31" s="31" t="str">
        <f>IF('Phytopl Count'!AE31=0,"",'Phytopl Count'!AE31*'Phytopl Count'!AE$13/'Phytopl Count'!AE$8)</f>
        <v/>
      </c>
      <c r="AF31" s="31" t="str">
        <f>IF('Phytopl Count'!AF31=0,"",'Phytopl Count'!AF31*'Phytopl Count'!AF$13/'Phytopl Count'!AF$8)</f>
        <v/>
      </c>
    </row>
    <row r="32" spans="1:32" s="4" customFormat="1" hidden="1">
      <c r="A32" s="16"/>
      <c r="B32" s="16"/>
      <c r="C32" s="16" t="s">
        <v>73</v>
      </c>
      <c r="D32" s="4" t="s">
        <v>139</v>
      </c>
      <c r="F32" s="59"/>
      <c r="G32" s="31" t="str">
        <f>IF('Phytopl Count'!G32=0,"",'Phytopl Count'!G32*'Phytopl Count'!G$13/'Phytopl Count'!G$8)</f>
        <v/>
      </c>
      <c r="H32" s="31" t="str">
        <f>IF('Phytopl Count'!H32=0,"",'Phytopl Count'!H32*'Phytopl Count'!H$13/'Phytopl Count'!H$8)</f>
        <v/>
      </c>
      <c r="I32" s="31" t="str">
        <f>IF('Phytopl Count'!I32=0,"",'Phytopl Count'!I32*'Phytopl Count'!I$13/'Phytopl Count'!I$8)</f>
        <v/>
      </c>
      <c r="J32" s="31" t="str">
        <f>IF('Phytopl Count'!J32=0,"",'Phytopl Count'!J32*'Phytopl Count'!J$13/'Phytopl Count'!J$8)</f>
        <v/>
      </c>
      <c r="K32" s="31" t="str">
        <f>IF('Phytopl Count'!K32=0,"",'Phytopl Count'!K32*'Phytopl Count'!K$13/'Phytopl Count'!K$8)</f>
        <v/>
      </c>
      <c r="L32" s="31" t="str">
        <f>IF('Phytopl Count'!L32=0,"",'Phytopl Count'!L32*'Phytopl Count'!L$13/'Phytopl Count'!L$8)</f>
        <v/>
      </c>
      <c r="M32" s="31" t="str">
        <f>IF('Phytopl Count'!M32=0,"",'Phytopl Count'!M32*'Phytopl Count'!M$13/'Phytopl Count'!M$8)</f>
        <v/>
      </c>
      <c r="N32" s="31" t="str">
        <f>IF('Phytopl Count'!N32=0,"",'Phytopl Count'!N32*'Phytopl Count'!N$13/'Phytopl Count'!N$8)</f>
        <v/>
      </c>
      <c r="O32" s="31" t="str">
        <f>IF('Phytopl Count'!O32=0,"",'Phytopl Count'!O32*'Phytopl Count'!O$13/'Phytopl Count'!O$8)</f>
        <v/>
      </c>
      <c r="P32" s="31" t="str">
        <f>IF('Phytopl Count'!P32=0,"",'Phytopl Count'!P32*'Phytopl Count'!P$13/'Phytopl Count'!P$8)</f>
        <v/>
      </c>
      <c r="Q32" s="31" t="str">
        <f>IF('Phytopl Count'!Q32=0,"",'Phytopl Count'!Q32*'Phytopl Count'!Q$13/'Phytopl Count'!Q$8)</f>
        <v/>
      </c>
      <c r="R32" s="31" t="str">
        <f>IF('Phytopl Count'!R32=0,"",'Phytopl Count'!R32*'Phytopl Count'!R$13/'Phytopl Count'!R$8)</f>
        <v/>
      </c>
      <c r="S32" s="31" t="str">
        <f>IF('Phytopl Count'!S32=0,"",'Phytopl Count'!S32*'Phytopl Count'!S$13/'Phytopl Count'!S$8)</f>
        <v/>
      </c>
      <c r="T32" s="31" t="str">
        <f>IF('Phytopl Count'!T32=0,"",'Phytopl Count'!T32*'Phytopl Count'!T$13/'Phytopl Count'!T$8)</f>
        <v/>
      </c>
      <c r="U32" s="31" t="str">
        <f>IF('Phytopl Count'!U32=0,"",'Phytopl Count'!U32*'Phytopl Count'!U$13/'Phytopl Count'!U$8)</f>
        <v/>
      </c>
      <c r="V32" s="31" t="str">
        <f>IF('Phytopl Count'!V32=0,"",'Phytopl Count'!V32*'Phytopl Count'!V$13/'Phytopl Count'!V$8)</f>
        <v/>
      </c>
      <c r="W32" s="31" t="str">
        <f>IF('Phytopl Count'!W32=0,"",'Phytopl Count'!W32*'Phytopl Count'!W$13/'Phytopl Count'!W$8)</f>
        <v/>
      </c>
      <c r="X32" s="31" t="str">
        <f>IF('Phytopl Count'!X32=0,"",'Phytopl Count'!X32*'Phytopl Count'!X$13/'Phytopl Count'!X$8)</f>
        <v/>
      </c>
      <c r="Y32" s="31" t="str">
        <f>IF('Phytopl Count'!Y32=0,"",'Phytopl Count'!Y32*'Phytopl Count'!Y$13/'Phytopl Count'!Y$8)</f>
        <v/>
      </c>
      <c r="Z32" s="31" t="str">
        <f>IF('Phytopl Count'!Z32=0,"",'Phytopl Count'!Z32*'Phytopl Count'!Z$13/'Phytopl Count'!Z$8)</f>
        <v/>
      </c>
      <c r="AA32" s="31" t="str">
        <f>IF('Phytopl Count'!AA32=0,"",'Phytopl Count'!AA32*'Phytopl Count'!AA$13/'Phytopl Count'!AA$8)</f>
        <v/>
      </c>
      <c r="AB32" s="31" t="str">
        <f>IF('Phytopl Count'!AB32=0,"",'Phytopl Count'!AB32*'Phytopl Count'!AB$13/'Phytopl Count'!AB$8)</f>
        <v/>
      </c>
      <c r="AC32" s="31" t="str">
        <f>IF('Phytopl Count'!AC32=0,"",'Phytopl Count'!AC32*'Phytopl Count'!AC$13/'Phytopl Count'!AC$8)</f>
        <v/>
      </c>
      <c r="AD32" s="31" t="str">
        <f>IF('Phytopl Count'!AD32=0,"",'Phytopl Count'!AD32*'Phytopl Count'!AD$13/'Phytopl Count'!AD$8)</f>
        <v/>
      </c>
      <c r="AE32" s="31" t="str">
        <f>IF('Phytopl Count'!AE32=0,"",'Phytopl Count'!AE32*'Phytopl Count'!AE$13/'Phytopl Count'!AE$8)</f>
        <v/>
      </c>
      <c r="AF32" s="31" t="str">
        <f>IF('Phytopl Count'!AF32=0,"",'Phytopl Count'!AF32*'Phytopl Count'!AF$13/'Phytopl Count'!AF$8)</f>
        <v/>
      </c>
    </row>
    <row r="33" spans="1:32" s="4" customFormat="1" hidden="1">
      <c r="A33" s="61"/>
      <c r="B33" s="61"/>
      <c r="C33" s="61"/>
      <c r="D33" s="61" t="s">
        <v>5</v>
      </c>
      <c r="E33" s="142" t="s">
        <v>313</v>
      </c>
      <c r="F33" s="62"/>
      <c r="G33" s="31" t="str">
        <f>IF('Phytopl Count'!G33=0,"",'Phytopl Count'!G33*'Phytopl Count'!G$13/'Phytopl Count'!G$8)</f>
        <v/>
      </c>
      <c r="H33" s="31" t="str">
        <f>IF('Phytopl Count'!H33=0,"",'Phytopl Count'!H33*'Phytopl Count'!H$13/'Phytopl Count'!H$8)</f>
        <v/>
      </c>
      <c r="I33" s="31" t="str">
        <f>IF('Phytopl Count'!I33=0,"",'Phytopl Count'!I33*'Phytopl Count'!I$13/'Phytopl Count'!I$8)</f>
        <v/>
      </c>
      <c r="J33" s="31" t="str">
        <f>IF('Phytopl Count'!J33=0,"",'Phytopl Count'!J33*'Phytopl Count'!J$13/'Phytopl Count'!J$8)</f>
        <v/>
      </c>
      <c r="K33" s="31" t="str">
        <f>IF('Phytopl Count'!K33=0,"",'Phytopl Count'!K33*'Phytopl Count'!K$13/'Phytopl Count'!K$8)</f>
        <v/>
      </c>
      <c r="L33" s="31" t="str">
        <f>IF('Phytopl Count'!L33=0,"",'Phytopl Count'!L33*'Phytopl Count'!L$13/'Phytopl Count'!L$8)</f>
        <v/>
      </c>
      <c r="M33" s="31" t="str">
        <f>IF('Phytopl Count'!M33=0,"",'Phytopl Count'!M33*'Phytopl Count'!M$13/'Phytopl Count'!M$8)</f>
        <v/>
      </c>
      <c r="N33" s="31" t="str">
        <f>IF('Phytopl Count'!N33=0,"",'Phytopl Count'!N33*'Phytopl Count'!N$13/'Phytopl Count'!N$8)</f>
        <v/>
      </c>
      <c r="O33" s="31" t="str">
        <f>IF('Phytopl Count'!O33=0,"",'Phytopl Count'!O33*'Phytopl Count'!O$13/'Phytopl Count'!O$8)</f>
        <v/>
      </c>
      <c r="P33" s="31" t="str">
        <f>IF('Phytopl Count'!P33=0,"",'Phytopl Count'!P33*'Phytopl Count'!P$13/'Phytopl Count'!P$8)</f>
        <v/>
      </c>
      <c r="Q33" s="31" t="str">
        <f>IF('Phytopl Count'!Q33=0,"",'Phytopl Count'!Q33*'Phytopl Count'!Q$13/'Phytopl Count'!Q$8)</f>
        <v/>
      </c>
      <c r="R33" s="31" t="str">
        <f>IF('Phytopl Count'!R33=0,"",'Phytopl Count'!R33*'Phytopl Count'!R$13/'Phytopl Count'!R$8)</f>
        <v/>
      </c>
      <c r="S33" s="31" t="str">
        <f>IF('Phytopl Count'!S33=0,"",'Phytopl Count'!S33*'Phytopl Count'!S$13/'Phytopl Count'!S$8)</f>
        <v/>
      </c>
      <c r="T33" s="31" t="str">
        <f>IF('Phytopl Count'!T33=0,"",'Phytopl Count'!T33*'Phytopl Count'!T$13/'Phytopl Count'!T$8)</f>
        <v/>
      </c>
      <c r="U33" s="31" t="str">
        <f>IF('Phytopl Count'!U33=0,"",'Phytopl Count'!U33*'Phytopl Count'!U$13/'Phytopl Count'!U$8)</f>
        <v/>
      </c>
      <c r="V33" s="31" t="str">
        <f>IF('Phytopl Count'!V33=0,"",'Phytopl Count'!V33*'Phytopl Count'!V$13/'Phytopl Count'!V$8)</f>
        <v/>
      </c>
      <c r="W33" s="31" t="str">
        <f>IF('Phytopl Count'!W33=0,"",'Phytopl Count'!W33*'Phytopl Count'!W$13/'Phytopl Count'!W$8)</f>
        <v/>
      </c>
      <c r="X33" s="31" t="str">
        <f>IF('Phytopl Count'!X33=0,"",'Phytopl Count'!X33*'Phytopl Count'!X$13/'Phytopl Count'!X$8)</f>
        <v/>
      </c>
      <c r="Y33" s="31" t="str">
        <f>IF('Phytopl Count'!Y33=0,"",'Phytopl Count'!Y33*'Phytopl Count'!Y$13/'Phytopl Count'!Y$8)</f>
        <v/>
      </c>
      <c r="Z33" s="31" t="str">
        <f>IF('Phytopl Count'!Z33=0,"",'Phytopl Count'!Z33*'Phytopl Count'!Z$13/'Phytopl Count'!Z$8)</f>
        <v/>
      </c>
      <c r="AA33" s="31" t="str">
        <f>IF('Phytopl Count'!AA33=0,"",'Phytopl Count'!AA33*'Phytopl Count'!AA$13/'Phytopl Count'!AA$8)</f>
        <v/>
      </c>
      <c r="AB33" s="31" t="str">
        <f>IF('Phytopl Count'!AB33=0,"",'Phytopl Count'!AB33*'Phytopl Count'!AB$13/'Phytopl Count'!AB$8)</f>
        <v/>
      </c>
      <c r="AC33" s="31" t="str">
        <f>IF('Phytopl Count'!AC33=0,"",'Phytopl Count'!AC33*'Phytopl Count'!AC$13/'Phytopl Count'!AC$8)</f>
        <v/>
      </c>
      <c r="AD33" s="31" t="str">
        <f>IF('Phytopl Count'!AD33=0,"",'Phytopl Count'!AD33*'Phytopl Count'!AD$13/'Phytopl Count'!AD$8)</f>
        <v/>
      </c>
      <c r="AE33" s="31" t="str">
        <f>IF('Phytopl Count'!AE33=0,"",'Phytopl Count'!AE33*'Phytopl Count'!AE$13/'Phytopl Count'!AE$8)</f>
        <v/>
      </c>
      <c r="AF33" s="31" t="str">
        <f>IF('Phytopl Count'!AF33=0,"",'Phytopl Count'!AF33*'Phytopl Count'!AF$13/'Phytopl Count'!AF$8)</f>
        <v/>
      </c>
    </row>
    <row r="34" spans="1:32" s="4" customFormat="1" hidden="1">
      <c r="A34" s="5"/>
      <c r="B34" s="5"/>
      <c r="C34" s="5"/>
      <c r="D34" s="5"/>
      <c r="E34" s="10" t="s">
        <v>6</v>
      </c>
      <c r="F34" s="11" t="s">
        <v>314</v>
      </c>
      <c r="G34" s="31" t="str">
        <f>IF('Phytopl Count'!G34=0,"",'Phytopl Count'!G34*'Phytopl Count'!G$13/'Phytopl Count'!G$8)</f>
        <v/>
      </c>
      <c r="H34" s="31" t="str">
        <f>IF('Phytopl Count'!H34=0,"",'Phytopl Count'!H34*'Phytopl Count'!H$13/'Phytopl Count'!H$8)</f>
        <v/>
      </c>
      <c r="I34" s="31" t="str">
        <f>IF('Phytopl Count'!I34=0,"",'Phytopl Count'!I34*'Phytopl Count'!I$13/'Phytopl Count'!I$8)</f>
        <v/>
      </c>
      <c r="J34" s="31" t="str">
        <f>IF('Phytopl Count'!J34=0,"",'Phytopl Count'!J34*'Phytopl Count'!J$13/'Phytopl Count'!J$8)</f>
        <v/>
      </c>
      <c r="K34" s="31" t="str">
        <f>IF('Phytopl Count'!K34=0,"",'Phytopl Count'!K34*'Phytopl Count'!K$13/'Phytopl Count'!K$8)</f>
        <v/>
      </c>
      <c r="L34" s="31" t="str">
        <f>IF('Phytopl Count'!L34=0,"",'Phytopl Count'!L34*'Phytopl Count'!L$13/'Phytopl Count'!L$8)</f>
        <v/>
      </c>
      <c r="M34" s="31" t="str">
        <f>IF('Phytopl Count'!M34=0,"",'Phytopl Count'!M34*'Phytopl Count'!M$13/'Phytopl Count'!M$8)</f>
        <v/>
      </c>
      <c r="N34" s="31" t="str">
        <f>IF('Phytopl Count'!N34=0,"",'Phytopl Count'!N34*'Phytopl Count'!N$13/'Phytopl Count'!N$8)</f>
        <v/>
      </c>
      <c r="O34" s="31" t="str">
        <f>IF('Phytopl Count'!O34=0,"",'Phytopl Count'!O34*'Phytopl Count'!O$13/'Phytopl Count'!O$8)</f>
        <v/>
      </c>
      <c r="P34" s="31" t="str">
        <f>IF('Phytopl Count'!P34=0,"",'Phytopl Count'!P34*'Phytopl Count'!P$13/'Phytopl Count'!P$8)</f>
        <v/>
      </c>
      <c r="Q34" s="31" t="str">
        <f>IF('Phytopl Count'!Q34=0,"",'Phytopl Count'!Q34*'Phytopl Count'!Q$13/'Phytopl Count'!Q$8)</f>
        <v/>
      </c>
      <c r="R34" s="31" t="str">
        <f>IF('Phytopl Count'!R34=0,"",'Phytopl Count'!R34*'Phytopl Count'!R$13/'Phytopl Count'!R$8)</f>
        <v/>
      </c>
      <c r="S34" s="31" t="str">
        <f>IF('Phytopl Count'!S34=0,"",'Phytopl Count'!S34*'Phytopl Count'!S$13/'Phytopl Count'!S$8)</f>
        <v/>
      </c>
      <c r="T34" s="31" t="str">
        <f>IF('Phytopl Count'!T34=0,"",'Phytopl Count'!T34*'Phytopl Count'!T$13/'Phytopl Count'!T$8)</f>
        <v/>
      </c>
      <c r="U34" s="31" t="str">
        <f>IF('Phytopl Count'!U34=0,"",'Phytopl Count'!U34*'Phytopl Count'!U$13/'Phytopl Count'!U$8)</f>
        <v/>
      </c>
      <c r="V34" s="31" t="str">
        <f>IF('Phytopl Count'!V34=0,"",'Phytopl Count'!V34*'Phytopl Count'!V$13/'Phytopl Count'!V$8)</f>
        <v/>
      </c>
      <c r="W34" s="31" t="str">
        <f>IF('Phytopl Count'!W34=0,"",'Phytopl Count'!W34*'Phytopl Count'!W$13/'Phytopl Count'!W$8)</f>
        <v/>
      </c>
      <c r="X34" s="31" t="str">
        <f>IF('Phytopl Count'!X34=0,"",'Phytopl Count'!X34*'Phytopl Count'!X$13/'Phytopl Count'!X$8)</f>
        <v/>
      </c>
      <c r="Y34" s="31" t="str">
        <f>IF('Phytopl Count'!Y34=0,"",'Phytopl Count'!Y34*'Phytopl Count'!Y$13/'Phytopl Count'!Y$8)</f>
        <v/>
      </c>
      <c r="Z34" s="31" t="str">
        <f>IF('Phytopl Count'!Z34=0,"",'Phytopl Count'!Z34*'Phytopl Count'!Z$13/'Phytopl Count'!Z$8)</f>
        <v/>
      </c>
      <c r="AA34" s="31" t="str">
        <f>IF('Phytopl Count'!AA34=0,"",'Phytopl Count'!AA34*'Phytopl Count'!AA$13/'Phytopl Count'!AA$8)</f>
        <v/>
      </c>
      <c r="AB34" s="31" t="str">
        <f>IF('Phytopl Count'!AB34=0,"",'Phytopl Count'!AB34*'Phytopl Count'!AB$13/'Phytopl Count'!AB$8)</f>
        <v/>
      </c>
      <c r="AC34" s="31" t="str">
        <f>IF('Phytopl Count'!AC34=0,"",'Phytopl Count'!AC34*'Phytopl Count'!AC$13/'Phytopl Count'!AC$8)</f>
        <v/>
      </c>
      <c r="AD34" s="31" t="str">
        <f>IF('Phytopl Count'!AD34=0,"",'Phytopl Count'!AD34*'Phytopl Count'!AD$13/'Phytopl Count'!AD$8)</f>
        <v/>
      </c>
      <c r="AE34" s="31" t="str">
        <f>IF('Phytopl Count'!AE34=0,"",'Phytopl Count'!AE34*'Phytopl Count'!AE$13/'Phytopl Count'!AE$8)</f>
        <v/>
      </c>
      <c r="AF34" s="31" t="str">
        <f>IF('Phytopl Count'!AF34=0,"",'Phytopl Count'!AF34*'Phytopl Count'!AF$13/'Phytopl Count'!AF$8)</f>
        <v/>
      </c>
    </row>
    <row r="35" spans="1:32" s="4" customFormat="1" hidden="1">
      <c r="A35" s="61"/>
      <c r="B35" s="61"/>
      <c r="C35" s="61"/>
      <c r="D35" s="61" t="s">
        <v>5</v>
      </c>
      <c r="E35" s="60" t="s">
        <v>140</v>
      </c>
      <c r="F35" s="62"/>
      <c r="G35" s="31" t="str">
        <f>IF('Phytopl Count'!G35=0,"",'Phytopl Count'!G35*'Phytopl Count'!G$13/'Phytopl Count'!G$8)</f>
        <v/>
      </c>
      <c r="H35" s="31" t="str">
        <f>IF('Phytopl Count'!H35=0,"",'Phytopl Count'!H35*'Phytopl Count'!H$13/'Phytopl Count'!H$8)</f>
        <v/>
      </c>
      <c r="I35" s="31" t="str">
        <f>IF('Phytopl Count'!I35=0,"",'Phytopl Count'!I35*'Phytopl Count'!I$13/'Phytopl Count'!I$8)</f>
        <v/>
      </c>
      <c r="J35" s="31" t="str">
        <f>IF('Phytopl Count'!J35=0,"",'Phytopl Count'!J35*'Phytopl Count'!J$13/'Phytopl Count'!J$8)</f>
        <v/>
      </c>
      <c r="K35" s="31" t="str">
        <f>IF('Phytopl Count'!K35=0,"",'Phytopl Count'!K35*'Phytopl Count'!K$13/'Phytopl Count'!K$8)</f>
        <v/>
      </c>
      <c r="L35" s="31" t="str">
        <f>IF('Phytopl Count'!L35=0,"",'Phytopl Count'!L35*'Phytopl Count'!L$13/'Phytopl Count'!L$8)</f>
        <v/>
      </c>
      <c r="M35" s="31" t="str">
        <f>IF('Phytopl Count'!M35=0,"",'Phytopl Count'!M35*'Phytopl Count'!M$13/'Phytopl Count'!M$8)</f>
        <v/>
      </c>
      <c r="N35" s="31" t="str">
        <f>IF('Phytopl Count'!N35=0,"",'Phytopl Count'!N35*'Phytopl Count'!N$13/'Phytopl Count'!N$8)</f>
        <v/>
      </c>
      <c r="O35" s="31" t="str">
        <f>IF('Phytopl Count'!O35=0,"",'Phytopl Count'!O35*'Phytopl Count'!O$13/'Phytopl Count'!O$8)</f>
        <v/>
      </c>
      <c r="P35" s="31" t="str">
        <f>IF('Phytopl Count'!P35=0,"",'Phytopl Count'!P35*'Phytopl Count'!P$13/'Phytopl Count'!P$8)</f>
        <v/>
      </c>
      <c r="Q35" s="31" t="str">
        <f>IF('Phytopl Count'!Q35=0,"",'Phytopl Count'!Q35*'Phytopl Count'!Q$13/'Phytopl Count'!Q$8)</f>
        <v/>
      </c>
      <c r="R35" s="31" t="str">
        <f>IF('Phytopl Count'!R35=0,"",'Phytopl Count'!R35*'Phytopl Count'!R$13/'Phytopl Count'!R$8)</f>
        <v/>
      </c>
      <c r="S35" s="31" t="str">
        <f>IF('Phytopl Count'!S35=0,"",'Phytopl Count'!S35*'Phytopl Count'!S$13/'Phytopl Count'!S$8)</f>
        <v/>
      </c>
      <c r="T35" s="31" t="str">
        <f>IF('Phytopl Count'!T35=0,"",'Phytopl Count'!T35*'Phytopl Count'!T$13/'Phytopl Count'!T$8)</f>
        <v/>
      </c>
      <c r="U35" s="31" t="str">
        <f>IF('Phytopl Count'!U35=0,"",'Phytopl Count'!U35*'Phytopl Count'!U$13/'Phytopl Count'!U$8)</f>
        <v/>
      </c>
      <c r="V35" s="31" t="str">
        <f>IF('Phytopl Count'!V35=0,"",'Phytopl Count'!V35*'Phytopl Count'!V$13/'Phytopl Count'!V$8)</f>
        <v/>
      </c>
      <c r="W35" s="31" t="str">
        <f>IF('Phytopl Count'!W35=0,"",'Phytopl Count'!W35*'Phytopl Count'!W$13/'Phytopl Count'!W$8)</f>
        <v/>
      </c>
      <c r="X35" s="31" t="str">
        <f>IF('Phytopl Count'!X35=0,"",'Phytopl Count'!X35*'Phytopl Count'!X$13/'Phytopl Count'!X$8)</f>
        <v/>
      </c>
      <c r="Y35" s="31" t="str">
        <f>IF('Phytopl Count'!Y35=0,"",'Phytopl Count'!Y35*'Phytopl Count'!Y$13/'Phytopl Count'!Y$8)</f>
        <v/>
      </c>
      <c r="Z35" s="31" t="str">
        <f>IF('Phytopl Count'!Z35=0,"",'Phytopl Count'!Z35*'Phytopl Count'!Z$13/'Phytopl Count'!Z$8)</f>
        <v/>
      </c>
      <c r="AA35" s="31" t="str">
        <f>IF('Phytopl Count'!AA35=0,"",'Phytopl Count'!AA35*'Phytopl Count'!AA$13/'Phytopl Count'!AA$8)</f>
        <v/>
      </c>
      <c r="AB35" s="31" t="str">
        <f>IF('Phytopl Count'!AB35=0,"",'Phytopl Count'!AB35*'Phytopl Count'!AB$13/'Phytopl Count'!AB$8)</f>
        <v/>
      </c>
      <c r="AC35" s="31" t="str">
        <f>IF('Phytopl Count'!AC35=0,"",'Phytopl Count'!AC35*'Phytopl Count'!AC$13/'Phytopl Count'!AC$8)</f>
        <v/>
      </c>
      <c r="AD35" s="31" t="str">
        <f>IF('Phytopl Count'!AD35=0,"",'Phytopl Count'!AD35*'Phytopl Count'!AD$13/'Phytopl Count'!AD$8)</f>
        <v/>
      </c>
      <c r="AE35" s="31" t="str">
        <f>IF('Phytopl Count'!AE35=0,"",'Phytopl Count'!AE35*'Phytopl Count'!AE$13/'Phytopl Count'!AE$8)</f>
        <v/>
      </c>
      <c r="AF35" s="31" t="str">
        <f>IF('Phytopl Count'!AF35=0,"",'Phytopl Count'!AF35*'Phytopl Count'!AF$13/'Phytopl Count'!AF$8)</f>
        <v/>
      </c>
    </row>
    <row r="36" spans="1:32" s="4" customFormat="1" hidden="1">
      <c r="A36" s="5"/>
      <c r="B36" s="5"/>
      <c r="C36" s="5"/>
      <c r="D36" s="5"/>
      <c r="E36" s="10" t="s">
        <v>6</v>
      </c>
      <c r="F36" s="11" t="s">
        <v>141</v>
      </c>
      <c r="G36" s="31" t="str">
        <f>IF('Phytopl Count'!G36=0,"",'Phytopl Count'!G36*'Phytopl Count'!G$13/'Phytopl Count'!G$8)</f>
        <v/>
      </c>
      <c r="H36" s="31" t="str">
        <f>IF('Phytopl Count'!H36=0,"",'Phytopl Count'!H36*'Phytopl Count'!H$13/'Phytopl Count'!H$8)</f>
        <v/>
      </c>
      <c r="I36" s="31" t="str">
        <f>IF('Phytopl Count'!I36=0,"",'Phytopl Count'!I36*'Phytopl Count'!I$13/'Phytopl Count'!I$8)</f>
        <v/>
      </c>
      <c r="J36" s="31" t="str">
        <f>IF('Phytopl Count'!J36=0,"",'Phytopl Count'!J36*'Phytopl Count'!J$13/'Phytopl Count'!J$8)</f>
        <v/>
      </c>
      <c r="K36" s="31" t="str">
        <f>IF('Phytopl Count'!K36=0,"",'Phytopl Count'!K36*'Phytopl Count'!K$13/'Phytopl Count'!K$8)</f>
        <v/>
      </c>
      <c r="L36" s="31" t="str">
        <f>IF('Phytopl Count'!L36=0,"",'Phytopl Count'!L36*'Phytopl Count'!L$13/'Phytopl Count'!L$8)</f>
        <v/>
      </c>
      <c r="M36" s="31" t="str">
        <f>IF('Phytopl Count'!M36=0,"",'Phytopl Count'!M36*'Phytopl Count'!M$13/'Phytopl Count'!M$8)</f>
        <v/>
      </c>
      <c r="N36" s="31" t="str">
        <f>IF('Phytopl Count'!N36=0,"",'Phytopl Count'!N36*'Phytopl Count'!N$13/'Phytopl Count'!N$8)</f>
        <v/>
      </c>
      <c r="O36" s="31" t="str">
        <f>IF('Phytopl Count'!O36=0,"",'Phytopl Count'!O36*'Phytopl Count'!O$13/'Phytopl Count'!O$8)</f>
        <v/>
      </c>
      <c r="P36" s="31" t="str">
        <f>IF('Phytopl Count'!P36=0,"",'Phytopl Count'!P36*'Phytopl Count'!P$13/'Phytopl Count'!P$8)</f>
        <v/>
      </c>
      <c r="Q36" s="31" t="str">
        <f>IF('Phytopl Count'!Q36=0,"",'Phytopl Count'!Q36*'Phytopl Count'!Q$13/'Phytopl Count'!Q$8)</f>
        <v/>
      </c>
      <c r="R36" s="31" t="str">
        <f>IF('Phytopl Count'!R36=0,"",'Phytopl Count'!R36*'Phytopl Count'!R$13/'Phytopl Count'!R$8)</f>
        <v/>
      </c>
      <c r="S36" s="31" t="str">
        <f>IF('Phytopl Count'!S36=0,"",'Phytopl Count'!S36*'Phytopl Count'!S$13/'Phytopl Count'!S$8)</f>
        <v/>
      </c>
      <c r="T36" s="31" t="str">
        <f>IF('Phytopl Count'!T36=0,"",'Phytopl Count'!T36*'Phytopl Count'!T$13/'Phytopl Count'!T$8)</f>
        <v/>
      </c>
      <c r="U36" s="31" t="str">
        <f>IF('Phytopl Count'!U36=0,"",'Phytopl Count'!U36*'Phytopl Count'!U$13/'Phytopl Count'!U$8)</f>
        <v/>
      </c>
      <c r="V36" s="31" t="str">
        <f>IF('Phytopl Count'!V36=0,"",'Phytopl Count'!V36*'Phytopl Count'!V$13/'Phytopl Count'!V$8)</f>
        <v/>
      </c>
      <c r="W36" s="31" t="str">
        <f>IF('Phytopl Count'!W36=0,"",'Phytopl Count'!W36*'Phytopl Count'!W$13/'Phytopl Count'!W$8)</f>
        <v/>
      </c>
      <c r="X36" s="31" t="str">
        <f>IF('Phytopl Count'!X36=0,"",'Phytopl Count'!X36*'Phytopl Count'!X$13/'Phytopl Count'!X$8)</f>
        <v/>
      </c>
      <c r="Y36" s="31" t="str">
        <f>IF('Phytopl Count'!Y36=0,"",'Phytopl Count'!Y36*'Phytopl Count'!Y$13/'Phytopl Count'!Y$8)</f>
        <v/>
      </c>
      <c r="Z36" s="31" t="str">
        <f>IF('Phytopl Count'!Z36=0,"",'Phytopl Count'!Z36*'Phytopl Count'!Z$13/'Phytopl Count'!Z$8)</f>
        <v/>
      </c>
      <c r="AA36" s="31" t="str">
        <f>IF('Phytopl Count'!AA36=0,"",'Phytopl Count'!AA36*'Phytopl Count'!AA$13/'Phytopl Count'!AA$8)</f>
        <v/>
      </c>
      <c r="AB36" s="31" t="str">
        <f>IF('Phytopl Count'!AB36=0,"",'Phytopl Count'!AB36*'Phytopl Count'!AB$13/'Phytopl Count'!AB$8)</f>
        <v/>
      </c>
      <c r="AC36" s="31" t="str">
        <f>IF('Phytopl Count'!AC36=0,"",'Phytopl Count'!AC36*'Phytopl Count'!AC$13/'Phytopl Count'!AC$8)</f>
        <v/>
      </c>
      <c r="AD36" s="31" t="str">
        <f>IF('Phytopl Count'!AD36=0,"",'Phytopl Count'!AD36*'Phytopl Count'!AD$13/'Phytopl Count'!AD$8)</f>
        <v/>
      </c>
      <c r="AE36" s="31" t="str">
        <f>IF('Phytopl Count'!AE36=0,"",'Phytopl Count'!AE36*'Phytopl Count'!AE$13/'Phytopl Count'!AE$8)</f>
        <v/>
      </c>
      <c r="AF36" s="31" t="str">
        <f>IF('Phytopl Count'!AF36=0,"",'Phytopl Count'!AF36*'Phytopl Count'!AF$13/'Phytopl Count'!AF$8)</f>
        <v/>
      </c>
    </row>
    <row r="37" spans="1:32" s="4" customFormat="1">
      <c r="A37" s="16"/>
      <c r="B37" s="16"/>
      <c r="C37" s="16" t="s">
        <v>73</v>
      </c>
      <c r="D37" s="4" t="s">
        <v>252</v>
      </c>
      <c r="E37" s="5"/>
      <c r="F37" s="9"/>
      <c r="G37" s="31" t="str">
        <f>IF('Phytopl Count'!G37=0,"",'Phytopl Count'!G37*'Phytopl Count'!G$13/'Phytopl Count'!G$8)</f>
        <v/>
      </c>
      <c r="H37" s="31" t="str">
        <f>IF('Phytopl Count'!H37=0,"",'Phytopl Count'!H37*'Phytopl Count'!H$13/'Phytopl Count'!H$8)</f>
        <v/>
      </c>
      <c r="I37" s="31" t="str">
        <f>IF('Phytopl Count'!I37=0,"",'Phytopl Count'!I37*'Phytopl Count'!I$13/'Phytopl Count'!I$8)</f>
        <v/>
      </c>
      <c r="J37" s="31" t="str">
        <f>IF('Phytopl Count'!J37=0,"",'Phytopl Count'!J37*'Phytopl Count'!J$13/'Phytopl Count'!J$8)</f>
        <v/>
      </c>
      <c r="K37" s="31" t="str">
        <f>IF('Phytopl Count'!K37=0,"",'Phytopl Count'!K37*'Phytopl Count'!K$13/'Phytopl Count'!K$8)</f>
        <v/>
      </c>
      <c r="L37" s="31" t="str">
        <f>IF('Phytopl Count'!L37=0,"",'Phytopl Count'!L37*'Phytopl Count'!L$13/'Phytopl Count'!L$8)</f>
        <v/>
      </c>
      <c r="M37" s="31" t="str">
        <f>IF('Phytopl Count'!M37=0,"",'Phytopl Count'!M37*'Phytopl Count'!M$13/'Phytopl Count'!M$8)</f>
        <v/>
      </c>
      <c r="N37" s="31" t="str">
        <f>IF('Phytopl Count'!N37=0,"",'Phytopl Count'!N37*'Phytopl Count'!N$13/'Phytopl Count'!N$8)</f>
        <v/>
      </c>
      <c r="O37" s="31" t="str">
        <f>IF('Phytopl Count'!O37=0,"",'Phytopl Count'!O37*'Phytopl Count'!O$13/'Phytopl Count'!O$8)</f>
        <v/>
      </c>
      <c r="P37" s="31" t="str">
        <f>IF('Phytopl Count'!P37=0,"",'Phytopl Count'!P37*'Phytopl Count'!P$13/'Phytopl Count'!P$8)</f>
        <v/>
      </c>
      <c r="Q37" s="31" t="str">
        <f>IF('Phytopl Count'!Q37=0,"",'Phytopl Count'!Q37*'Phytopl Count'!Q$13/'Phytopl Count'!Q$8)</f>
        <v/>
      </c>
      <c r="R37" s="31" t="str">
        <f>IF('Phytopl Count'!R37=0,"",'Phytopl Count'!R37*'Phytopl Count'!R$13/'Phytopl Count'!R$8)</f>
        <v/>
      </c>
      <c r="S37" s="31" t="str">
        <f>IF('Phytopl Count'!S37=0,"",'Phytopl Count'!S37*'Phytopl Count'!S$13/'Phytopl Count'!S$8)</f>
        <v/>
      </c>
      <c r="T37" s="31" t="str">
        <f>IF('Phytopl Count'!T37=0,"",'Phytopl Count'!T37*'Phytopl Count'!T$13/'Phytopl Count'!T$8)</f>
        <v/>
      </c>
      <c r="U37" s="31" t="str">
        <f>IF('Phytopl Count'!U37=0,"",'Phytopl Count'!U37*'Phytopl Count'!U$13/'Phytopl Count'!U$8)</f>
        <v/>
      </c>
      <c r="V37" s="31" t="str">
        <f>IF('Phytopl Count'!V37=0,"",'Phytopl Count'!V37*'Phytopl Count'!V$13/'Phytopl Count'!V$8)</f>
        <v/>
      </c>
      <c r="W37" s="31" t="str">
        <f>IF('Phytopl Count'!W37=0,"",'Phytopl Count'!W37*'Phytopl Count'!W$13/'Phytopl Count'!W$8)</f>
        <v/>
      </c>
      <c r="X37" s="31" t="str">
        <f>IF('Phytopl Count'!X37=0,"",'Phytopl Count'!X37*'Phytopl Count'!X$13/'Phytopl Count'!X$8)</f>
        <v/>
      </c>
      <c r="Y37" s="31" t="str">
        <f>IF('Phytopl Count'!Y37=0,"",'Phytopl Count'!Y37*'Phytopl Count'!Y$13/'Phytopl Count'!Y$8)</f>
        <v/>
      </c>
      <c r="Z37" s="31" t="str">
        <f>IF('Phytopl Count'!Z37=0,"",'Phytopl Count'!Z37*'Phytopl Count'!Z$13/'Phytopl Count'!Z$8)</f>
        <v/>
      </c>
      <c r="AA37" s="31" t="str">
        <f>IF('Phytopl Count'!AA37=0,"",'Phytopl Count'!AA37*'Phytopl Count'!AA$13/'Phytopl Count'!AA$8)</f>
        <v/>
      </c>
      <c r="AB37" s="31" t="str">
        <f>IF('Phytopl Count'!AB37=0,"",'Phytopl Count'!AB37*'Phytopl Count'!AB$13/'Phytopl Count'!AB$8)</f>
        <v/>
      </c>
      <c r="AC37" s="31" t="str">
        <f>IF('Phytopl Count'!AC37=0,"",'Phytopl Count'!AC37*'Phytopl Count'!AC$13/'Phytopl Count'!AC$8)</f>
        <v/>
      </c>
      <c r="AD37" s="31" t="str">
        <f>IF('Phytopl Count'!AD37=0,"",'Phytopl Count'!AD37*'Phytopl Count'!AD$13/'Phytopl Count'!AD$8)</f>
        <v/>
      </c>
      <c r="AE37" s="31" t="str">
        <f>IF('Phytopl Count'!AE37=0,"",'Phytopl Count'!AE37*'Phytopl Count'!AE$13/'Phytopl Count'!AE$8)</f>
        <v/>
      </c>
      <c r="AF37" s="31" t="str">
        <f>IF('Phytopl Count'!AF37=0,"",'Phytopl Count'!AF37*'Phytopl Count'!AF$13/'Phytopl Count'!AF$8)</f>
        <v/>
      </c>
    </row>
    <row r="38" spans="1:32" s="4" customFormat="1">
      <c r="A38" s="10"/>
      <c r="B38" s="10"/>
      <c r="C38" s="95"/>
      <c r="D38" s="95" t="s">
        <v>5</v>
      </c>
      <c r="E38" s="96" t="s">
        <v>253</v>
      </c>
      <c r="F38" s="97"/>
      <c r="G38" s="31" t="str">
        <f>IF('Phytopl Count'!G38=0,"",'Phytopl Count'!G38*'Phytopl Count'!G$13/'Phytopl Count'!G$8)</f>
        <v/>
      </c>
      <c r="H38" s="31" t="str">
        <f>IF('Phytopl Count'!H38=0,"",'Phytopl Count'!H38*'Phytopl Count'!H$13/'Phytopl Count'!H$8)</f>
        <v/>
      </c>
      <c r="I38" s="31" t="str">
        <f>IF('Phytopl Count'!I38=0,"",'Phytopl Count'!I38*'Phytopl Count'!I$13/'Phytopl Count'!I$8)</f>
        <v/>
      </c>
      <c r="J38" s="31" t="str">
        <f>IF('Phytopl Count'!J38=0,"",'Phytopl Count'!J38*'Phytopl Count'!J$13/'Phytopl Count'!J$8)</f>
        <v/>
      </c>
      <c r="K38" s="31" t="str">
        <f>IF('Phytopl Count'!K38=0,"",'Phytopl Count'!K38*'Phytopl Count'!K$13/'Phytopl Count'!K$8)</f>
        <v/>
      </c>
      <c r="L38" s="31" t="str">
        <f>IF('Phytopl Count'!L38=0,"",'Phytopl Count'!L38*'Phytopl Count'!L$13/'Phytopl Count'!L$8)</f>
        <v/>
      </c>
      <c r="M38" s="31" t="str">
        <f>IF('Phytopl Count'!M38=0,"",'Phytopl Count'!M38*'Phytopl Count'!M$13/'Phytopl Count'!M$8)</f>
        <v/>
      </c>
      <c r="N38" s="31" t="str">
        <f>IF('Phytopl Count'!N38=0,"",'Phytopl Count'!N38*'Phytopl Count'!N$13/'Phytopl Count'!N$8)</f>
        <v/>
      </c>
      <c r="O38" s="31" t="str">
        <f>IF('Phytopl Count'!O38=0,"",'Phytopl Count'!O38*'Phytopl Count'!O$13/'Phytopl Count'!O$8)</f>
        <v/>
      </c>
      <c r="P38" s="31" t="str">
        <f>IF('Phytopl Count'!P38=0,"",'Phytopl Count'!P38*'Phytopl Count'!P$13/'Phytopl Count'!P$8)</f>
        <v/>
      </c>
      <c r="Q38" s="31" t="str">
        <f>IF('Phytopl Count'!Q38=0,"",'Phytopl Count'!Q38*'Phytopl Count'!Q$13/'Phytopl Count'!Q$8)</f>
        <v/>
      </c>
      <c r="R38" s="31" t="str">
        <f>IF('Phytopl Count'!R38=0,"",'Phytopl Count'!R38*'Phytopl Count'!R$13/'Phytopl Count'!R$8)</f>
        <v/>
      </c>
      <c r="S38" s="31" t="str">
        <f>IF('Phytopl Count'!S38=0,"",'Phytopl Count'!S38*'Phytopl Count'!S$13/'Phytopl Count'!S$8)</f>
        <v/>
      </c>
      <c r="T38" s="31" t="str">
        <f>IF('Phytopl Count'!T38=0,"",'Phytopl Count'!T38*'Phytopl Count'!T$13/'Phytopl Count'!T$8)</f>
        <v/>
      </c>
      <c r="U38" s="31" t="str">
        <f>IF('Phytopl Count'!U38=0,"",'Phytopl Count'!U38*'Phytopl Count'!U$13/'Phytopl Count'!U$8)</f>
        <v/>
      </c>
      <c r="V38" s="31" t="str">
        <f>IF('Phytopl Count'!V38=0,"",'Phytopl Count'!V38*'Phytopl Count'!V$13/'Phytopl Count'!V$8)</f>
        <v/>
      </c>
      <c r="W38" s="31" t="str">
        <f>IF('Phytopl Count'!W38=0,"",'Phytopl Count'!W38*'Phytopl Count'!W$13/'Phytopl Count'!W$8)</f>
        <v/>
      </c>
      <c r="X38" s="31" t="str">
        <f>IF('Phytopl Count'!X38=0,"",'Phytopl Count'!X38*'Phytopl Count'!X$13/'Phytopl Count'!X$8)</f>
        <v/>
      </c>
      <c r="Y38" s="31" t="str">
        <f>IF('Phytopl Count'!Y38=0,"",'Phytopl Count'!Y38*'Phytopl Count'!Y$13/'Phytopl Count'!Y$8)</f>
        <v/>
      </c>
      <c r="Z38" s="31" t="str">
        <f>IF('Phytopl Count'!Z38=0,"",'Phytopl Count'!Z38*'Phytopl Count'!Z$13/'Phytopl Count'!Z$8)</f>
        <v/>
      </c>
      <c r="AA38" s="31" t="str">
        <f>IF('Phytopl Count'!AA38=0,"",'Phytopl Count'!AA38*'Phytopl Count'!AA$13/'Phytopl Count'!AA$8)</f>
        <v/>
      </c>
      <c r="AB38" s="31" t="str">
        <f>IF('Phytopl Count'!AB38=0,"",'Phytopl Count'!AB38*'Phytopl Count'!AB$13/'Phytopl Count'!AB$8)</f>
        <v/>
      </c>
      <c r="AC38" s="31" t="str">
        <f>IF('Phytopl Count'!AC38=0,"",'Phytopl Count'!AC38*'Phytopl Count'!AC$13/'Phytopl Count'!AC$8)</f>
        <v/>
      </c>
      <c r="AD38" s="31" t="str">
        <f>IF('Phytopl Count'!AD38=0,"",'Phytopl Count'!AD38*'Phytopl Count'!AD$13/'Phytopl Count'!AD$8)</f>
        <v/>
      </c>
      <c r="AE38" s="31" t="str">
        <f>IF('Phytopl Count'!AE38=0,"",'Phytopl Count'!AE38*'Phytopl Count'!AE$13/'Phytopl Count'!AE$8)</f>
        <v/>
      </c>
      <c r="AF38" s="31" t="str">
        <f>IF('Phytopl Count'!AF38=0,"",'Phytopl Count'!AF38*'Phytopl Count'!AF$13/'Phytopl Count'!AF$8)</f>
        <v/>
      </c>
    </row>
    <row r="39" spans="1:32" s="4" customFormat="1">
      <c r="A39" s="5"/>
      <c r="B39" s="5"/>
      <c r="C39" s="5"/>
      <c r="D39" s="5"/>
      <c r="E39" s="10" t="s">
        <v>6</v>
      </c>
      <c r="F39" s="11" t="s">
        <v>254</v>
      </c>
      <c r="G39" s="31" t="str">
        <f>IF('Phytopl Count'!G39=0,"",'Phytopl Count'!G39*'Phytopl Count'!G$13/'Phytopl Count'!G$8)</f>
        <v/>
      </c>
      <c r="H39" s="31">
        <f>IF('Phytopl Count'!H39=0,"",'Phytopl Count'!H39*'Phytopl Count'!H$13/'Phytopl Count'!H$8)</f>
        <v>1.1050758312795752</v>
      </c>
      <c r="I39" s="31">
        <f>IF('Phytopl Count'!I39=0,"",'Phytopl Count'!I39*'Phytopl Count'!I$13/'Phytopl Count'!I$8)</f>
        <v>0.33632742691117506</v>
      </c>
      <c r="J39" s="31">
        <f>IF('Phytopl Count'!J39=0,"",'Phytopl Count'!J39*'Phytopl Count'!J$13/'Phytopl Count'!J$8)</f>
        <v>4.0038979394187504E-2</v>
      </c>
      <c r="K39" s="31">
        <f>IF('Phytopl Count'!K39=0,"",'Phytopl Count'!K39*'Phytopl Count'!K$13/'Phytopl Count'!K$8)</f>
        <v>0.22421828460745002</v>
      </c>
      <c r="L39" s="31">
        <f>IF('Phytopl Count'!L39=0,"",'Phytopl Count'!L39*'Phytopl Count'!L$13/'Phytopl Count'!L$8)</f>
        <v>0.45644436509373759</v>
      </c>
      <c r="M39" s="31">
        <f>IF('Phytopl Count'!M39=0,"",'Phytopl Count'!M39*'Phytopl Count'!M$13/'Phytopl Count'!M$8)</f>
        <v>4.0038979394187504E-2</v>
      </c>
      <c r="N39" s="31">
        <f>IF('Phytopl Count'!N39=0,"",'Phytopl Count'!N39*'Phytopl Count'!N$13/'Phytopl Count'!N$8)</f>
        <v>0.28828065163815003</v>
      </c>
      <c r="O39" s="31">
        <f>IF('Phytopl Count'!O39=0,"",'Phytopl Count'!O39*'Phytopl Count'!O$13/'Phytopl Count'!O$8)</f>
        <v>0.12812473406140001</v>
      </c>
      <c r="P39" s="31">
        <f>IF('Phytopl Count'!P39=0,"",'Phytopl Count'!P39*'Phytopl Count'!P$13/'Phytopl Count'!P$8)</f>
        <v>1.7937462768596002</v>
      </c>
      <c r="Q39" s="31">
        <f>IF('Phytopl Count'!Q39=0,"",'Phytopl Count'!Q39*'Phytopl Count'!Q$13/'Phytopl Count'!Q$8)</f>
        <v>0.28027285575931249</v>
      </c>
      <c r="R39" s="31">
        <f>IF('Phytopl Count'!R39=0,"",'Phytopl Count'!R39*'Phytopl Count'!R$13/'Phytopl Count'!R$8)</f>
        <v>0.64062367030700007</v>
      </c>
      <c r="S39" s="31">
        <f>IF('Phytopl Count'!S39=0,"",'Phytopl Count'!S39*'Phytopl Count'!S$13/'Phytopl Count'!S$8)</f>
        <v>0.24023387636512505</v>
      </c>
      <c r="T39" s="31">
        <f>IF('Phytopl Count'!T39=0,"",'Phytopl Count'!T39*'Phytopl Count'!T$13/'Phytopl Count'!T$8)</f>
        <v>2.4984323141973004</v>
      </c>
      <c r="U39" s="31">
        <f>IF('Phytopl Count'!U39=0,"",'Phytopl Count'!U39*'Phytopl Count'!U$13/'Phytopl Count'!U$8)</f>
        <v>6.4062367030700007E-2</v>
      </c>
      <c r="V39" s="31">
        <f>IF('Phytopl Count'!V39=0,"",'Phytopl Count'!V39*'Phytopl Count'!V$13/'Phytopl Count'!V$8)</f>
        <v>0.32031183515350004</v>
      </c>
      <c r="W39" s="31" t="str">
        <f>IF('Phytopl Count'!W39=0,"",'Phytopl Count'!W39*'Phytopl Count'!W$13/'Phytopl Count'!W$8)</f>
        <v/>
      </c>
      <c r="X39" s="31">
        <f>IF('Phytopl Count'!X39=0,"",'Phytopl Count'!X39*'Phytopl Count'!X$13/'Phytopl Count'!X$8)</f>
        <v>0.44843656921490005</v>
      </c>
      <c r="Y39" s="31" t="str">
        <f>IF('Phytopl Count'!Y39=0,"",'Phytopl Count'!Y39*'Phytopl Count'!Y$13/'Phytopl Count'!Y$8)</f>
        <v/>
      </c>
      <c r="Z39" s="31" t="str">
        <f>IF('Phytopl Count'!Z39=0,"",'Phytopl Count'!Z39*'Phytopl Count'!Z$13/'Phytopl Count'!Z$8)</f>
        <v/>
      </c>
      <c r="AA39" s="31">
        <f>IF('Phytopl Count'!AA39=0,"",'Phytopl Count'!AA39*'Phytopl Count'!AA$13/'Phytopl Count'!AA$8)</f>
        <v>0.12812473406140001</v>
      </c>
      <c r="AB39" s="31" t="str">
        <f>IF('Phytopl Count'!AB39=0,"",'Phytopl Count'!AB39*'Phytopl Count'!AB$13/'Phytopl Count'!AB$8)</f>
        <v/>
      </c>
      <c r="AC39" s="31" t="str">
        <f>IF('Phytopl Count'!AC39=0,"",'Phytopl Count'!AC39*'Phytopl Count'!AC$13/'Phytopl Count'!AC$8)</f>
        <v/>
      </c>
      <c r="AD39" s="31">
        <f>IF('Phytopl Count'!AD39=0,"",'Phytopl Count'!AD39*'Phytopl Count'!AD$13/'Phytopl Count'!AD$8)</f>
        <v>9.6093550546050024E-2</v>
      </c>
      <c r="AE39" s="31" t="str">
        <f>IF('Phytopl Count'!AE39=0,"",'Phytopl Count'!AE39*'Phytopl Count'!AE$13/'Phytopl Count'!AE$8)</f>
        <v/>
      </c>
      <c r="AF39" s="31" t="str">
        <f>IF('Phytopl Count'!AF39=0,"",'Phytopl Count'!AF39*'Phytopl Count'!AF$13/'Phytopl Count'!AF$8)</f>
        <v/>
      </c>
    </row>
    <row r="40" spans="1:32" s="4" customFormat="1" hidden="1">
      <c r="A40" s="16"/>
      <c r="B40" s="16"/>
      <c r="C40" s="16" t="s">
        <v>73</v>
      </c>
      <c r="D40" s="28" t="s">
        <v>255</v>
      </c>
      <c r="E40" s="98"/>
      <c r="F40" s="11"/>
      <c r="G40" s="31" t="str">
        <f>IF('Phytopl Count'!G40=0,"",'Phytopl Count'!G40*'Phytopl Count'!G$13/'Phytopl Count'!G$8)</f>
        <v/>
      </c>
      <c r="H40" s="31" t="str">
        <f>IF('Phytopl Count'!H40=0,"",'Phytopl Count'!H40*'Phytopl Count'!H$13/'Phytopl Count'!H$8)</f>
        <v/>
      </c>
      <c r="I40" s="31" t="str">
        <f>IF('Phytopl Count'!I40=0,"",'Phytopl Count'!I40*'Phytopl Count'!I$13/'Phytopl Count'!I$8)</f>
        <v/>
      </c>
      <c r="J40" s="31" t="str">
        <f>IF('Phytopl Count'!J40=0,"",'Phytopl Count'!J40*'Phytopl Count'!J$13/'Phytopl Count'!J$8)</f>
        <v/>
      </c>
      <c r="K40" s="31" t="str">
        <f>IF('Phytopl Count'!K40=0,"",'Phytopl Count'!K40*'Phytopl Count'!K$13/'Phytopl Count'!K$8)</f>
        <v/>
      </c>
      <c r="L40" s="31" t="str">
        <f>IF('Phytopl Count'!L40=0,"",'Phytopl Count'!L40*'Phytopl Count'!L$13/'Phytopl Count'!L$8)</f>
        <v/>
      </c>
      <c r="M40" s="31" t="str">
        <f>IF('Phytopl Count'!M40=0,"",'Phytopl Count'!M40*'Phytopl Count'!M$13/'Phytopl Count'!M$8)</f>
        <v/>
      </c>
      <c r="N40" s="31" t="str">
        <f>IF('Phytopl Count'!N40=0,"",'Phytopl Count'!N40*'Phytopl Count'!N$13/'Phytopl Count'!N$8)</f>
        <v/>
      </c>
      <c r="O40" s="31" t="str">
        <f>IF('Phytopl Count'!O40=0,"",'Phytopl Count'!O40*'Phytopl Count'!O$13/'Phytopl Count'!O$8)</f>
        <v/>
      </c>
      <c r="P40" s="31" t="str">
        <f>IF('Phytopl Count'!P40=0,"",'Phytopl Count'!P40*'Phytopl Count'!P$13/'Phytopl Count'!P$8)</f>
        <v/>
      </c>
      <c r="Q40" s="31" t="str">
        <f>IF('Phytopl Count'!Q40=0,"",'Phytopl Count'!Q40*'Phytopl Count'!Q$13/'Phytopl Count'!Q$8)</f>
        <v/>
      </c>
      <c r="R40" s="31" t="str">
        <f>IF('Phytopl Count'!R40=0,"",'Phytopl Count'!R40*'Phytopl Count'!R$13/'Phytopl Count'!R$8)</f>
        <v/>
      </c>
      <c r="S40" s="31" t="str">
        <f>IF('Phytopl Count'!S40=0,"",'Phytopl Count'!S40*'Phytopl Count'!S$13/'Phytopl Count'!S$8)</f>
        <v/>
      </c>
      <c r="T40" s="31" t="str">
        <f>IF('Phytopl Count'!T40=0,"",'Phytopl Count'!T40*'Phytopl Count'!T$13/'Phytopl Count'!T$8)</f>
        <v/>
      </c>
      <c r="U40" s="31" t="str">
        <f>IF('Phytopl Count'!U40=0,"",'Phytopl Count'!U40*'Phytopl Count'!U$13/'Phytopl Count'!U$8)</f>
        <v/>
      </c>
      <c r="V40" s="31" t="str">
        <f>IF('Phytopl Count'!V40=0,"",'Phytopl Count'!V40*'Phytopl Count'!V$13/'Phytopl Count'!V$8)</f>
        <v/>
      </c>
      <c r="W40" s="31" t="str">
        <f>IF('Phytopl Count'!W40=0,"",'Phytopl Count'!W40*'Phytopl Count'!W$13/'Phytopl Count'!W$8)</f>
        <v/>
      </c>
      <c r="X40" s="31" t="str">
        <f>IF('Phytopl Count'!X40=0,"",'Phytopl Count'!X40*'Phytopl Count'!X$13/'Phytopl Count'!X$8)</f>
        <v/>
      </c>
      <c r="Y40" s="31" t="str">
        <f>IF('Phytopl Count'!Y40=0,"",'Phytopl Count'!Y40*'Phytopl Count'!Y$13/'Phytopl Count'!Y$8)</f>
        <v/>
      </c>
      <c r="Z40" s="31" t="str">
        <f>IF('Phytopl Count'!Z40=0,"",'Phytopl Count'!Z40*'Phytopl Count'!Z$13/'Phytopl Count'!Z$8)</f>
        <v/>
      </c>
      <c r="AA40" s="31" t="str">
        <f>IF('Phytopl Count'!AA40=0,"",'Phytopl Count'!AA40*'Phytopl Count'!AA$13/'Phytopl Count'!AA$8)</f>
        <v/>
      </c>
      <c r="AB40" s="31" t="str">
        <f>IF('Phytopl Count'!AB40=0,"",'Phytopl Count'!AB40*'Phytopl Count'!AB$13/'Phytopl Count'!AB$8)</f>
        <v/>
      </c>
      <c r="AC40" s="31" t="str">
        <f>IF('Phytopl Count'!AC40=0,"",'Phytopl Count'!AC40*'Phytopl Count'!AC$13/'Phytopl Count'!AC$8)</f>
        <v/>
      </c>
      <c r="AD40" s="31" t="str">
        <f>IF('Phytopl Count'!AD40=0,"",'Phytopl Count'!AD40*'Phytopl Count'!AD$13/'Phytopl Count'!AD$8)</f>
        <v/>
      </c>
      <c r="AE40" s="31" t="str">
        <f>IF('Phytopl Count'!AE40=0,"",'Phytopl Count'!AE40*'Phytopl Count'!AE$13/'Phytopl Count'!AE$8)</f>
        <v/>
      </c>
      <c r="AF40" s="31" t="str">
        <f>IF('Phytopl Count'!AF40=0,"",'Phytopl Count'!AF40*'Phytopl Count'!AF$13/'Phytopl Count'!AF$8)</f>
        <v/>
      </c>
    </row>
    <row r="41" spans="1:32" s="4" customFormat="1" hidden="1">
      <c r="A41" s="98"/>
      <c r="B41" s="98"/>
      <c r="C41" s="98"/>
      <c r="D41" s="98" t="s">
        <v>5</v>
      </c>
      <c r="E41" s="99" t="s">
        <v>256</v>
      </c>
      <c r="F41" s="11"/>
      <c r="G41" s="31" t="str">
        <f>IF('Phytopl Count'!G41=0,"",'Phytopl Count'!G41*'Phytopl Count'!G$13/'Phytopl Count'!G$8)</f>
        <v/>
      </c>
      <c r="H41" s="31" t="str">
        <f>IF('Phytopl Count'!H41=0,"",'Phytopl Count'!H41*'Phytopl Count'!H$13/'Phytopl Count'!H$8)</f>
        <v/>
      </c>
      <c r="I41" s="31" t="str">
        <f>IF('Phytopl Count'!I41=0,"",'Phytopl Count'!I41*'Phytopl Count'!I$13/'Phytopl Count'!I$8)</f>
        <v/>
      </c>
      <c r="J41" s="31" t="str">
        <f>IF('Phytopl Count'!J41=0,"",'Phytopl Count'!J41*'Phytopl Count'!J$13/'Phytopl Count'!J$8)</f>
        <v/>
      </c>
      <c r="K41" s="31" t="str">
        <f>IF('Phytopl Count'!K41=0,"",'Phytopl Count'!K41*'Phytopl Count'!K$13/'Phytopl Count'!K$8)</f>
        <v/>
      </c>
      <c r="L41" s="31" t="str">
        <f>IF('Phytopl Count'!L41=0,"",'Phytopl Count'!L41*'Phytopl Count'!L$13/'Phytopl Count'!L$8)</f>
        <v/>
      </c>
      <c r="M41" s="31" t="str">
        <f>IF('Phytopl Count'!M41=0,"",'Phytopl Count'!M41*'Phytopl Count'!M$13/'Phytopl Count'!M$8)</f>
        <v/>
      </c>
      <c r="N41" s="31" t="str">
        <f>IF('Phytopl Count'!N41=0,"",'Phytopl Count'!N41*'Phytopl Count'!N$13/'Phytopl Count'!N$8)</f>
        <v/>
      </c>
      <c r="O41" s="31" t="str">
        <f>IF('Phytopl Count'!O41=0,"",'Phytopl Count'!O41*'Phytopl Count'!O$13/'Phytopl Count'!O$8)</f>
        <v/>
      </c>
      <c r="P41" s="31" t="str">
        <f>IF('Phytopl Count'!P41=0,"",'Phytopl Count'!P41*'Phytopl Count'!P$13/'Phytopl Count'!P$8)</f>
        <v/>
      </c>
      <c r="Q41" s="31" t="str">
        <f>IF('Phytopl Count'!Q41=0,"",'Phytopl Count'!Q41*'Phytopl Count'!Q$13/'Phytopl Count'!Q$8)</f>
        <v/>
      </c>
      <c r="R41" s="31" t="str">
        <f>IF('Phytopl Count'!R41=0,"",'Phytopl Count'!R41*'Phytopl Count'!R$13/'Phytopl Count'!R$8)</f>
        <v/>
      </c>
      <c r="S41" s="31" t="str">
        <f>IF('Phytopl Count'!S41=0,"",'Phytopl Count'!S41*'Phytopl Count'!S$13/'Phytopl Count'!S$8)</f>
        <v/>
      </c>
      <c r="T41" s="31" t="str">
        <f>IF('Phytopl Count'!T41=0,"",'Phytopl Count'!T41*'Phytopl Count'!T$13/'Phytopl Count'!T$8)</f>
        <v/>
      </c>
      <c r="U41" s="31" t="str">
        <f>IF('Phytopl Count'!U41=0,"",'Phytopl Count'!U41*'Phytopl Count'!U$13/'Phytopl Count'!U$8)</f>
        <v/>
      </c>
      <c r="V41" s="31" t="str">
        <f>IF('Phytopl Count'!V41=0,"",'Phytopl Count'!V41*'Phytopl Count'!V$13/'Phytopl Count'!V$8)</f>
        <v/>
      </c>
      <c r="W41" s="31" t="str">
        <f>IF('Phytopl Count'!W41=0,"",'Phytopl Count'!W41*'Phytopl Count'!W$13/'Phytopl Count'!W$8)</f>
        <v/>
      </c>
      <c r="X41" s="31" t="str">
        <f>IF('Phytopl Count'!X41=0,"",'Phytopl Count'!X41*'Phytopl Count'!X$13/'Phytopl Count'!X$8)</f>
        <v/>
      </c>
      <c r="Y41" s="31" t="str">
        <f>IF('Phytopl Count'!Y41=0,"",'Phytopl Count'!Y41*'Phytopl Count'!Y$13/'Phytopl Count'!Y$8)</f>
        <v/>
      </c>
      <c r="Z41" s="31" t="str">
        <f>IF('Phytopl Count'!Z41=0,"",'Phytopl Count'!Z41*'Phytopl Count'!Z$13/'Phytopl Count'!Z$8)</f>
        <v/>
      </c>
      <c r="AA41" s="31" t="str">
        <f>IF('Phytopl Count'!AA41=0,"",'Phytopl Count'!AA41*'Phytopl Count'!AA$13/'Phytopl Count'!AA$8)</f>
        <v/>
      </c>
      <c r="AB41" s="31" t="str">
        <f>IF('Phytopl Count'!AB41=0,"",'Phytopl Count'!AB41*'Phytopl Count'!AB$13/'Phytopl Count'!AB$8)</f>
        <v/>
      </c>
      <c r="AC41" s="31" t="str">
        <f>IF('Phytopl Count'!AC41=0,"",'Phytopl Count'!AC41*'Phytopl Count'!AC$13/'Phytopl Count'!AC$8)</f>
        <v/>
      </c>
      <c r="AD41" s="31" t="str">
        <f>IF('Phytopl Count'!AD41=0,"",'Phytopl Count'!AD41*'Phytopl Count'!AD$13/'Phytopl Count'!AD$8)</f>
        <v/>
      </c>
      <c r="AE41" s="31" t="str">
        <f>IF('Phytopl Count'!AE41=0,"",'Phytopl Count'!AE41*'Phytopl Count'!AE$13/'Phytopl Count'!AE$8)</f>
        <v/>
      </c>
      <c r="AF41" s="31" t="str">
        <f>IF('Phytopl Count'!AF41=0,"",'Phytopl Count'!AF41*'Phytopl Count'!AF$13/'Phytopl Count'!AF$8)</f>
        <v/>
      </c>
    </row>
    <row r="42" spans="1:32" s="4" customFormat="1" hidden="1">
      <c r="A42" s="100"/>
      <c r="B42" s="100"/>
      <c r="C42" s="100"/>
      <c r="D42" s="100"/>
      <c r="E42" s="98" t="s">
        <v>6</v>
      </c>
      <c r="F42" s="11" t="s">
        <v>257</v>
      </c>
      <c r="G42" s="31" t="str">
        <f>IF('Phytopl Count'!G42=0,"",'Phytopl Count'!G42*'Phytopl Count'!G$13/'Phytopl Count'!G$8)</f>
        <v/>
      </c>
      <c r="H42" s="31" t="str">
        <f>IF('Phytopl Count'!H42=0,"",'Phytopl Count'!H42*'Phytopl Count'!H$13/'Phytopl Count'!H$8)</f>
        <v/>
      </c>
      <c r="I42" s="31" t="str">
        <f>IF('Phytopl Count'!I42=0,"",'Phytopl Count'!I42*'Phytopl Count'!I$13/'Phytopl Count'!I$8)</f>
        <v/>
      </c>
      <c r="J42" s="31" t="str">
        <f>IF('Phytopl Count'!J42=0,"",'Phytopl Count'!J42*'Phytopl Count'!J$13/'Phytopl Count'!J$8)</f>
        <v/>
      </c>
      <c r="K42" s="31" t="str">
        <f>IF('Phytopl Count'!K42=0,"",'Phytopl Count'!K42*'Phytopl Count'!K$13/'Phytopl Count'!K$8)</f>
        <v/>
      </c>
      <c r="L42" s="31" t="str">
        <f>IF('Phytopl Count'!L42=0,"",'Phytopl Count'!L42*'Phytopl Count'!L$13/'Phytopl Count'!L$8)</f>
        <v/>
      </c>
      <c r="M42" s="31" t="str">
        <f>IF('Phytopl Count'!M42=0,"",'Phytopl Count'!M42*'Phytopl Count'!M$13/'Phytopl Count'!M$8)</f>
        <v/>
      </c>
      <c r="N42" s="31" t="str">
        <f>IF('Phytopl Count'!N42=0,"",'Phytopl Count'!N42*'Phytopl Count'!N$13/'Phytopl Count'!N$8)</f>
        <v/>
      </c>
      <c r="O42" s="31" t="str">
        <f>IF('Phytopl Count'!O42=0,"",'Phytopl Count'!O42*'Phytopl Count'!O$13/'Phytopl Count'!O$8)</f>
        <v/>
      </c>
      <c r="P42" s="31" t="str">
        <f>IF('Phytopl Count'!P42=0,"",'Phytopl Count'!P42*'Phytopl Count'!P$13/'Phytopl Count'!P$8)</f>
        <v/>
      </c>
      <c r="Q42" s="31" t="str">
        <f>IF('Phytopl Count'!Q42=0,"",'Phytopl Count'!Q42*'Phytopl Count'!Q$13/'Phytopl Count'!Q$8)</f>
        <v/>
      </c>
      <c r="R42" s="31" t="str">
        <f>IF('Phytopl Count'!R42=0,"",'Phytopl Count'!R42*'Phytopl Count'!R$13/'Phytopl Count'!R$8)</f>
        <v/>
      </c>
      <c r="S42" s="31" t="str">
        <f>IF('Phytopl Count'!S42=0,"",'Phytopl Count'!S42*'Phytopl Count'!S$13/'Phytopl Count'!S$8)</f>
        <v/>
      </c>
      <c r="T42" s="31" t="str">
        <f>IF('Phytopl Count'!T42=0,"",'Phytopl Count'!T42*'Phytopl Count'!T$13/'Phytopl Count'!T$8)</f>
        <v/>
      </c>
      <c r="U42" s="31" t="str">
        <f>IF('Phytopl Count'!U42=0,"",'Phytopl Count'!U42*'Phytopl Count'!U$13/'Phytopl Count'!U$8)</f>
        <v/>
      </c>
      <c r="V42" s="31" t="str">
        <f>IF('Phytopl Count'!V42=0,"",'Phytopl Count'!V42*'Phytopl Count'!V$13/'Phytopl Count'!V$8)</f>
        <v/>
      </c>
      <c r="W42" s="31" t="str">
        <f>IF('Phytopl Count'!W42=0,"",'Phytopl Count'!W42*'Phytopl Count'!W$13/'Phytopl Count'!W$8)</f>
        <v/>
      </c>
      <c r="X42" s="31" t="str">
        <f>IF('Phytopl Count'!X42=0,"",'Phytopl Count'!X42*'Phytopl Count'!X$13/'Phytopl Count'!X$8)</f>
        <v/>
      </c>
      <c r="Y42" s="31" t="str">
        <f>IF('Phytopl Count'!Y42=0,"",'Phytopl Count'!Y42*'Phytopl Count'!Y$13/'Phytopl Count'!Y$8)</f>
        <v/>
      </c>
      <c r="Z42" s="31" t="str">
        <f>IF('Phytopl Count'!Z42=0,"",'Phytopl Count'!Z42*'Phytopl Count'!Z$13/'Phytopl Count'!Z$8)</f>
        <v/>
      </c>
      <c r="AA42" s="31" t="str">
        <f>IF('Phytopl Count'!AA42=0,"",'Phytopl Count'!AA42*'Phytopl Count'!AA$13/'Phytopl Count'!AA$8)</f>
        <v/>
      </c>
      <c r="AB42" s="31" t="str">
        <f>IF('Phytopl Count'!AB42=0,"",'Phytopl Count'!AB42*'Phytopl Count'!AB$13/'Phytopl Count'!AB$8)</f>
        <v/>
      </c>
      <c r="AC42" s="31" t="str">
        <f>IF('Phytopl Count'!AC42=0,"",'Phytopl Count'!AC42*'Phytopl Count'!AC$13/'Phytopl Count'!AC$8)</f>
        <v/>
      </c>
      <c r="AD42" s="31" t="str">
        <f>IF('Phytopl Count'!AD42=0,"",'Phytopl Count'!AD42*'Phytopl Count'!AD$13/'Phytopl Count'!AD$8)</f>
        <v/>
      </c>
      <c r="AE42" s="31" t="str">
        <f>IF('Phytopl Count'!AE42=0,"",'Phytopl Count'!AE42*'Phytopl Count'!AE$13/'Phytopl Count'!AE$8)</f>
        <v/>
      </c>
      <c r="AF42" s="31" t="str">
        <f>IF('Phytopl Count'!AF42=0,"",'Phytopl Count'!AF42*'Phytopl Count'!AF$13/'Phytopl Count'!AF$8)</f>
        <v/>
      </c>
    </row>
    <row r="43" spans="1:32" hidden="1">
      <c r="C43" s="74"/>
      <c r="D43" s="10" t="s">
        <v>5</v>
      </c>
      <c r="E43" s="12" t="s">
        <v>161</v>
      </c>
      <c r="F43" s="11"/>
      <c r="G43" s="31" t="str">
        <f>IF('Phytopl Count'!G43=0,"",'Phytopl Count'!G43*'Phytopl Count'!G$13/'Phytopl Count'!G$8)</f>
        <v/>
      </c>
      <c r="H43" s="31" t="str">
        <f>IF('Phytopl Count'!H43=0,"",'Phytopl Count'!H43*'Phytopl Count'!H$13/'Phytopl Count'!H$8)</f>
        <v/>
      </c>
      <c r="I43" s="31" t="str">
        <f>IF('Phytopl Count'!I43=0,"",'Phytopl Count'!I43*'Phytopl Count'!I$13/'Phytopl Count'!I$8)</f>
        <v/>
      </c>
      <c r="J43" s="31" t="str">
        <f>IF('Phytopl Count'!J43=0,"",'Phytopl Count'!J43*'Phytopl Count'!J$13/'Phytopl Count'!J$8)</f>
        <v/>
      </c>
      <c r="K43" s="31" t="str">
        <f>IF('Phytopl Count'!K43=0,"",'Phytopl Count'!K43*'Phytopl Count'!K$13/'Phytopl Count'!K$8)</f>
        <v/>
      </c>
      <c r="L43" s="31" t="str">
        <f>IF('Phytopl Count'!L43=0,"",'Phytopl Count'!L43*'Phytopl Count'!L$13/'Phytopl Count'!L$8)</f>
        <v/>
      </c>
      <c r="M43" s="31" t="str">
        <f>IF('Phytopl Count'!M43=0,"",'Phytopl Count'!M43*'Phytopl Count'!M$13/'Phytopl Count'!M$8)</f>
        <v/>
      </c>
      <c r="N43" s="31" t="str">
        <f>IF('Phytopl Count'!N43=0,"",'Phytopl Count'!N43*'Phytopl Count'!N$13/'Phytopl Count'!N$8)</f>
        <v/>
      </c>
      <c r="O43" s="31" t="str">
        <f>IF('Phytopl Count'!O43=0,"",'Phytopl Count'!O43*'Phytopl Count'!O$13/'Phytopl Count'!O$8)</f>
        <v/>
      </c>
      <c r="P43" s="31" t="str">
        <f>IF('Phytopl Count'!P43=0,"",'Phytopl Count'!P43*'Phytopl Count'!P$13/'Phytopl Count'!P$8)</f>
        <v/>
      </c>
      <c r="Q43" s="31" t="str">
        <f>IF('Phytopl Count'!Q43=0,"",'Phytopl Count'!Q43*'Phytopl Count'!Q$13/'Phytopl Count'!Q$8)</f>
        <v/>
      </c>
      <c r="R43" s="31" t="str">
        <f>IF('Phytopl Count'!R43=0,"",'Phytopl Count'!R43*'Phytopl Count'!R$13/'Phytopl Count'!R$8)</f>
        <v/>
      </c>
      <c r="S43" s="31" t="str">
        <f>IF('Phytopl Count'!S43=0,"",'Phytopl Count'!S43*'Phytopl Count'!S$13/'Phytopl Count'!S$8)</f>
        <v/>
      </c>
      <c r="T43" s="31" t="str">
        <f>IF('Phytopl Count'!T43=0,"",'Phytopl Count'!T43*'Phytopl Count'!T$13/'Phytopl Count'!T$8)</f>
        <v/>
      </c>
      <c r="U43" s="31" t="str">
        <f>IF('Phytopl Count'!U43=0,"",'Phytopl Count'!U43*'Phytopl Count'!U$13/'Phytopl Count'!U$8)</f>
        <v/>
      </c>
      <c r="V43" s="31" t="str">
        <f>IF('Phytopl Count'!V43=0,"",'Phytopl Count'!V43*'Phytopl Count'!V$13/'Phytopl Count'!V$8)</f>
        <v/>
      </c>
      <c r="W43" s="31" t="str">
        <f>IF('Phytopl Count'!W43=0,"",'Phytopl Count'!W43*'Phytopl Count'!W$13/'Phytopl Count'!W$8)</f>
        <v/>
      </c>
      <c r="X43" s="31" t="str">
        <f>IF('Phytopl Count'!X43=0,"",'Phytopl Count'!X43*'Phytopl Count'!X$13/'Phytopl Count'!X$8)</f>
        <v/>
      </c>
      <c r="Y43" s="31" t="str">
        <f>IF('Phytopl Count'!Y43=0,"",'Phytopl Count'!Y43*'Phytopl Count'!Y$13/'Phytopl Count'!Y$8)</f>
        <v/>
      </c>
      <c r="Z43" s="31" t="str">
        <f>IF('Phytopl Count'!Z43=0,"",'Phytopl Count'!Z43*'Phytopl Count'!Z$13/'Phytopl Count'!Z$8)</f>
        <v/>
      </c>
      <c r="AA43" s="31" t="str">
        <f>IF('Phytopl Count'!AA43=0,"",'Phytopl Count'!AA43*'Phytopl Count'!AA$13/'Phytopl Count'!AA$8)</f>
        <v/>
      </c>
      <c r="AB43" s="31" t="str">
        <f>IF('Phytopl Count'!AB43=0,"",'Phytopl Count'!AB43*'Phytopl Count'!AB$13/'Phytopl Count'!AB$8)</f>
        <v/>
      </c>
      <c r="AC43" s="31" t="str">
        <f>IF('Phytopl Count'!AC43=0,"",'Phytopl Count'!AC43*'Phytopl Count'!AC$13/'Phytopl Count'!AC$8)</f>
        <v/>
      </c>
      <c r="AD43" s="31" t="str">
        <f>IF('Phytopl Count'!AD43=0,"",'Phytopl Count'!AD43*'Phytopl Count'!AD$13/'Phytopl Count'!AD$8)</f>
        <v/>
      </c>
      <c r="AE43" s="31" t="str">
        <f>IF('Phytopl Count'!AE43=0,"",'Phytopl Count'!AE43*'Phytopl Count'!AE$13/'Phytopl Count'!AE$8)</f>
        <v/>
      </c>
      <c r="AF43" s="31" t="str">
        <f>IF('Phytopl Count'!AF43=0,"",'Phytopl Count'!AF43*'Phytopl Count'!AF$13/'Phytopl Count'!AF$8)</f>
        <v/>
      </c>
    </row>
    <row r="44" spans="1:32" hidden="1">
      <c r="A44" s="10"/>
      <c r="B44" s="10"/>
      <c r="C44" s="10"/>
      <c r="D44" s="10"/>
      <c r="E44" s="10" t="s">
        <v>6</v>
      </c>
      <c r="F44" s="11" t="s">
        <v>114</v>
      </c>
      <c r="G44" s="31" t="str">
        <f>IF('Phytopl Count'!G44=0,"",'Phytopl Count'!G44*'Phytopl Count'!G$13/'Phytopl Count'!G$8)</f>
        <v/>
      </c>
      <c r="H44" s="31" t="str">
        <f>IF('Phytopl Count'!H44=0,"",'Phytopl Count'!H44*'Phytopl Count'!H$13/'Phytopl Count'!H$8)</f>
        <v/>
      </c>
      <c r="I44" s="31" t="str">
        <f>IF('Phytopl Count'!I44=0,"",'Phytopl Count'!I44*'Phytopl Count'!I$13/'Phytopl Count'!I$8)</f>
        <v/>
      </c>
      <c r="J44" s="31" t="str">
        <f>IF('Phytopl Count'!J44=0,"",'Phytopl Count'!J44*'Phytopl Count'!J$13/'Phytopl Count'!J$8)</f>
        <v/>
      </c>
      <c r="K44" s="31" t="str">
        <f>IF('Phytopl Count'!K44=0,"",'Phytopl Count'!K44*'Phytopl Count'!K$13/'Phytopl Count'!K$8)</f>
        <v/>
      </c>
      <c r="L44" s="31" t="str">
        <f>IF('Phytopl Count'!L44=0,"",'Phytopl Count'!L44*'Phytopl Count'!L$13/'Phytopl Count'!L$8)</f>
        <v/>
      </c>
      <c r="M44" s="31" t="str">
        <f>IF('Phytopl Count'!M44=0,"",'Phytopl Count'!M44*'Phytopl Count'!M$13/'Phytopl Count'!M$8)</f>
        <v/>
      </c>
      <c r="N44" s="31" t="str">
        <f>IF('Phytopl Count'!N44=0,"",'Phytopl Count'!N44*'Phytopl Count'!N$13/'Phytopl Count'!N$8)</f>
        <v/>
      </c>
      <c r="O44" s="31" t="str">
        <f>IF('Phytopl Count'!O44=0,"",'Phytopl Count'!O44*'Phytopl Count'!O$13/'Phytopl Count'!O$8)</f>
        <v/>
      </c>
      <c r="P44" s="31" t="str">
        <f>IF('Phytopl Count'!P44=0,"",'Phytopl Count'!P44*'Phytopl Count'!P$13/'Phytopl Count'!P$8)</f>
        <v/>
      </c>
      <c r="Q44" s="31" t="str">
        <f>IF('Phytopl Count'!Q44=0,"",'Phytopl Count'!Q44*'Phytopl Count'!Q$13/'Phytopl Count'!Q$8)</f>
        <v/>
      </c>
      <c r="R44" s="31" t="str">
        <f>IF('Phytopl Count'!R44=0,"",'Phytopl Count'!R44*'Phytopl Count'!R$13/'Phytopl Count'!R$8)</f>
        <v/>
      </c>
      <c r="S44" s="31" t="str">
        <f>IF('Phytopl Count'!S44=0,"",'Phytopl Count'!S44*'Phytopl Count'!S$13/'Phytopl Count'!S$8)</f>
        <v/>
      </c>
      <c r="T44" s="31" t="str">
        <f>IF('Phytopl Count'!T44=0,"",'Phytopl Count'!T44*'Phytopl Count'!T$13/'Phytopl Count'!T$8)</f>
        <v/>
      </c>
      <c r="U44" s="31" t="str">
        <f>IF('Phytopl Count'!U44=0,"",'Phytopl Count'!U44*'Phytopl Count'!U$13/'Phytopl Count'!U$8)</f>
        <v/>
      </c>
      <c r="V44" s="31" t="str">
        <f>IF('Phytopl Count'!V44=0,"",'Phytopl Count'!V44*'Phytopl Count'!V$13/'Phytopl Count'!V$8)</f>
        <v/>
      </c>
      <c r="W44" s="31" t="str">
        <f>IF('Phytopl Count'!W44=0,"",'Phytopl Count'!W44*'Phytopl Count'!W$13/'Phytopl Count'!W$8)</f>
        <v/>
      </c>
      <c r="X44" s="31" t="str">
        <f>IF('Phytopl Count'!X44=0,"",'Phytopl Count'!X44*'Phytopl Count'!X$13/'Phytopl Count'!X$8)</f>
        <v/>
      </c>
      <c r="Y44" s="31" t="str">
        <f>IF('Phytopl Count'!Y44=0,"",'Phytopl Count'!Y44*'Phytopl Count'!Y$13/'Phytopl Count'!Y$8)</f>
        <v/>
      </c>
      <c r="Z44" s="31" t="str">
        <f>IF('Phytopl Count'!Z44=0,"",'Phytopl Count'!Z44*'Phytopl Count'!Z$13/'Phytopl Count'!Z$8)</f>
        <v/>
      </c>
      <c r="AA44" s="31" t="str">
        <f>IF('Phytopl Count'!AA44=0,"",'Phytopl Count'!AA44*'Phytopl Count'!AA$13/'Phytopl Count'!AA$8)</f>
        <v/>
      </c>
      <c r="AB44" s="31" t="str">
        <f>IF('Phytopl Count'!AB44=0,"",'Phytopl Count'!AB44*'Phytopl Count'!AB$13/'Phytopl Count'!AB$8)</f>
        <v/>
      </c>
      <c r="AC44" s="31" t="str">
        <f>IF('Phytopl Count'!AC44=0,"",'Phytopl Count'!AC44*'Phytopl Count'!AC$13/'Phytopl Count'!AC$8)</f>
        <v/>
      </c>
      <c r="AD44" s="31" t="str">
        <f>IF('Phytopl Count'!AD44=0,"",'Phytopl Count'!AD44*'Phytopl Count'!AD$13/'Phytopl Count'!AD$8)</f>
        <v/>
      </c>
      <c r="AE44" s="31" t="str">
        <f>IF('Phytopl Count'!AE44=0,"",'Phytopl Count'!AE44*'Phytopl Count'!AE$13/'Phytopl Count'!AE$8)</f>
        <v/>
      </c>
      <c r="AF44" s="31" t="str">
        <f>IF('Phytopl Count'!AF44=0,"",'Phytopl Count'!AF44*'Phytopl Count'!AF$13/'Phytopl Count'!AF$8)</f>
        <v/>
      </c>
    </row>
    <row r="45" spans="1:32">
      <c r="A45" s="16"/>
      <c r="B45" s="16"/>
      <c r="C45" s="16" t="s">
        <v>73</v>
      </c>
      <c r="D45" s="28" t="s">
        <v>86</v>
      </c>
      <c r="E45" s="10"/>
      <c r="F45" s="11"/>
      <c r="G45" s="31" t="str">
        <f>IF('Phytopl Count'!G45=0,"",'Phytopl Count'!G45*'Phytopl Count'!G$13/'Phytopl Count'!G$8)</f>
        <v/>
      </c>
      <c r="H45" s="31" t="str">
        <f>IF('Phytopl Count'!H45=0,"",'Phytopl Count'!H45*'Phytopl Count'!H$13/'Phytopl Count'!H$8)</f>
        <v/>
      </c>
      <c r="I45" s="31" t="str">
        <f>IF('Phytopl Count'!I45=0,"",'Phytopl Count'!I45*'Phytopl Count'!I$13/'Phytopl Count'!I$8)</f>
        <v/>
      </c>
      <c r="J45" s="31" t="str">
        <f>IF('Phytopl Count'!J45=0,"",'Phytopl Count'!J45*'Phytopl Count'!J$13/'Phytopl Count'!J$8)</f>
        <v/>
      </c>
      <c r="K45" s="31" t="str">
        <f>IF('Phytopl Count'!K45=0,"",'Phytopl Count'!K45*'Phytopl Count'!K$13/'Phytopl Count'!K$8)</f>
        <v/>
      </c>
      <c r="L45" s="31" t="str">
        <f>IF('Phytopl Count'!L45=0,"",'Phytopl Count'!L45*'Phytopl Count'!L$13/'Phytopl Count'!L$8)</f>
        <v/>
      </c>
      <c r="M45" s="31" t="str">
        <f>IF('Phytopl Count'!M45=0,"",'Phytopl Count'!M45*'Phytopl Count'!M$13/'Phytopl Count'!M$8)</f>
        <v/>
      </c>
      <c r="N45" s="31" t="str">
        <f>IF('Phytopl Count'!N45=0,"",'Phytopl Count'!N45*'Phytopl Count'!N$13/'Phytopl Count'!N$8)</f>
        <v/>
      </c>
      <c r="O45" s="31" t="str">
        <f>IF('Phytopl Count'!O45=0,"",'Phytopl Count'!O45*'Phytopl Count'!O$13/'Phytopl Count'!O$8)</f>
        <v/>
      </c>
      <c r="P45" s="31" t="str">
        <f>IF('Phytopl Count'!P45=0,"",'Phytopl Count'!P45*'Phytopl Count'!P$13/'Phytopl Count'!P$8)</f>
        <v/>
      </c>
      <c r="Q45" s="31" t="str">
        <f>IF('Phytopl Count'!Q45=0,"",'Phytopl Count'!Q45*'Phytopl Count'!Q$13/'Phytopl Count'!Q$8)</f>
        <v/>
      </c>
      <c r="R45" s="31" t="str">
        <f>IF('Phytopl Count'!R45=0,"",'Phytopl Count'!R45*'Phytopl Count'!R$13/'Phytopl Count'!R$8)</f>
        <v/>
      </c>
      <c r="S45" s="31" t="str">
        <f>IF('Phytopl Count'!S45=0,"",'Phytopl Count'!S45*'Phytopl Count'!S$13/'Phytopl Count'!S$8)</f>
        <v/>
      </c>
      <c r="T45" s="31" t="str">
        <f>IF('Phytopl Count'!T45=0,"",'Phytopl Count'!T45*'Phytopl Count'!T$13/'Phytopl Count'!T$8)</f>
        <v/>
      </c>
      <c r="U45" s="31" t="str">
        <f>IF('Phytopl Count'!U45=0,"",'Phytopl Count'!U45*'Phytopl Count'!U$13/'Phytopl Count'!U$8)</f>
        <v/>
      </c>
      <c r="V45" s="31" t="str">
        <f>IF('Phytopl Count'!V45=0,"",'Phytopl Count'!V45*'Phytopl Count'!V$13/'Phytopl Count'!V$8)</f>
        <v/>
      </c>
      <c r="W45" s="31" t="str">
        <f>IF('Phytopl Count'!W45=0,"",'Phytopl Count'!W45*'Phytopl Count'!W$13/'Phytopl Count'!W$8)</f>
        <v/>
      </c>
      <c r="X45" s="31" t="str">
        <f>IF('Phytopl Count'!X45=0,"",'Phytopl Count'!X45*'Phytopl Count'!X$13/'Phytopl Count'!X$8)</f>
        <v/>
      </c>
      <c r="Y45" s="31" t="str">
        <f>IF('Phytopl Count'!Y45=0,"",'Phytopl Count'!Y45*'Phytopl Count'!Y$13/'Phytopl Count'!Y$8)</f>
        <v/>
      </c>
      <c r="Z45" s="31" t="str">
        <f>IF('Phytopl Count'!Z45=0,"",'Phytopl Count'!Z45*'Phytopl Count'!Z$13/'Phytopl Count'!Z$8)</f>
        <v/>
      </c>
      <c r="AA45" s="31" t="str">
        <f>IF('Phytopl Count'!AA45=0,"",'Phytopl Count'!AA45*'Phytopl Count'!AA$13/'Phytopl Count'!AA$8)</f>
        <v/>
      </c>
      <c r="AB45" s="31" t="str">
        <f>IF('Phytopl Count'!AB45=0,"",'Phytopl Count'!AB45*'Phytopl Count'!AB$13/'Phytopl Count'!AB$8)</f>
        <v/>
      </c>
      <c r="AC45" s="31" t="str">
        <f>IF('Phytopl Count'!AC45=0,"",'Phytopl Count'!AC45*'Phytopl Count'!AC$13/'Phytopl Count'!AC$8)</f>
        <v/>
      </c>
      <c r="AD45" s="31" t="str">
        <f>IF('Phytopl Count'!AD45=0,"",'Phytopl Count'!AD45*'Phytopl Count'!AD$13/'Phytopl Count'!AD$8)</f>
        <v/>
      </c>
      <c r="AE45" s="31" t="str">
        <f>IF('Phytopl Count'!AE45=0,"",'Phytopl Count'!AE45*'Phytopl Count'!AE$13/'Phytopl Count'!AE$8)</f>
        <v/>
      </c>
      <c r="AF45" s="31" t="str">
        <f>IF('Phytopl Count'!AF45=0,"",'Phytopl Count'!AF45*'Phytopl Count'!AF$13/'Phytopl Count'!AF$8)</f>
        <v/>
      </c>
    </row>
    <row r="46" spans="1:32">
      <c r="A46" s="10"/>
      <c r="B46" s="10"/>
      <c r="C46" s="10"/>
      <c r="D46" s="10" t="s">
        <v>5</v>
      </c>
      <c r="E46" s="12" t="s">
        <v>87</v>
      </c>
      <c r="F46" s="11"/>
      <c r="G46" s="31" t="str">
        <f>IF('Phytopl Count'!G46=0,"",'Phytopl Count'!G46*'Phytopl Count'!G$13/'Phytopl Count'!G$8)</f>
        <v/>
      </c>
      <c r="H46" s="31" t="str">
        <f>IF('Phytopl Count'!H46=0,"",'Phytopl Count'!H46*'Phytopl Count'!H$13/'Phytopl Count'!H$8)</f>
        <v/>
      </c>
      <c r="I46" s="31" t="str">
        <f>IF('Phytopl Count'!I46=0,"",'Phytopl Count'!I46*'Phytopl Count'!I$13/'Phytopl Count'!I$8)</f>
        <v/>
      </c>
      <c r="J46" s="31" t="str">
        <f>IF('Phytopl Count'!J46=0,"",'Phytopl Count'!J46*'Phytopl Count'!J$13/'Phytopl Count'!J$8)</f>
        <v/>
      </c>
      <c r="K46" s="31" t="str">
        <f>IF('Phytopl Count'!K46=0,"",'Phytopl Count'!K46*'Phytopl Count'!K$13/'Phytopl Count'!K$8)</f>
        <v/>
      </c>
      <c r="L46" s="31" t="str">
        <f>IF('Phytopl Count'!L46=0,"",'Phytopl Count'!L46*'Phytopl Count'!L$13/'Phytopl Count'!L$8)</f>
        <v/>
      </c>
      <c r="M46" s="31" t="str">
        <f>IF('Phytopl Count'!M46=0,"",'Phytopl Count'!M46*'Phytopl Count'!M$13/'Phytopl Count'!M$8)</f>
        <v/>
      </c>
      <c r="N46" s="31" t="str">
        <f>IF('Phytopl Count'!N46=0,"",'Phytopl Count'!N46*'Phytopl Count'!N$13/'Phytopl Count'!N$8)</f>
        <v/>
      </c>
      <c r="O46" s="31" t="str">
        <f>IF('Phytopl Count'!O46=0,"",'Phytopl Count'!O46*'Phytopl Count'!O$13/'Phytopl Count'!O$8)</f>
        <v/>
      </c>
      <c r="P46" s="31" t="str">
        <f>IF('Phytopl Count'!P46=0,"",'Phytopl Count'!P46*'Phytopl Count'!P$13/'Phytopl Count'!P$8)</f>
        <v/>
      </c>
      <c r="Q46" s="31" t="str">
        <f>IF('Phytopl Count'!Q46=0,"",'Phytopl Count'!Q46*'Phytopl Count'!Q$13/'Phytopl Count'!Q$8)</f>
        <v/>
      </c>
      <c r="R46" s="31" t="str">
        <f>IF('Phytopl Count'!R46=0,"",'Phytopl Count'!R46*'Phytopl Count'!R$13/'Phytopl Count'!R$8)</f>
        <v/>
      </c>
      <c r="S46" s="31" t="str">
        <f>IF('Phytopl Count'!S46=0,"",'Phytopl Count'!S46*'Phytopl Count'!S$13/'Phytopl Count'!S$8)</f>
        <v/>
      </c>
      <c r="T46" s="31" t="str">
        <f>IF('Phytopl Count'!T46=0,"",'Phytopl Count'!T46*'Phytopl Count'!T$13/'Phytopl Count'!T$8)</f>
        <v/>
      </c>
      <c r="U46" s="31" t="str">
        <f>IF('Phytopl Count'!U46=0,"",'Phytopl Count'!U46*'Phytopl Count'!U$13/'Phytopl Count'!U$8)</f>
        <v/>
      </c>
      <c r="V46" s="31" t="str">
        <f>IF('Phytopl Count'!V46=0,"",'Phytopl Count'!V46*'Phytopl Count'!V$13/'Phytopl Count'!V$8)</f>
        <v/>
      </c>
      <c r="W46" s="31" t="str">
        <f>IF('Phytopl Count'!W46=0,"",'Phytopl Count'!W46*'Phytopl Count'!W$13/'Phytopl Count'!W$8)</f>
        <v/>
      </c>
      <c r="X46" s="31" t="str">
        <f>IF('Phytopl Count'!X46=0,"",'Phytopl Count'!X46*'Phytopl Count'!X$13/'Phytopl Count'!X$8)</f>
        <v/>
      </c>
      <c r="Y46" s="31" t="str">
        <f>IF('Phytopl Count'!Y46=0,"",'Phytopl Count'!Y46*'Phytopl Count'!Y$13/'Phytopl Count'!Y$8)</f>
        <v/>
      </c>
      <c r="Z46" s="31" t="str">
        <f>IF('Phytopl Count'!Z46=0,"",'Phytopl Count'!Z46*'Phytopl Count'!Z$13/'Phytopl Count'!Z$8)</f>
        <v/>
      </c>
      <c r="AA46" s="31" t="str">
        <f>IF('Phytopl Count'!AA46=0,"",'Phytopl Count'!AA46*'Phytopl Count'!AA$13/'Phytopl Count'!AA$8)</f>
        <v/>
      </c>
      <c r="AB46" s="31" t="str">
        <f>IF('Phytopl Count'!AB46=0,"",'Phytopl Count'!AB46*'Phytopl Count'!AB$13/'Phytopl Count'!AB$8)</f>
        <v/>
      </c>
      <c r="AC46" s="31" t="str">
        <f>IF('Phytopl Count'!AC46=0,"",'Phytopl Count'!AC46*'Phytopl Count'!AC$13/'Phytopl Count'!AC$8)</f>
        <v/>
      </c>
      <c r="AD46" s="31" t="str">
        <f>IF('Phytopl Count'!AD46=0,"",'Phytopl Count'!AD46*'Phytopl Count'!AD$13/'Phytopl Count'!AD$8)</f>
        <v/>
      </c>
      <c r="AE46" s="31" t="str">
        <f>IF('Phytopl Count'!AE46=0,"",'Phytopl Count'!AE46*'Phytopl Count'!AE$13/'Phytopl Count'!AE$8)</f>
        <v/>
      </c>
      <c r="AF46" s="31" t="str">
        <f>IF('Phytopl Count'!AF46=0,"",'Phytopl Count'!AF46*'Phytopl Count'!AF$13/'Phytopl Count'!AF$8)</f>
        <v/>
      </c>
    </row>
    <row r="47" spans="1:32">
      <c r="E47" s="10" t="s">
        <v>6</v>
      </c>
      <c r="F47" s="11" t="s">
        <v>34</v>
      </c>
      <c r="G47" s="31" t="str">
        <f>IF('Phytopl Count'!G47=0,"",'Phytopl Count'!G47*'Phytopl Count'!G$13/'Phytopl Count'!G$8)</f>
        <v/>
      </c>
      <c r="H47" s="31" t="str">
        <f>IF('Phytopl Count'!H47=0,"",'Phytopl Count'!H47*'Phytopl Count'!H$13/'Phytopl Count'!H$8)</f>
        <v/>
      </c>
      <c r="I47" s="31" t="str">
        <f>IF('Phytopl Count'!I47=0,"",'Phytopl Count'!I47*'Phytopl Count'!I$13/'Phytopl Count'!I$8)</f>
        <v/>
      </c>
      <c r="J47" s="31">
        <f>IF('Phytopl Count'!J47=0,"",'Phytopl Count'!J47*'Phytopl Count'!J$13/'Phytopl Count'!J$8)</f>
        <v>0.12011693818256251</v>
      </c>
      <c r="K47" s="31" t="str">
        <f>IF('Phytopl Count'!K47=0,"",'Phytopl Count'!K47*'Phytopl Count'!K$13/'Phytopl Count'!K$8)</f>
        <v/>
      </c>
      <c r="L47" s="31" t="str">
        <f>IF('Phytopl Count'!L47=0,"",'Phytopl Count'!L47*'Phytopl Count'!L$13/'Phytopl Count'!L$8)</f>
        <v/>
      </c>
      <c r="M47" s="31" t="str">
        <f>IF('Phytopl Count'!M47=0,"",'Phytopl Count'!M47*'Phytopl Count'!M$13/'Phytopl Count'!M$8)</f>
        <v/>
      </c>
      <c r="N47" s="31" t="str">
        <f>IF('Phytopl Count'!N47=0,"",'Phytopl Count'!N47*'Phytopl Count'!N$13/'Phytopl Count'!N$8)</f>
        <v/>
      </c>
      <c r="O47" s="31" t="str">
        <f>IF('Phytopl Count'!O47=0,"",'Phytopl Count'!O47*'Phytopl Count'!O$13/'Phytopl Count'!O$8)</f>
        <v/>
      </c>
      <c r="P47" s="31" t="str">
        <f>IF('Phytopl Count'!P47=0,"",'Phytopl Count'!P47*'Phytopl Count'!P$13/'Phytopl Count'!P$8)</f>
        <v/>
      </c>
      <c r="Q47" s="31" t="str">
        <f>IF('Phytopl Count'!Q47=0,"",'Phytopl Count'!Q47*'Phytopl Count'!Q$13/'Phytopl Count'!Q$8)</f>
        <v/>
      </c>
      <c r="R47" s="31">
        <f>IF('Phytopl Count'!R47=0,"",'Phytopl Count'!R47*'Phytopl Count'!R$13/'Phytopl Count'!R$8)</f>
        <v>3.2031183515350004E-2</v>
      </c>
      <c r="S47" s="31" t="str">
        <f>IF('Phytopl Count'!S47=0,"",'Phytopl Count'!S47*'Phytopl Count'!S$13/'Phytopl Count'!S$8)</f>
        <v/>
      </c>
      <c r="T47" s="31">
        <f>IF('Phytopl Count'!T47=0,"",'Phytopl Count'!T47*'Phytopl Count'!T$13/'Phytopl Count'!T$8)</f>
        <v>9.6093550546050024E-2</v>
      </c>
      <c r="U47" s="31" t="str">
        <f>IF('Phytopl Count'!U47=0,"",'Phytopl Count'!U47*'Phytopl Count'!U$13/'Phytopl Count'!U$8)</f>
        <v/>
      </c>
      <c r="V47" s="31">
        <f>IF('Phytopl Count'!V47=0,"",'Phytopl Count'!V47*'Phytopl Count'!V$13/'Phytopl Count'!V$8)</f>
        <v>4.0038979394187504E-2</v>
      </c>
      <c r="W47" s="31">
        <f>IF('Phytopl Count'!W47=0,"",'Phytopl Count'!W47*'Phytopl Count'!W$13/'Phytopl Count'!W$8)</f>
        <v>9.6093550546050024E-2</v>
      </c>
      <c r="X47" s="31" t="str">
        <f>IF('Phytopl Count'!X47=0,"",'Phytopl Count'!X47*'Phytopl Count'!X$13/'Phytopl Count'!X$8)</f>
        <v/>
      </c>
      <c r="Y47" s="31" t="str">
        <f>IF('Phytopl Count'!Y47=0,"",'Phytopl Count'!Y47*'Phytopl Count'!Y$13/'Phytopl Count'!Y$8)</f>
        <v/>
      </c>
      <c r="Z47" s="31">
        <f>IF('Phytopl Count'!Z47=0,"",'Phytopl Count'!Z47*'Phytopl Count'!Z$13/'Phytopl Count'!Z$8)</f>
        <v>2.2902296213475251</v>
      </c>
      <c r="AA47" s="31">
        <f>IF('Phytopl Count'!AA47=0,"",'Phytopl Count'!AA47*'Phytopl Count'!AA$13/'Phytopl Count'!AA$8)</f>
        <v>3.2031183515350004E-2</v>
      </c>
      <c r="AB47" s="31" t="str">
        <f>IF('Phytopl Count'!AB47=0,"",'Phytopl Count'!AB47*'Phytopl Count'!AB$13/'Phytopl Count'!AB$8)</f>
        <v/>
      </c>
      <c r="AC47" s="31">
        <f>IF('Phytopl Count'!AC47=0,"",'Phytopl Count'!AC47*'Phytopl Count'!AC$13/'Phytopl Count'!AC$8)</f>
        <v>0.41640538569955005</v>
      </c>
      <c r="AD47" s="31">
        <f>IF('Phytopl Count'!AD47=0,"",'Phytopl Count'!AD47*'Phytopl Count'!AD$13/'Phytopl Count'!AD$8)</f>
        <v>0.3843742021842001</v>
      </c>
      <c r="AE47" s="31" t="str">
        <f>IF('Phytopl Count'!AE47=0,"",'Phytopl Count'!AE47*'Phytopl Count'!AE$13/'Phytopl Count'!AE$8)</f>
        <v/>
      </c>
      <c r="AF47" s="31" t="str">
        <f>IF('Phytopl Count'!AF47=0,"",'Phytopl Count'!AF47*'Phytopl Count'!AF$13/'Phytopl Count'!AF$8)</f>
        <v/>
      </c>
    </row>
    <row r="48" spans="1:32" hidden="1">
      <c r="A48" s="10"/>
      <c r="B48" s="10"/>
      <c r="C48" s="10"/>
      <c r="D48" s="10" t="s">
        <v>5</v>
      </c>
      <c r="E48" s="165" t="s">
        <v>363</v>
      </c>
      <c r="F48" s="11"/>
      <c r="G48" s="31" t="str">
        <f>IF('Phytopl Count'!G48=0,"",'Phytopl Count'!G48*'Phytopl Count'!G$13/'Phytopl Count'!G$8)</f>
        <v/>
      </c>
      <c r="H48" s="31" t="str">
        <f>IF('Phytopl Count'!H48=0,"",'Phytopl Count'!H48*'Phytopl Count'!H$13/'Phytopl Count'!H$8)</f>
        <v/>
      </c>
      <c r="I48" s="31" t="str">
        <f>IF('Phytopl Count'!I48=0,"",'Phytopl Count'!I48*'Phytopl Count'!I$13/'Phytopl Count'!I$8)</f>
        <v/>
      </c>
      <c r="J48" s="31" t="str">
        <f>IF('Phytopl Count'!J48=0,"",'Phytopl Count'!J48*'Phytopl Count'!J$13/'Phytopl Count'!J$8)</f>
        <v/>
      </c>
      <c r="K48" s="31" t="str">
        <f>IF('Phytopl Count'!K48=0,"",'Phytopl Count'!K48*'Phytopl Count'!K$13/'Phytopl Count'!K$8)</f>
        <v/>
      </c>
      <c r="L48" s="31" t="str">
        <f>IF('Phytopl Count'!L48=0,"",'Phytopl Count'!L48*'Phytopl Count'!L$13/'Phytopl Count'!L$8)</f>
        <v/>
      </c>
      <c r="M48" s="31" t="str">
        <f>IF('Phytopl Count'!M48=0,"",'Phytopl Count'!M48*'Phytopl Count'!M$13/'Phytopl Count'!M$8)</f>
        <v/>
      </c>
      <c r="N48" s="31" t="str">
        <f>IF('Phytopl Count'!N48=0,"",'Phytopl Count'!N48*'Phytopl Count'!N$13/'Phytopl Count'!N$8)</f>
        <v/>
      </c>
      <c r="O48" s="31" t="str">
        <f>IF('Phytopl Count'!O48=0,"",'Phytopl Count'!O48*'Phytopl Count'!O$13/'Phytopl Count'!O$8)</f>
        <v/>
      </c>
      <c r="P48" s="31" t="str">
        <f>IF('Phytopl Count'!P48=0,"",'Phytopl Count'!P48*'Phytopl Count'!P$13/'Phytopl Count'!P$8)</f>
        <v/>
      </c>
      <c r="Q48" s="31" t="str">
        <f>IF('Phytopl Count'!Q48=0,"",'Phytopl Count'!Q48*'Phytopl Count'!Q$13/'Phytopl Count'!Q$8)</f>
        <v/>
      </c>
      <c r="R48" s="31" t="str">
        <f>IF('Phytopl Count'!R48=0,"",'Phytopl Count'!R48*'Phytopl Count'!R$13/'Phytopl Count'!R$8)</f>
        <v/>
      </c>
      <c r="S48" s="31" t="str">
        <f>IF('Phytopl Count'!S48=0,"",'Phytopl Count'!S48*'Phytopl Count'!S$13/'Phytopl Count'!S$8)</f>
        <v/>
      </c>
      <c r="T48" s="31" t="str">
        <f>IF('Phytopl Count'!T48=0,"",'Phytopl Count'!T48*'Phytopl Count'!T$13/'Phytopl Count'!T$8)</f>
        <v/>
      </c>
      <c r="U48" s="31" t="str">
        <f>IF('Phytopl Count'!U48=0,"",'Phytopl Count'!U48*'Phytopl Count'!U$13/'Phytopl Count'!U$8)</f>
        <v/>
      </c>
      <c r="V48" s="31" t="str">
        <f>IF('Phytopl Count'!V48=0,"",'Phytopl Count'!V48*'Phytopl Count'!V$13/'Phytopl Count'!V$8)</f>
        <v/>
      </c>
      <c r="W48" s="31" t="str">
        <f>IF('Phytopl Count'!W48=0,"",'Phytopl Count'!W48*'Phytopl Count'!W$13/'Phytopl Count'!W$8)</f>
        <v/>
      </c>
      <c r="X48" s="31" t="str">
        <f>IF('Phytopl Count'!X48=0,"",'Phytopl Count'!X48*'Phytopl Count'!X$13/'Phytopl Count'!X$8)</f>
        <v/>
      </c>
      <c r="Y48" s="31" t="str">
        <f>IF('Phytopl Count'!Y48=0,"",'Phytopl Count'!Y48*'Phytopl Count'!Y$13/'Phytopl Count'!Y$8)</f>
        <v/>
      </c>
      <c r="Z48" s="31" t="str">
        <f>IF('Phytopl Count'!Z48=0,"",'Phytopl Count'!Z48*'Phytopl Count'!Z$13/'Phytopl Count'!Z$8)</f>
        <v/>
      </c>
      <c r="AA48" s="31" t="str">
        <f>IF('Phytopl Count'!AA48=0,"",'Phytopl Count'!AA48*'Phytopl Count'!AA$13/'Phytopl Count'!AA$8)</f>
        <v/>
      </c>
      <c r="AB48" s="31" t="str">
        <f>IF('Phytopl Count'!AB48=0,"",'Phytopl Count'!AB48*'Phytopl Count'!AB$13/'Phytopl Count'!AB$8)</f>
        <v/>
      </c>
      <c r="AC48" s="31" t="str">
        <f>IF('Phytopl Count'!AC48=0,"",'Phytopl Count'!AC48*'Phytopl Count'!AC$13/'Phytopl Count'!AC$8)</f>
        <v/>
      </c>
      <c r="AD48" s="31" t="str">
        <f>IF('Phytopl Count'!AD48=0,"",'Phytopl Count'!AD48*'Phytopl Count'!AD$13/'Phytopl Count'!AD$8)</f>
        <v/>
      </c>
      <c r="AE48" s="31" t="str">
        <f>IF('Phytopl Count'!AE48=0,"",'Phytopl Count'!AE48*'Phytopl Count'!AE$13/'Phytopl Count'!AE$8)</f>
        <v/>
      </c>
      <c r="AF48" s="31" t="str">
        <f>IF('Phytopl Count'!AF48=0,"",'Phytopl Count'!AF48*'Phytopl Count'!AF$13/'Phytopl Count'!AF$8)</f>
        <v/>
      </c>
    </row>
    <row r="49" spans="1:32" hidden="1">
      <c r="E49" s="10" t="s">
        <v>6</v>
      </c>
      <c r="F49" s="11" t="s">
        <v>364</v>
      </c>
      <c r="G49" s="31" t="str">
        <f>IF('Phytopl Count'!G49=0,"",'Phytopl Count'!G49*'Phytopl Count'!G$13/'Phytopl Count'!G$8)</f>
        <v/>
      </c>
      <c r="H49" s="31" t="str">
        <f>IF('Phytopl Count'!H49=0,"",'Phytopl Count'!H49*'Phytopl Count'!H$13/'Phytopl Count'!H$8)</f>
        <v/>
      </c>
      <c r="I49" s="31" t="str">
        <f>IF('Phytopl Count'!I49=0,"",'Phytopl Count'!I49*'Phytopl Count'!I$13/'Phytopl Count'!I$8)</f>
        <v/>
      </c>
      <c r="J49" s="31" t="str">
        <f>IF('Phytopl Count'!J49=0,"",'Phytopl Count'!J49*'Phytopl Count'!J$13/'Phytopl Count'!J$8)</f>
        <v/>
      </c>
      <c r="K49" s="31" t="str">
        <f>IF('Phytopl Count'!K49=0,"",'Phytopl Count'!K49*'Phytopl Count'!K$13/'Phytopl Count'!K$8)</f>
        <v/>
      </c>
      <c r="L49" s="31" t="str">
        <f>IF('Phytopl Count'!L49=0,"",'Phytopl Count'!L49*'Phytopl Count'!L$13/'Phytopl Count'!L$8)</f>
        <v/>
      </c>
      <c r="M49" s="31" t="str">
        <f>IF('Phytopl Count'!M49=0,"",'Phytopl Count'!M49*'Phytopl Count'!M$13/'Phytopl Count'!M$8)</f>
        <v/>
      </c>
      <c r="N49" s="31" t="str">
        <f>IF('Phytopl Count'!N49=0,"",'Phytopl Count'!N49*'Phytopl Count'!N$13/'Phytopl Count'!N$8)</f>
        <v/>
      </c>
      <c r="O49" s="31" t="str">
        <f>IF('Phytopl Count'!O49=0,"",'Phytopl Count'!O49*'Phytopl Count'!O$13/'Phytopl Count'!O$8)</f>
        <v/>
      </c>
      <c r="P49" s="31" t="str">
        <f>IF('Phytopl Count'!P49=0,"",'Phytopl Count'!P49*'Phytopl Count'!P$13/'Phytopl Count'!P$8)</f>
        <v/>
      </c>
      <c r="Q49" s="31" t="str">
        <f>IF('Phytopl Count'!Q49=0,"",'Phytopl Count'!Q49*'Phytopl Count'!Q$13/'Phytopl Count'!Q$8)</f>
        <v/>
      </c>
      <c r="R49" s="31" t="str">
        <f>IF('Phytopl Count'!R49=0,"",'Phytopl Count'!R49*'Phytopl Count'!R$13/'Phytopl Count'!R$8)</f>
        <v/>
      </c>
      <c r="S49" s="31" t="str">
        <f>IF('Phytopl Count'!S49=0,"",'Phytopl Count'!S49*'Phytopl Count'!S$13/'Phytopl Count'!S$8)</f>
        <v/>
      </c>
      <c r="T49" s="31" t="str">
        <f>IF('Phytopl Count'!T49=0,"",'Phytopl Count'!T49*'Phytopl Count'!T$13/'Phytopl Count'!T$8)</f>
        <v/>
      </c>
      <c r="U49" s="31" t="str">
        <f>IF('Phytopl Count'!U49=0,"",'Phytopl Count'!U49*'Phytopl Count'!U$13/'Phytopl Count'!U$8)</f>
        <v/>
      </c>
      <c r="V49" s="31" t="str">
        <f>IF('Phytopl Count'!V49=0,"",'Phytopl Count'!V49*'Phytopl Count'!V$13/'Phytopl Count'!V$8)</f>
        <v/>
      </c>
      <c r="W49" s="31" t="str">
        <f>IF('Phytopl Count'!W49=0,"",'Phytopl Count'!W49*'Phytopl Count'!W$13/'Phytopl Count'!W$8)</f>
        <v/>
      </c>
      <c r="X49" s="31" t="str">
        <f>IF('Phytopl Count'!X49=0,"",'Phytopl Count'!X49*'Phytopl Count'!X$13/'Phytopl Count'!X$8)</f>
        <v/>
      </c>
      <c r="Y49" s="31" t="str">
        <f>IF('Phytopl Count'!Y49=0,"",'Phytopl Count'!Y49*'Phytopl Count'!Y$13/'Phytopl Count'!Y$8)</f>
        <v/>
      </c>
      <c r="Z49" s="31" t="str">
        <f>IF('Phytopl Count'!Z49=0,"",'Phytopl Count'!Z49*'Phytopl Count'!Z$13/'Phytopl Count'!Z$8)</f>
        <v/>
      </c>
      <c r="AA49" s="31" t="str">
        <f>IF('Phytopl Count'!AA49=0,"",'Phytopl Count'!AA49*'Phytopl Count'!AA$13/'Phytopl Count'!AA$8)</f>
        <v/>
      </c>
      <c r="AB49" s="31" t="str">
        <f>IF('Phytopl Count'!AB49=0,"",'Phytopl Count'!AB49*'Phytopl Count'!AB$13/'Phytopl Count'!AB$8)</f>
        <v/>
      </c>
      <c r="AC49" s="31" t="str">
        <f>IF('Phytopl Count'!AC49=0,"",'Phytopl Count'!AC49*'Phytopl Count'!AC$13/'Phytopl Count'!AC$8)</f>
        <v/>
      </c>
      <c r="AD49" s="31" t="str">
        <f>IF('Phytopl Count'!AD49=0,"",'Phytopl Count'!AD49*'Phytopl Count'!AD$13/'Phytopl Count'!AD$8)</f>
        <v/>
      </c>
      <c r="AE49" s="31" t="str">
        <f>IF('Phytopl Count'!AE49=0,"",'Phytopl Count'!AE49*'Phytopl Count'!AE$13/'Phytopl Count'!AE$8)</f>
        <v/>
      </c>
      <c r="AF49" s="31" t="str">
        <f>IF('Phytopl Count'!AF49=0,"",'Phytopl Count'!AF49*'Phytopl Count'!AF$13/'Phytopl Count'!AF$8)</f>
        <v/>
      </c>
    </row>
    <row r="50" spans="1:32">
      <c r="A50" s="4"/>
      <c r="B50" s="4"/>
      <c r="C50" s="16" t="s">
        <v>73</v>
      </c>
      <c r="D50" s="4" t="s">
        <v>88</v>
      </c>
      <c r="E50" s="16"/>
      <c r="F50" s="54"/>
      <c r="G50" s="31" t="str">
        <f>IF('Phytopl Count'!G50=0,"",'Phytopl Count'!G50*'Phytopl Count'!G$13/'Phytopl Count'!G$8)</f>
        <v/>
      </c>
      <c r="H50" s="31" t="str">
        <f>IF('Phytopl Count'!H50=0,"",'Phytopl Count'!H50*'Phytopl Count'!H$13/'Phytopl Count'!H$8)</f>
        <v/>
      </c>
      <c r="I50" s="31" t="str">
        <f>IF('Phytopl Count'!I50=0,"",'Phytopl Count'!I50*'Phytopl Count'!I$13/'Phytopl Count'!I$8)</f>
        <v/>
      </c>
      <c r="J50" s="31" t="str">
        <f>IF('Phytopl Count'!J50=0,"",'Phytopl Count'!J50*'Phytopl Count'!J$13/'Phytopl Count'!J$8)</f>
        <v/>
      </c>
      <c r="K50" s="31" t="str">
        <f>IF('Phytopl Count'!K50=0,"",'Phytopl Count'!K50*'Phytopl Count'!K$13/'Phytopl Count'!K$8)</f>
        <v/>
      </c>
      <c r="L50" s="31" t="str">
        <f>IF('Phytopl Count'!L50=0,"",'Phytopl Count'!L50*'Phytopl Count'!L$13/'Phytopl Count'!L$8)</f>
        <v/>
      </c>
      <c r="M50" s="31" t="str">
        <f>IF('Phytopl Count'!M50=0,"",'Phytopl Count'!M50*'Phytopl Count'!M$13/'Phytopl Count'!M$8)</f>
        <v/>
      </c>
      <c r="N50" s="31" t="str">
        <f>IF('Phytopl Count'!N50=0,"",'Phytopl Count'!N50*'Phytopl Count'!N$13/'Phytopl Count'!N$8)</f>
        <v/>
      </c>
      <c r="O50" s="31" t="str">
        <f>IF('Phytopl Count'!O50=0,"",'Phytopl Count'!O50*'Phytopl Count'!O$13/'Phytopl Count'!O$8)</f>
        <v/>
      </c>
      <c r="P50" s="31" t="str">
        <f>IF('Phytopl Count'!P50=0,"",'Phytopl Count'!P50*'Phytopl Count'!P$13/'Phytopl Count'!P$8)</f>
        <v/>
      </c>
      <c r="Q50" s="31" t="str">
        <f>IF('Phytopl Count'!Q50=0,"",'Phytopl Count'!Q50*'Phytopl Count'!Q$13/'Phytopl Count'!Q$8)</f>
        <v/>
      </c>
      <c r="R50" s="31" t="str">
        <f>IF('Phytopl Count'!R50=0,"",'Phytopl Count'!R50*'Phytopl Count'!R$13/'Phytopl Count'!R$8)</f>
        <v/>
      </c>
      <c r="S50" s="31" t="str">
        <f>IF('Phytopl Count'!S50=0,"",'Phytopl Count'!S50*'Phytopl Count'!S$13/'Phytopl Count'!S$8)</f>
        <v/>
      </c>
      <c r="T50" s="31" t="str">
        <f>IF('Phytopl Count'!T50=0,"",'Phytopl Count'!T50*'Phytopl Count'!T$13/'Phytopl Count'!T$8)</f>
        <v/>
      </c>
      <c r="U50" s="31" t="str">
        <f>IF('Phytopl Count'!U50=0,"",'Phytopl Count'!U50*'Phytopl Count'!U$13/'Phytopl Count'!U$8)</f>
        <v/>
      </c>
      <c r="V50" s="31" t="str">
        <f>IF('Phytopl Count'!V50=0,"",'Phytopl Count'!V50*'Phytopl Count'!V$13/'Phytopl Count'!V$8)</f>
        <v/>
      </c>
      <c r="W50" s="31" t="str">
        <f>IF('Phytopl Count'!W50=0,"",'Phytopl Count'!W50*'Phytopl Count'!W$13/'Phytopl Count'!W$8)</f>
        <v/>
      </c>
      <c r="X50" s="31" t="str">
        <f>IF('Phytopl Count'!X50=0,"",'Phytopl Count'!X50*'Phytopl Count'!X$13/'Phytopl Count'!X$8)</f>
        <v/>
      </c>
      <c r="Y50" s="31" t="str">
        <f>IF('Phytopl Count'!Y50=0,"",'Phytopl Count'!Y50*'Phytopl Count'!Y$13/'Phytopl Count'!Y$8)</f>
        <v/>
      </c>
      <c r="Z50" s="31" t="str">
        <f>IF('Phytopl Count'!Z50=0,"",'Phytopl Count'!Z50*'Phytopl Count'!Z$13/'Phytopl Count'!Z$8)</f>
        <v/>
      </c>
      <c r="AA50" s="31" t="str">
        <f>IF('Phytopl Count'!AA50=0,"",'Phytopl Count'!AA50*'Phytopl Count'!AA$13/'Phytopl Count'!AA$8)</f>
        <v/>
      </c>
      <c r="AB50" s="31" t="str">
        <f>IF('Phytopl Count'!AB50=0,"",'Phytopl Count'!AB50*'Phytopl Count'!AB$13/'Phytopl Count'!AB$8)</f>
        <v/>
      </c>
      <c r="AC50" s="31" t="str">
        <f>IF('Phytopl Count'!AC50=0,"",'Phytopl Count'!AC50*'Phytopl Count'!AC$13/'Phytopl Count'!AC$8)</f>
        <v/>
      </c>
      <c r="AD50" s="31" t="str">
        <f>IF('Phytopl Count'!AD50=0,"",'Phytopl Count'!AD50*'Phytopl Count'!AD$13/'Phytopl Count'!AD$8)</f>
        <v/>
      </c>
      <c r="AE50" s="31" t="str">
        <f>IF('Phytopl Count'!AE50=0,"",'Phytopl Count'!AE50*'Phytopl Count'!AE$13/'Phytopl Count'!AE$8)</f>
        <v/>
      </c>
      <c r="AF50" s="31" t="str">
        <f>IF('Phytopl Count'!AF50=0,"",'Phytopl Count'!AF50*'Phytopl Count'!AF$13/'Phytopl Count'!AF$8)</f>
        <v/>
      </c>
    </row>
    <row r="51" spans="1:32">
      <c r="D51" s="10" t="s">
        <v>5</v>
      </c>
      <c r="E51" s="5" t="s">
        <v>35</v>
      </c>
      <c r="F51" s="9"/>
      <c r="G51" s="31" t="str">
        <f>IF('Phytopl Count'!G51=0,"",'Phytopl Count'!G51*'Phytopl Count'!G$13/'Phytopl Count'!G$8)</f>
        <v/>
      </c>
      <c r="H51" s="31" t="str">
        <f>IF('Phytopl Count'!H51=0,"",'Phytopl Count'!H51*'Phytopl Count'!H$13/'Phytopl Count'!H$8)</f>
        <v/>
      </c>
      <c r="I51" s="31" t="str">
        <f>IF('Phytopl Count'!I51=0,"",'Phytopl Count'!I51*'Phytopl Count'!I$13/'Phytopl Count'!I$8)</f>
        <v/>
      </c>
      <c r="J51" s="31" t="str">
        <f>IF('Phytopl Count'!J51=0,"",'Phytopl Count'!J51*'Phytopl Count'!J$13/'Phytopl Count'!J$8)</f>
        <v/>
      </c>
      <c r="K51" s="31" t="str">
        <f>IF('Phytopl Count'!K51=0,"",'Phytopl Count'!K51*'Phytopl Count'!K$13/'Phytopl Count'!K$8)</f>
        <v/>
      </c>
      <c r="L51" s="31" t="str">
        <f>IF('Phytopl Count'!L51=0,"",'Phytopl Count'!L51*'Phytopl Count'!L$13/'Phytopl Count'!L$8)</f>
        <v/>
      </c>
      <c r="M51" s="31" t="str">
        <f>IF('Phytopl Count'!M51=0,"",'Phytopl Count'!M51*'Phytopl Count'!M$13/'Phytopl Count'!M$8)</f>
        <v/>
      </c>
      <c r="N51" s="31" t="str">
        <f>IF('Phytopl Count'!N51=0,"",'Phytopl Count'!N51*'Phytopl Count'!N$13/'Phytopl Count'!N$8)</f>
        <v/>
      </c>
      <c r="O51" s="31" t="str">
        <f>IF('Phytopl Count'!O51=0,"",'Phytopl Count'!O51*'Phytopl Count'!O$13/'Phytopl Count'!O$8)</f>
        <v/>
      </c>
      <c r="P51" s="31" t="str">
        <f>IF('Phytopl Count'!P51=0,"",'Phytopl Count'!P51*'Phytopl Count'!P$13/'Phytopl Count'!P$8)</f>
        <v/>
      </c>
      <c r="Q51" s="31" t="str">
        <f>IF('Phytopl Count'!Q51=0,"",'Phytopl Count'!Q51*'Phytopl Count'!Q$13/'Phytopl Count'!Q$8)</f>
        <v/>
      </c>
      <c r="R51" s="31" t="str">
        <f>IF('Phytopl Count'!R51=0,"",'Phytopl Count'!R51*'Phytopl Count'!R$13/'Phytopl Count'!R$8)</f>
        <v/>
      </c>
      <c r="S51" s="31" t="str">
        <f>IF('Phytopl Count'!S51=0,"",'Phytopl Count'!S51*'Phytopl Count'!S$13/'Phytopl Count'!S$8)</f>
        <v/>
      </c>
      <c r="T51" s="31" t="str">
        <f>IF('Phytopl Count'!T51=0,"",'Phytopl Count'!T51*'Phytopl Count'!T$13/'Phytopl Count'!T$8)</f>
        <v/>
      </c>
      <c r="U51" s="31" t="str">
        <f>IF('Phytopl Count'!U51=0,"",'Phytopl Count'!U51*'Phytopl Count'!U$13/'Phytopl Count'!U$8)</f>
        <v/>
      </c>
      <c r="V51" s="31" t="str">
        <f>IF('Phytopl Count'!V51=0,"",'Phytopl Count'!V51*'Phytopl Count'!V$13/'Phytopl Count'!V$8)</f>
        <v/>
      </c>
      <c r="W51" s="31" t="str">
        <f>IF('Phytopl Count'!W51=0,"",'Phytopl Count'!W51*'Phytopl Count'!W$13/'Phytopl Count'!W$8)</f>
        <v/>
      </c>
      <c r="X51" s="31" t="str">
        <f>IF('Phytopl Count'!X51=0,"",'Phytopl Count'!X51*'Phytopl Count'!X$13/'Phytopl Count'!X$8)</f>
        <v/>
      </c>
      <c r="Y51" s="31" t="str">
        <f>IF('Phytopl Count'!Y51=0,"",'Phytopl Count'!Y51*'Phytopl Count'!Y$13/'Phytopl Count'!Y$8)</f>
        <v/>
      </c>
      <c r="Z51" s="31" t="str">
        <f>IF('Phytopl Count'!Z51=0,"",'Phytopl Count'!Z51*'Phytopl Count'!Z$13/'Phytopl Count'!Z$8)</f>
        <v/>
      </c>
      <c r="AA51" s="31" t="str">
        <f>IF('Phytopl Count'!AA51=0,"",'Phytopl Count'!AA51*'Phytopl Count'!AA$13/'Phytopl Count'!AA$8)</f>
        <v/>
      </c>
      <c r="AB51" s="31" t="str">
        <f>IF('Phytopl Count'!AB51=0,"",'Phytopl Count'!AB51*'Phytopl Count'!AB$13/'Phytopl Count'!AB$8)</f>
        <v/>
      </c>
      <c r="AC51" s="31" t="str">
        <f>IF('Phytopl Count'!AC51=0,"",'Phytopl Count'!AC51*'Phytopl Count'!AC$13/'Phytopl Count'!AC$8)</f>
        <v/>
      </c>
      <c r="AD51" s="31" t="str">
        <f>IF('Phytopl Count'!AD51=0,"",'Phytopl Count'!AD51*'Phytopl Count'!AD$13/'Phytopl Count'!AD$8)</f>
        <v/>
      </c>
      <c r="AE51" s="31" t="str">
        <f>IF('Phytopl Count'!AE51=0,"",'Phytopl Count'!AE51*'Phytopl Count'!AE$13/'Phytopl Count'!AE$8)</f>
        <v/>
      </c>
      <c r="AF51" s="31" t="str">
        <f>IF('Phytopl Count'!AF51=0,"",'Phytopl Count'!AF51*'Phytopl Count'!AF$13/'Phytopl Count'!AF$8)</f>
        <v/>
      </c>
    </row>
    <row r="52" spans="1:32" hidden="1">
      <c r="F52" s="11" t="s">
        <v>36</v>
      </c>
      <c r="G52" s="31" t="str">
        <f>IF('Phytopl Count'!G52=0,"",'Phytopl Count'!G52*'Phytopl Count'!G$13/'Phytopl Count'!G$8)</f>
        <v/>
      </c>
      <c r="H52" s="31" t="str">
        <f>IF('Phytopl Count'!H52=0,"",'Phytopl Count'!H52*'Phytopl Count'!H$13/'Phytopl Count'!H$8)</f>
        <v/>
      </c>
      <c r="I52" s="31" t="str">
        <f>IF('Phytopl Count'!I52=0,"",'Phytopl Count'!I52*'Phytopl Count'!I$13/'Phytopl Count'!I$8)</f>
        <v/>
      </c>
      <c r="J52" s="31" t="str">
        <f>IF('Phytopl Count'!J52=0,"",'Phytopl Count'!J52*'Phytopl Count'!J$13/'Phytopl Count'!J$8)</f>
        <v/>
      </c>
      <c r="K52" s="31" t="str">
        <f>IF('Phytopl Count'!K52=0,"",'Phytopl Count'!K52*'Phytopl Count'!K$13/'Phytopl Count'!K$8)</f>
        <v/>
      </c>
      <c r="L52" s="31" t="str">
        <f>IF('Phytopl Count'!L52=0,"",'Phytopl Count'!L52*'Phytopl Count'!L$13/'Phytopl Count'!L$8)</f>
        <v/>
      </c>
      <c r="M52" s="31" t="str">
        <f>IF('Phytopl Count'!M52=0,"",'Phytopl Count'!M52*'Phytopl Count'!M$13/'Phytopl Count'!M$8)</f>
        <v/>
      </c>
      <c r="N52" s="31" t="str">
        <f>IF('Phytopl Count'!N52=0,"",'Phytopl Count'!N52*'Phytopl Count'!N$13/'Phytopl Count'!N$8)</f>
        <v/>
      </c>
      <c r="O52" s="31" t="str">
        <f>IF('Phytopl Count'!O52=0,"",'Phytopl Count'!O52*'Phytopl Count'!O$13/'Phytopl Count'!O$8)</f>
        <v/>
      </c>
      <c r="P52" s="31" t="str">
        <f>IF('Phytopl Count'!P52=0,"",'Phytopl Count'!P52*'Phytopl Count'!P$13/'Phytopl Count'!P$8)</f>
        <v/>
      </c>
      <c r="Q52" s="31" t="str">
        <f>IF('Phytopl Count'!Q52=0,"",'Phytopl Count'!Q52*'Phytopl Count'!Q$13/'Phytopl Count'!Q$8)</f>
        <v/>
      </c>
      <c r="R52" s="31" t="str">
        <f>IF('Phytopl Count'!R52=0,"",'Phytopl Count'!R52*'Phytopl Count'!R$13/'Phytopl Count'!R$8)</f>
        <v/>
      </c>
      <c r="S52" s="31" t="str">
        <f>IF('Phytopl Count'!S52=0,"",'Phytopl Count'!S52*'Phytopl Count'!S$13/'Phytopl Count'!S$8)</f>
        <v/>
      </c>
      <c r="T52" s="31" t="str">
        <f>IF('Phytopl Count'!T52=0,"",'Phytopl Count'!T52*'Phytopl Count'!T$13/'Phytopl Count'!T$8)</f>
        <v/>
      </c>
      <c r="U52" s="31" t="str">
        <f>IF('Phytopl Count'!U52=0,"",'Phytopl Count'!U52*'Phytopl Count'!U$13/'Phytopl Count'!U$8)</f>
        <v/>
      </c>
      <c r="V52" s="31" t="str">
        <f>IF('Phytopl Count'!V52=0,"",'Phytopl Count'!V52*'Phytopl Count'!V$13/'Phytopl Count'!V$8)</f>
        <v/>
      </c>
      <c r="W52" s="31" t="str">
        <f>IF('Phytopl Count'!W52=0,"",'Phytopl Count'!W52*'Phytopl Count'!W$13/'Phytopl Count'!W$8)</f>
        <v/>
      </c>
      <c r="X52" s="31" t="str">
        <f>IF('Phytopl Count'!X52=0,"",'Phytopl Count'!X52*'Phytopl Count'!X$13/'Phytopl Count'!X$8)</f>
        <v/>
      </c>
      <c r="Y52" s="31" t="str">
        <f>IF('Phytopl Count'!Y52=0,"",'Phytopl Count'!Y52*'Phytopl Count'!Y$13/'Phytopl Count'!Y$8)</f>
        <v/>
      </c>
      <c r="Z52" s="31" t="str">
        <f>IF('Phytopl Count'!Z52=0,"",'Phytopl Count'!Z52*'Phytopl Count'!Z$13/'Phytopl Count'!Z$8)</f>
        <v/>
      </c>
      <c r="AA52" s="31" t="str">
        <f>IF('Phytopl Count'!AA52=0,"",'Phytopl Count'!AA52*'Phytopl Count'!AA$13/'Phytopl Count'!AA$8)</f>
        <v/>
      </c>
      <c r="AB52" s="31" t="str">
        <f>IF('Phytopl Count'!AB52=0,"",'Phytopl Count'!AB52*'Phytopl Count'!AB$13/'Phytopl Count'!AB$8)</f>
        <v/>
      </c>
      <c r="AC52" s="31" t="str">
        <f>IF('Phytopl Count'!AC52=0,"",'Phytopl Count'!AC52*'Phytopl Count'!AC$13/'Phytopl Count'!AC$8)</f>
        <v/>
      </c>
      <c r="AD52" s="31" t="str">
        <f>IF('Phytopl Count'!AD52=0,"",'Phytopl Count'!AD52*'Phytopl Count'!AD$13/'Phytopl Count'!AD$8)</f>
        <v/>
      </c>
      <c r="AE52" s="31" t="str">
        <f>IF('Phytopl Count'!AE52=0,"",'Phytopl Count'!AE52*'Phytopl Count'!AE$13/'Phytopl Count'!AE$8)</f>
        <v/>
      </c>
      <c r="AF52" s="31" t="str">
        <f>IF('Phytopl Count'!AF52=0,"",'Phytopl Count'!AF52*'Phytopl Count'!AF$13/'Phytopl Count'!AF$8)</f>
        <v/>
      </c>
    </row>
    <row r="53" spans="1:32">
      <c r="E53" s="10" t="s">
        <v>6</v>
      </c>
      <c r="F53" s="52" t="s">
        <v>145</v>
      </c>
      <c r="G53" s="31">
        <f>IF('Phytopl Count'!G53=0,"",'Phytopl Count'!G53*'Phytopl Count'!G$13/'Phytopl Count'!G$8)</f>
        <v>0.14947885640496672</v>
      </c>
      <c r="H53" s="31">
        <f>IF('Phytopl Count'!H53=0,"",'Phytopl Count'!H53*'Phytopl Count'!H$13/'Phytopl Count'!H$8)</f>
        <v>0.48046775273025011</v>
      </c>
      <c r="I53" s="31">
        <f>IF('Phytopl Count'!I53=0,"",'Phytopl Count'!I53*'Phytopl Count'!I$13/'Phytopl Count'!I$8)</f>
        <v>0.11210914230372501</v>
      </c>
      <c r="J53" s="31">
        <f>IF('Phytopl Count'!J53=0,"",'Phytopl Count'!J53*'Phytopl Count'!J$13/'Phytopl Count'!J$8)</f>
        <v>4.0038979394187504E-2</v>
      </c>
      <c r="K53" s="31">
        <f>IF('Phytopl Count'!K53=0,"",'Phytopl Count'!K53*'Phytopl Count'!K$13/'Phytopl Count'!K$8)</f>
        <v>0.19218710109210005</v>
      </c>
      <c r="L53" s="31">
        <f>IF('Phytopl Count'!L53=0,"",'Phytopl Count'!L53*'Phytopl Count'!L$13/'Phytopl Count'!L$8)</f>
        <v>7.2070162909537508E-2</v>
      </c>
      <c r="M53" s="31">
        <f>IF('Phytopl Count'!M53=0,"",'Phytopl Count'!M53*'Phytopl Count'!M$13/'Phytopl Count'!M$8)</f>
        <v>4.0038979394187504E-2</v>
      </c>
      <c r="N53" s="31">
        <f>IF('Phytopl Count'!N53=0,"",'Phytopl Count'!N53*'Phytopl Count'!N$13/'Phytopl Count'!N$8)</f>
        <v>0.24023387636512505</v>
      </c>
      <c r="O53" s="31">
        <f>IF('Phytopl Count'!O53=0,"",'Phytopl Count'!O53*'Phytopl Count'!O$13/'Phytopl Count'!O$8)</f>
        <v>0.22421828460745002</v>
      </c>
      <c r="P53" s="31">
        <f>IF('Phytopl Count'!P53=0,"",'Phytopl Count'!P53*'Phytopl Count'!P$13/'Phytopl Count'!P$8)</f>
        <v>0.19218710109210005</v>
      </c>
      <c r="Q53" s="31">
        <f>IF('Phytopl Count'!Q53=0,"",'Phytopl Count'!Q53*'Phytopl Count'!Q$13/'Phytopl Count'!Q$8)</f>
        <v>8.0077958788375009E-2</v>
      </c>
      <c r="R53" s="31">
        <f>IF('Phytopl Count'!R53=0,"",'Phytopl Count'!R53*'Phytopl Count'!R$13/'Phytopl Count'!R$8)</f>
        <v>3.2031183515350004E-2</v>
      </c>
      <c r="S53" s="31">
        <f>IF('Phytopl Count'!S53=0,"",'Phytopl Count'!S53*'Phytopl Count'!S$13/'Phytopl Count'!S$8)</f>
        <v>9.6093550546050024E-2</v>
      </c>
      <c r="T53" s="31">
        <f>IF('Phytopl Count'!T53=0,"",'Phytopl Count'!T53*'Phytopl Count'!T$13/'Phytopl Count'!T$8)</f>
        <v>4.8046775273025012E-2</v>
      </c>
      <c r="U53" s="31" t="str">
        <f>IF('Phytopl Count'!U53=0,"",'Phytopl Count'!U53*'Phytopl Count'!U$13/'Phytopl Count'!U$8)</f>
        <v/>
      </c>
      <c r="V53" s="31">
        <f>IF('Phytopl Count'!V53=0,"",'Phytopl Count'!V53*'Phytopl Count'!V$13/'Phytopl Count'!V$8)</f>
        <v>4.0038979394187504E-2</v>
      </c>
      <c r="W53" s="31">
        <f>IF('Phytopl Count'!W53=0,"",'Phytopl Count'!W53*'Phytopl Count'!W$13/'Phytopl Count'!W$8)</f>
        <v>4.8046775273025012E-2</v>
      </c>
      <c r="X53" s="31" t="str">
        <f>IF('Phytopl Count'!X53=0,"",'Phytopl Count'!X53*'Phytopl Count'!X$13/'Phytopl Count'!X$8)</f>
        <v/>
      </c>
      <c r="Y53" s="31">
        <f>IF('Phytopl Count'!Y53=0,"",'Phytopl Count'!Y53*'Phytopl Count'!Y$13/'Phytopl Count'!Y$8)</f>
        <v>2.4023387636512506E-2</v>
      </c>
      <c r="Z53" s="31">
        <f>IF('Phytopl Count'!Z53=0,"",'Phytopl Count'!Z53*'Phytopl Count'!Z$13/'Phytopl Count'!Z$8)</f>
        <v>0.10410134642488751</v>
      </c>
      <c r="AA53" s="31">
        <f>IF('Phytopl Count'!AA53=0,"",'Phytopl Count'!AA53*'Phytopl Count'!AA$13/'Phytopl Count'!AA$8)</f>
        <v>6.4062367030700007E-2</v>
      </c>
      <c r="AB53" s="31" t="str">
        <f>IF('Phytopl Count'!AB53=0,"",'Phytopl Count'!AB53*'Phytopl Count'!AB$13/'Phytopl Count'!AB$8)</f>
        <v/>
      </c>
      <c r="AC53" s="31">
        <f>IF('Phytopl Count'!AC53=0,"",'Phytopl Count'!AC53*'Phytopl Count'!AC$13/'Phytopl Count'!AC$8)</f>
        <v>0.19218710109210005</v>
      </c>
      <c r="AD53" s="31">
        <f>IF('Phytopl Count'!AD53=0,"",'Phytopl Count'!AD53*'Phytopl Count'!AD$13/'Phytopl Count'!AD$8)</f>
        <v>6.4062367030700007E-2</v>
      </c>
      <c r="AE53" s="31">
        <f>IF('Phytopl Count'!AE53=0,"",'Phytopl Count'!AE53*'Phytopl Count'!AE$13/'Phytopl Count'!AE$8)</f>
        <v>2.4023387636512506E-2</v>
      </c>
      <c r="AF53" s="31">
        <f>IF('Phytopl Count'!AF53=0,"",'Phytopl Count'!AF53*'Phytopl Count'!AF$13/'Phytopl Count'!AF$8)</f>
        <v>0.12812473406140001</v>
      </c>
    </row>
    <row r="54" spans="1:32">
      <c r="A54" s="4"/>
      <c r="B54" s="4"/>
      <c r="C54" s="16" t="s">
        <v>73</v>
      </c>
      <c r="D54" s="4" t="s">
        <v>258</v>
      </c>
      <c r="E54" s="10"/>
      <c r="F54" s="11"/>
      <c r="G54" s="31" t="str">
        <f>IF('Phytopl Count'!G54=0,"",'Phytopl Count'!G54*'Phytopl Count'!G$13/'Phytopl Count'!G$8)</f>
        <v/>
      </c>
      <c r="H54" s="31" t="str">
        <f>IF('Phytopl Count'!H54=0,"",'Phytopl Count'!H54*'Phytopl Count'!H$13/'Phytopl Count'!H$8)</f>
        <v/>
      </c>
      <c r="I54" s="31" t="str">
        <f>IF('Phytopl Count'!I54=0,"",'Phytopl Count'!I54*'Phytopl Count'!I$13/'Phytopl Count'!I$8)</f>
        <v/>
      </c>
      <c r="J54" s="31" t="str">
        <f>IF('Phytopl Count'!J54=0,"",'Phytopl Count'!J54*'Phytopl Count'!J$13/'Phytopl Count'!J$8)</f>
        <v/>
      </c>
      <c r="K54" s="31" t="str">
        <f>IF('Phytopl Count'!K54=0,"",'Phytopl Count'!K54*'Phytopl Count'!K$13/'Phytopl Count'!K$8)</f>
        <v/>
      </c>
      <c r="L54" s="31" t="str">
        <f>IF('Phytopl Count'!L54=0,"",'Phytopl Count'!L54*'Phytopl Count'!L$13/'Phytopl Count'!L$8)</f>
        <v/>
      </c>
      <c r="M54" s="31" t="str">
        <f>IF('Phytopl Count'!M54=0,"",'Phytopl Count'!M54*'Phytopl Count'!M$13/'Phytopl Count'!M$8)</f>
        <v/>
      </c>
      <c r="N54" s="31" t="str">
        <f>IF('Phytopl Count'!N54=0,"",'Phytopl Count'!N54*'Phytopl Count'!N$13/'Phytopl Count'!N$8)</f>
        <v/>
      </c>
      <c r="O54" s="31" t="str">
        <f>IF('Phytopl Count'!O54=0,"",'Phytopl Count'!O54*'Phytopl Count'!O$13/'Phytopl Count'!O$8)</f>
        <v/>
      </c>
      <c r="P54" s="31" t="str">
        <f>IF('Phytopl Count'!P54=0,"",'Phytopl Count'!P54*'Phytopl Count'!P$13/'Phytopl Count'!P$8)</f>
        <v/>
      </c>
      <c r="Q54" s="31" t="str">
        <f>IF('Phytopl Count'!Q54=0,"",'Phytopl Count'!Q54*'Phytopl Count'!Q$13/'Phytopl Count'!Q$8)</f>
        <v/>
      </c>
      <c r="R54" s="31" t="str">
        <f>IF('Phytopl Count'!R54=0,"",'Phytopl Count'!R54*'Phytopl Count'!R$13/'Phytopl Count'!R$8)</f>
        <v/>
      </c>
      <c r="S54" s="31" t="str">
        <f>IF('Phytopl Count'!S54=0,"",'Phytopl Count'!S54*'Phytopl Count'!S$13/'Phytopl Count'!S$8)</f>
        <v/>
      </c>
      <c r="T54" s="31" t="str">
        <f>IF('Phytopl Count'!T54=0,"",'Phytopl Count'!T54*'Phytopl Count'!T$13/'Phytopl Count'!T$8)</f>
        <v/>
      </c>
      <c r="U54" s="31" t="str">
        <f>IF('Phytopl Count'!U54=0,"",'Phytopl Count'!U54*'Phytopl Count'!U$13/'Phytopl Count'!U$8)</f>
        <v/>
      </c>
      <c r="V54" s="31" t="str">
        <f>IF('Phytopl Count'!V54=0,"",'Phytopl Count'!V54*'Phytopl Count'!V$13/'Phytopl Count'!V$8)</f>
        <v/>
      </c>
      <c r="W54" s="31" t="str">
        <f>IF('Phytopl Count'!W54=0,"",'Phytopl Count'!W54*'Phytopl Count'!W$13/'Phytopl Count'!W$8)</f>
        <v/>
      </c>
      <c r="X54" s="31" t="str">
        <f>IF('Phytopl Count'!X54=0,"",'Phytopl Count'!X54*'Phytopl Count'!X$13/'Phytopl Count'!X$8)</f>
        <v/>
      </c>
      <c r="Y54" s="31" t="str">
        <f>IF('Phytopl Count'!Y54=0,"",'Phytopl Count'!Y54*'Phytopl Count'!Y$13/'Phytopl Count'!Y$8)</f>
        <v/>
      </c>
      <c r="Z54" s="31" t="str">
        <f>IF('Phytopl Count'!Z54=0,"",'Phytopl Count'!Z54*'Phytopl Count'!Z$13/'Phytopl Count'!Z$8)</f>
        <v/>
      </c>
      <c r="AA54" s="31" t="str">
        <f>IF('Phytopl Count'!AA54=0,"",'Phytopl Count'!AA54*'Phytopl Count'!AA$13/'Phytopl Count'!AA$8)</f>
        <v/>
      </c>
      <c r="AB54" s="31" t="str">
        <f>IF('Phytopl Count'!AB54=0,"",'Phytopl Count'!AB54*'Phytopl Count'!AB$13/'Phytopl Count'!AB$8)</f>
        <v/>
      </c>
      <c r="AC54" s="31" t="str">
        <f>IF('Phytopl Count'!AC54=0,"",'Phytopl Count'!AC54*'Phytopl Count'!AC$13/'Phytopl Count'!AC$8)</f>
        <v/>
      </c>
      <c r="AD54" s="31" t="str">
        <f>IF('Phytopl Count'!AD54=0,"",'Phytopl Count'!AD54*'Phytopl Count'!AD$13/'Phytopl Count'!AD$8)</f>
        <v/>
      </c>
      <c r="AE54" s="31" t="str">
        <f>IF('Phytopl Count'!AE54=0,"",'Phytopl Count'!AE54*'Phytopl Count'!AE$13/'Phytopl Count'!AE$8)</f>
        <v/>
      </c>
      <c r="AF54" s="31" t="str">
        <f>IF('Phytopl Count'!AF54=0,"",'Phytopl Count'!AF54*'Phytopl Count'!AF$13/'Phytopl Count'!AF$8)</f>
        <v/>
      </c>
    </row>
    <row r="55" spans="1:32">
      <c r="D55" s="10" t="s">
        <v>5</v>
      </c>
      <c r="E55" s="101" t="s">
        <v>259</v>
      </c>
      <c r="F55" s="9"/>
      <c r="G55" s="31" t="str">
        <f>IF('Phytopl Count'!G55=0,"",'Phytopl Count'!G55*'Phytopl Count'!G$13/'Phytopl Count'!G$8)</f>
        <v/>
      </c>
      <c r="H55" s="31" t="str">
        <f>IF('Phytopl Count'!H55=0,"",'Phytopl Count'!H55*'Phytopl Count'!H$13/'Phytopl Count'!H$8)</f>
        <v/>
      </c>
      <c r="I55" s="31" t="str">
        <f>IF('Phytopl Count'!I55=0,"",'Phytopl Count'!I55*'Phytopl Count'!I$13/'Phytopl Count'!I$8)</f>
        <v/>
      </c>
      <c r="J55" s="31" t="str">
        <f>IF('Phytopl Count'!J55=0,"",'Phytopl Count'!J55*'Phytopl Count'!J$13/'Phytopl Count'!J$8)</f>
        <v/>
      </c>
      <c r="K55" s="31" t="str">
        <f>IF('Phytopl Count'!K55=0,"",'Phytopl Count'!K55*'Phytopl Count'!K$13/'Phytopl Count'!K$8)</f>
        <v/>
      </c>
      <c r="L55" s="31" t="str">
        <f>IF('Phytopl Count'!L55=0,"",'Phytopl Count'!L55*'Phytopl Count'!L$13/'Phytopl Count'!L$8)</f>
        <v/>
      </c>
      <c r="M55" s="31" t="str">
        <f>IF('Phytopl Count'!M55=0,"",'Phytopl Count'!M55*'Phytopl Count'!M$13/'Phytopl Count'!M$8)</f>
        <v/>
      </c>
      <c r="N55" s="31" t="str">
        <f>IF('Phytopl Count'!N55=0,"",'Phytopl Count'!N55*'Phytopl Count'!N$13/'Phytopl Count'!N$8)</f>
        <v/>
      </c>
      <c r="O55" s="31" t="str">
        <f>IF('Phytopl Count'!O55=0,"",'Phytopl Count'!O55*'Phytopl Count'!O$13/'Phytopl Count'!O$8)</f>
        <v/>
      </c>
      <c r="P55" s="31" t="str">
        <f>IF('Phytopl Count'!P55=0,"",'Phytopl Count'!P55*'Phytopl Count'!P$13/'Phytopl Count'!P$8)</f>
        <v/>
      </c>
      <c r="Q55" s="31" t="str">
        <f>IF('Phytopl Count'!Q55=0,"",'Phytopl Count'!Q55*'Phytopl Count'!Q$13/'Phytopl Count'!Q$8)</f>
        <v/>
      </c>
      <c r="R55" s="31" t="str">
        <f>IF('Phytopl Count'!R55=0,"",'Phytopl Count'!R55*'Phytopl Count'!R$13/'Phytopl Count'!R$8)</f>
        <v/>
      </c>
      <c r="S55" s="31" t="str">
        <f>IF('Phytopl Count'!S55=0,"",'Phytopl Count'!S55*'Phytopl Count'!S$13/'Phytopl Count'!S$8)</f>
        <v/>
      </c>
      <c r="T55" s="31" t="str">
        <f>IF('Phytopl Count'!T55=0,"",'Phytopl Count'!T55*'Phytopl Count'!T$13/'Phytopl Count'!T$8)</f>
        <v/>
      </c>
      <c r="U55" s="31" t="str">
        <f>IF('Phytopl Count'!U55=0,"",'Phytopl Count'!U55*'Phytopl Count'!U$13/'Phytopl Count'!U$8)</f>
        <v/>
      </c>
      <c r="V55" s="31" t="str">
        <f>IF('Phytopl Count'!V55=0,"",'Phytopl Count'!V55*'Phytopl Count'!V$13/'Phytopl Count'!V$8)</f>
        <v/>
      </c>
      <c r="W55" s="31" t="str">
        <f>IF('Phytopl Count'!W55=0,"",'Phytopl Count'!W55*'Phytopl Count'!W$13/'Phytopl Count'!W$8)</f>
        <v/>
      </c>
      <c r="X55" s="31" t="str">
        <f>IF('Phytopl Count'!X55=0,"",'Phytopl Count'!X55*'Phytopl Count'!X$13/'Phytopl Count'!X$8)</f>
        <v/>
      </c>
      <c r="Y55" s="31" t="str">
        <f>IF('Phytopl Count'!Y55=0,"",'Phytopl Count'!Y55*'Phytopl Count'!Y$13/'Phytopl Count'!Y$8)</f>
        <v/>
      </c>
      <c r="Z55" s="31" t="str">
        <f>IF('Phytopl Count'!Z55=0,"",'Phytopl Count'!Z55*'Phytopl Count'!Z$13/'Phytopl Count'!Z$8)</f>
        <v/>
      </c>
      <c r="AA55" s="31" t="str">
        <f>IF('Phytopl Count'!AA55=0,"",'Phytopl Count'!AA55*'Phytopl Count'!AA$13/'Phytopl Count'!AA$8)</f>
        <v/>
      </c>
      <c r="AB55" s="31" t="str">
        <f>IF('Phytopl Count'!AB55=0,"",'Phytopl Count'!AB55*'Phytopl Count'!AB$13/'Phytopl Count'!AB$8)</f>
        <v/>
      </c>
      <c r="AC55" s="31" t="str">
        <f>IF('Phytopl Count'!AC55=0,"",'Phytopl Count'!AC55*'Phytopl Count'!AC$13/'Phytopl Count'!AC$8)</f>
        <v/>
      </c>
      <c r="AD55" s="31" t="str">
        <f>IF('Phytopl Count'!AD55=0,"",'Phytopl Count'!AD55*'Phytopl Count'!AD$13/'Phytopl Count'!AD$8)</f>
        <v/>
      </c>
      <c r="AE55" s="31" t="str">
        <f>IF('Phytopl Count'!AE55=0,"",'Phytopl Count'!AE55*'Phytopl Count'!AE$13/'Phytopl Count'!AE$8)</f>
        <v/>
      </c>
      <c r="AF55" s="31" t="str">
        <f>IF('Phytopl Count'!AF55=0,"",'Phytopl Count'!AF55*'Phytopl Count'!AF$13/'Phytopl Count'!AF$8)</f>
        <v/>
      </c>
    </row>
    <row r="56" spans="1:32">
      <c r="E56" s="10" t="s">
        <v>6</v>
      </c>
      <c r="F56" s="11" t="s">
        <v>260</v>
      </c>
      <c r="G56" s="31" t="str">
        <f>IF('Phytopl Count'!G56=0,"",'Phytopl Count'!G56*'Phytopl Count'!G$13/'Phytopl Count'!G$8)</f>
        <v/>
      </c>
      <c r="H56" s="31" t="str">
        <f>IF('Phytopl Count'!H56=0,"",'Phytopl Count'!H56*'Phytopl Count'!H$13/'Phytopl Count'!H$8)</f>
        <v/>
      </c>
      <c r="I56" s="31" t="str">
        <f>IF('Phytopl Count'!I56=0,"",'Phytopl Count'!I56*'Phytopl Count'!I$13/'Phytopl Count'!I$8)</f>
        <v/>
      </c>
      <c r="J56" s="31" t="str">
        <f>IF('Phytopl Count'!J56=0,"",'Phytopl Count'!J56*'Phytopl Count'!J$13/'Phytopl Count'!J$8)</f>
        <v/>
      </c>
      <c r="K56" s="31" t="str">
        <f>IF('Phytopl Count'!K56=0,"",'Phytopl Count'!K56*'Phytopl Count'!K$13/'Phytopl Count'!K$8)</f>
        <v/>
      </c>
      <c r="L56" s="31" t="str">
        <f>IF('Phytopl Count'!L56=0,"",'Phytopl Count'!L56*'Phytopl Count'!L$13/'Phytopl Count'!L$8)</f>
        <v/>
      </c>
      <c r="M56" s="31" t="str">
        <f>IF('Phytopl Count'!M56=0,"",'Phytopl Count'!M56*'Phytopl Count'!M$13/'Phytopl Count'!M$8)</f>
        <v/>
      </c>
      <c r="N56" s="31" t="str">
        <f>IF('Phytopl Count'!N56=0,"",'Phytopl Count'!N56*'Phytopl Count'!N$13/'Phytopl Count'!N$8)</f>
        <v/>
      </c>
      <c r="O56" s="31" t="str">
        <f>IF('Phytopl Count'!O56=0,"",'Phytopl Count'!O56*'Phytopl Count'!O$13/'Phytopl Count'!O$8)</f>
        <v/>
      </c>
      <c r="P56" s="31" t="str">
        <f>IF('Phytopl Count'!P56=0,"",'Phytopl Count'!P56*'Phytopl Count'!P$13/'Phytopl Count'!P$8)</f>
        <v/>
      </c>
      <c r="Q56" s="31" t="str">
        <f>IF('Phytopl Count'!Q56=0,"",'Phytopl Count'!Q56*'Phytopl Count'!Q$13/'Phytopl Count'!Q$8)</f>
        <v/>
      </c>
      <c r="R56" s="31" t="str">
        <f>IF('Phytopl Count'!R56=0,"",'Phytopl Count'!R56*'Phytopl Count'!R$13/'Phytopl Count'!R$8)</f>
        <v/>
      </c>
      <c r="S56" s="31" t="str">
        <f>IF('Phytopl Count'!S56=0,"",'Phytopl Count'!S56*'Phytopl Count'!S$13/'Phytopl Count'!S$8)</f>
        <v/>
      </c>
      <c r="T56" s="31" t="str">
        <f>IF('Phytopl Count'!T56=0,"",'Phytopl Count'!T56*'Phytopl Count'!T$13/'Phytopl Count'!T$8)</f>
        <v/>
      </c>
      <c r="U56" s="31">
        <f>IF('Phytopl Count'!U56=0,"",'Phytopl Count'!U56*'Phytopl Count'!U$13/'Phytopl Count'!U$8)</f>
        <v>3.2031183515350004E-2</v>
      </c>
      <c r="V56" s="31" t="str">
        <f>IF('Phytopl Count'!V56=0,"",'Phytopl Count'!V56*'Phytopl Count'!V$13/'Phytopl Count'!V$8)</f>
        <v/>
      </c>
      <c r="W56" s="31" t="str">
        <f>IF('Phytopl Count'!W56=0,"",'Phytopl Count'!W56*'Phytopl Count'!W$13/'Phytopl Count'!W$8)</f>
        <v/>
      </c>
      <c r="X56" s="31" t="str">
        <f>IF('Phytopl Count'!X56=0,"",'Phytopl Count'!X56*'Phytopl Count'!X$13/'Phytopl Count'!X$8)</f>
        <v/>
      </c>
      <c r="Y56" s="31" t="str">
        <f>IF('Phytopl Count'!Y56=0,"",'Phytopl Count'!Y56*'Phytopl Count'!Y$13/'Phytopl Count'!Y$8)</f>
        <v/>
      </c>
      <c r="Z56" s="31" t="str">
        <f>IF('Phytopl Count'!Z56=0,"",'Phytopl Count'!Z56*'Phytopl Count'!Z$13/'Phytopl Count'!Z$8)</f>
        <v/>
      </c>
      <c r="AA56" s="31" t="str">
        <f>IF('Phytopl Count'!AA56=0,"",'Phytopl Count'!AA56*'Phytopl Count'!AA$13/'Phytopl Count'!AA$8)</f>
        <v/>
      </c>
      <c r="AB56" s="31" t="str">
        <f>IF('Phytopl Count'!AB56=0,"",'Phytopl Count'!AB56*'Phytopl Count'!AB$13/'Phytopl Count'!AB$8)</f>
        <v/>
      </c>
      <c r="AC56" s="31" t="str">
        <f>IF('Phytopl Count'!AC56=0,"",'Phytopl Count'!AC56*'Phytopl Count'!AC$13/'Phytopl Count'!AC$8)</f>
        <v/>
      </c>
      <c r="AD56" s="31" t="str">
        <f>IF('Phytopl Count'!AD56=0,"",'Phytopl Count'!AD56*'Phytopl Count'!AD$13/'Phytopl Count'!AD$8)</f>
        <v/>
      </c>
      <c r="AE56" s="31" t="str">
        <f>IF('Phytopl Count'!AE56=0,"",'Phytopl Count'!AE56*'Phytopl Count'!AE$13/'Phytopl Count'!AE$8)</f>
        <v/>
      </c>
      <c r="AF56" s="31" t="str">
        <f>IF('Phytopl Count'!AF56=0,"",'Phytopl Count'!AF56*'Phytopl Count'!AF$13/'Phytopl Count'!AF$8)</f>
        <v/>
      </c>
    </row>
    <row r="57" spans="1:32">
      <c r="A57" s="4"/>
      <c r="B57" s="4"/>
      <c r="C57" s="16" t="s">
        <v>73</v>
      </c>
      <c r="D57" s="4" t="s">
        <v>90</v>
      </c>
      <c r="E57" s="10"/>
      <c r="F57" s="11"/>
      <c r="G57" s="31" t="str">
        <f>IF('Phytopl Count'!G57=0,"",'Phytopl Count'!G57*'Phytopl Count'!G$13/'Phytopl Count'!G$8)</f>
        <v/>
      </c>
      <c r="H57" s="31" t="str">
        <f>IF('Phytopl Count'!H57=0,"",'Phytopl Count'!H57*'Phytopl Count'!H$13/'Phytopl Count'!H$8)</f>
        <v/>
      </c>
      <c r="I57" s="31" t="str">
        <f>IF('Phytopl Count'!I57=0,"",'Phytopl Count'!I57*'Phytopl Count'!I$13/'Phytopl Count'!I$8)</f>
        <v/>
      </c>
      <c r="J57" s="31" t="str">
        <f>IF('Phytopl Count'!J57=0,"",'Phytopl Count'!J57*'Phytopl Count'!J$13/'Phytopl Count'!J$8)</f>
        <v/>
      </c>
      <c r="K57" s="31" t="str">
        <f>IF('Phytopl Count'!K57=0,"",'Phytopl Count'!K57*'Phytopl Count'!K$13/'Phytopl Count'!K$8)</f>
        <v/>
      </c>
      <c r="L57" s="31" t="str">
        <f>IF('Phytopl Count'!L57=0,"",'Phytopl Count'!L57*'Phytopl Count'!L$13/'Phytopl Count'!L$8)</f>
        <v/>
      </c>
      <c r="M57" s="31" t="str">
        <f>IF('Phytopl Count'!M57=0,"",'Phytopl Count'!M57*'Phytopl Count'!M$13/'Phytopl Count'!M$8)</f>
        <v/>
      </c>
      <c r="N57" s="31" t="str">
        <f>IF('Phytopl Count'!N57=0,"",'Phytopl Count'!N57*'Phytopl Count'!N$13/'Phytopl Count'!N$8)</f>
        <v/>
      </c>
      <c r="O57" s="31" t="str">
        <f>IF('Phytopl Count'!O57=0,"",'Phytopl Count'!O57*'Phytopl Count'!O$13/'Phytopl Count'!O$8)</f>
        <v/>
      </c>
      <c r="P57" s="31" t="str">
        <f>IF('Phytopl Count'!P57=0,"",'Phytopl Count'!P57*'Phytopl Count'!P$13/'Phytopl Count'!P$8)</f>
        <v/>
      </c>
      <c r="Q57" s="31" t="str">
        <f>IF('Phytopl Count'!Q57=0,"",'Phytopl Count'!Q57*'Phytopl Count'!Q$13/'Phytopl Count'!Q$8)</f>
        <v/>
      </c>
      <c r="R57" s="31" t="str">
        <f>IF('Phytopl Count'!R57=0,"",'Phytopl Count'!R57*'Phytopl Count'!R$13/'Phytopl Count'!R$8)</f>
        <v/>
      </c>
      <c r="S57" s="31" t="str">
        <f>IF('Phytopl Count'!S57=0,"",'Phytopl Count'!S57*'Phytopl Count'!S$13/'Phytopl Count'!S$8)</f>
        <v/>
      </c>
      <c r="T57" s="31" t="str">
        <f>IF('Phytopl Count'!T57=0,"",'Phytopl Count'!T57*'Phytopl Count'!T$13/'Phytopl Count'!T$8)</f>
        <v/>
      </c>
      <c r="U57" s="31" t="str">
        <f>IF('Phytopl Count'!U57=0,"",'Phytopl Count'!U57*'Phytopl Count'!U$13/'Phytopl Count'!U$8)</f>
        <v/>
      </c>
      <c r="V57" s="31" t="str">
        <f>IF('Phytopl Count'!V57=0,"",'Phytopl Count'!V57*'Phytopl Count'!V$13/'Phytopl Count'!V$8)</f>
        <v/>
      </c>
      <c r="W57" s="31" t="str">
        <f>IF('Phytopl Count'!W57=0,"",'Phytopl Count'!W57*'Phytopl Count'!W$13/'Phytopl Count'!W$8)</f>
        <v/>
      </c>
      <c r="X57" s="31" t="str">
        <f>IF('Phytopl Count'!X57=0,"",'Phytopl Count'!X57*'Phytopl Count'!X$13/'Phytopl Count'!X$8)</f>
        <v/>
      </c>
      <c r="Y57" s="31" t="str">
        <f>IF('Phytopl Count'!Y57=0,"",'Phytopl Count'!Y57*'Phytopl Count'!Y$13/'Phytopl Count'!Y$8)</f>
        <v/>
      </c>
      <c r="Z57" s="31" t="str">
        <f>IF('Phytopl Count'!Z57=0,"",'Phytopl Count'!Z57*'Phytopl Count'!Z$13/'Phytopl Count'!Z$8)</f>
        <v/>
      </c>
      <c r="AA57" s="31" t="str">
        <f>IF('Phytopl Count'!AA57=0,"",'Phytopl Count'!AA57*'Phytopl Count'!AA$13/'Phytopl Count'!AA$8)</f>
        <v/>
      </c>
      <c r="AB57" s="31" t="str">
        <f>IF('Phytopl Count'!AB57=0,"",'Phytopl Count'!AB57*'Phytopl Count'!AB$13/'Phytopl Count'!AB$8)</f>
        <v/>
      </c>
      <c r="AC57" s="31" t="str">
        <f>IF('Phytopl Count'!AC57=0,"",'Phytopl Count'!AC57*'Phytopl Count'!AC$13/'Phytopl Count'!AC$8)</f>
        <v/>
      </c>
      <c r="AD57" s="31" t="str">
        <f>IF('Phytopl Count'!AD57=0,"",'Phytopl Count'!AD57*'Phytopl Count'!AD$13/'Phytopl Count'!AD$8)</f>
        <v/>
      </c>
      <c r="AE57" s="31" t="str">
        <f>IF('Phytopl Count'!AE57=0,"",'Phytopl Count'!AE57*'Phytopl Count'!AE$13/'Phytopl Count'!AE$8)</f>
        <v/>
      </c>
      <c r="AF57" s="31" t="str">
        <f>IF('Phytopl Count'!AF57=0,"",'Phytopl Count'!AF57*'Phytopl Count'!AF$13/'Phytopl Count'!AF$8)</f>
        <v/>
      </c>
    </row>
    <row r="58" spans="1:32" hidden="1">
      <c r="D58" s="10" t="s">
        <v>5</v>
      </c>
      <c r="E58" s="164" t="s">
        <v>372</v>
      </c>
      <c r="F58" s="9"/>
      <c r="G58" s="31" t="str">
        <f>IF('Phytopl Count'!G58=0,"",'Phytopl Count'!G58*'Phytopl Count'!G$13/'Phytopl Count'!G$8)</f>
        <v/>
      </c>
      <c r="H58" s="31" t="str">
        <f>IF('Phytopl Count'!H58=0,"",'Phytopl Count'!H58*'Phytopl Count'!H$13/'Phytopl Count'!H$8)</f>
        <v/>
      </c>
      <c r="I58" s="31" t="str">
        <f>IF('Phytopl Count'!I58=0,"",'Phytopl Count'!I58*'Phytopl Count'!I$13/'Phytopl Count'!I$8)</f>
        <v/>
      </c>
      <c r="J58" s="31" t="str">
        <f>IF('Phytopl Count'!J58=0,"",'Phytopl Count'!J58*'Phytopl Count'!J$13/'Phytopl Count'!J$8)</f>
        <v/>
      </c>
      <c r="K58" s="31" t="str">
        <f>IF('Phytopl Count'!K58=0,"",'Phytopl Count'!K58*'Phytopl Count'!K$13/'Phytopl Count'!K$8)</f>
        <v/>
      </c>
      <c r="L58" s="31" t="str">
        <f>IF('Phytopl Count'!L58=0,"",'Phytopl Count'!L58*'Phytopl Count'!L$13/'Phytopl Count'!L$8)</f>
        <v/>
      </c>
      <c r="M58" s="31" t="str">
        <f>IF('Phytopl Count'!M58=0,"",'Phytopl Count'!M58*'Phytopl Count'!M$13/'Phytopl Count'!M$8)</f>
        <v/>
      </c>
      <c r="N58" s="31" t="str">
        <f>IF('Phytopl Count'!N58=0,"",'Phytopl Count'!N58*'Phytopl Count'!N$13/'Phytopl Count'!N$8)</f>
        <v/>
      </c>
      <c r="O58" s="31" t="str">
        <f>IF('Phytopl Count'!O58=0,"",'Phytopl Count'!O58*'Phytopl Count'!O$13/'Phytopl Count'!O$8)</f>
        <v/>
      </c>
      <c r="P58" s="31" t="str">
        <f>IF('Phytopl Count'!P58=0,"",'Phytopl Count'!P58*'Phytopl Count'!P$13/'Phytopl Count'!P$8)</f>
        <v/>
      </c>
      <c r="Q58" s="31" t="str">
        <f>IF('Phytopl Count'!Q58=0,"",'Phytopl Count'!Q58*'Phytopl Count'!Q$13/'Phytopl Count'!Q$8)</f>
        <v/>
      </c>
      <c r="R58" s="31" t="str">
        <f>IF('Phytopl Count'!R58=0,"",'Phytopl Count'!R58*'Phytopl Count'!R$13/'Phytopl Count'!R$8)</f>
        <v/>
      </c>
      <c r="S58" s="31" t="str">
        <f>IF('Phytopl Count'!S58=0,"",'Phytopl Count'!S58*'Phytopl Count'!S$13/'Phytopl Count'!S$8)</f>
        <v/>
      </c>
      <c r="T58" s="31" t="str">
        <f>IF('Phytopl Count'!T58=0,"",'Phytopl Count'!T58*'Phytopl Count'!T$13/'Phytopl Count'!T$8)</f>
        <v/>
      </c>
      <c r="U58" s="31" t="str">
        <f>IF('Phytopl Count'!U58=0,"",'Phytopl Count'!U58*'Phytopl Count'!U$13/'Phytopl Count'!U$8)</f>
        <v/>
      </c>
      <c r="V58" s="31" t="str">
        <f>IF('Phytopl Count'!V58=0,"",'Phytopl Count'!V58*'Phytopl Count'!V$13/'Phytopl Count'!V$8)</f>
        <v/>
      </c>
      <c r="W58" s="31" t="str">
        <f>IF('Phytopl Count'!W58=0,"",'Phytopl Count'!W58*'Phytopl Count'!W$13/'Phytopl Count'!W$8)</f>
        <v/>
      </c>
      <c r="X58" s="31" t="str">
        <f>IF('Phytopl Count'!X58=0,"",'Phytopl Count'!X58*'Phytopl Count'!X$13/'Phytopl Count'!X$8)</f>
        <v/>
      </c>
      <c r="Y58" s="31" t="str">
        <f>IF('Phytopl Count'!Y58=0,"",'Phytopl Count'!Y58*'Phytopl Count'!Y$13/'Phytopl Count'!Y$8)</f>
        <v/>
      </c>
      <c r="Z58" s="31" t="str">
        <f>IF('Phytopl Count'!Z58=0,"",'Phytopl Count'!Z58*'Phytopl Count'!Z$13/'Phytopl Count'!Z$8)</f>
        <v/>
      </c>
      <c r="AA58" s="31" t="str">
        <f>IF('Phytopl Count'!AA58=0,"",'Phytopl Count'!AA58*'Phytopl Count'!AA$13/'Phytopl Count'!AA$8)</f>
        <v/>
      </c>
      <c r="AB58" s="31" t="str">
        <f>IF('Phytopl Count'!AB58=0,"",'Phytopl Count'!AB58*'Phytopl Count'!AB$13/'Phytopl Count'!AB$8)</f>
        <v/>
      </c>
      <c r="AC58" s="31" t="str">
        <f>IF('Phytopl Count'!AC58=0,"",'Phytopl Count'!AC58*'Phytopl Count'!AC$13/'Phytopl Count'!AC$8)</f>
        <v/>
      </c>
      <c r="AD58" s="31" t="str">
        <f>IF('Phytopl Count'!AD58=0,"",'Phytopl Count'!AD58*'Phytopl Count'!AD$13/'Phytopl Count'!AD$8)</f>
        <v/>
      </c>
      <c r="AE58" s="31" t="str">
        <f>IF('Phytopl Count'!AE58=0,"",'Phytopl Count'!AE58*'Phytopl Count'!AE$13/'Phytopl Count'!AE$8)</f>
        <v/>
      </c>
      <c r="AF58" s="31" t="str">
        <f>IF('Phytopl Count'!AF58=0,"",'Phytopl Count'!AF58*'Phytopl Count'!AF$13/'Phytopl Count'!AF$8)</f>
        <v/>
      </c>
    </row>
    <row r="59" spans="1:32" hidden="1">
      <c r="E59" s="10" t="s">
        <v>6</v>
      </c>
      <c r="F59" s="11" t="s">
        <v>373</v>
      </c>
      <c r="G59" s="31" t="str">
        <f>IF('Phytopl Count'!G59=0,"",'Phytopl Count'!G59*'Phytopl Count'!G$13/'Phytopl Count'!G$8)</f>
        <v/>
      </c>
      <c r="H59" s="31" t="str">
        <f>IF('Phytopl Count'!H59=0,"",'Phytopl Count'!H59*'Phytopl Count'!H$13/'Phytopl Count'!H$8)</f>
        <v/>
      </c>
      <c r="I59" s="31" t="str">
        <f>IF('Phytopl Count'!I59=0,"",'Phytopl Count'!I59*'Phytopl Count'!I$13/'Phytopl Count'!I$8)</f>
        <v/>
      </c>
      <c r="J59" s="31" t="str">
        <f>IF('Phytopl Count'!J59=0,"",'Phytopl Count'!J59*'Phytopl Count'!J$13/'Phytopl Count'!J$8)</f>
        <v/>
      </c>
      <c r="K59" s="31" t="str">
        <f>IF('Phytopl Count'!K59=0,"",'Phytopl Count'!K59*'Phytopl Count'!K$13/'Phytopl Count'!K$8)</f>
        <v/>
      </c>
      <c r="L59" s="31" t="str">
        <f>IF('Phytopl Count'!L59=0,"",'Phytopl Count'!L59*'Phytopl Count'!L$13/'Phytopl Count'!L$8)</f>
        <v/>
      </c>
      <c r="M59" s="31" t="str">
        <f>IF('Phytopl Count'!M59=0,"",'Phytopl Count'!M59*'Phytopl Count'!M$13/'Phytopl Count'!M$8)</f>
        <v/>
      </c>
      <c r="N59" s="31" t="str">
        <f>IF('Phytopl Count'!N59=0,"",'Phytopl Count'!N59*'Phytopl Count'!N$13/'Phytopl Count'!N$8)</f>
        <v/>
      </c>
      <c r="O59" s="31" t="str">
        <f>IF('Phytopl Count'!O59=0,"",'Phytopl Count'!O59*'Phytopl Count'!O$13/'Phytopl Count'!O$8)</f>
        <v/>
      </c>
      <c r="P59" s="31" t="str">
        <f>IF('Phytopl Count'!P59=0,"",'Phytopl Count'!P59*'Phytopl Count'!P$13/'Phytopl Count'!P$8)</f>
        <v/>
      </c>
      <c r="Q59" s="31" t="str">
        <f>IF('Phytopl Count'!Q59=0,"",'Phytopl Count'!Q59*'Phytopl Count'!Q$13/'Phytopl Count'!Q$8)</f>
        <v/>
      </c>
      <c r="R59" s="31" t="str">
        <f>IF('Phytopl Count'!R59=0,"",'Phytopl Count'!R59*'Phytopl Count'!R$13/'Phytopl Count'!R$8)</f>
        <v/>
      </c>
      <c r="S59" s="31" t="str">
        <f>IF('Phytopl Count'!S59=0,"",'Phytopl Count'!S59*'Phytopl Count'!S$13/'Phytopl Count'!S$8)</f>
        <v/>
      </c>
      <c r="T59" s="31" t="str">
        <f>IF('Phytopl Count'!T59=0,"",'Phytopl Count'!T59*'Phytopl Count'!T$13/'Phytopl Count'!T$8)</f>
        <v/>
      </c>
      <c r="U59" s="31" t="str">
        <f>IF('Phytopl Count'!U59=0,"",'Phytopl Count'!U59*'Phytopl Count'!U$13/'Phytopl Count'!U$8)</f>
        <v/>
      </c>
      <c r="V59" s="31" t="str">
        <f>IF('Phytopl Count'!V59=0,"",'Phytopl Count'!V59*'Phytopl Count'!V$13/'Phytopl Count'!V$8)</f>
        <v/>
      </c>
      <c r="W59" s="31" t="str">
        <f>IF('Phytopl Count'!W59=0,"",'Phytopl Count'!W59*'Phytopl Count'!W$13/'Phytopl Count'!W$8)</f>
        <v/>
      </c>
      <c r="X59" s="31" t="str">
        <f>IF('Phytopl Count'!X59=0,"",'Phytopl Count'!X59*'Phytopl Count'!X$13/'Phytopl Count'!X$8)</f>
        <v/>
      </c>
      <c r="Y59" s="31" t="str">
        <f>IF('Phytopl Count'!Y59=0,"",'Phytopl Count'!Y59*'Phytopl Count'!Y$13/'Phytopl Count'!Y$8)</f>
        <v/>
      </c>
      <c r="Z59" s="31" t="str">
        <f>IF('Phytopl Count'!Z59=0,"",'Phytopl Count'!Z59*'Phytopl Count'!Z$13/'Phytopl Count'!Z$8)</f>
        <v/>
      </c>
      <c r="AA59" s="31" t="str">
        <f>IF('Phytopl Count'!AA59=0,"",'Phytopl Count'!AA59*'Phytopl Count'!AA$13/'Phytopl Count'!AA$8)</f>
        <v/>
      </c>
      <c r="AB59" s="31" t="str">
        <f>IF('Phytopl Count'!AB59=0,"",'Phytopl Count'!AB59*'Phytopl Count'!AB$13/'Phytopl Count'!AB$8)</f>
        <v/>
      </c>
      <c r="AC59" s="31" t="str">
        <f>IF('Phytopl Count'!AC59=0,"",'Phytopl Count'!AC59*'Phytopl Count'!AC$13/'Phytopl Count'!AC$8)</f>
        <v/>
      </c>
      <c r="AD59" s="31" t="str">
        <f>IF('Phytopl Count'!AD59=0,"",'Phytopl Count'!AD59*'Phytopl Count'!AD$13/'Phytopl Count'!AD$8)</f>
        <v/>
      </c>
      <c r="AE59" s="31" t="str">
        <f>IF('Phytopl Count'!AE59=0,"",'Phytopl Count'!AE59*'Phytopl Count'!AE$13/'Phytopl Count'!AE$8)</f>
        <v/>
      </c>
      <c r="AF59" s="31" t="str">
        <f>IF('Phytopl Count'!AF59=0,"",'Phytopl Count'!AF59*'Phytopl Count'!AF$13/'Phytopl Count'!AF$8)</f>
        <v/>
      </c>
    </row>
    <row r="60" spans="1:32" hidden="1">
      <c r="D60" s="10" t="s">
        <v>5</v>
      </c>
      <c r="E60" s="94" t="s">
        <v>246</v>
      </c>
      <c r="F60" s="9"/>
      <c r="G60" s="31" t="str">
        <f>IF('Phytopl Count'!G60=0,"",'Phytopl Count'!G60*'Phytopl Count'!G$13/'Phytopl Count'!G$8)</f>
        <v/>
      </c>
      <c r="H60" s="31" t="str">
        <f>IF('Phytopl Count'!H60=0,"",'Phytopl Count'!H60*'Phytopl Count'!H$13/'Phytopl Count'!H$8)</f>
        <v/>
      </c>
      <c r="I60" s="31" t="str">
        <f>IF('Phytopl Count'!I60=0,"",'Phytopl Count'!I60*'Phytopl Count'!I$13/'Phytopl Count'!I$8)</f>
        <v/>
      </c>
      <c r="J60" s="31" t="str">
        <f>IF('Phytopl Count'!J60=0,"",'Phytopl Count'!J60*'Phytopl Count'!J$13/'Phytopl Count'!J$8)</f>
        <v/>
      </c>
      <c r="K60" s="31" t="str">
        <f>IF('Phytopl Count'!K60=0,"",'Phytopl Count'!K60*'Phytopl Count'!K$13/'Phytopl Count'!K$8)</f>
        <v/>
      </c>
      <c r="L60" s="31" t="str">
        <f>IF('Phytopl Count'!L60=0,"",'Phytopl Count'!L60*'Phytopl Count'!L$13/'Phytopl Count'!L$8)</f>
        <v/>
      </c>
      <c r="M60" s="31" t="str">
        <f>IF('Phytopl Count'!M60=0,"",'Phytopl Count'!M60*'Phytopl Count'!M$13/'Phytopl Count'!M$8)</f>
        <v/>
      </c>
      <c r="N60" s="31" t="str">
        <f>IF('Phytopl Count'!N60=0,"",'Phytopl Count'!N60*'Phytopl Count'!N$13/'Phytopl Count'!N$8)</f>
        <v/>
      </c>
      <c r="O60" s="31" t="str">
        <f>IF('Phytopl Count'!O60=0,"",'Phytopl Count'!O60*'Phytopl Count'!O$13/'Phytopl Count'!O$8)</f>
        <v/>
      </c>
      <c r="P60" s="31" t="str">
        <f>IF('Phytopl Count'!P60=0,"",'Phytopl Count'!P60*'Phytopl Count'!P$13/'Phytopl Count'!P$8)</f>
        <v/>
      </c>
      <c r="Q60" s="31" t="str">
        <f>IF('Phytopl Count'!Q60=0,"",'Phytopl Count'!Q60*'Phytopl Count'!Q$13/'Phytopl Count'!Q$8)</f>
        <v/>
      </c>
      <c r="R60" s="31" t="str">
        <f>IF('Phytopl Count'!R60=0,"",'Phytopl Count'!R60*'Phytopl Count'!R$13/'Phytopl Count'!R$8)</f>
        <v/>
      </c>
      <c r="S60" s="31" t="str">
        <f>IF('Phytopl Count'!S60=0,"",'Phytopl Count'!S60*'Phytopl Count'!S$13/'Phytopl Count'!S$8)</f>
        <v/>
      </c>
      <c r="T60" s="31" t="str">
        <f>IF('Phytopl Count'!T60=0,"",'Phytopl Count'!T60*'Phytopl Count'!T$13/'Phytopl Count'!T$8)</f>
        <v/>
      </c>
      <c r="U60" s="31" t="str">
        <f>IF('Phytopl Count'!U60=0,"",'Phytopl Count'!U60*'Phytopl Count'!U$13/'Phytopl Count'!U$8)</f>
        <v/>
      </c>
      <c r="V60" s="31" t="str">
        <f>IF('Phytopl Count'!V60=0,"",'Phytopl Count'!V60*'Phytopl Count'!V$13/'Phytopl Count'!V$8)</f>
        <v/>
      </c>
      <c r="W60" s="31" t="str">
        <f>IF('Phytopl Count'!W60=0,"",'Phytopl Count'!W60*'Phytopl Count'!W$13/'Phytopl Count'!W$8)</f>
        <v/>
      </c>
      <c r="X60" s="31" t="str">
        <f>IF('Phytopl Count'!X60=0,"",'Phytopl Count'!X60*'Phytopl Count'!X$13/'Phytopl Count'!X$8)</f>
        <v/>
      </c>
      <c r="Y60" s="31" t="str">
        <f>IF('Phytopl Count'!Y60=0,"",'Phytopl Count'!Y60*'Phytopl Count'!Y$13/'Phytopl Count'!Y$8)</f>
        <v/>
      </c>
      <c r="Z60" s="31" t="str">
        <f>IF('Phytopl Count'!Z60=0,"",'Phytopl Count'!Z60*'Phytopl Count'!Z$13/'Phytopl Count'!Z$8)</f>
        <v/>
      </c>
      <c r="AA60" s="31" t="str">
        <f>IF('Phytopl Count'!AA60=0,"",'Phytopl Count'!AA60*'Phytopl Count'!AA$13/'Phytopl Count'!AA$8)</f>
        <v/>
      </c>
      <c r="AB60" s="31" t="str">
        <f>IF('Phytopl Count'!AB60=0,"",'Phytopl Count'!AB60*'Phytopl Count'!AB$13/'Phytopl Count'!AB$8)</f>
        <v/>
      </c>
      <c r="AC60" s="31" t="str">
        <f>IF('Phytopl Count'!AC60=0,"",'Phytopl Count'!AC60*'Phytopl Count'!AC$13/'Phytopl Count'!AC$8)</f>
        <v/>
      </c>
      <c r="AD60" s="31" t="str">
        <f>IF('Phytopl Count'!AD60=0,"",'Phytopl Count'!AD60*'Phytopl Count'!AD$13/'Phytopl Count'!AD$8)</f>
        <v/>
      </c>
      <c r="AE60" s="31" t="str">
        <f>IF('Phytopl Count'!AE60=0,"",'Phytopl Count'!AE60*'Phytopl Count'!AE$13/'Phytopl Count'!AE$8)</f>
        <v/>
      </c>
      <c r="AF60" s="31" t="str">
        <f>IF('Phytopl Count'!AF60=0,"",'Phytopl Count'!AF60*'Phytopl Count'!AF$13/'Phytopl Count'!AF$8)</f>
        <v/>
      </c>
    </row>
    <row r="61" spans="1:32" hidden="1">
      <c r="E61" s="10" t="s">
        <v>6</v>
      </c>
      <c r="F61" s="11" t="s">
        <v>245</v>
      </c>
      <c r="G61" s="31" t="str">
        <f>IF('Phytopl Count'!G61=0,"",'Phytopl Count'!G61*'Phytopl Count'!G$13/'Phytopl Count'!G$8)</f>
        <v/>
      </c>
      <c r="H61" s="31" t="str">
        <f>IF('Phytopl Count'!H61=0,"",'Phytopl Count'!H61*'Phytopl Count'!H$13/'Phytopl Count'!H$8)</f>
        <v/>
      </c>
      <c r="I61" s="31" t="str">
        <f>IF('Phytopl Count'!I61=0,"",'Phytopl Count'!I61*'Phytopl Count'!I$13/'Phytopl Count'!I$8)</f>
        <v/>
      </c>
      <c r="J61" s="31" t="str">
        <f>IF('Phytopl Count'!J61=0,"",'Phytopl Count'!J61*'Phytopl Count'!J$13/'Phytopl Count'!J$8)</f>
        <v/>
      </c>
      <c r="K61" s="31" t="str">
        <f>IF('Phytopl Count'!K61=0,"",'Phytopl Count'!K61*'Phytopl Count'!K$13/'Phytopl Count'!K$8)</f>
        <v/>
      </c>
      <c r="L61" s="31" t="str">
        <f>IF('Phytopl Count'!L61=0,"",'Phytopl Count'!L61*'Phytopl Count'!L$13/'Phytopl Count'!L$8)</f>
        <v/>
      </c>
      <c r="M61" s="31" t="str">
        <f>IF('Phytopl Count'!M61=0,"",'Phytopl Count'!M61*'Phytopl Count'!M$13/'Phytopl Count'!M$8)</f>
        <v/>
      </c>
      <c r="N61" s="31" t="str">
        <f>IF('Phytopl Count'!N61=0,"",'Phytopl Count'!N61*'Phytopl Count'!N$13/'Phytopl Count'!N$8)</f>
        <v/>
      </c>
      <c r="O61" s="31" t="str">
        <f>IF('Phytopl Count'!O61=0,"",'Phytopl Count'!O61*'Phytopl Count'!O$13/'Phytopl Count'!O$8)</f>
        <v/>
      </c>
      <c r="P61" s="31" t="str">
        <f>IF('Phytopl Count'!P61=0,"",'Phytopl Count'!P61*'Phytopl Count'!P$13/'Phytopl Count'!P$8)</f>
        <v/>
      </c>
      <c r="Q61" s="31" t="str">
        <f>IF('Phytopl Count'!Q61=0,"",'Phytopl Count'!Q61*'Phytopl Count'!Q$13/'Phytopl Count'!Q$8)</f>
        <v/>
      </c>
      <c r="R61" s="31" t="str">
        <f>IF('Phytopl Count'!R61=0,"",'Phytopl Count'!R61*'Phytopl Count'!R$13/'Phytopl Count'!R$8)</f>
        <v/>
      </c>
      <c r="S61" s="31" t="str">
        <f>IF('Phytopl Count'!S61=0,"",'Phytopl Count'!S61*'Phytopl Count'!S$13/'Phytopl Count'!S$8)</f>
        <v/>
      </c>
      <c r="T61" s="31" t="str">
        <f>IF('Phytopl Count'!T61=0,"",'Phytopl Count'!T61*'Phytopl Count'!T$13/'Phytopl Count'!T$8)</f>
        <v/>
      </c>
      <c r="U61" s="31" t="str">
        <f>IF('Phytopl Count'!U61=0,"",'Phytopl Count'!U61*'Phytopl Count'!U$13/'Phytopl Count'!U$8)</f>
        <v/>
      </c>
      <c r="V61" s="31" t="str">
        <f>IF('Phytopl Count'!V61=0,"",'Phytopl Count'!V61*'Phytopl Count'!V$13/'Phytopl Count'!V$8)</f>
        <v/>
      </c>
      <c r="W61" s="31" t="str">
        <f>IF('Phytopl Count'!W61=0,"",'Phytopl Count'!W61*'Phytopl Count'!W$13/'Phytopl Count'!W$8)</f>
        <v/>
      </c>
      <c r="X61" s="31" t="str">
        <f>IF('Phytopl Count'!X61=0,"",'Phytopl Count'!X61*'Phytopl Count'!X$13/'Phytopl Count'!X$8)</f>
        <v/>
      </c>
      <c r="Y61" s="31" t="str">
        <f>IF('Phytopl Count'!Y61=0,"",'Phytopl Count'!Y61*'Phytopl Count'!Y$13/'Phytopl Count'!Y$8)</f>
        <v/>
      </c>
      <c r="Z61" s="31" t="str">
        <f>IF('Phytopl Count'!Z61=0,"",'Phytopl Count'!Z61*'Phytopl Count'!Z$13/'Phytopl Count'!Z$8)</f>
        <v/>
      </c>
      <c r="AA61" s="31" t="str">
        <f>IF('Phytopl Count'!AA61=0,"",'Phytopl Count'!AA61*'Phytopl Count'!AA$13/'Phytopl Count'!AA$8)</f>
        <v/>
      </c>
      <c r="AB61" s="31" t="str">
        <f>IF('Phytopl Count'!AB61=0,"",'Phytopl Count'!AB61*'Phytopl Count'!AB$13/'Phytopl Count'!AB$8)</f>
        <v/>
      </c>
      <c r="AC61" s="31" t="str">
        <f>IF('Phytopl Count'!AC61=0,"",'Phytopl Count'!AC61*'Phytopl Count'!AC$13/'Phytopl Count'!AC$8)</f>
        <v/>
      </c>
      <c r="AD61" s="31" t="str">
        <f>IF('Phytopl Count'!AD61=0,"",'Phytopl Count'!AD61*'Phytopl Count'!AD$13/'Phytopl Count'!AD$8)</f>
        <v/>
      </c>
      <c r="AE61" s="31" t="str">
        <f>IF('Phytopl Count'!AE61=0,"",'Phytopl Count'!AE61*'Phytopl Count'!AE$13/'Phytopl Count'!AE$8)</f>
        <v/>
      </c>
      <c r="AF61" s="31" t="str">
        <f>IF('Phytopl Count'!AF61=0,"",'Phytopl Count'!AF61*'Phytopl Count'!AF$13/'Phytopl Count'!AF$8)</f>
        <v/>
      </c>
    </row>
    <row r="62" spans="1:32">
      <c r="D62" s="10" t="s">
        <v>5</v>
      </c>
      <c r="E62" s="5" t="s">
        <v>37</v>
      </c>
      <c r="F62" s="9"/>
      <c r="G62" s="31" t="str">
        <f>IF('Phytopl Count'!G62=0,"",'Phytopl Count'!G62*'Phytopl Count'!G$13/'Phytopl Count'!G$8)</f>
        <v/>
      </c>
      <c r="H62" s="31" t="str">
        <f>IF('Phytopl Count'!H62=0,"",'Phytopl Count'!H62*'Phytopl Count'!H$13/'Phytopl Count'!H$8)</f>
        <v/>
      </c>
      <c r="I62" s="31" t="str">
        <f>IF('Phytopl Count'!I62=0,"",'Phytopl Count'!I62*'Phytopl Count'!I$13/'Phytopl Count'!I$8)</f>
        <v/>
      </c>
      <c r="J62" s="31" t="str">
        <f>IF('Phytopl Count'!J62=0,"",'Phytopl Count'!J62*'Phytopl Count'!J$13/'Phytopl Count'!J$8)</f>
        <v/>
      </c>
      <c r="K62" s="31" t="str">
        <f>IF('Phytopl Count'!K62=0,"",'Phytopl Count'!K62*'Phytopl Count'!K$13/'Phytopl Count'!K$8)</f>
        <v/>
      </c>
      <c r="L62" s="31" t="str">
        <f>IF('Phytopl Count'!L62=0,"",'Phytopl Count'!L62*'Phytopl Count'!L$13/'Phytopl Count'!L$8)</f>
        <v/>
      </c>
      <c r="M62" s="31" t="str">
        <f>IF('Phytopl Count'!M62=0,"",'Phytopl Count'!M62*'Phytopl Count'!M$13/'Phytopl Count'!M$8)</f>
        <v/>
      </c>
      <c r="N62" s="31" t="str">
        <f>IF('Phytopl Count'!N62=0,"",'Phytopl Count'!N62*'Phytopl Count'!N$13/'Phytopl Count'!N$8)</f>
        <v/>
      </c>
      <c r="O62" s="31" t="str">
        <f>IF('Phytopl Count'!O62=0,"",'Phytopl Count'!O62*'Phytopl Count'!O$13/'Phytopl Count'!O$8)</f>
        <v/>
      </c>
      <c r="P62" s="31" t="str">
        <f>IF('Phytopl Count'!P62=0,"",'Phytopl Count'!P62*'Phytopl Count'!P$13/'Phytopl Count'!P$8)</f>
        <v/>
      </c>
      <c r="Q62" s="31" t="str">
        <f>IF('Phytopl Count'!Q62=0,"",'Phytopl Count'!Q62*'Phytopl Count'!Q$13/'Phytopl Count'!Q$8)</f>
        <v/>
      </c>
      <c r="R62" s="31" t="str">
        <f>IF('Phytopl Count'!R62=0,"",'Phytopl Count'!R62*'Phytopl Count'!R$13/'Phytopl Count'!R$8)</f>
        <v/>
      </c>
      <c r="S62" s="31" t="str">
        <f>IF('Phytopl Count'!S62=0,"",'Phytopl Count'!S62*'Phytopl Count'!S$13/'Phytopl Count'!S$8)</f>
        <v/>
      </c>
      <c r="T62" s="31" t="str">
        <f>IF('Phytopl Count'!T62=0,"",'Phytopl Count'!T62*'Phytopl Count'!T$13/'Phytopl Count'!T$8)</f>
        <v/>
      </c>
      <c r="U62" s="31" t="str">
        <f>IF('Phytopl Count'!U62=0,"",'Phytopl Count'!U62*'Phytopl Count'!U$13/'Phytopl Count'!U$8)</f>
        <v/>
      </c>
      <c r="V62" s="31" t="str">
        <f>IF('Phytopl Count'!V62=0,"",'Phytopl Count'!V62*'Phytopl Count'!V$13/'Phytopl Count'!V$8)</f>
        <v/>
      </c>
      <c r="W62" s="31" t="str">
        <f>IF('Phytopl Count'!W62=0,"",'Phytopl Count'!W62*'Phytopl Count'!W$13/'Phytopl Count'!W$8)</f>
        <v/>
      </c>
      <c r="X62" s="31" t="str">
        <f>IF('Phytopl Count'!X62=0,"",'Phytopl Count'!X62*'Phytopl Count'!X$13/'Phytopl Count'!X$8)</f>
        <v/>
      </c>
      <c r="Y62" s="31" t="str">
        <f>IF('Phytopl Count'!Y62=0,"",'Phytopl Count'!Y62*'Phytopl Count'!Y$13/'Phytopl Count'!Y$8)</f>
        <v/>
      </c>
      <c r="Z62" s="31" t="str">
        <f>IF('Phytopl Count'!Z62=0,"",'Phytopl Count'!Z62*'Phytopl Count'!Z$13/'Phytopl Count'!Z$8)</f>
        <v/>
      </c>
      <c r="AA62" s="31" t="str">
        <f>IF('Phytopl Count'!AA62=0,"",'Phytopl Count'!AA62*'Phytopl Count'!AA$13/'Phytopl Count'!AA$8)</f>
        <v/>
      </c>
      <c r="AB62" s="31" t="str">
        <f>IF('Phytopl Count'!AB62=0,"",'Phytopl Count'!AB62*'Phytopl Count'!AB$13/'Phytopl Count'!AB$8)</f>
        <v/>
      </c>
      <c r="AC62" s="31" t="str">
        <f>IF('Phytopl Count'!AC62=0,"",'Phytopl Count'!AC62*'Phytopl Count'!AC$13/'Phytopl Count'!AC$8)</f>
        <v/>
      </c>
      <c r="AD62" s="31" t="str">
        <f>IF('Phytopl Count'!AD62=0,"",'Phytopl Count'!AD62*'Phytopl Count'!AD$13/'Phytopl Count'!AD$8)</f>
        <v/>
      </c>
      <c r="AE62" s="31" t="str">
        <f>IF('Phytopl Count'!AE62=0,"",'Phytopl Count'!AE62*'Phytopl Count'!AE$13/'Phytopl Count'!AE$8)</f>
        <v/>
      </c>
      <c r="AF62" s="31" t="str">
        <f>IF('Phytopl Count'!AF62=0,"",'Phytopl Count'!AF62*'Phytopl Count'!AF$13/'Phytopl Count'!AF$8)</f>
        <v/>
      </c>
    </row>
    <row r="63" spans="1:32" hidden="1">
      <c r="D63" s="10"/>
      <c r="F63" s="11" t="s">
        <v>341</v>
      </c>
      <c r="G63" s="31" t="str">
        <f>IF('Phytopl Count'!G63=0,"",'Phytopl Count'!G63*'Phytopl Count'!G$13/'Phytopl Count'!G$8)</f>
        <v/>
      </c>
      <c r="H63" s="31" t="str">
        <f>IF('Phytopl Count'!H63=0,"",'Phytopl Count'!H63*'Phytopl Count'!H$13/'Phytopl Count'!H$8)</f>
        <v/>
      </c>
      <c r="I63" s="31" t="str">
        <f>IF('Phytopl Count'!I63=0,"",'Phytopl Count'!I63*'Phytopl Count'!I$13/'Phytopl Count'!I$8)</f>
        <v/>
      </c>
      <c r="J63" s="31" t="str">
        <f>IF('Phytopl Count'!J63=0,"",'Phytopl Count'!J63*'Phytopl Count'!J$13/'Phytopl Count'!J$8)</f>
        <v/>
      </c>
      <c r="K63" s="31" t="str">
        <f>IF('Phytopl Count'!K63=0,"",'Phytopl Count'!K63*'Phytopl Count'!K$13/'Phytopl Count'!K$8)</f>
        <v/>
      </c>
      <c r="L63" s="31" t="str">
        <f>IF('Phytopl Count'!L63=0,"",'Phytopl Count'!L63*'Phytopl Count'!L$13/'Phytopl Count'!L$8)</f>
        <v/>
      </c>
      <c r="M63" s="31" t="str">
        <f>IF('Phytopl Count'!M63=0,"",'Phytopl Count'!M63*'Phytopl Count'!M$13/'Phytopl Count'!M$8)</f>
        <v/>
      </c>
      <c r="N63" s="31" t="str">
        <f>IF('Phytopl Count'!N63=0,"",'Phytopl Count'!N63*'Phytopl Count'!N$13/'Phytopl Count'!N$8)</f>
        <v/>
      </c>
      <c r="O63" s="31" t="str">
        <f>IF('Phytopl Count'!O63=0,"",'Phytopl Count'!O63*'Phytopl Count'!O$13/'Phytopl Count'!O$8)</f>
        <v/>
      </c>
      <c r="P63" s="31" t="str">
        <f>IF('Phytopl Count'!P63=0,"",'Phytopl Count'!P63*'Phytopl Count'!P$13/'Phytopl Count'!P$8)</f>
        <v/>
      </c>
      <c r="Q63" s="31" t="str">
        <f>IF('Phytopl Count'!Q63=0,"",'Phytopl Count'!Q63*'Phytopl Count'!Q$13/'Phytopl Count'!Q$8)</f>
        <v/>
      </c>
      <c r="R63" s="31" t="str">
        <f>IF('Phytopl Count'!R63=0,"",'Phytopl Count'!R63*'Phytopl Count'!R$13/'Phytopl Count'!R$8)</f>
        <v/>
      </c>
      <c r="S63" s="31" t="str">
        <f>IF('Phytopl Count'!S63=0,"",'Phytopl Count'!S63*'Phytopl Count'!S$13/'Phytopl Count'!S$8)</f>
        <v/>
      </c>
      <c r="T63" s="31" t="str">
        <f>IF('Phytopl Count'!T63=0,"",'Phytopl Count'!T63*'Phytopl Count'!T$13/'Phytopl Count'!T$8)</f>
        <v/>
      </c>
      <c r="U63" s="31" t="str">
        <f>IF('Phytopl Count'!U63=0,"",'Phytopl Count'!U63*'Phytopl Count'!U$13/'Phytopl Count'!U$8)</f>
        <v/>
      </c>
      <c r="V63" s="31" t="str">
        <f>IF('Phytopl Count'!V63=0,"",'Phytopl Count'!V63*'Phytopl Count'!V$13/'Phytopl Count'!V$8)</f>
        <v/>
      </c>
      <c r="W63" s="31" t="str">
        <f>IF('Phytopl Count'!W63=0,"",'Phytopl Count'!W63*'Phytopl Count'!W$13/'Phytopl Count'!W$8)</f>
        <v/>
      </c>
      <c r="X63" s="31" t="str">
        <f>IF('Phytopl Count'!X63=0,"",'Phytopl Count'!X63*'Phytopl Count'!X$13/'Phytopl Count'!X$8)</f>
        <v/>
      </c>
      <c r="Y63" s="31" t="str">
        <f>IF('Phytopl Count'!Y63=0,"",'Phytopl Count'!Y63*'Phytopl Count'!Y$13/'Phytopl Count'!Y$8)</f>
        <v/>
      </c>
      <c r="Z63" s="31" t="str">
        <f>IF('Phytopl Count'!Z63=0,"",'Phytopl Count'!Z63*'Phytopl Count'!Z$13/'Phytopl Count'!Z$8)</f>
        <v/>
      </c>
      <c r="AA63" s="31" t="str">
        <f>IF('Phytopl Count'!AA63=0,"",'Phytopl Count'!AA63*'Phytopl Count'!AA$13/'Phytopl Count'!AA$8)</f>
        <v/>
      </c>
      <c r="AB63" s="31" t="str">
        <f>IF('Phytopl Count'!AB63=0,"",'Phytopl Count'!AB63*'Phytopl Count'!AB$13/'Phytopl Count'!AB$8)</f>
        <v/>
      </c>
      <c r="AC63" s="31" t="str">
        <f>IF('Phytopl Count'!AC63=0,"",'Phytopl Count'!AC63*'Phytopl Count'!AC$13/'Phytopl Count'!AC$8)</f>
        <v/>
      </c>
      <c r="AD63" s="31" t="str">
        <f>IF('Phytopl Count'!AD63=0,"",'Phytopl Count'!AD63*'Phytopl Count'!AD$13/'Phytopl Count'!AD$8)</f>
        <v/>
      </c>
      <c r="AE63" s="31" t="str">
        <f>IF('Phytopl Count'!AE63=0,"",'Phytopl Count'!AE63*'Phytopl Count'!AE$13/'Phytopl Count'!AE$8)</f>
        <v/>
      </c>
      <c r="AF63" s="31" t="str">
        <f>IF('Phytopl Count'!AF63=0,"",'Phytopl Count'!AF63*'Phytopl Count'!AF$13/'Phytopl Count'!AF$8)</f>
        <v/>
      </c>
    </row>
    <row r="64" spans="1:32">
      <c r="E64" s="10" t="s">
        <v>6</v>
      </c>
      <c r="F64" s="11" t="s">
        <v>309</v>
      </c>
      <c r="G64" s="31" t="str">
        <f>IF('Phytopl Count'!G64=0,"",'Phytopl Count'!G64*'Phytopl Count'!G$13/'Phytopl Count'!G$8)</f>
        <v/>
      </c>
      <c r="H64" s="31" t="str">
        <f>IF('Phytopl Count'!H64=0,"",'Phytopl Count'!H64*'Phytopl Count'!H$13/'Phytopl Count'!H$8)</f>
        <v/>
      </c>
      <c r="I64" s="31" t="str">
        <f>IF('Phytopl Count'!I64=0,"",'Phytopl Count'!I64*'Phytopl Count'!I$13/'Phytopl Count'!I$8)</f>
        <v/>
      </c>
      <c r="J64" s="31" t="str">
        <f>IF('Phytopl Count'!J64=0,"",'Phytopl Count'!J64*'Phytopl Count'!J$13/'Phytopl Count'!J$8)</f>
        <v/>
      </c>
      <c r="K64" s="31">
        <f>IF('Phytopl Count'!K64=0,"",'Phytopl Count'!K64*'Phytopl Count'!K$13/'Phytopl Count'!K$8)</f>
        <v>6.4062367030700007E-2</v>
      </c>
      <c r="L64" s="31" t="str">
        <f>IF('Phytopl Count'!L64=0,"",'Phytopl Count'!L64*'Phytopl Count'!L$13/'Phytopl Count'!L$8)</f>
        <v/>
      </c>
      <c r="M64" s="31">
        <f>IF('Phytopl Count'!M64=0,"",'Phytopl Count'!M64*'Phytopl Count'!M$13/'Phytopl Count'!M$8)</f>
        <v>4.0038979394187504E-2</v>
      </c>
      <c r="N64" s="31">
        <f>IF('Phytopl Count'!N64=0,"",'Phytopl Count'!N64*'Phytopl Count'!N$13/'Phytopl Count'!N$8)</f>
        <v>4.8046775273025012E-2</v>
      </c>
      <c r="O64" s="31">
        <f>IF('Phytopl Count'!O64=0,"",'Phytopl Count'!O64*'Phytopl Count'!O$13/'Phytopl Count'!O$8)</f>
        <v>6.4062367030700007E-2</v>
      </c>
      <c r="P64" s="31" t="str">
        <f>IF('Phytopl Count'!P64=0,"",'Phytopl Count'!P64*'Phytopl Count'!P$13/'Phytopl Count'!P$8)</f>
        <v/>
      </c>
      <c r="Q64" s="31">
        <f>IF('Phytopl Count'!Q64=0,"",'Phytopl Count'!Q64*'Phytopl Count'!Q$13/'Phytopl Count'!Q$8)</f>
        <v>8.0077958788375009E-2</v>
      </c>
      <c r="R64" s="31" t="str">
        <f>IF('Phytopl Count'!R64=0,"",'Phytopl Count'!R64*'Phytopl Count'!R$13/'Phytopl Count'!R$8)</f>
        <v/>
      </c>
      <c r="S64" s="31" t="str">
        <f>IF('Phytopl Count'!S64=0,"",'Phytopl Count'!S64*'Phytopl Count'!S$13/'Phytopl Count'!S$8)</f>
        <v/>
      </c>
      <c r="T64" s="31" t="str">
        <f>IF('Phytopl Count'!T64=0,"",'Phytopl Count'!T64*'Phytopl Count'!T$13/'Phytopl Count'!T$8)</f>
        <v/>
      </c>
      <c r="U64" s="31" t="str">
        <f>IF('Phytopl Count'!U64=0,"",'Phytopl Count'!U64*'Phytopl Count'!U$13/'Phytopl Count'!U$8)</f>
        <v/>
      </c>
      <c r="V64" s="31" t="str">
        <f>IF('Phytopl Count'!V64=0,"",'Phytopl Count'!V64*'Phytopl Count'!V$13/'Phytopl Count'!V$8)</f>
        <v/>
      </c>
      <c r="W64" s="31">
        <f>IF('Phytopl Count'!W64=0,"",'Phytopl Count'!W64*'Phytopl Count'!W$13/'Phytopl Count'!W$8)</f>
        <v>9.6093550546050024E-2</v>
      </c>
      <c r="X64" s="31" t="str">
        <f>IF('Phytopl Count'!X64=0,"",'Phytopl Count'!X64*'Phytopl Count'!X$13/'Phytopl Count'!X$8)</f>
        <v/>
      </c>
      <c r="Y64" s="31" t="str">
        <f>IF('Phytopl Count'!Y64=0,"",'Phytopl Count'!Y64*'Phytopl Count'!Y$13/'Phytopl Count'!Y$8)</f>
        <v/>
      </c>
      <c r="Z64" s="31" t="str">
        <f>IF('Phytopl Count'!Z64=0,"",'Phytopl Count'!Z64*'Phytopl Count'!Z$13/'Phytopl Count'!Z$8)</f>
        <v/>
      </c>
      <c r="AA64" s="31" t="str">
        <f>IF('Phytopl Count'!AA64=0,"",'Phytopl Count'!AA64*'Phytopl Count'!AA$13/'Phytopl Count'!AA$8)</f>
        <v/>
      </c>
      <c r="AB64" s="31">
        <f>IF('Phytopl Count'!AB64=0,"",'Phytopl Count'!AB64*'Phytopl Count'!AB$13/'Phytopl Count'!AB$8)</f>
        <v>4.0038979394187504E-2</v>
      </c>
      <c r="AC64" s="31" t="str">
        <f>IF('Phytopl Count'!AC64=0,"",'Phytopl Count'!AC64*'Phytopl Count'!AC$13/'Phytopl Count'!AC$8)</f>
        <v/>
      </c>
      <c r="AD64" s="31">
        <f>IF('Phytopl Count'!AD64=0,"",'Phytopl Count'!AD64*'Phytopl Count'!AD$13/'Phytopl Count'!AD$8)</f>
        <v>6.4062367030700007E-2</v>
      </c>
      <c r="AE64" s="31">
        <f>IF('Phytopl Count'!AE64=0,"",'Phytopl Count'!AE64*'Phytopl Count'!AE$13/'Phytopl Count'!AE$8)</f>
        <v>2.4023387636512506E-2</v>
      </c>
      <c r="AF64" s="31" t="str">
        <f>IF('Phytopl Count'!AF64=0,"",'Phytopl Count'!AF64*'Phytopl Count'!AF$13/'Phytopl Count'!AF$8)</f>
        <v/>
      </c>
    </row>
    <row r="65" spans="1:32" hidden="1">
      <c r="E65" s="10"/>
      <c r="F65" s="11" t="s">
        <v>38</v>
      </c>
      <c r="G65" s="31" t="str">
        <f>IF('Phytopl Count'!G65=0,"",'Phytopl Count'!G65*'Phytopl Count'!G$13/'Phytopl Count'!G$8)</f>
        <v/>
      </c>
      <c r="H65" s="31" t="str">
        <f>IF('Phytopl Count'!H65=0,"",'Phytopl Count'!H65*'Phytopl Count'!H$13/'Phytopl Count'!H$8)</f>
        <v/>
      </c>
      <c r="I65" s="31" t="str">
        <f>IF('Phytopl Count'!I65=0,"",'Phytopl Count'!I65*'Phytopl Count'!I$13/'Phytopl Count'!I$8)</f>
        <v/>
      </c>
      <c r="J65" s="31" t="str">
        <f>IF('Phytopl Count'!J65=0,"",'Phytopl Count'!J65*'Phytopl Count'!J$13/'Phytopl Count'!J$8)</f>
        <v/>
      </c>
      <c r="K65" s="31" t="str">
        <f>IF('Phytopl Count'!K65=0,"",'Phytopl Count'!K65*'Phytopl Count'!K$13/'Phytopl Count'!K$8)</f>
        <v/>
      </c>
      <c r="L65" s="31" t="str">
        <f>IF('Phytopl Count'!L65=0,"",'Phytopl Count'!L65*'Phytopl Count'!L$13/'Phytopl Count'!L$8)</f>
        <v/>
      </c>
      <c r="M65" s="31" t="str">
        <f>IF('Phytopl Count'!M65=0,"",'Phytopl Count'!M65*'Phytopl Count'!M$13/'Phytopl Count'!M$8)</f>
        <v/>
      </c>
      <c r="N65" s="31" t="str">
        <f>IF('Phytopl Count'!N65=0,"",'Phytopl Count'!N65*'Phytopl Count'!N$13/'Phytopl Count'!N$8)</f>
        <v/>
      </c>
      <c r="O65" s="31" t="str">
        <f>IF('Phytopl Count'!O65=0,"",'Phytopl Count'!O65*'Phytopl Count'!O$13/'Phytopl Count'!O$8)</f>
        <v/>
      </c>
      <c r="P65" s="31" t="str">
        <f>IF('Phytopl Count'!P65=0,"",'Phytopl Count'!P65*'Phytopl Count'!P$13/'Phytopl Count'!P$8)</f>
        <v/>
      </c>
      <c r="Q65" s="31" t="str">
        <f>IF('Phytopl Count'!Q65=0,"",'Phytopl Count'!Q65*'Phytopl Count'!Q$13/'Phytopl Count'!Q$8)</f>
        <v/>
      </c>
      <c r="R65" s="31" t="str">
        <f>IF('Phytopl Count'!R65=0,"",'Phytopl Count'!R65*'Phytopl Count'!R$13/'Phytopl Count'!R$8)</f>
        <v/>
      </c>
      <c r="S65" s="31" t="str">
        <f>IF('Phytopl Count'!S65=0,"",'Phytopl Count'!S65*'Phytopl Count'!S$13/'Phytopl Count'!S$8)</f>
        <v/>
      </c>
      <c r="T65" s="31" t="str">
        <f>IF('Phytopl Count'!T65=0,"",'Phytopl Count'!T65*'Phytopl Count'!T$13/'Phytopl Count'!T$8)</f>
        <v/>
      </c>
      <c r="U65" s="31" t="str">
        <f>IF('Phytopl Count'!U65=0,"",'Phytopl Count'!U65*'Phytopl Count'!U$13/'Phytopl Count'!U$8)</f>
        <v/>
      </c>
      <c r="V65" s="31" t="str">
        <f>IF('Phytopl Count'!V65=0,"",'Phytopl Count'!V65*'Phytopl Count'!V$13/'Phytopl Count'!V$8)</f>
        <v/>
      </c>
      <c r="W65" s="31" t="str">
        <f>IF('Phytopl Count'!W65=0,"",'Phytopl Count'!W65*'Phytopl Count'!W$13/'Phytopl Count'!W$8)</f>
        <v/>
      </c>
      <c r="X65" s="31" t="str">
        <f>IF('Phytopl Count'!X65=0,"",'Phytopl Count'!X65*'Phytopl Count'!X$13/'Phytopl Count'!X$8)</f>
        <v/>
      </c>
      <c r="Y65" s="31" t="str">
        <f>IF('Phytopl Count'!Y65=0,"",'Phytopl Count'!Y65*'Phytopl Count'!Y$13/'Phytopl Count'!Y$8)</f>
        <v/>
      </c>
      <c r="Z65" s="31" t="str">
        <f>IF('Phytopl Count'!Z65=0,"",'Phytopl Count'!Z65*'Phytopl Count'!Z$13/'Phytopl Count'!Z$8)</f>
        <v/>
      </c>
      <c r="AA65" s="31" t="str">
        <f>IF('Phytopl Count'!AA65=0,"",'Phytopl Count'!AA65*'Phytopl Count'!AA$13/'Phytopl Count'!AA$8)</f>
        <v/>
      </c>
      <c r="AB65" s="31" t="str">
        <f>IF('Phytopl Count'!AB65=0,"",'Phytopl Count'!AB65*'Phytopl Count'!AB$13/'Phytopl Count'!AB$8)</f>
        <v/>
      </c>
      <c r="AC65" s="31" t="str">
        <f>IF('Phytopl Count'!AC65=0,"",'Phytopl Count'!AC65*'Phytopl Count'!AC$13/'Phytopl Count'!AC$8)</f>
        <v/>
      </c>
      <c r="AD65" s="31" t="str">
        <f>IF('Phytopl Count'!AD65=0,"",'Phytopl Count'!AD65*'Phytopl Count'!AD$13/'Phytopl Count'!AD$8)</f>
        <v/>
      </c>
      <c r="AE65" s="31" t="str">
        <f>IF('Phytopl Count'!AE65=0,"",'Phytopl Count'!AE65*'Phytopl Count'!AE$13/'Phytopl Count'!AE$8)</f>
        <v/>
      </c>
      <c r="AF65" s="31" t="str">
        <f>IF('Phytopl Count'!AF65=0,"",'Phytopl Count'!AF65*'Phytopl Count'!AF$13/'Phytopl Count'!AF$8)</f>
        <v/>
      </c>
    </row>
    <row r="66" spans="1:32" hidden="1">
      <c r="D66" s="10" t="s">
        <v>5</v>
      </c>
      <c r="E66" s="104" t="s">
        <v>266</v>
      </c>
      <c r="F66" s="11"/>
      <c r="G66" s="31" t="str">
        <f>IF('Phytopl Count'!G66=0,"",'Phytopl Count'!G66*'Phytopl Count'!G$13/'Phytopl Count'!G$8)</f>
        <v/>
      </c>
      <c r="H66" s="31" t="str">
        <f>IF('Phytopl Count'!H66=0,"",'Phytopl Count'!H66*'Phytopl Count'!H$13/'Phytopl Count'!H$8)</f>
        <v/>
      </c>
      <c r="I66" s="31" t="str">
        <f>IF('Phytopl Count'!I66=0,"",'Phytopl Count'!I66*'Phytopl Count'!I$13/'Phytopl Count'!I$8)</f>
        <v/>
      </c>
      <c r="J66" s="31" t="str">
        <f>IF('Phytopl Count'!J66=0,"",'Phytopl Count'!J66*'Phytopl Count'!J$13/'Phytopl Count'!J$8)</f>
        <v/>
      </c>
      <c r="K66" s="31" t="str">
        <f>IF('Phytopl Count'!K66=0,"",'Phytopl Count'!K66*'Phytopl Count'!K$13/'Phytopl Count'!K$8)</f>
        <v/>
      </c>
      <c r="L66" s="31" t="str">
        <f>IF('Phytopl Count'!L66=0,"",'Phytopl Count'!L66*'Phytopl Count'!L$13/'Phytopl Count'!L$8)</f>
        <v/>
      </c>
      <c r="M66" s="31" t="str">
        <f>IF('Phytopl Count'!M66=0,"",'Phytopl Count'!M66*'Phytopl Count'!M$13/'Phytopl Count'!M$8)</f>
        <v/>
      </c>
      <c r="N66" s="31" t="str">
        <f>IF('Phytopl Count'!N66=0,"",'Phytopl Count'!N66*'Phytopl Count'!N$13/'Phytopl Count'!N$8)</f>
        <v/>
      </c>
      <c r="O66" s="31" t="str">
        <f>IF('Phytopl Count'!O66=0,"",'Phytopl Count'!O66*'Phytopl Count'!O$13/'Phytopl Count'!O$8)</f>
        <v/>
      </c>
      <c r="P66" s="31" t="str">
        <f>IF('Phytopl Count'!P66=0,"",'Phytopl Count'!P66*'Phytopl Count'!P$13/'Phytopl Count'!P$8)</f>
        <v/>
      </c>
      <c r="Q66" s="31" t="str">
        <f>IF('Phytopl Count'!Q66=0,"",'Phytopl Count'!Q66*'Phytopl Count'!Q$13/'Phytopl Count'!Q$8)</f>
        <v/>
      </c>
      <c r="R66" s="31" t="str">
        <f>IF('Phytopl Count'!R66=0,"",'Phytopl Count'!R66*'Phytopl Count'!R$13/'Phytopl Count'!R$8)</f>
        <v/>
      </c>
      <c r="S66" s="31" t="str">
        <f>IF('Phytopl Count'!S66=0,"",'Phytopl Count'!S66*'Phytopl Count'!S$13/'Phytopl Count'!S$8)</f>
        <v/>
      </c>
      <c r="T66" s="31" t="str">
        <f>IF('Phytopl Count'!T66=0,"",'Phytopl Count'!T66*'Phytopl Count'!T$13/'Phytopl Count'!T$8)</f>
        <v/>
      </c>
      <c r="U66" s="31" t="str">
        <f>IF('Phytopl Count'!U66=0,"",'Phytopl Count'!U66*'Phytopl Count'!U$13/'Phytopl Count'!U$8)</f>
        <v/>
      </c>
      <c r="V66" s="31" t="str">
        <f>IF('Phytopl Count'!V66=0,"",'Phytopl Count'!V66*'Phytopl Count'!V$13/'Phytopl Count'!V$8)</f>
        <v/>
      </c>
      <c r="W66" s="31" t="str">
        <f>IF('Phytopl Count'!W66=0,"",'Phytopl Count'!W66*'Phytopl Count'!W$13/'Phytopl Count'!W$8)</f>
        <v/>
      </c>
      <c r="X66" s="31" t="str">
        <f>IF('Phytopl Count'!X66=0,"",'Phytopl Count'!X66*'Phytopl Count'!X$13/'Phytopl Count'!X$8)</f>
        <v/>
      </c>
      <c r="Y66" s="31" t="str">
        <f>IF('Phytopl Count'!Y66=0,"",'Phytopl Count'!Y66*'Phytopl Count'!Y$13/'Phytopl Count'!Y$8)</f>
        <v/>
      </c>
      <c r="Z66" s="31" t="str">
        <f>IF('Phytopl Count'!Z66=0,"",'Phytopl Count'!Z66*'Phytopl Count'!Z$13/'Phytopl Count'!Z$8)</f>
        <v/>
      </c>
      <c r="AA66" s="31" t="str">
        <f>IF('Phytopl Count'!AA66=0,"",'Phytopl Count'!AA66*'Phytopl Count'!AA$13/'Phytopl Count'!AA$8)</f>
        <v/>
      </c>
      <c r="AB66" s="31" t="str">
        <f>IF('Phytopl Count'!AB66=0,"",'Phytopl Count'!AB66*'Phytopl Count'!AB$13/'Phytopl Count'!AB$8)</f>
        <v/>
      </c>
      <c r="AC66" s="31" t="str">
        <f>IF('Phytopl Count'!AC66=0,"",'Phytopl Count'!AC66*'Phytopl Count'!AC$13/'Phytopl Count'!AC$8)</f>
        <v/>
      </c>
      <c r="AD66" s="31" t="str">
        <f>IF('Phytopl Count'!AD66=0,"",'Phytopl Count'!AD66*'Phytopl Count'!AD$13/'Phytopl Count'!AD$8)</f>
        <v/>
      </c>
      <c r="AE66" s="31" t="str">
        <f>IF('Phytopl Count'!AE66=0,"",'Phytopl Count'!AE66*'Phytopl Count'!AE$13/'Phytopl Count'!AE$8)</f>
        <v/>
      </c>
      <c r="AF66" s="31" t="str">
        <f>IF('Phytopl Count'!AF66=0,"",'Phytopl Count'!AF66*'Phytopl Count'!AF$13/'Phytopl Count'!AF$8)</f>
        <v/>
      </c>
    </row>
    <row r="67" spans="1:32" hidden="1">
      <c r="E67" s="10" t="s">
        <v>6</v>
      </c>
      <c r="F67" s="11" t="s">
        <v>267</v>
      </c>
      <c r="G67" s="31" t="str">
        <f>IF('Phytopl Count'!G67=0,"",'Phytopl Count'!G67*'Phytopl Count'!G$13/'Phytopl Count'!G$8)</f>
        <v/>
      </c>
      <c r="H67" s="31" t="str">
        <f>IF('Phytopl Count'!H67=0,"",'Phytopl Count'!H67*'Phytopl Count'!H$13/'Phytopl Count'!H$8)</f>
        <v/>
      </c>
      <c r="I67" s="31" t="str">
        <f>IF('Phytopl Count'!I67=0,"",'Phytopl Count'!I67*'Phytopl Count'!I$13/'Phytopl Count'!I$8)</f>
        <v/>
      </c>
      <c r="J67" s="31" t="str">
        <f>IF('Phytopl Count'!J67=0,"",'Phytopl Count'!J67*'Phytopl Count'!J$13/'Phytopl Count'!J$8)</f>
        <v/>
      </c>
      <c r="K67" s="31" t="str">
        <f>IF('Phytopl Count'!K67=0,"",'Phytopl Count'!K67*'Phytopl Count'!K$13/'Phytopl Count'!K$8)</f>
        <v/>
      </c>
      <c r="L67" s="31" t="str">
        <f>IF('Phytopl Count'!L67=0,"",'Phytopl Count'!L67*'Phytopl Count'!L$13/'Phytopl Count'!L$8)</f>
        <v/>
      </c>
      <c r="M67" s="31" t="str">
        <f>IF('Phytopl Count'!M67=0,"",'Phytopl Count'!M67*'Phytopl Count'!M$13/'Phytopl Count'!M$8)</f>
        <v/>
      </c>
      <c r="N67" s="31" t="str">
        <f>IF('Phytopl Count'!N67=0,"",'Phytopl Count'!N67*'Phytopl Count'!N$13/'Phytopl Count'!N$8)</f>
        <v/>
      </c>
      <c r="O67" s="31" t="str">
        <f>IF('Phytopl Count'!O67=0,"",'Phytopl Count'!O67*'Phytopl Count'!O$13/'Phytopl Count'!O$8)</f>
        <v/>
      </c>
      <c r="P67" s="31" t="str">
        <f>IF('Phytopl Count'!P67=0,"",'Phytopl Count'!P67*'Phytopl Count'!P$13/'Phytopl Count'!P$8)</f>
        <v/>
      </c>
      <c r="Q67" s="31" t="str">
        <f>IF('Phytopl Count'!Q67=0,"",'Phytopl Count'!Q67*'Phytopl Count'!Q$13/'Phytopl Count'!Q$8)</f>
        <v/>
      </c>
      <c r="R67" s="31" t="str">
        <f>IF('Phytopl Count'!R67=0,"",'Phytopl Count'!R67*'Phytopl Count'!R$13/'Phytopl Count'!R$8)</f>
        <v/>
      </c>
      <c r="S67" s="31" t="str">
        <f>IF('Phytopl Count'!S67=0,"",'Phytopl Count'!S67*'Phytopl Count'!S$13/'Phytopl Count'!S$8)</f>
        <v/>
      </c>
      <c r="T67" s="31" t="str">
        <f>IF('Phytopl Count'!T67=0,"",'Phytopl Count'!T67*'Phytopl Count'!T$13/'Phytopl Count'!T$8)</f>
        <v/>
      </c>
      <c r="U67" s="31" t="str">
        <f>IF('Phytopl Count'!U67=0,"",'Phytopl Count'!U67*'Phytopl Count'!U$13/'Phytopl Count'!U$8)</f>
        <v/>
      </c>
      <c r="V67" s="31" t="str">
        <f>IF('Phytopl Count'!V67=0,"",'Phytopl Count'!V67*'Phytopl Count'!V$13/'Phytopl Count'!V$8)</f>
        <v/>
      </c>
      <c r="W67" s="31" t="str">
        <f>IF('Phytopl Count'!W67=0,"",'Phytopl Count'!W67*'Phytopl Count'!W$13/'Phytopl Count'!W$8)</f>
        <v/>
      </c>
      <c r="X67" s="31" t="str">
        <f>IF('Phytopl Count'!X67=0,"",'Phytopl Count'!X67*'Phytopl Count'!X$13/'Phytopl Count'!X$8)</f>
        <v/>
      </c>
      <c r="Y67" s="31" t="str">
        <f>IF('Phytopl Count'!Y67=0,"",'Phytopl Count'!Y67*'Phytopl Count'!Y$13/'Phytopl Count'!Y$8)</f>
        <v/>
      </c>
      <c r="Z67" s="31" t="str">
        <f>IF('Phytopl Count'!Z67=0,"",'Phytopl Count'!Z67*'Phytopl Count'!Z$13/'Phytopl Count'!Z$8)</f>
        <v/>
      </c>
      <c r="AA67" s="31" t="str">
        <f>IF('Phytopl Count'!AA67=0,"",'Phytopl Count'!AA67*'Phytopl Count'!AA$13/'Phytopl Count'!AA$8)</f>
        <v/>
      </c>
      <c r="AB67" s="31" t="str">
        <f>IF('Phytopl Count'!AB67=0,"",'Phytopl Count'!AB67*'Phytopl Count'!AB$13/'Phytopl Count'!AB$8)</f>
        <v/>
      </c>
      <c r="AC67" s="31" t="str">
        <f>IF('Phytopl Count'!AC67=0,"",'Phytopl Count'!AC67*'Phytopl Count'!AC$13/'Phytopl Count'!AC$8)</f>
        <v/>
      </c>
      <c r="AD67" s="31" t="str">
        <f>IF('Phytopl Count'!AD67=0,"",'Phytopl Count'!AD67*'Phytopl Count'!AD$13/'Phytopl Count'!AD$8)</f>
        <v/>
      </c>
      <c r="AE67" s="31" t="str">
        <f>IF('Phytopl Count'!AE67=0,"",'Phytopl Count'!AE67*'Phytopl Count'!AE$13/'Phytopl Count'!AE$8)</f>
        <v/>
      </c>
      <c r="AF67" s="31" t="str">
        <f>IF('Phytopl Count'!AF67=0,"",'Phytopl Count'!AF67*'Phytopl Count'!AF$13/'Phytopl Count'!AF$8)</f>
        <v/>
      </c>
    </row>
    <row r="68" spans="1:32" hidden="1">
      <c r="A68" s="105"/>
      <c r="B68" s="105"/>
      <c r="C68" s="105"/>
      <c r="D68" s="106" t="s">
        <v>5</v>
      </c>
      <c r="E68" s="105" t="s">
        <v>272</v>
      </c>
      <c r="F68" s="108"/>
      <c r="G68" s="31" t="str">
        <f>IF('Phytopl Count'!G68=0,"",'Phytopl Count'!G68*'Phytopl Count'!G$13/'Phytopl Count'!G$8)</f>
        <v/>
      </c>
      <c r="H68" s="31" t="str">
        <f>IF('Phytopl Count'!H68=0,"",'Phytopl Count'!H68*'Phytopl Count'!H$13/'Phytopl Count'!H$8)</f>
        <v/>
      </c>
      <c r="I68" s="31" t="str">
        <f>IF('Phytopl Count'!I68=0,"",'Phytopl Count'!I68*'Phytopl Count'!I$13/'Phytopl Count'!I$8)</f>
        <v/>
      </c>
      <c r="J68" s="31" t="str">
        <f>IF('Phytopl Count'!J68=0,"",'Phytopl Count'!J68*'Phytopl Count'!J$13/'Phytopl Count'!J$8)</f>
        <v/>
      </c>
      <c r="K68" s="31" t="str">
        <f>IF('Phytopl Count'!K68=0,"",'Phytopl Count'!K68*'Phytopl Count'!K$13/'Phytopl Count'!K$8)</f>
        <v/>
      </c>
      <c r="L68" s="31" t="str">
        <f>IF('Phytopl Count'!L68=0,"",'Phytopl Count'!L68*'Phytopl Count'!L$13/'Phytopl Count'!L$8)</f>
        <v/>
      </c>
      <c r="M68" s="31" t="str">
        <f>IF('Phytopl Count'!M68=0,"",'Phytopl Count'!M68*'Phytopl Count'!M$13/'Phytopl Count'!M$8)</f>
        <v/>
      </c>
      <c r="N68" s="31" t="str">
        <f>IF('Phytopl Count'!N68=0,"",'Phytopl Count'!N68*'Phytopl Count'!N$13/'Phytopl Count'!N$8)</f>
        <v/>
      </c>
      <c r="O68" s="31" t="str">
        <f>IF('Phytopl Count'!O68=0,"",'Phytopl Count'!O68*'Phytopl Count'!O$13/'Phytopl Count'!O$8)</f>
        <v/>
      </c>
      <c r="P68" s="31" t="str">
        <f>IF('Phytopl Count'!P68=0,"",'Phytopl Count'!P68*'Phytopl Count'!P$13/'Phytopl Count'!P$8)</f>
        <v/>
      </c>
      <c r="Q68" s="31" t="str">
        <f>IF('Phytopl Count'!Q68=0,"",'Phytopl Count'!Q68*'Phytopl Count'!Q$13/'Phytopl Count'!Q$8)</f>
        <v/>
      </c>
      <c r="R68" s="31" t="str">
        <f>IF('Phytopl Count'!R68=0,"",'Phytopl Count'!R68*'Phytopl Count'!R$13/'Phytopl Count'!R$8)</f>
        <v/>
      </c>
      <c r="S68" s="31" t="str">
        <f>IF('Phytopl Count'!S68=0,"",'Phytopl Count'!S68*'Phytopl Count'!S$13/'Phytopl Count'!S$8)</f>
        <v/>
      </c>
      <c r="T68" s="31" t="str">
        <f>IF('Phytopl Count'!T68=0,"",'Phytopl Count'!T68*'Phytopl Count'!T$13/'Phytopl Count'!T$8)</f>
        <v/>
      </c>
      <c r="U68" s="31" t="str">
        <f>IF('Phytopl Count'!U68=0,"",'Phytopl Count'!U68*'Phytopl Count'!U$13/'Phytopl Count'!U$8)</f>
        <v/>
      </c>
      <c r="V68" s="31" t="str">
        <f>IF('Phytopl Count'!V68=0,"",'Phytopl Count'!V68*'Phytopl Count'!V$13/'Phytopl Count'!V$8)</f>
        <v/>
      </c>
      <c r="W68" s="31" t="str">
        <f>IF('Phytopl Count'!W68=0,"",'Phytopl Count'!W68*'Phytopl Count'!W$13/'Phytopl Count'!W$8)</f>
        <v/>
      </c>
      <c r="X68" s="31" t="str">
        <f>IF('Phytopl Count'!X68=0,"",'Phytopl Count'!X68*'Phytopl Count'!X$13/'Phytopl Count'!X$8)</f>
        <v/>
      </c>
      <c r="Y68" s="31" t="str">
        <f>IF('Phytopl Count'!Y68=0,"",'Phytopl Count'!Y68*'Phytopl Count'!Y$13/'Phytopl Count'!Y$8)</f>
        <v/>
      </c>
      <c r="Z68" s="31" t="str">
        <f>IF('Phytopl Count'!Z68=0,"",'Phytopl Count'!Z68*'Phytopl Count'!Z$13/'Phytopl Count'!Z$8)</f>
        <v/>
      </c>
      <c r="AA68" s="31" t="str">
        <f>IF('Phytopl Count'!AA68=0,"",'Phytopl Count'!AA68*'Phytopl Count'!AA$13/'Phytopl Count'!AA$8)</f>
        <v/>
      </c>
      <c r="AB68" s="31" t="str">
        <f>IF('Phytopl Count'!AB68=0,"",'Phytopl Count'!AB68*'Phytopl Count'!AB$13/'Phytopl Count'!AB$8)</f>
        <v/>
      </c>
      <c r="AC68" s="31" t="str">
        <f>IF('Phytopl Count'!AC68=0,"",'Phytopl Count'!AC68*'Phytopl Count'!AC$13/'Phytopl Count'!AC$8)</f>
        <v/>
      </c>
      <c r="AD68" s="31" t="str">
        <f>IF('Phytopl Count'!AD68=0,"",'Phytopl Count'!AD68*'Phytopl Count'!AD$13/'Phytopl Count'!AD$8)</f>
        <v/>
      </c>
      <c r="AE68" s="31" t="str">
        <f>IF('Phytopl Count'!AE68=0,"",'Phytopl Count'!AE68*'Phytopl Count'!AE$13/'Phytopl Count'!AE$8)</f>
        <v/>
      </c>
      <c r="AF68" s="31" t="str">
        <f>IF('Phytopl Count'!AF68=0,"",'Phytopl Count'!AF68*'Phytopl Count'!AF$13/'Phytopl Count'!AF$8)</f>
        <v/>
      </c>
    </row>
    <row r="69" spans="1:32" hidden="1">
      <c r="A69" s="105"/>
      <c r="B69" s="105"/>
      <c r="C69" s="105"/>
      <c r="D69" s="105"/>
      <c r="E69" s="106" t="s">
        <v>6</v>
      </c>
      <c r="F69" s="11" t="s">
        <v>273</v>
      </c>
      <c r="G69" s="31" t="str">
        <f>IF('Phytopl Count'!G69=0,"",'Phytopl Count'!G69*'Phytopl Count'!G$13/'Phytopl Count'!G$8)</f>
        <v/>
      </c>
      <c r="H69" s="31" t="str">
        <f>IF('Phytopl Count'!H69=0,"",'Phytopl Count'!H69*'Phytopl Count'!H$13/'Phytopl Count'!H$8)</f>
        <v/>
      </c>
      <c r="I69" s="31" t="str">
        <f>IF('Phytopl Count'!I69=0,"",'Phytopl Count'!I69*'Phytopl Count'!I$13/'Phytopl Count'!I$8)</f>
        <v/>
      </c>
      <c r="J69" s="31" t="str">
        <f>IF('Phytopl Count'!J69=0,"",'Phytopl Count'!J69*'Phytopl Count'!J$13/'Phytopl Count'!J$8)</f>
        <v/>
      </c>
      <c r="K69" s="31" t="str">
        <f>IF('Phytopl Count'!K69=0,"",'Phytopl Count'!K69*'Phytopl Count'!K$13/'Phytopl Count'!K$8)</f>
        <v/>
      </c>
      <c r="L69" s="31" t="str">
        <f>IF('Phytopl Count'!L69=0,"",'Phytopl Count'!L69*'Phytopl Count'!L$13/'Phytopl Count'!L$8)</f>
        <v/>
      </c>
      <c r="M69" s="31" t="str">
        <f>IF('Phytopl Count'!M69=0,"",'Phytopl Count'!M69*'Phytopl Count'!M$13/'Phytopl Count'!M$8)</f>
        <v/>
      </c>
      <c r="N69" s="31" t="str">
        <f>IF('Phytopl Count'!N69=0,"",'Phytopl Count'!N69*'Phytopl Count'!N$13/'Phytopl Count'!N$8)</f>
        <v/>
      </c>
      <c r="O69" s="31" t="str">
        <f>IF('Phytopl Count'!O69=0,"",'Phytopl Count'!O69*'Phytopl Count'!O$13/'Phytopl Count'!O$8)</f>
        <v/>
      </c>
      <c r="P69" s="31" t="str">
        <f>IF('Phytopl Count'!P69=0,"",'Phytopl Count'!P69*'Phytopl Count'!P$13/'Phytopl Count'!P$8)</f>
        <v/>
      </c>
      <c r="Q69" s="31" t="str">
        <f>IF('Phytopl Count'!Q69=0,"",'Phytopl Count'!Q69*'Phytopl Count'!Q$13/'Phytopl Count'!Q$8)</f>
        <v/>
      </c>
      <c r="R69" s="31" t="str">
        <f>IF('Phytopl Count'!R69=0,"",'Phytopl Count'!R69*'Phytopl Count'!R$13/'Phytopl Count'!R$8)</f>
        <v/>
      </c>
      <c r="S69" s="31" t="str">
        <f>IF('Phytopl Count'!S69=0,"",'Phytopl Count'!S69*'Phytopl Count'!S$13/'Phytopl Count'!S$8)</f>
        <v/>
      </c>
      <c r="T69" s="31" t="str">
        <f>IF('Phytopl Count'!T69=0,"",'Phytopl Count'!T69*'Phytopl Count'!T$13/'Phytopl Count'!T$8)</f>
        <v/>
      </c>
      <c r="U69" s="31" t="str">
        <f>IF('Phytopl Count'!U69=0,"",'Phytopl Count'!U69*'Phytopl Count'!U$13/'Phytopl Count'!U$8)</f>
        <v/>
      </c>
      <c r="V69" s="31" t="str">
        <f>IF('Phytopl Count'!V69=0,"",'Phytopl Count'!V69*'Phytopl Count'!V$13/'Phytopl Count'!V$8)</f>
        <v/>
      </c>
      <c r="W69" s="31" t="str">
        <f>IF('Phytopl Count'!W69=0,"",'Phytopl Count'!W69*'Phytopl Count'!W$13/'Phytopl Count'!W$8)</f>
        <v/>
      </c>
      <c r="X69" s="31" t="str">
        <f>IF('Phytopl Count'!X69=0,"",'Phytopl Count'!X69*'Phytopl Count'!X$13/'Phytopl Count'!X$8)</f>
        <v/>
      </c>
      <c r="Y69" s="31" t="str">
        <f>IF('Phytopl Count'!Y69=0,"",'Phytopl Count'!Y69*'Phytopl Count'!Y$13/'Phytopl Count'!Y$8)</f>
        <v/>
      </c>
      <c r="Z69" s="31" t="str">
        <f>IF('Phytopl Count'!Z69=0,"",'Phytopl Count'!Z69*'Phytopl Count'!Z$13/'Phytopl Count'!Z$8)</f>
        <v/>
      </c>
      <c r="AA69" s="31" t="str">
        <f>IF('Phytopl Count'!AA69=0,"",'Phytopl Count'!AA69*'Phytopl Count'!AA$13/'Phytopl Count'!AA$8)</f>
        <v/>
      </c>
      <c r="AB69" s="31" t="str">
        <f>IF('Phytopl Count'!AB69=0,"",'Phytopl Count'!AB69*'Phytopl Count'!AB$13/'Phytopl Count'!AB$8)</f>
        <v/>
      </c>
      <c r="AC69" s="31" t="str">
        <f>IF('Phytopl Count'!AC69=0,"",'Phytopl Count'!AC69*'Phytopl Count'!AC$13/'Phytopl Count'!AC$8)</f>
        <v/>
      </c>
      <c r="AD69" s="31" t="str">
        <f>IF('Phytopl Count'!AD69=0,"",'Phytopl Count'!AD69*'Phytopl Count'!AD$13/'Phytopl Count'!AD$8)</f>
        <v/>
      </c>
      <c r="AE69" s="31" t="str">
        <f>IF('Phytopl Count'!AE69=0,"",'Phytopl Count'!AE69*'Phytopl Count'!AE$13/'Phytopl Count'!AE$8)</f>
        <v/>
      </c>
      <c r="AF69" s="31" t="str">
        <f>IF('Phytopl Count'!AF69=0,"",'Phytopl Count'!AF69*'Phytopl Count'!AF$13/'Phytopl Count'!AF$8)</f>
        <v/>
      </c>
    </row>
    <row r="70" spans="1:32" hidden="1">
      <c r="A70" s="105"/>
      <c r="B70" s="105"/>
      <c r="C70" s="105"/>
      <c r="D70" s="105"/>
      <c r="E70" s="106"/>
      <c r="F70" s="11" t="s">
        <v>376</v>
      </c>
      <c r="G70" s="31" t="str">
        <f>IF('Phytopl Count'!G70=0,"",'Phytopl Count'!G70*'Phytopl Count'!G$13/'Phytopl Count'!G$8)</f>
        <v/>
      </c>
      <c r="H70" s="31" t="str">
        <f>IF('Phytopl Count'!H70=0,"",'Phytopl Count'!H70*'Phytopl Count'!H$13/'Phytopl Count'!H$8)</f>
        <v/>
      </c>
      <c r="I70" s="31" t="str">
        <f>IF('Phytopl Count'!I70=0,"",'Phytopl Count'!I70*'Phytopl Count'!I$13/'Phytopl Count'!I$8)</f>
        <v/>
      </c>
      <c r="J70" s="31" t="str">
        <f>IF('Phytopl Count'!J70=0,"",'Phytopl Count'!J70*'Phytopl Count'!J$13/'Phytopl Count'!J$8)</f>
        <v/>
      </c>
      <c r="K70" s="31" t="str">
        <f>IF('Phytopl Count'!K70=0,"",'Phytopl Count'!K70*'Phytopl Count'!K$13/'Phytopl Count'!K$8)</f>
        <v/>
      </c>
      <c r="L70" s="31" t="str">
        <f>IF('Phytopl Count'!L70=0,"",'Phytopl Count'!L70*'Phytopl Count'!L$13/'Phytopl Count'!L$8)</f>
        <v/>
      </c>
      <c r="M70" s="31" t="str">
        <f>IF('Phytopl Count'!M70=0,"",'Phytopl Count'!M70*'Phytopl Count'!M$13/'Phytopl Count'!M$8)</f>
        <v/>
      </c>
      <c r="N70" s="31" t="str">
        <f>IF('Phytopl Count'!N70=0,"",'Phytopl Count'!N70*'Phytopl Count'!N$13/'Phytopl Count'!N$8)</f>
        <v/>
      </c>
      <c r="O70" s="31" t="str">
        <f>IF('Phytopl Count'!O70=0,"",'Phytopl Count'!O70*'Phytopl Count'!O$13/'Phytopl Count'!O$8)</f>
        <v/>
      </c>
      <c r="P70" s="31" t="str">
        <f>IF('Phytopl Count'!P70=0,"",'Phytopl Count'!P70*'Phytopl Count'!P$13/'Phytopl Count'!P$8)</f>
        <v/>
      </c>
      <c r="Q70" s="31" t="str">
        <f>IF('Phytopl Count'!Q70=0,"",'Phytopl Count'!Q70*'Phytopl Count'!Q$13/'Phytopl Count'!Q$8)</f>
        <v/>
      </c>
      <c r="R70" s="31" t="str">
        <f>IF('Phytopl Count'!R70=0,"",'Phytopl Count'!R70*'Phytopl Count'!R$13/'Phytopl Count'!R$8)</f>
        <v/>
      </c>
      <c r="S70" s="31" t="str">
        <f>IF('Phytopl Count'!S70=0,"",'Phytopl Count'!S70*'Phytopl Count'!S$13/'Phytopl Count'!S$8)</f>
        <v/>
      </c>
      <c r="T70" s="31" t="str">
        <f>IF('Phytopl Count'!T70=0,"",'Phytopl Count'!T70*'Phytopl Count'!T$13/'Phytopl Count'!T$8)</f>
        <v/>
      </c>
      <c r="U70" s="31" t="str">
        <f>IF('Phytopl Count'!U70=0,"",'Phytopl Count'!U70*'Phytopl Count'!U$13/'Phytopl Count'!U$8)</f>
        <v/>
      </c>
      <c r="V70" s="31" t="str">
        <f>IF('Phytopl Count'!V70=0,"",'Phytopl Count'!V70*'Phytopl Count'!V$13/'Phytopl Count'!V$8)</f>
        <v/>
      </c>
      <c r="W70" s="31" t="str">
        <f>IF('Phytopl Count'!W70=0,"",'Phytopl Count'!W70*'Phytopl Count'!W$13/'Phytopl Count'!W$8)</f>
        <v/>
      </c>
      <c r="X70" s="31" t="str">
        <f>IF('Phytopl Count'!X70=0,"",'Phytopl Count'!X70*'Phytopl Count'!X$13/'Phytopl Count'!X$8)</f>
        <v/>
      </c>
      <c r="Y70" s="31" t="str">
        <f>IF('Phytopl Count'!Y70=0,"",'Phytopl Count'!Y70*'Phytopl Count'!Y$13/'Phytopl Count'!Y$8)</f>
        <v/>
      </c>
      <c r="Z70" s="31" t="str">
        <f>IF('Phytopl Count'!Z70=0,"",'Phytopl Count'!Z70*'Phytopl Count'!Z$13/'Phytopl Count'!Z$8)</f>
        <v/>
      </c>
      <c r="AA70" s="31" t="str">
        <f>IF('Phytopl Count'!AA70=0,"",'Phytopl Count'!AA70*'Phytopl Count'!AA$13/'Phytopl Count'!AA$8)</f>
        <v/>
      </c>
      <c r="AB70" s="31" t="str">
        <f>IF('Phytopl Count'!AB70=0,"",'Phytopl Count'!AB70*'Phytopl Count'!AB$13/'Phytopl Count'!AB$8)</f>
        <v/>
      </c>
      <c r="AC70" s="31" t="str">
        <f>IF('Phytopl Count'!AC70=0,"",'Phytopl Count'!AC70*'Phytopl Count'!AC$13/'Phytopl Count'!AC$8)</f>
        <v/>
      </c>
      <c r="AD70" s="31" t="str">
        <f>IF('Phytopl Count'!AD70=0,"",'Phytopl Count'!AD70*'Phytopl Count'!AD$13/'Phytopl Count'!AD$8)</f>
        <v/>
      </c>
      <c r="AE70" s="31" t="str">
        <f>IF('Phytopl Count'!AE70=0,"",'Phytopl Count'!AE70*'Phytopl Count'!AE$13/'Phytopl Count'!AE$8)</f>
        <v/>
      </c>
      <c r="AF70" s="31" t="str">
        <f>IF('Phytopl Count'!AF70=0,"",'Phytopl Count'!AF70*'Phytopl Count'!AF$13/'Phytopl Count'!AF$8)</f>
        <v/>
      </c>
    </row>
    <row r="71" spans="1:32">
      <c r="D71" s="10" t="s">
        <v>5</v>
      </c>
      <c r="E71" s="12" t="s">
        <v>91</v>
      </c>
      <c r="F71" s="11"/>
      <c r="G71" s="31" t="str">
        <f>IF('Phytopl Count'!G71=0,"",'Phytopl Count'!G71*'Phytopl Count'!G$13/'Phytopl Count'!G$8)</f>
        <v/>
      </c>
      <c r="H71" s="31" t="str">
        <f>IF('Phytopl Count'!H71=0,"",'Phytopl Count'!H71*'Phytopl Count'!H$13/'Phytopl Count'!H$8)</f>
        <v/>
      </c>
      <c r="I71" s="31" t="str">
        <f>IF('Phytopl Count'!I71=0,"",'Phytopl Count'!I71*'Phytopl Count'!I$13/'Phytopl Count'!I$8)</f>
        <v/>
      </c>
      <c r="J71" s="31" t="str">
        <f>IF('Phytopl Count'!J71=0,"",'Phytopl Count'!J71*'Phytopl Count'!J$13/'Phytopl Count'!J$8)</f>
        <v/>
      </c>
      <c r="K71" s="31" t="str">
        <f>IF('Phytopl Count'!K71=0,"",'Phytopl Count'!K71*'Phytopl Count'!K$13/'Phytopl Count'!K$8)</f>
        <v/>
      </c>
      <c r="L71" s="31" t="str">
        <f>IF('Phytopl Count'!L71=0,"",'Phytopl Count'!L71*'Phytopl Count'!L$13/'Phytopl Count'!L$8)</f>
        <v/>
      </c>
      <c r="M71" s="31" t="str">
        <f>IF('Phytopl Count'!M71=0,"",'Phytopl Count'!M71*'Phytopl Count'!M$13/'Phytopl Count'!M$8)</f>
        <v/>
      </c>
      <c r="N71" s="31" t="str">
        <f>IF('Phytopl Count'!N71=0,"",'Phytopl Count'!N71*'Phytopl Count'!N$13/'Phytopl Count'!N$8)</f>
        <v/>
      </c>
      <c r="O71" s="31" t="str">
        <f>IF('Phytopl Count'!O71=0,"",'Phytopl Count'!O71*'Phytopl Count'!O$13/'Phytopl Count'!O$8)</f>
        <v/>
      </c>
      <c r="P71" s="31" t="str">
        <f>IF('Phytopl Count'!P71=0,"",'Phytopl Count'!P71*'Phytopl Count'!P$13/'Phytopl Count'!P$8)</f>
        <v/>
      </c>
      <c r="Q71" s="31" t="str">
        <f>IF('Phytopl Count'!Q71=0,"",'Phytopl Count'!Q71*'Phytopl Count'!Q$13/'Phytopl Count'!Q$8)</f>
        <v/>
      </c>
      <c r="R71" s="31" t="str">
        <f>IF('Phytopl Count'!R71=0,"",'Phytopl Count'!R71*'Phytopl Count'!R$13/'Phytopl Count'!R$8)</f>
        <v/>
      </c>
      <c r="S71" s="31" t="str">
        <f>IF('Phytopl Count'!S71=0,"",'Phytopl Count'!S71*'Phytopl Count'!S$13/'Phytopl Count'!S$8)</f>
        <v/>
      </c>
      <c r="T71" s="31" t="str">
        <f>IF('Phytopl Count'!T71=0,"",'Phytopl Count'!T71*'Phytopl Count'!T$13/'Phytopl Count'!T$8)</f>
        <v/>
      </c>
      <c r="U71" s="31" t="str">
        <f>IF('Phytopl Count'!U71=0,"",'Phytopl Count'!U71*'Phytopl Count'!U$13/'Phytopl Count'!U$8)</f>
        <v/>
      </c>
      <c r="V71" s="31" t="str">
        <f>IF('Phytopl Count'!V71=0,"",'Phytopl Count'!V71*'Phytopl Count'!V$13/'Phytopl Count'!V$8)</f>
        <v/>
      </c>
      <c r="W71" s="31" t="str">
        <f>IF('Phytopl Count'!W71=0,"",'Phytopl Count'!W71*'Phytopl Count'!W$13/'Phytopl Count'!W$8)</f>
        <v/>
      </c>
      <c r="X71" s="31" t="str">
        <f>IF('Phytopl Count'!X71=0,"",'Phytopl Count'!X71*'Phytopl Count'!X$13/'Phytopl Count'!X$8)</f>
        <v/>
      </c>
      <c r="Y71" s="31" t="str">
        <f>IF('Phytopl Count'!Y71=0,"",'Phytopl Count'!Y71*'Phytopl Count'!Y$13/'Phytopl Count'!Y$8)</f>
        <v/>
      </c>
      <c r="Z71" s="31" t="str">
        <f>IF('Phytopl Count'!Z71=0,"",'Phytopl Count'!Z71*'Phytopl Count'!Z$13/'Phytopl Count'!Z$8)</f>
        <v/>
      </c>
      <c r="AA71" s="31" t="str">
        <f>IF('Phytopl Count'!AA71=0,"",'Phytopl Count'!AA71*'Phytopl Count'!AA$13/'Phytopl Count'!AA$8)</f>
        <v/>
      </c>
      <c r="AB71" s="31" t="str">
        <f>IF('Phytopl Count'!AB71=0,"",'Phytopl Count'!AB71*'Phytopl Count'!AB$13/'Phytopl Count'!AB$8)</f>
        <v/>
      </c>
      <c r="AC71" s="31" t="str">
        <f>IF('Phytopl Count'!AC71=0,"",'Phytopl Count'!AC71*'Phytopl Count'!AC$13/'Phytopl Count'!AC$8)</f>
        <v/>
      </c>
      <c r="AD71" s="31" t="str">
        <f>IF('Phytopl Count'!AD71=0,"",'Phytopl Count'!AD71*'Phytopl Count'!AD$13/'Phytopl Count'!AD$8)</f>
        <v/>
      </c>
      <c r="AE71" s="31" t="str">
        <f>IF('Phytopl Count'!AE71=0,"",'Phytopl Count'!AE71*'Phytopl Count'!AE$13/'Phytopl Count'!AE$8)</f>
        <v/>
      </c>
      <c r="AF71" s="31" t="str">
        <f>IF('Phytopl Count'!AF71=0,"",'Phytopl Count'!AF71*'Phytopl Count'!AF$13/'Phytopl Count'!AF$8)</f>
        <v/>
      </c>
    </row>
    <row r="72" spans="1:32">
      <c r="E72" s="10" t="s">
        <v>6</v>
      </c>
      <c r="F72" s="11" t="s">
        <v>39</v>
      </c>
      <c r="G72" s="31" t="str">
        <f>IF('Phytopl Count'!G72=0,"",'Phytopl Count'!G72*'Phytopl Count'!G$13/'Phytopl Count'!G$8)</f>
        <v/>
      </c>
      <c r="H72" s="31" t="str">
        <f>IF('Phytopl Count'!H72=0,"",'Phytopl Count'!H72*'Phytopl Count'!H$13/'Phytopl Count'!H$8)</f>
        <v/>
      </c>
      <c r="I72" s="31" t="str">
        <f>IF('Phytopl Count'!I72=0,"",'Phytopl Count'!I72*'Phytopl Count'!I$13/'Phytopl Count'!I$8)</f>
        <v/>
      </c>
      <c r="J72" s="31" t="str">
        <f>IF('Phytopl Count'!J72=0,"",'Phytopl Count'!J72*'Phytopl Count'!J$13/'Phytopl Count'!J$8)</f>
        <v/>
      </c>
      <c r="K72" s="31">
        <f>IF('Phytopl Count'!K72=0,"",'Phytopl Count'!K72*'Phytopl Count'!K$13/'Phytopl Count'!K$8)</f>
        <v>6.4062367030700007E-2</v>
      </c>
      <c r="L72" s="31" t="str">
        <f>IF('Phytopl Count'!L72=0,"",'Phytopl Count'!L72*'Phytopl Count'!L$13/'Phytopl Count'!L$8)</f>
        <v/>
      </c>
      <c r="M72" s="31" t="str">
        <f>IF('Phytopl Count'!M72=0,"",'Phytopl Count'!M72*'Phytopl Count'!M$13/'Phytopl Count'!M$8)</f>
        <v/>
      </c>
      <c r="N72" s="31" t="str">
        <f>IF('Phytopl Count'!N72=0,"",'Phytopl Count'!N72*'Phytopl Count'!N$13/'Phytopl Count'!N$8)</f>
        <v/>
      </c>
      <c r="O72" s="31" t="str">
        <f>IF('Phytopl Count'!O72=0,"",'Phytopl Count'!O72*'Phytopl Count'!O$13/'Phytopl Count'!O$8)</f>
        <v/>
      </c>
      <c r="P72" s="31" t="str">
        <f>IF('Phytopl Count'!P72=0,"",'Phytopl Count'!P72*'Phytopl Count'!P$13/'Phytopl Count'!P$8)</f>
        <v/>
      </c>
      <c r="Q72" s="31" t="str">
        <f>IF('Phytopl Count'!Q72=0,"",'Phytopl Count'!Q72*'Phytopl Count'!Q$13/'Phytopl Count'!Q$8)</f>
        <v/>
      </c>
      <c r="R72" s="31" t="str">
        <f>IF('Phytopl Count'!R72=0,"",'Phytopl Count'!R72*'Phytopl Count'!R$13/'Phytopl Count'!R$8)</f>
        <v/>
      </c>
      <c r="S72" s="31" t="str">
        <f>IF('Phytopl Count'!S72=0,"",'Phytopl Count'!S72*'Phytopl Count'!S$13/'Phytopl Count'!S$8)</f>
        <v/>
      </c>
      <c r="T72" s="31" t="str">
        <f>IF('Phytopl Count'!T72=0,"",'Phytopl Count'!T72*'Phytopl Count'!T$13/'Phytopl Count'!T$8)</f>
        <v/>
      </c>
      <c r="U72" s="31" t="str">
        <f>IF('Phytopl Count'!U72=0,"",'Phytopl Count'!U72*'Phytopl Count'!U$13/'Phytopl Count'!U$8)</f>
        <v/>
      </c>
      <c r="V72" s="31" t="str">
        <f>IF('Phytopl Count'!V72=0,"",'Phytopl Count'!V72*'Phytopl Count'!V$13/'Phytopl Count'!V$8)</f>
        <v/>
      </c>
      <c r="W72" s="31" t="str">
        <f>IF('Phytopl Count'!W72=0,"",'Phytopl Count'!W72*'Phytopl Count'!W$13/'Phytopl Count'!W$8)</f>
        <v/>
      </c>
      <c r="X72" s="31" t="str">
        <f>IF('Phytopl Count'!X72=0,"",'Phytopl Count'!X72*'Phytopl Count'!X$13/'Phytopl Count'!X$8)</f>
        <v/>
      </c>
      <c r="Y72" s="31" t="str">
        <f>IF('Phytopl Count'!Y72=0,"",'Phytopl Count'!Y72*'Phytopl Count'!Y$13/'Phytopl Count'!Y$8)</f>
        <v/>
      </c>
      <c r="Z72" s="31" t="str">
        <f>IF('Phytopl Count'!Z72=0,"",'Phytopl Count'!Z72*'Phytopl Count'!Z$13/'Phytopl Count'!Z$8)</f>
        <v/>
      </c>
      <c r="AA72" s="31" t="str">
        <f>IF('Phytopl Count'!AA72=0,"",'Phytopl Count'!AA72*'Phytopl Count'!AA$13/'Phytopl Count'!AA$8)</f>
        <v/>
      </c>
      <c r="AB72" s="31" t="str">
        <f>IF('Phytopl Count'!AB72=0,"",'Phytopl Count'!AB72*'Phytopl Count'!AB$13/'Phytopl Count'!AB$8)</f>
        <v/>
      </c>
      <c r="AC72" s="31" t="str">
        <f>IF('Phytopl Count'!AC72=0,"",'Phytopl Count'!AC72*'Phytopl Count'!AC$13/'Phytopl Count'!AC$8)</f>
        <v/>
      </c>
      <c r="AD72" s="31" t="str">
        <f>IF('Phytopl Count'!AD72=0,"",'Phytopl Count'!AD72*'Phytopl Count'!AD$13/'Phytopl Count'!AD$8)</f>
        <v/>
      </c>
      <c r="AE72" s="31" t="str">
        <f>IF('Phytopl Count'!AE72=0,"",'Phytopl Count'!AE72*'Phytopl Count'!AE$13/'Phytopl Count'!AE$8)</f>
        <v/>
      </c>
      <c r="AF72" s="31" t="str">
        <f>IF('Phytopl Count'!AF72=0,"",'Phytopl Count'!AF72*'Phytopl Count'!AF$13/'Phytopl Count'!AF$8)</f>
        <v/>
      </c>
    </row>
    <row r="73" spans="1:32" s="4" customFormat="1">
      <c r="A73" s="5"/>
      <c r="B73" s="5"/>
      <c r="C73" s="5"/>
      <c r="D73" s="5"/>
      <c r="E73" s="10"/>
      <c r="F73" s="11"/>
      <c r="G73" s="31" t="str">
        <f>IF('Phytopl Count'!G73=0,"",'Phytopl Count'!G73*'Phytopl Count'!G$13/'Phytopl Count'!G$8)</f>
        <v/>
      </c>
      <c r="H73" s="31" t="str">
        <f>IF('Phytopl Count'!H73=0,"",'Phytopl Count'!H73*'Phytopl Count'!H$13/'Phytopl Count'!H$8)</f>
        <v/>
      </c>
      <c r="I73" s="31" t="str">
        <f>IF('Phytopl Count'!I73=0,"",'Phytopl Count'!I73*'Phytopl Count'!I$13/'Phytopl Count'!I$8)</f>
        <v/>
      </c>
      <c r="J73" s="31" t="str">
        <f>IF('Phytopl Count'!J73=0,"",'Phytopl Count'!J73*'Phytopl Count'!J$13/'Phytopl Count'!J$8)</f>
        <v/>
      </c>
      <c r="K73" s="31" t="str">
        <f>IF('Phytopl Count'!K73=0,"",'Phytopl Count'!K73*'Phytopl Count'!K$13/'Phytopl Count'!K$8)</f>
        <v/>
      </c>
      <c r="L73" s="31" t="str">
        <f>IF('Phytopl Count'!L73=0,"",'Phytopl Count'!L73*'Phytopl Count'!L$13/'Phytopl Count'!L$8)</f>
        <v/>
      </c>
      <c r="M73" s="31" t="str">
        <f>IF('Phytopl Count'!M73=0,"",'Phytopl Count'!M73*'Phytopl Count'!M$13/'Phytopl Count'!M$8)</f>
        <v/>
      </c>
      <c r="N73" s="31" t="str">
        <f>IF('Phytopl Count'!N73=0,"",'Phytopl Count'!N73*'Phytopl Count'!N$13/'Phytopl Count'!N$8)</f>
        <v/>
      </c>
      <c r="O73" s="31" t="str">
        <f>IF('Phytopl Count'!O73=0,"",'Phytopl Count'!O73*'Phytopl Count'!O$13/'Phytopl Count'!O$8)</f>
        <v/>
      </c>
      <c r="P73" s="31" t="str">
        <f>IF('Phytopl Count'!P73=0,"",'Phytopl Count'!P73*'Phytopl Count'!P$13/'Phytopl Count'!P$8)</f>
        <v/>
      </c>
      <c r="Q73" s="31" t="str">
        <f>IF('Phytopl Count'!Q73=0,"",'Phytopl Count'!Q73*'Phytopl Count'!Q$13/'Phytopl Count'!Q$8)</f>
        <v/>
      </c>
      <c r="R73" s="31" t="str">
        <f>IF('Phytopl Count'!R73=0,"",'Phytopl Count'!R73*'Phytopl Count'!R$13/'Phytopl Count'!R$8)</f>
        <v/>
      </c>
      <c r="S73" s="31" t="str">
        <f>IF('Phytopl Count'!S73=0,"",'Phytopl Count'!S73*'Phytopl Count'!S$13/'Phytopl Count'!S$8)</f>
        <v/>
      </c>
      <c r="T73" s="31" t="str">
        <f>IF('Phytopl Count'!T73=0,"",'Phytopl Count'!T73*'Phytopl Count'!T$13/'Phytopl Count'!T$8)</f>
        <v/>
      </c>
      <c r="U73" s="31" t="str">
        <f>IF('Phytopl Count'!U73=0,"",'Phytopl Count'!U73*'Phytopl Count'!U$13/'Phytopl Count'!U$8)</f>
        <v/>
      </c>
      <c r="V73" s="31" t="str">
        <f>IF('Phytopl Count'!V73=0,"",'Phytopl Count'!V73*'Phytopl Count'!V$13/'Phytopl Count'!V$8)</f>
        <v/>
      </c>
      <c r="W73" s="31" t="str">
        <f>IF('Phytopl Count'!W73=0,"",'Phytopl Count'!W73*'Phytopl Count'!W$13/'Phytopl Count'!W$8)</f>
        <v/>
      </c>
      <c r="X73" s="31" t="str">
        <f>IF('Phytopl Count'!X73=0,"",'Phytopl Count'!X73*'Phytopl Count'!X$13/'Phytopl Count'!X$8)</f>
        <v/>
      </c>
      <c r="Y73" s="31" t="str">
        <f>IF('Phytopl Count'!Y73=0,"",'Phytopl Count'!Y73*'Phytopl Count'!Y$13/'Phytopl Count'!Y$8)</f>
        <v/>
      </c>
      <c r="Z73" s="31" t="str">
        <f>IF('Phytopl Count'!Z73=0,"",'Phytopl Count'!Z73*'Phytopl Count'!Z$13/'Phytopl Count'!Z$8)</f>
        <v/>
      </c>
      <c r="AA73" s="31" t="str">
        <f>IF('Phytopl Count'!AA73=0,"",'Phytopl Count'!AA73*'Phytopl Count'!AA$13/'Phytopl Count'!AA$8)</f>
        <v/>
      </c>
      <c r="AB73" s="31" t="str">
        <f>IF('Phytopl Count'!AB73=0,"",'Phytopl Count'!AB73*'Phytopl Count'!AB$13/'Phytopl Count'!AB$8)</f>
        <v/>
      </c>
      <c r="AC73" s="31" t="str">
        <f>IF('Phytopl Count'!AC73=0,"",'Phytopl Count'!AC73*'Phytopl Count'!AC$13/'Phytopl Count'!AC$8)</f>
        <v/>
      </c>
      <c r="AD73" s="31" t="str">
        <f>IF('Phytopl Count'!AD73=0,"",'Phytopl Count'!AD73*'Phytopl Count'!AD$13/'Phytopl Count'!AD$8)</f>
        <v/>
      </c>
      <c r="AE73" s="31" t="str">
        <f>IF('Phytopl Count'!AE73=0,"",'Phytopl Count'!AE73*'Phytopl Count'!AE$13/'Phytopl Count'!AE$8)</f>
        <v/>
      </c>
      <c r="AF73" s="31" t="str">
        <f>IF('Phytopl Count'!AF73=0,"",'Phytopl Count'!AF73*'Phytopl Count'!AF$13/'Phytopl Count'!AF$8)</f>
        <v/>
      </c>
    </row>
    <row r="74" spans="1:32">
      <c r="A74" s="16"/>
      <c r="B74" s="16" t="s">
        <v>72</v>
      </c>
      <c r="C74" s="4" t="s">
        <v>76</v>
      </c>
      <c r="D74" s="4"/>
      <c r="E74" s="4"/>
      <c r="F74" s="59"/>
      <c r="G74" s="31" t="str">
        <f>IF('Phytopl Count'!G74=0,"",'Phytopl Count'!G74*'Phytopl Count'!G$13/'Phytopl Count'!G$8)</f>
        <v/>
      </c>
      <c r="H74" s="31" t="str">
        <f>IF('Phytopl Count'!H74=0,"",'Phytopl Count'!H74*'Phytopl Count'!H$13/'Phytopl Count'!H$8)</f>
        <v/>
      </c>
      <c r="I74" s="31" t="str">
        <f>IF('Phytopl Count'!I74=0,"",'Phytopl Count'!I74*'Phytopl Count'!I$13/'Phytopl Count'!I$8)</f>
        <v/>
      </c>
      <c r="J74" s="31" t="str">
        <f>IF('Phytopl Count'!J74=0,"",'Phytopl Count'!J74*'Phytopl Count'!J$13/'Phytopl Count'!J$8)</f>
        <v/>
      </c>
      <c r="K74" s="31" t="str">
        <f>IF('Phytopl Count'!K74=0,"",'Phytopl Count'!K74*'Phytopl Count'!K$13/'Phytopl Count'!K$8)</f>
        <v/>
      </c>
      <c r="L74" s="31" t="str">
        <f>IF('Phytopl Count'!L74=0,"",'Phytopl Count'!L74*'Phytopl Count'!L$13/'Phytopl Count'!L$8)</f>
        <v/>
      </c>
      <c r="M74" s="31" t="str">
        <f>IF('Phytopl Count'!M74=0,"",'Phytopl Count'!M74*'Phytopl Count'!M$13/'Phytopl Count'!M$8)</f>
        <v/>
      </c>
      <c r="N74" s="31" t="str">
        <f>IF('Phytopl Count'!N74=0,"",'Phytopl Count'!N74*'Phytopl Count'!N$13/'Phytopl Count'!N$8)</f>
        <v/>
      </c>
      <c r="O74" s="31" t="str">
        <f>IF('Phytopl Count'!O74=0,"",'Phytopl Count'!O74*'Phytopl Count'!O$13/'Phytopl Count'!O$8)</f>
        <v/>
      </c>
      <c r="P74" s="31" t="str">
        <f>IF('Phytopl Count'!P74=0,"",'Phytopl Count'!P74*'Phytopl Count'!P$13/'Phytopl Count'!P$8)</f>
        <v/>
      </c>
      <c r="Q74" s="31" t="str">
        <f>IF('Phytopl Count'!Q74=0,"",'Phytopl Count'!Q74*'Phytopl Count'!Q$13/'Phytopl Count'!Q$8)</f>
        <v/>
      </c>
      <c r="R74" s="31" t="str">
        <f>IF('Phytopl Count'!R74=0,"",'Phytopl Count'!R74*'Phytopl Count'!R$13/'Phytopl Count'!R$8)</f>
        <v/>
      </c>
      <c r="S74" s="31" t="str">
        <f>IF('Phytopl Count'!S74=0,"",'Phytopl Count'!S74*'Phytopl Count'!S$13/'Phytopl Count'!S$8)</f>
        <v/>
      </c>
      <c r="T74" s="31" t="str">
        <f>IF('Phytopl Count'!T74=0,"",'Phytopl Count'!T74*'Phytopl Count'!T$13/'Phytopl Count'!T$8)</f>
        <v/>
      </c>
      <c r="U74" s="31" t="str">
        <f>IF('Phytopl Count'!U74=0,"",'Phytopl Count'!U74*'Phytopl Count'!U$13/'Phytopl Count'!U$8)</f>
        <v/>
      </c>
      <c r="V74" s="31" t="str">
        <f>IF('Phytopl Count'!V74=0,"",'Phytopl Count'!V74*'Phytopl Count'!V$13/'Phytopl Count'!V$8)</f>
        <v/>
      </c>
      <c r="W74" s="31" t="str">
        <f>IF('Phytopl Count'!W74=0,"",'Phytopl Count'!W74*'Phytopl Count'!W$13/'Phytopl Count'!W$8)</f>
        <v/>
      </c>
      <c r="X74" s="31" t="str">
        <f>IF('Phytopl Count'!X74=0,"",'Phytopl Count'!X74*'Phytopl Count'!X$13/'Phytopl Count'!X$8)</f>
        <v/>
      </c>
      <c r="Y74" s="31" t="str">
        <f>IF('Phytopl Count'!Y74=0,"",'Phytopl Count'!Y74*'Phytopl Count'!Y$13/'Phytopl Count'!Y$8)</f>
        <v/>
      </c>
      <c r="Z74" s="31" t="str">
        <f>IF('Phytopl Count'!Z74=0,"",'Phytopl Count'!Z74*'Phytopl Count'!Z$13/'Phytopl Count'!Z$8)</f>
        <v/>
      </c>
      <c r="AA74" s="31" t="str">
        <f>IF('Phytopl Count'!AA74=0,"",'Phytopl Count'!AA74*'Phytopl Count'!AA$13/'Phytopl Count'!AA$8)</f>
        <v/>
      </c>
      <c r="AB74" s="31" t="str">
        <f>IF('Phytopl Count'!AB74=0,"",'Phytopl Count'!AB74*'Phytopl Count'!AB$13/'Phytopl Count'!AB$8)</f>
        <v/>
      </c>
      <c r="AC74" s="31" t="str">
        <f>IF('Phytopl Count'!AC74=0,"",'Phytopl Count'!AC74*'Phytopl Count'!AC$13/'Phytopl Count'!AC$8)</f>
        <v/>
      </c>
      <c r="AD74" s="31" t="str">
        <f>IF('Phytopl Count'!AD74=0,"",'Phytopl Count'!AD74*'Phytopl Count'!AD$13/'Phytopl Count'!AD$8)</f>
        <v/>
      </c>
      <c r="AE74" s="31" t="str">
        <f>IF('Phytopl Count'!AE74=0,"",'Phytopl Count'!AE74*'Phytopl Count'!AE$13/'Phytopl Count'!AE$8)</f>
        <v/>
      </c>
      <c r="AF74" s="31" t="str">
        <f>IF('Phytopl Count'!AF74=0,"",'Phytopl Count'!AF74*'Phytopl Count'!AF$13/'Phytopl Count'!AF$8)</f>
        <v/>
      </c>
    </row>
    <row r="75" spans="1:32" ht="15" customHeight="1">
      <c r="A75" s="16"/>
      <c r="B75" s="16"/>
      <c r="C75" s="16" t="s">
        <v>73</v>
      </c>
      <c r="D75" s="4" t="s">
        <v>142</v>
      </c>
      <c r="E75" s="4"/>
      <c r="F75" s="59"/>
      <c r="G75" s="31" t="str">
        <f>IF('Phytopl Count'!G75=0,"",'Phytopl Count'!G75*'Phytopl Count'!G$13/'Phytopl Count'!G$8)</f>
        <v/>
      </c>
      <c r="H75" s="31" t="str">
        <f>IF('Phytopl Count'!H75=0,"",'Phytopl Count'!H75*'Phytopl Count'!H$13/'Phytopl Count'!H$8)</f>
        <v/>
      </c>
      <c r="I75" s="31" t="str">
        <f>IF('Phytopl Count'!I75=0,"",'Phytopl Count'!I75*'Phytopl Count'!I$13/'Phytopl Count'!I$8)</f>
        <v/>
      </c>
      <c r="J75" s="31" t="str">
        <f>IF('Phytopl Count'!J75=0,"",'Phytopl Count'!J75*'Phytopl Count'!J$13/'Phytopl Count'!J$8)</f>
        <v/>
      </c>
      <c r="K75" s="31" t="str">
        <f>IF('Phytopl Count'!K75=0,"",'Phytopl Count'!K75*'Phytopl Count'!K$13/'Phytopl Count'!K$8)</f>
        <v/>
      </c>
      <c r="L75" s="31" t="str">
        <f>IF('Phytopl Count'!L75=0,"",'Phytopl Count'!L75*'Phytopl Count'!L$13/'Phytopl Count'!L$8)</f>
        <v/>
      </c>
      <c r="M75" s="31" t="str">
        <f>IF('Phytopl Count'!M75=0,"",'Phytopl Count'!M75*'Phytopl Count'!M$13/'Phytopl Count'!M$8)</f>
        <v/>
      </c>
      <c r="N75" s="31" t="str">
        <f>IF('Phytopl Count'!N75=0,"",'Phytopl Count'!N75*'Phytopl Count'!N$13/'Phytopl Count'!N$8)</f>
        <v/>
      </c>
      <c r="O75" s="31" t="str">
        <f>IF('Phytopl Count'!O75=0,"",'Phytopl Count'!O75*'Phytopl Count'!O$13/'Phytopl Count'!O$8)</f>
        <v/>
      </c>
      <c r="P75" s="31" t="str">
        <f>IF('Phytopl Count'!P75=0,"",'Phytopl Count'!P75*'Phytopl Count'!P$13/'Phytopl Count'!P$8)</f>
        <v/>
      </c>
      <c r="Q75" s="31" t="str">
        <f>IF('Phytopl Count'!Q75=0,"",'Phytopl Count'!Q75*'Phytopl Count'!Q$13/'Phytopl Count'!Q$8)</f>
        <v/>
      </c>
      <c r="R75" s="31" t="str">
        <f>IF('Phytopl Count'!R75=0,"",'Phytopl Count'!R75*'Phytopl Count'!R$13/'Phytopl Count'!R$8)</f>
        <v/>
      </c>
      <c r="S75" s="31" t="str">
        <f>IF('Phytopl Count'!S75=0,"",'Phytopl Count'!S75*'Phytopl Count'!S$13/'Phytopl Count'!S$8)</f>
        <v/>
      </c>
      <c r="T75" s="31" t="str">
        <f>IF('Phytopl Count'!T75=0,"",'Phytopl Count'!T75*'Phytopl Count'!T$13/'Phytopl Count'!T$8)</f>
        <v/>
      </c>
      <c r="U75" s="31" t="str">
        <f>IF('Phytopl Count'!U75=0,"",'Phytopl Count'!U75*'Phytopl Count'!U$13/'Phytopl Count'!U$8)</f>
        <v/>
      </c>
      <c r="V75" s="31" t="str">
        <f>IF('Phytopl Count'!V75=0,"",'Phytopl Count'!V75*'Phytopl Count'!V$13/'Phytopl Count'!V$8)</f>
        <v/>
      </c>
      <c r="W75" s="31" t="str">
        <f>IF('Phytopl Count'!W75=0,"",'Phytopl Count'!W75*'Phytopl Count'!W$13/'Phytopl Count'!W$8)</f>
        <v/>
      </c>
      <c r="X75" s="31" t="str">
        <f>IF('Phytopl Count'!X75=0,"",'Phytopl Count'!X75*'Phytopl Count'!X$13/'Phytopl Count'!X$8)</f>
        <v/>
      </c>
      <c r="Y75" s="31" t="str">
        <f>IF('Phytopl Count'!Y75=0,"",'Phytopl Count'!Y75*'Phytopl Count'!Y$13/'Phytopl Count'!Y$8)</f>
        <v/>
      </c>
      <c r="Z75" s="31" t="str">
        <f>IF('Phytopl Count'!Z75=0,"",'Phytopl Count'!Z75*'Phytopl Count'!Z$13/'Phytopl Count'!Z$8)</f>
        <v/>
      </c>
      <c r="AA75" s="31" t="str">
        <f>IF('Phytopl Count'!AA75=0,"",'Phytopl Count'!AA75*'Phytopl Count'!AA$13/'Phytopl Count'!AA$8)</f>
        <v/>
      </c>
      <c r="AB75" s="31" t="str">
        <f>IF('Phytopl Count'!AB75=0,"",'Phytopl Count'!AB75*'Phytopl Count'!AB$13/'Phytopl Count'!AB$8)</f>
        <v/>
      </c>
      <c r="AC75" s="31" t="str">
        <f>IF('Phytopl Count'!AC75=0,"",'Phytopl Count'!AC75*'Phytopl Count'!AC$13/'Phytopl Count'!AC$8)</f>
        <v/>
      </c>
      <c r="AD75" s="31" t="str">
        <f>IF('Phytopl Count'!AD75=0,"",'Phytopl Count'!AD75*'Phytopl Count'!AD$13/'Phytopl Count'!AD$8)</f>
        <v/>
      </c>
      <c r="AE75" s="31" t="str">
        <f>IF('Phytopl Count'!AE75=0,"",'Phytopl Count'!AE75*'Phytopl Count'!AE$13/'Phytopl Count'!AE$8)</f>
        <v/>
      </c>
      <c r="AF75" s="31" t="str">
        <f>IF('Phytopl Count'!AF75=0,"",'Phytopl Count'!AF75*'Phytopl Count'!AF$13/'Phytopl Count'!AF$8)</f>
        <v/>
      </c>
    </row>
    <row r="76" spans="1:32" ht="15" customHeight="1">
      <c r="A76" s="61"/>
      <c r="B76" s="61"/>
      <c r="C76" s="61"/>
      <c r="D76" s="61" t="s">
        <v>5</v>
      </c>
      <c r="E76" s="60" t="s">
        <v>143</v>
      </c>
      <c r="F76" s="62"/>
      <c r="G76" s="31" t="str">
        <f>IF('Phytopl Count'!G76=0,"",'Phytopl Count'!G76*'Phytopl Count'!G$13/'Phytopl Count'!G$8)</f>
        <v/>
      </c>
      <c r="H76" s="31" t="str">
        <f>IF('Phytopl Count'!H76=0,"",'Phytopl Count'!H76*'Phytopl Count'!H$13/'Phytopl Count'!H$8)</f>
        <v/>
      </c>
      <c r="I76" s="31" t="str">
        <f>IF('Phytopl Count'!I76=0,"",'Phytopl Count'!I76*'Phytopl Count'!I$13/'Phytopl Count'!I$8)</f>
        <v/>
      </c>
      <c r="J76" s="31" t="str">
        <f>IF('Phytopl Count'!J76=0,"",'Phytopl Count'!J76*'Phytopl Count'!J$13/'Phytopl Count'!J$8)</f>
        <v/>
      </c>
      <c r="K76" s="31" t="str">
        <f>IF('Phytopl Count'!K76=0,"",'Phytopl Count'!K76*'Phytopl Count'!K$13/'Phytopl Count'!K$8)</f>
        <v/>
      </c>
      <c r="L76" s="31" t="str">
        <f>IF('Phytopl Count'!L76=0,"",'Phytopl Count'!L76*'Phytopl Count'!L$13/'Phytopl Count'!L$8)</f>
        <v/>
      </c>
      <c r="M76" s="31" t="str">
        <f>IF('Phytopl Count'!M76=0,"",'Phytopl Count'!M76*'Phytopl Count'!M$13/'Phytopl Count'!M$8)</f>
        <v/>
      </c>
      <c r="N76" s="31" t="str">
        <f>IF('Phytopl Count'!N76=0,"",'Phytopl Count'!N76*'Phytopl Count'!N$13/'Phytopl Count'!N$8)</f>
        <v/>
      </c>
      <c r="O76" s="31" t="str">
        <f>IF('Phytopl Count'!O76=0,"",'Phytopl Count'!O76*'Phytopl Count'!O$13/'Phytopl Count'!O$8)</f>
        <v/>
      </c>
      <c r="P76" s="31" t="str">
        <f>IF('Phytopl Count'!P76=0,"",'Phytopl Count'!P76*'Phytopl Count'!P$13/'Phytopl Count'!P$8)</f>
        <v/>
      </c>
      <c r="Q76" s="31" t="str">
        <f>IF('Phytopl Count'!Q76=0,"",'Phytopl Count'!Q76*'Phytopl Count'!Q$13/'Phytopl Count'!Q$8)</f>
        <v/>
      </c>
      <c r="R76" s="31" t="str">
        <f>IF('Phytopl Count'!R76=0,"",'Phytopl Count'!R76*'Phytopl Count'!R$13/'Phytopl Count'!R$8)</f>
        <v/>
      </c>
      <c r="S76" s="31" t="str">
        <f>IF('Phytopl Count'!S76=0,"",'Phytopl Count'!S76*'Phytopl Count'!S$13/'Phytopl Count'!S$8)</f>
        <v/>
      </c>
      <c r="T76" s="31" t="str">
        <f>IF('Phytopl Count'!T76=0,"",'Phytopl Count'!T76*'Phytopl Count'!T$13/'Phytopl Count'!T$8)</f>
        <v/>
      </c>
      <c r="U76" s="31" t="str">
        <f>IF('Phytopl Count'!U76=0,"",'Phytopl Count'!U76*'Phytopl Count'!U$13/'Phytopl Count'!U$8)</f>
        <v/>
      </c>
      <c r="V76" s="31" t="str">
        <f>IF('Phytopl Count'!V76=0,"",'Phytopl Count'!V76*'Phytopl Count'!V$13/'Phytopl Count'!V$8)</f>
        <v/>
      </c>
      <c r="W76" s="31" t="str">
        <f>IF('Phytopl Count'!W76=0,"",'Phytopl Count'!W76*'Phytopl Count'!W$13/'Phytopl Count'!W$8)</f>
        <v/>
      </c>
      <c r="X76" s="31" t="str">
        <f>IF('Phytopl Count'!X76=0,"",'Phytopl Count'!X76*'Phytopl Count'!X$13/'Phytopl Count'!X$8)</f>
        <v/>
      </c>
      <c r="Y76" s="31" t="str">
        <f>IF('Phytopl Count'!Y76=0,"",'Phytopl Count'!Y76*'Phytopl Count'!Y$13/'Phytopl Count'!Y$8)</f>
        <v/>
      </c>
      <c r="Z76" s="31" t="str">
        <f>IF('Phytopl Count'!Z76=0,"",'Phytopl Count'!Z76*'Phytopl Count'!Z$13/'Phytopl Count'!Z$8)</f>
        <v/>
      </c>
      <c r="AA76" s="31" t="str">
        <f>IF('Phytopl Count'!AA76=0,"",'Phytopl Count'!AA76*'Phytopl Count'!AA$13/'Phytopl Count'!AA$8)</f>
        <v/>
      </c>
      <c r="AB76" s="31" t="str">
        <f>IF('Phytopl Count'!AB76=0,"",'Phytopl Count'!AB76*'Phytopl Count'!AB$13/'Phytopl Count'!AB$8)</f>
        <v/>
      </c>
      <c r="AC76" s="31" t="str">
        <f>IF('Phytopl Count'!AC76=0,"",'Phytopl Count'!AC76*'Phytopl Count'!AC$13/'Phytopl Count'!AC$8)</f>
        <v/>
      </c>
      <c r="AD76" s="31" t="str">
        <f>IF('Phytopl Count'!AD76=0,"",'Phytopl Count'!AD76*'Phytopl Count'!AD$13/'Phytopl Count'!AD$8)</f>
        <v/>
      </c>
      <c r="AE76" s="31" t="str">
        <f>IF('Phytopl Count'!AE76=0,"",'Phytopl Count'!AE76*'Phytopl Count'!AE$13/'Phytopl Count'!AE$8)</f>
        <v/>
      </c>
      <c r="AF76" s="31" t="str">
        <f>IF('Phytopl Count'!AF76=0,"",'Phytopl Count'!AF76*'Phytopl Count'!AF$13/'Phytopl Count'!AF$8)</f>
        <v/>
      </c>
    </row>
    <row r="77" spans="1:32" ht="15" customHeight="1">
      <c r="E77" s="10" t="s">
        <v>6</v>
      </c>
      <c r="F77" s="11" t="s">
        <v>144</v>
      </c>
      <c r="G77" s="31" t="str">
        <f>IF('Phytopl Count'!G77=0,"",'Phytopl Count'!G77*'Phytopl Count'!G$13/'Phytopl Count'!G$8)</f>
        <v/>
      </c>
      <c r="H77" s="31">
        <f>IF('Phytopl Count'!H77=0,"",'Phytopl Count'!H77*'Phytopl Count'!H$13/'Phytopl Count'!H$8)</f>
        <v>4.8046775273025012E-2</v>
      </c>
      <c r="I77" s="31" t="str">
        <f>IF('Phytopl Count'!I77=0,"",'Phytopl Count'!I77*'Phytopl Count'!I$13/'Phytopl Count'!I$8)</f>
        <v/>
      </c>
      <c r="J77" s="31" t="str">
        <f>IF('Phytopl Count'!J77=0,"",'Phytopl Count'!J77*'Phytopl Count'!J$13/'Phytopl Count'!J$8)</f>
        <v/>
      </c>
      <c r="K77" s="31">
        <f>IF('Phytopl Count'!K77=0,"",'Phytopl Count'!K77*'Phytopl Count'!K$13/'Phytopl Count'!K$8)</f>
        <v>3.2031183515350004E-2</v>
      </c>
      <c r="L77" s="31" t="str">
        <f>IF('Phytopl Count'!L77=0,"",'Phytopl Count'!L77*'Phytopl Count'!L$13/'Phytopl Count'!L$8)</f>
        <v/>
      </c>
      <c r="M77" s="31" t="str">
        <f>IF('Phytopl Count'!M77=0,"",'Phytopl Count'!M77*'Phytopl Count'!M$13/'Phytopl Count'!M$8)</f>
        <v/>
      </c>
      <c r="N77" s="31">
        <f>IF('Phytopl Count'!N77=0,"",'Phytopl Count'!N77*'Phytopl Count'!N$13/'Phytopl Count'!N$8)</f>
        <v>4.8046775273025012E-2</v>
      </c>
      <c r="O77" s="31">
        <f>IF('Phytopl Count'!O77=0,"",'Phytopl Count'!O77*'Phytopl Count'!O$13/'Phytopl Count'!O$8)</f>
        <v>6.4062367030700007E-2</v>
      </c>
      <c r="P77" s="31">
        <f>IF('Phytopl Count'!P77=0,"",'Phytopl Count'!P77*'Phytopl Count'!P$13/'Phytopl Count'!P$8)</f>
        <v>3.2031183515350004E-2</v>
      </c>
      <c r="Q77" s="31" t="str">
        <f>IF('Phytopl Count'!Q77=0,"",'Phytopl Count'!Q77*'Phytopl Count'!Q$13/'Phytopl Count'!Q$8)</f>
        <v/>
      </c>
      <c r="R77" s="31">
        <f>IF('Phytopl Count'!R77=0,"",'Phytopl Count'!R77*'Phytopl Count'!R$13/'Phytopl Count'!R$8)</f>
        <v>3.2031183515350004E-2</v>
      </c>
      <c r="S77" s="31">
        <f>IF('Phytopl Count'!S77=0,"",'Phytopl Count'!S77*'Phytopl Count'!S$13/'Phytopl Count'!S$8)</f>
        <v>4.8046775273025012E-2</v>
      </c>
      <c r="T77" s="31" t="str">
        <f>IF('Phytopl Count'!T77=0,"",'Phytopl Count'!T77*'Phytopl Count'!T$13/'Phytopl Count'!T$8)</f>
        <v/>
      </c>
      <c r="U77" s="31">
        <f>IF('Phytopl Count'!U77=0,"",'Phytopl Count'!U77*'Phytopl Count'!U$13/'Phytopl Count'!U$8)</f>
        <v>6.4062367030700007E-2</v>
      </c>
      <c r="V77" s="31">
        <f>IF('Phytopl Count'!V77=0,"",'Phytopl Count'!V77*'Phytopl Count'!V$13/'Phytopl Count'!V$8)</f>
        <v>8.0077958788375009E-2</v>
      </c>
      <c r="W77" s="31" t="str">
        <f>IF('Phytopl Count'!W77=0,"",'Phytopl Count'!W77*'Phytopl Count'!W$13/'Phytopl Count'!W$8)</f>
        <v/>
      </c>
      <c r="X77" s="31" t="str">
        <f>IF('Phytopl Count'!X77=0,"",'Phytopl Count'!X77*'Phytopl Count'!X$13/'Phytopl Count'!X$8)</f>
        <v/>
      </c>
      <c r="Y77" s="31" t="str">
        <f>IF('Phytopl Count'!Y77=0,"",'Phytopl Count'!Y77*'Phytopl Count'!Y$13/'Phytopl Count'!Y$8)</f>
        <v/>
      </c>
      <c r="Z77" s="31">
        <f>IF('Phytopl Count'!Z77=0,"",'Phytopl Count'!Z77*'Phytopl Count'!Z$13/'Phytopl Count'!Z$8)</f>
        <v>0.10410134642488751</v>
      </c>
      <c r="AA77" s="31" t="str">
        <f>IF('Phytopl Count'!AA77=0,"",'Phytopl Count'!AA77*'Phytopl Count'!AA$13/'Phytopl Count'!AA$8)</f>
        <v/>
      </c>
      <c r="AB77" s="31">
        <f>IF('Phytopl Count'!AB77=0,"",'Phytopl Count'!AB77*'Phytopl Count'!AB$13/'Phytopl Count'!AB$8)</f>
        <v>4.0038979394187504E-2</v>
      </c>
      <c r="AC77" s="31">
        <f>IF('Phytopl Count'!AC77=0,"",'Phytopl Count'!AC77*'Phytopl Count'!AC$13/'Phytopl Count'!AC$8)</f>
        <v>3.2031183515350004E-2</v>
      </c>
      <c r="AD77" s="31" t="str">
        <f>IF('Phytopl Count'!AD77=0,"",'Phytopl Count'!AD77*'Phytopl Count'!AD$13/'Phytopl Count'!AD$8)</f>
        <v/>
      </c>
      <c r="AE77" s="31">
        <f>IF('Phytopl Count'!AE77=0,"",'Phytopl Count'!AE77*'Phytopl Count'!AE$13/'Phytopl Count'!AE$8)</f>
        <v>2.4023387636512506E-2</v>
      </c>
      <c r="AF77" s="31">
        <f>IF('Phytopl Count'!AF77=0,"",'Phytopl Count'!AF77*'Phytopl Count'!AF$13/'Phytopl Count'!AF$8)</f>
        <v>0.19218710109210005</v>
      </c>
    </row>
    <row r="78" spans="1:32" ht="15" customHeight="1">
      <c r="E78" s="10"/>
      <c r="F78" s="11" t="s">
        <v>232</v>
      </c>
      <c r="G78" s="31" t="str">
        <f>IF('Phytopl Count'!G78=0,"",'Phytopl Count'!G78*'Phytopl Count'!G$13/'Phytopl Count'!G$8)</f>
        <v/>
      </c>
      <c r="H78" s="31" t="str">
        <f>IF('Phytopl Count'!H78=0,"",'Phytopl Count'!H78*'Phytopl Count'!H$13/'Phytopl Count'!H$8)</f>
        <v/>
      </c>
      <c r="I78" s="31" t="str">
        <f>IF('Phytopl Count'!I78=0,"",'Phytopl Count'!I78*'Phytopl Count'!I$13/'Phytopl Count'!I$8)</f>
        <v/>
      </c>
      <c r="J78" s="31" t="str">
        <f>IF('Phytopl Count'!J78=0,"",'Phytopl Count'!J78*'Phytopl Count'!J$13/'Phytopl Count'!J$8)</f>
        <v/>
      </c>
      <c r="K78" s="31" t="str">
        <f>IF('Phytopl Count'!K78=0,"",'Phytopl Count'!K78*'Phytopl Count'!K$13/'Phytopl Count'!K$8)</f>
        <v/>
      </c>
      <c r="L78" s="31" t="str">
        <f>IF('Phytopl Count'!L78=0,"",'Phytopl Count'!L78*'Phytopl Count'!L$13/'Phytopl Count'!L$8)</f>
        <v/>
      </c>
      <c r="M78" s="31" t="str">
        <f>IF('Phytopl Count'!M78=0,"",'Phytopl Count'!M78*'Phytopl Count'!M$13/'Phytopl Count'!M$8)</f>
        <v/>
      </c>
      <c r="N78" s="31" t="str">
        <f>IF('Phytopl Count'!N78=0,"",'Phytopl Count'!N78*'Phytopl Count'!N$13/'Phytopl Count'!N$8)</f>
        <v/>
      </c>
      <c r="O78" s="31" t="str">
        <f>IF('Phytopl Count'!O78=0,"",'Phytopl Count'!O78*'Phytopl Count'!O$13/'Phytopl Count'!O$8)</f>
        <v/>
      </c>
      <c r="P78" s="31" t="str">
        <f>IF('Phytopl Count'!P78=0,"",'Phytopl Count'!P78*'Phytopl Count'!P$13/'Phytopl Count'!P$8)</f>
        <v/>
      </c>
      <c r="Q78" s="31" t="str">
        <f>IF('Phytopl Count'!Q78=0,"",'Phytopl Count'!Q78*'Phytopl Count'!Q$13/'Phytopl Count'!Q$8)</f>
        <v/>
      </c>
      <c r="R78" s="31" t="str">
        <f>IF('Phytopl Count'!R78=0,"",'Phytopl Count'!R78*'Phytopl Count'!R$13/'Phytopl Count'!R$8)</f>
        <v/>
      </c>
      <c r="S78" s="31" t="str">
        <f>IF('Phytopl Count'!S78=0,"",'Phytopl Count'!S78*'Phytopl Count'!S$13/'Phytopl Count'!S$8)</f>
        <v/>
      </c>
      <c r="T78" s="31" t="str">
        <f>IF('Phytopl Count'!T78=0,"",'Phytopl Count'!T78*'Phytopl Count'!T$13/'Phytopl Count'!T$8)</f>
        <v/>
      </c>
      <c r="U78" s="31" t="str">
        <f>IF('Phytopl Count'!U78=0,"",'Phytopl Count'!U78*'Phytopl Count'!U$13/'Phytopl Count'!U$8)</f>
        <v/>
      </c>
      <c r="V78" s="31">
        <f>IF('Phytopl Count'!V78=0,"",'Phytopl Count'!V78*'Phytopl Count'!V$13/'Phytopl Count'!V$8)</f>
        <v>4.0038979394187504E-2</v>
      </c>
      <c r="W78" s="31" t="str">
        <f>IF('Phytopl Count'!W78=0,"",'Phytopl Count'!W78*'Phytopl Count'!W$13/'Phytopl Count'!W$8)</f>
        <v/>
      </c>
      <c r="X78" s="31" t="str">
        <f>IF('Phytopl Count'!X78=0,"",'Phytopl Count'!X78*'Phytopl Count'!X$13/'Phytopl Count'!X$8)</f>
        <v/>
      </c>
      <c r="Y78" s="31" t="str">
        <f>IF('Phytopl Count'!Y78=0,"",'Phytopl Count'!Y78*'Phytopl Count'!Y$13/'Phytopl Count'!Y$8)</f>
        <v/>
      </c>
      <c r="Z78" s="31" t="str">
        <f>IF('Phytopl Count'!Z78=0,"",'Phytopl Count'!Z78*'Phytopl Count'!Z$13/'Phytopl Count'!Z$8)</f>
        <v/>
      </c>
      <c r="AA78" s="31" t="str">
        <f>IF('Phytopl Count'!AA78=0,"",'Phytopl Count'!AA78*'Phytopl Count'!AA$13/'Phytopl Count'!AA$8)</f>
        <v/>
      </c>
      <c r="AB78" s="31" t="str">
        <f>IF('Phytopl Count'!AB78=0,"",'Phytopl Count'!AB78*'Phytopl Count'!AB$13/'Phytopl Count'!AB$8)</f>
        <v/>
      </c>
      <c r="AC78" s="31" t="str">
        <f>IF('Phytopl Count'!AC78=0,"",'Phytopl Count'!AC78*'Phytopl Count'!AC$13/'Phytopl Count'!AC$8)</f>
        <v/>
      </c>
      <c r="AD78" s="31" t="str">
        <f>IF('Phytopl Count'!AD78=0,"",'Phytopl Count'!AD78*'Phytopl Count'!AD$13/'Phytopl Count'!AD$8)</f>
        <v/>
      </c>
      <c r="AE78" s="31" t="str">
        <f>IF('Phytopl Count'!AE78=0,"",'Phytopl Count'!AE78*'Phytopl Count'!AE$13/'Phytopl Count'!AE$8)</f>
        <v/>
      </c>
      <c r="AF78" s="31" t="str">
        <f>IF('Phytopl Count'!AF78=0,"",'Phytopl Count'!AF78*'Phytopl Count'!AF$13/'Phytopl Count'!AF$8)</f>
        <v/>
      </c>
    </row>
    <row r="79" spans="1:32" ht="15" hidden="1" customHeight="1">
      <c r="A79" s="4"/>
      <c r="B79" s="4"/>
      <c r="C79" s="16" t="s">
        <v>73</v>
      </c>
      <c r="D79" s="4" t="s">
        <v>360</v>
      </c>
      <c r="E79" s="4"/>
      <c r="F79" s="54"/>
      <c r="G79" s="31" t="str">
        <f>IF('Phytopl Count'!G79=0,"",'Phytopl Count'!G79*'Phytopl Count'!G$13/'Phytopl Count'!G$8)</f>
        <v/>
      </c>
      <c r="H79" s="31" t="str">
        <f>IF('Phytopl Count'!H79=0,"",'Phytopl Count'!H79*'Phytopl Count'!H$13/'Phytopl Count'!H$8)</f>
        <v/>
      </c>
      <c r="I79" s="31" t="str">
        <f>IF('Phytopl Count'!I79=0,"",'Phytopl Count'!I79*'Phytopl Count'!I$13/'Phytopl Count'!I$8)</f>
        <v/>
      </c>
      <c r="J79" s="31" t="str">
        <f>IF('Phytopl Count'!J79=0,"",'Phytopl Count'!J79*'Phytopl Count'!J$13/'Phytopl Count'!J$8)</f>
        <v/>
      </c>
      <c r="K79" s="31" t="str">
        <f>IF('Phytopl Count'!K79=0,"",'Phytopl Count'!K79*'Phytopl Count'!K$13/'Phytopl Count'!K$8)</f>
        <v/>
      </c>
      <c r="L79" s="31" t="str">
        <f>IF('Phytopl Count'!L79=0,"",'Phytopl Count'!L79*'Phytopl Count'!L$13/'Phytopl Count'!L$8)</f>
        <v/>
      </c>
      <c r="M79" s="31" t="str">
        <f>IF('Phytopl Count'!M79=0,"",'Phytopl Count'!M79*'Phytopl Count'!M$13/'Phytopl Count'!M$8)</f>
        <v/>
      </c>
      <c r="N79" s="31" t="str">
        <f>IF('Phytopl Count'!N79=0,"",'Phytopl Count'!N79*'Phytopl Count'!N$13/'Phytopl Count'!N$8)</f>
        <v/>
      </c>
      <c r="O79" s="31" t="str">
        <f>IF('Phytopl Count'!O79=0,"",'Phytopl Count'!O79*'Phytopl Count'!O$13/'Phytopl Count'!O$8)</f>
        <v/>
      </c>
      <c r="P79" s="31" t="str">
        <f>IF('Phytopl Count'!P79=0,"",'Phytopl Count'!P79*'Phytopl Count'!P$13/'Phytopl Count'!P$8)</f>
        <v/>
      </c>
      <c r="Q79" s="31" t="str">
        <f>IF('Phytopl Count'!Q79=0,"",'Phytopl Count'!Q79*'Phytopl Count'!Q$13/'Phytopl Count'!Q$8)</f>
        <v/>
      </c>
      <c r="R79" s="31" t="str">
        <f>IF('Phytopl Count'!R79=0,"",'Phytopl Count'!R79*'Phytopl Count'!R$13/'Phytopl Count'!R$8)</f>
        <v/>
      </c>
      <c r="S79" s="31" t="str">
        <f>IF('Phytopl Count'!S79=0,"",'Phytopl Count'!S79*'Phytopl Count'!S$13/'Phytopl Count'!S$8)</f>
        <v/>
      </c>
      <c r="T79" s="31" t="str">
        <f>IF('Phytopl Count'!T79=0,"",'Phytopl Count'!T79*'Phytopl Count'!T$13/'Phytopl Count'!T$8)</f>
        <v/>
      </c>
      <c r="U79" s="31" t="str">
        <f>IF('Phytopl Count'!U79=0,"",'Phytopl Count'!U79*'Phytopl Count'!U$13/'Phytopl Count'!U$8)</f>
        <v/>
      </c>
      <c r="V79" s="31" t="str">
        <f>IF('Phytopl Count'!V79=0,"",'Phytopl Count'!V79*'Phytopl Count'!V$13/'Phytopl Count'!V$8)</f>
        <v/>
      </c>
      <c r="W79" s="31" t="str">
        <f>IF('Phytopl Count'!W79=0,"",'Phytopl Count'!W79*'Phytopl Count'!W$13/'Phytopl Count'!W$8)</f>
        <v/>
      </c>
      <c r="X79" s="31" t="str">
        <f>IF('Phytopl Count'!X79=0,"",'Phytopl Count'!X79*'Phytopl Count'!X$13/'Phytopl Count'!X$8)</f>
        <v/>
      </c>
      <c r="Y79" s="31" t="str">
        <f>IF('Phytopl Count'!Y79=0,"",'Phytopl Count'!Y79*'Phytopl Count'!Y$13/'Phytopl Count'!Y$8)</f>
        <v/>
      </c>
      <c r="Z79" s="31" t="str">
        <f>IF('Phytopl Count'!Z79=0,"",'Phytopl Count'!Z79*'Phytopl Count'!Z$13/'Phytopl Count'!Z$8)</f>
        <v/>
      </c>
      <c r="AA79" s="31" t="str">
        <f>IF('Phytopl Count'!AA79=0,"",'Phytopl Count'!AA79*'Phytopl Count'!AA$13/'Phytopl Count'!AA$8)</f>
        <v/>
      </c>
      <c r="AB79" s="31" t="str">
        <f>IF('Phytopl Count'!AB79=0,"",'Phytopl Count'!AB79*'Phytopl Count'!AB$13/'Phytopl Count'!AB$8)</f>
        <v/>
      </c>
      <c r="AC79" s="31" t="str">
        <f>IF('Phytopl Count'!AC79=0,"",'Phytopl Count'!AC79*'Phytopl Count'!AC$13/'Phytopl Count'!AC$8)</f>
        <v/>
      </c>
      <c r="AD79" s="31" t="str">
        <f>IF('Phytopl Count'!AD79=0,"",'Phytopl Count'!AD79*'Phytopl Count'!AD$13/'Phytopl Count'!AD$8)</f>
        <v/>
      </c>
      <c r="AE79" s="31" t="str">
        <f>IF('Phytopl Count'!AE79=0,"",'Phytopl Count'!AE79*'Phytopl Count'!AE$13/'Phytopl Count'!AE$8)</f>
        <v/>
      </c>
      <c r="AF79" s="31" t="str">
        <f>IF('Phytopl Count'!AF79=0,"",'Phytopl Count'!AF79*'Phytopl Count'!AF$13/'Phytopl Count'!AF$8)</f>
        <v/>
      </c>
    </row>
    <row r="80" spans="1:32" ht="15" hidden="1" customHeight="1">
      <c r="D80" s="10" t="s">
        <v>5</v>
      </c>
      <c r="E80" s="164" t="s">
        <v>361</v>
      </c>
      <c r="F80" s="11"/>
      <c r="G80" s="31" t="str">
        <f>IF('Phytopl Count'!G80=0,"",'Phytopl Count'!G80*'Phytopl Count'!G$13/'Phytopl Count'!G$8)</f>
        <v/>
      </c>
      <c r="H80" s="31" t="str">
        <f>IF('Phytopl Count'!H80=0,"",'Phytopl Count'!H80*'Phytopl Count'!H$13/'Phytopl Count'!H$8)</f>
        <v/>
      </c>
      <c r="I80" s="31" t="str">
        <f>IF('Phytopl Count'!I80=0,"",'Phytopl Count'!I80*'Phytopl Count'!I$13/'Phytopl Count'!I$8)</f>
        <v/>
      </c>
      <c r="J80" s="31" t="str">
        <f>IF('Phytopl Count'!J80=0,"",'Phytopl Count'!J80*'Phytopl Count'!J$13/'Phytopl Count'!J$8)</f>
        <v/>
      </c>
      <c r="K80" s="31" t="str">
        <f>IF('Phytopl Count'!K80=0,"",'Phytopl Count'!K80*'Phytopl Count'!K$13/'Phytopl Count'!K$8)</f>
        <v/>
      </c>
      <c r="L80" s="31" t="str">
        <f>IF('Phytopl Count'!L80=0,"",'Phytopl Count'!L80*'Phytopl Count'!L$13/'Phytopl Count'!L$8)</f>
        <v/>
      </c>
      <c r="M80" s="31" t="str">
        <f>IF('Phytopl Count'!M80=0,"",'Phytopl Count'!M80*'Phytopl Count'!M$13/'Phytopl Count'!M$8)</f>
        <v/>
      </c>
      <c r="N80" s="31" t="str">
        <f>IF('Phytopl Count'!N80=0,"",'Phytopl Count'!N80*'Phytopl Count'!N$13/'Phytopl Count'!N$8)</f>
        <v/>
      </c>
      <c r="O80" s="31" t="str">
        <f>IF('Phytopl Count'!O80=0,"",'Phytopl Count'!O80*'Phytopl Count'!O$13/'Phytopl Count'!O$8)</f>
        <v/>
      </c>
      <c r="P80" s="31" t="str">
        <f>IF('Phytopl Count'!P80=0,"",'Phytopl Count'!P80*'Phytopl Count'!P$13/'Phytopl Count'!P$8)</f>
        <v/>
      </c>
      <c r="Q80" s="31" t="str">
        <f>IF('Phytopl Count'!Q80=0,"",'Phytopl Count'!Q80*'Phytopl Count'!Q$13/'Phytopl Count'!Q$8)</f>
        <v/>
      </c>
      <c r="R80" s="31" t="str">
        <f>IF('Phytopl Count'!R80=0,"",'Phytopl Count'!R80*'Phytopl Count'!R$13/'Phytopl Count'!R$8)</f>
        <v/>
      </c>
      <c r="S80" s="31" t="str">
        <f>IF('Phytopl Count'!S80=0,"",'Phytopl Count'!S80*'Phytopl Count'!S$13/'Phytopl Count'!S$8)</f>
        <v/>
      </c>
      <c r="T80" s="31" t="str">
        <f>IF('Phytopl Count'!T80=0,"",'Phytopl Count'!T80*'Phytopl Count'!T$13/'Phytopl Count'!T$8)</f>
        <v/>
      </c>
      <c r="U80" s="31" t="str">
        <f>IF('Phytopl Count'!U80=0,"",'Phytopl Count'!U80*'Phytopl Count'!U$13/'Phytopl Count'!U$8)</f>
        <v/>
      </c>
      <c r="V80" s="31" t="str">
        <f>IF('Phytopl Count'!V80=0,"",'Phytopl Count'!V80*'Phytopl Count'!V$13/'Phytopl Count'!V$8)</f>
        <v/>
      </c>
      <c r="W80" s="31" t="str">
        <f>IF('Phytopl Count'!W80=0,"",'Phytopl Count'!W80*'Phytopl Count'!W$13/'Phytopl Count'!W$8)</f>
        <v/>
      </c>
      <c r="X80" s="31" t="str">
        <f>IF('Phytopl Count'!X80=0,"",'Phytopl Count'!X80*'Phytopl Count'!X$13/'Phytopl Count'!X$8)</f>
        <v/>
      </c>
      <c r="Y80" s="31" t="str">
        <f>IF('Phytopl Count'!Y80=0,"",'Phytopl Count'!Y80*'Phytopl Count'!Y$13/'Phytopl Count'!Y$8)</f>
        <v/>
      </c>
      <c r="Z80" s="31" t="str">
        <f>IF('Phytopl Count'!Z80=0,"",'Phytopl Count'!Z80*'Phytopl Count'!Z$13/'Phytopl Count'!Z$8)</f>
        <v/>
      </c>
      <c r="AA80" s="31" t="str">
        <f>IF('Phytopl Count'!AA80=0,"",'Phytopl Count'!AA80*'Phytopl Count'!AA$13/'Phytopl Count'!AA$8)</f>
        <v/>
      </c>
      <c r="AB80" s="31" t="str">
        <f>IF('Phytopl Count'!AB80=0,"",'Phytopl Count'!AB80*'Phytopl Count'!AB$13/'Phytopl Count'!AB$8)</f>
        <v/>
      </c>
      <c r="AC80" s="31" t="str">
        <f>IF('Phytopl Count'!AC80=0,"",'Phytopl Count'!AC80*'Phytopl Count'!AC$13/'Phytopl Count'!AC$8)</f>
        <v/>
      </c>
      <c r="AD80" s="31" t="str">
        <f>IF('Phytopl Count'!AD80=0,"",'Phytopl Count'!AD80*'Phytopl Count'!AD$13/'Phytopl Count'!AD$8)</f>
        <v/>
      </c>
      <c r="AE80" s="31" t="str">
        <f>IF('Phytopl Count'!AE80=0,"",'Phytopl Count'!AE80*'Phytopl Count'!AE$13/'Phytopl Count'!AE$8)</f>
        <v/>
      </c>
      <c r="AF80" s="31" t="str">
        <f>IF('Phytopl Count'!AF80=0,"",'Phytopl Count'!AF80*'Phytopl Count'!AF$13/'Phytopl Count'!AF$8)</f>
        <v/>
      </c>
    </row>
    <row r="81" spans="1:32" ht="15" hidden="1" customHeight="1">
      <c r="E81" s="10" t="s">
        <v>6</v>
      </c>
      <c r="F81" s="11" t="s">
        <v>362</v>
      </c>
      <c r="G81" s="31" t="str">
        <f>IF('Phytopl Count'!G81=0,"",'Phytopl Count'!G81*'Phytopl Count'!G$13/'Phytopl Count'!G$8)</f>
        <v/>
      </c>
      <c r="H81" s="31" t="str">
        <f>IF('Phytopl Count'!H81=0,"",'Phytopl Count'!H81*'Phytopl Count'!H$13/'Phytopl Count'!H$8)</f>
        <v/>
      </c>
      <c r="I81" s="31" t="str">
        <f>IF('Phytopl Count'!I81=0,"",'Phytopl Count'!I81*'Phytopl Count'!I$13/'Phytopl Count'!I$8)</f>
        <v/>
      </c>
      <c r="J81" s="31" t="str">
        <f>IF('Phytopl Count'!J81=0,"",'Phytopl Count'!J81*'Phytopl Count'!J$13/'Phytopl Count'!J$8)</f>
        <v/>
      </c>
      <c r="K81" s="31" t="str">
        <f>IF('Phytopl Count'!K81=0,"",'Phytopl Count'!K81*'Phytopl Count'!K$13/'Phytopl Count'!K$8)</f>
        <v/>
      </c>
      <c r="L81" s="31" t="str">
        <f>IF('Phytopl Count'!L81=0,"",'Phytopl Count'!L81*'Phytopl Count'!L$13/'Phytopl Count'!L$8)</f>
        <v/>
      </c>
      <c r="M81" s="31" t="str">
        <f>IF('Phytopl Count'!M81=0,"",'Phytopl Count'!M81*'Phytopl Count'!M$13/'Phytopl Count'!M$8)</f>
        <v/>
      </c>
      <c r="N81" s="31" t="str">
        <f>IF('Phytopl Count'!N81=0,"",'Phytopl Count'!N81*'Phytopl Count'!N$13/'Phytopl Count'!N$8)</f>
        <v/>
      </c>
      <c r="O81" s="31" t="str">
        <f>IF('Phytopl Count'!O81=0,"",'Phytopl Count'!O81*'Phytopl Count'!O$13/'Phytopl Count'!O$8)</f>
        <v/>
      </c>
      <c r="P81" s="31" t="str">
        <f>IF('Phytopl Count'!P81=0,"",'Phytopl Count'!P81*'Phytopl Count'!P$13/'Phytopl Count'!P$8)</f>
        <v/>
      </c>
      <c r="Q81" s="31" t="str">
        <f>IF('Phytopl Count'!Q81=0,"",'Phytopl Count'!Q81*'Phytopl Count'!Q$13/'Phytopl Count'!Q$8)</f>
        <v/>
      </c>
      <c r="R81" s="31" t="str">
        <f>IF('Phytopl Count'!R81=0,"",'Phytopl Count'!R81*'Phytopl Count'!R$13/'Phytopl Count'!R$8)</f>
        <v/>
      </c>
      <c r="S81" s="31" t="str">
        <f>IF('Phytopl Count'!S81=0,"",'Phytopl Count'!S81*'Phytopl Count'!S$13/'Phytopl Count'!S$8)</f>
        <v/>
      </c>
      <c r="T81" s="31" t="str">
        <f>IF('Phytopl Count'!T81=0,"",'Phytopl Count'!T81*'Phytopl Count'!T$13/'Phytopl Count'!T$8)</f>
        <v/>
      </c>
      <c r="U81" s="31" t="str">
        <f>IF('Phytopl Count'!U81=0,"",'Phytopl Count'!U81*'Phytopl Count'!U$13/'Phytopl Count'!U$8)</f>
        <v/>
      </c>
      <c r="V81" s="31" t="str">
        <f>IF('Phytopl Count'!V81=0,"",'Phytopl Count'!V81*'Phytopl Count'!V$13/'Phytopl Count'!V$8)</f>
        <v/>
      </c>
      <c r="W81" s="31" t="str">
        <f>IF('Phytopl Count'!W81=0,"",'Phytopl Count'!W81*'Phytopl Count'!W$13/'Phytopl Count'!W$8)</f>
        <v/>
      </c>
      <c r="X81" s="31" t="str">
        <f>IF('Phytopl Count'!X81=0,"",'Phytopl Count'!X81*'Phytopl Count'!X$13/'Phytopl Count'!X$8)</f>
        <v/>
      </c>
      <c r="Y81" s="31" t="str">
        <f>IF('Phytopl Count'!Y81=0,"",'Phytopl Count'!Y81*'Phytopl Count'!Y$13/'Phytopl Count'!Y$8)</f>
        <v/>
      </c>
      <c r="Z81" s="31" t="str">
        <f>IF('Phytopl Count'!Z81=0,"",'Phytopl Count'!Z81*'Phytopl Count'!Z$13/'Phytopl Count'!Z$8)</f>
        <v/>
      </c>
      <c r="AA81" s="31" t="str">
        <f>IF('Phytopl Count'!AA81=0,"",'Phytopl Count'!AA81*'Phytopl Count'!AA$13/'Phytopl Count'!AA$8)</f>
        <v/>
      </c>
      <c r="AB81" s="31" t="str">
        <f>IF('Phytopl Count'!AB81=0,"",'Phytopl Count'!AB81*'Phytopl Count'!AB$13/'Phytopl Count'!AB$8)</f>
        <v/>
      </c>
      <c r="AC81" s="31" t="str">
        <f>IF('Phytopl Count'!AC81=0,"",'Phytopl Count'!AC81*'Phytopl Count'!AC$13/'Phytopl Count'!AC$8)</f>
        <v/>
      </c>
      <c r="AD81" s="31" t="str">
        <f>IF('Phytopl Count'!AD81=0,"",'Phytopl Count'!AD81*'Phytopl Count'!AD$13/'Phytopl Count'!AD$8)</f>
        <v/>
      </c>
      <c r="AE81" s="31" t="str">
        <f>IF('Phytopl Count'!AE81=0,"",'Phytopl Count'!AE81*'Phytopl Count'!AE$13/'Phytopl Count'!AE$8)</f>
        <v/>
      </c>
      <c r="AF81" s="31" t="str">
        <f>IF('Phytopl Count'!AF81=0,"",'Phytopl Count'!AF81*'Phytopl Count'!AF$13/'Phytopl Count'!AF$8)</f>
        <v/>
      </c>
    </row>
    <row r="82" spans="1:32" ht="15" customHeight="1">
      <c r="A82" s="4"/>
      <c r="B82" s="4"/>
      <c r="C82" s="16" t="s">
        <v>73</v>
      </c>
      <c r="D82" s="4" t="s">
        <v>78</v>
      </c>
      <c r="E82" s="4"/>
      <c r="F82" s="54"/>
      <c r="G82" s="31" t="str">
        <f>IF('Phytopl Count'!G82=0,"",'Phytopl Count'!G82*'Phytopl Count'!G$13/'Phytopl Count'!G$8)</f>
        <v/>
      </c>
      <c r="H82" s="31" t="str">
        <f>IF('Phytopl Count'!H82=0,"",'Phytopl Count'!H82*'Phytopl Count'!H$13/'Phytopl Count'!H$8)</f>
        <v/>
      </c>
      <c r="I82" s="31" t="str">
        <f>IF('Phytopl Count'!I82=0,"",'Phytopl Count'!I82*'Phytopl Count'!I$13/'Phytopl Count'!I$8)</f>
        <v/>
      </c>
      <c r="J82" s="31" t="str">
        <f>IF('Phytopl Count'!J82=0,"",'Phytopl Count'!J82*'Phytopl Count'!J$13/'Phytopl Count'!J$8)</f>
        <v/>
      </c>
      <c r="K82" s="31" t="str">
        <f>IF('Phytopl Count'!K82=0,"",'Phytopl Count'!K82*'Phytopl Count'!K$13/'Phytopl Count'!K$8)</f>
        <v/>
      </c>
      <c r="L82" s="31" t="str">
        <f>IF('Phytopl Count'!L82=0,"",'Phytopl Count'!L82*'Phytopl Count'!L$13/'Phytopl Count'!L$8)</f>
        <v/>
      </c>
      <c r="M82" s="31" t="str">
        <f>IF('Phytopl Count'!M82=0,"",'Phytopl Count'!M82*'Phytopl Count'!M$13/'Phytopl Count'!M$8)</f>
        <v/>
      </c>
      <c r="N82" s="31" t="str">
        <f>IF('Phytopl Count'!N82=0,"",'Phytopl Count'!N82*'Phytopl Count'!N$13/'Phytopl Count'!N$8)</f>
        <v/>
      </c>
      <c r="O82" s="31" t="str">
        <f>IF('Phytopl Count'!O82=0,"",'Phytopl Count'!O82*'Phytopl Count'!O$13/'Phytopl Count'!O$8)</f>
        <v/>
      </c>
      <c r="P82" s="31" t="str">
        <f>IF('Phytopl Count'!P82=0,"",'Phytopl Count'!P82*'Phytopl Count'!P$13/'Phytopl Count'!P$8)</f>
        <v/>
      </c>
      <c r="Q82" s="31" t="str">
        <f>IF('Phytopl Count'!Q82=0,"",'Phytopl Count'!Q82*'Phytopl Count'!Q$13/'Phytopl Count'!Q$8)</f>
        <v/>
      </c>
      <c r="R82" s="31" t="str">
        <f>IF('Phytopl Count'!R82=0,"",'Phytopl Count'!R82*'Phytopl Count'!R$13/'Phytopl Count'!R$8)</f>
        <v/>
      </c>
      <c r="S82" s="31" t="str">
        <f>IF('Phytopl Count'!S82=0,"",'Phytopl Count'!S82*'Phytopl Count'!S$13/'Phytopl Count'!S$8)</f>
        <v/>
      </c>
      <c r="T82" s="31" t="str">
        <f>IF('Phytopl Count'!T82=0,"",'Phytopl Count'!T82*'Phytopl Count'!T$13/'Phytopl Count'!T$8)</f>
        <v/>
      </c>
      <c r="U82" s="31" t="str">
        <f>IF('Phytopl Count'!U82=0,"",'Phytopl Count'!U82*'Phytopl Count'!U$13/'Phytopl Count'!U$8)</f>
        <v/>
      </c>
      <c r="V82" s="31" t="str">
        <f>IF('Phytopl Count'!V82=0,"",'Phytopl Count'!V82*'Phytopl Count'!V$13/'Phytopl Count'!V$8)</f>
        <v/>
      </c>
      <c r="W82" s="31" t="str">
        <f>IF('Phytopl Count'!W82=0,"",'Phytopl Count'!W82*'Phytopl Count'!W$13/'Phytopl Count'!W$8)</f>
        <v/>
      </c>
      <c r="X82" s="31" t="str">
        <f>IF('Phytopl Count'!X82=0,"",'Phytopl Count'!X82*'Phytopl Count'!X$13/'Phytopl Count'!X$8)</f>
        <v/>
      </c>
      <c r="Y82" s="31" t="str">
        <f>IF('Phytopl Count'!Y82=0,"",'Phytopl Count'!Y82*'Phytopl Count'!Y$13/'Phytopl Count'!Y$8)</f>
        <v/>
      </c>
      <c r="Z82" s="31" t="str">
        <f>IF('Phytopl Count'!Z82=0,"",'Phytopl Count'!Z82*'Phytopl Count'!Z$13/'Phytopl Count'!Z$8)</f>
        <v/>
      </c>
      <c r="AA82" s="31" t="str">
        <f>IF('Phytopl Count'!AA82=0,"",'Phytopl Count'!AA82*'Phytopl Count'!AA$13/'Phytopl Count'!AA$8)</f>
        <v/>
      </c>
      <c r="AB82" s="31" t="str">
        <f>IF('Phytopl Count'!AB82=0,"",'Phytopl Count'!AB82*'Phytopl Count'!AB$13/'Phytopl Count'!AB$8)</f>
        <v/>
      </c>
      <c r="AC82" s="31" t="str">
        <f>IF('Phytopl Count'!AC82=0,"",'Phytopl Count'!AC82*'Phytopl Count'!AC$13/'Phytopl Count'!AC$8)</f>
        <v/>
      </c>
      <c r="AD82" s="31" t="str">
        <f>IF('Phytopl Count'!AD82=0,"",'Phytopl Count'!AD82*'Phytopl Count'!AD$13/'Phytopl Count'!AD$8)</f>
        <v/>
      </c>
      <c r="AE82" s="31" t="str">
        <f>IF('Phytopl Count'!AE82=0,"",'Phytopl Count'!AE82*'Phytopl Count'!AE$13/'Phytopl Count'!AE$8)</f>
        <v/>
      </c>
      <c r="AF82" s="31" t="str">
        <f>IF('Phytopl Count'!AF82=0,"",'Phytopl Count'!AF82*'Phytopl Count'!AF$13/'Phytopl Count'!AF$8)</f>
        <v/>
      </c>
    </row>
    <row r="83" spans="1:32" ht="15" hidden="1" customHeight="1">
      <c r="D83" s="10" t="s">
        <v>5</v>
      </c>
      <c r="E83" s="5" t="s">
        <v>17</v>
      </c>
      <c r="F83" s="11"/>
      <c r="G83" s="31" t="str">
        <f>IF('Phytopl Count'!G83=0,"",'Phytopl Count'!G83*'Phytopl Count'!G$13/'Phytopl Count'!G$8)</f>
        <v/>
      </c>
      <c r="H83" s="31" t="str">
        <f>IF('Phytopl Count'!H83=0,"",'Phytopl Count'!H83*'Phytopl Count'!H$13/'Phytopl Count'!H$8)</f>
        <v/>
      </c>
      <c r="I83" s="31" t="str">
        <f>IF('Phytopl Count'!I83=0,"",'Phytopl Count'!I83*'Phytopl Count'!I$13/'Phytopl Count'!I$8)</f>
        <v/>
      </c>
      <c r="J83" s="31" t="str">
        <f>IF('Phytopl Count'!J83=0,"",'Phytopl Count'!J83*'Phytopl Count'!J$13/'Phytopl Count'!J$8)</f>
        <v/>
      </c>
      <c r="K83" s="31" t="str">
        <f>IF('Phytopl Count'!K83=0,"",'Phytopl Count'!K83*'Phytopl Count'!K$13/'Phytopl Count'!K$8)</f>
        <v/>
      </c>
      <c r="L83" s="31" t="str">
        <f>IF('Phytopl Count'!L83=0,"",'Phytopl Count'!L83*'Phytopl Count'!L$13/'Phytopl Count'!L$8)</f>
        <v/>
      </c>
      <c r="M83" s="31" t="str">
        <f>IF('Phytopl Count'!M83=0,"",'Phytopl Count'!M83*'Phytopl Count'!M$13/'Phytopl Count'!M$8)</f>
        <v/>
      </c>
      <c r="N83" s="31" t="str">
        <f>IF('Phytopl Count'!N83=0,"",'Phytopl Count'!N83*'Phytopl Count'!N$13/'Phytopl Count'!N$8)</f>
        <v/>
      </c>
      <c r="O83" s="31" t="str">
        <f>IF('Phytopl Count'!O83=0,"",'Phytopl Count'!O83*'Phytopl Count'!O$13/'Phytopl Count'!O$8)</f>
        <v/>
      </c>
      <c r="P83" s="31" t="str">
        <f>IF('Phytopl Count'!P83=0,"",'Phytopl Count'!P83*'Phytopl Count'!P$13/'Phytopl Count'!P$8)</f>
        <v/>
      </c>
      <c r="Q83" s="31" t="str">
        <f>IF('Phytopl Count'!Q83=0,"",'Phytopl Count'!Q83*'Phytopl Count'!Q$13/'Phytopl Count'!Q$8)</f>
        <v/>
      </c>
      <c r="R83" s="31" t="str">
        <f>IF('Phytopl Count'!R83=0,"",'Phytopl Count'!R83*'Phytopl Count'!R$13/'Phytopl Count'!R$8)</f>
        <v/>
      </c>
      <c r="S83" s="31" t="str">
        <f>IF('Phytopl Count'!S83=0,"",'Phytopl Count'!S83*'Phytopl Count'!S$13/'Phytopl Count'!S$8)</f>
        <v/>
      </c>
      <c r="T83" s="31" t="str">
        <f>IF('Phytopl Count'!T83=0,"",'Phytopl Count'!T83*'Phytopl Count'!T$13/'Phytopl Count'!T$8)</f>
        <v/>
      </c>
      <c r="U83" s="31" t="str">
        <f>IF('Phytopl Count'!U83=0,"",'Phytopl Count'!U83*'Phytopl Count'!U$13/'Phytopl Count'!U$8)</f>
        <v/>
      </c>
      <c r="V83" s="31" t="str">
        <f>IF('Phytopl Count'!V83=0,"",'Phytopl Count'!V83*'Phytopl Count'!V$13/'Phytopl Count'!V$8)</f>
        <v/>
      </c>
      <c r="W83" s="31" t="str">
        <f>IF('Phytopl Count'!W83=0,"",'Phytopl Count'!W83*'Phytopl Count'!W$13/'Phytopl Count'!W$8)</f>
        <v/>
      </c>
      <c r="X83" s="31" t="str">
        <f>IF('Phytopl Count'!X83=0,"",'Phytopl Count'!X83*'Phytopl Count'!X$13/'Phytopl Count'!X$8)</f>
        <v/>
      </c>
      <c r="Y83" s="31" t="str">
        <f>IF('Phytopl Count'!Y83=0,"",'Phytopl Count'!Y83*'Phytopl Count'!Y$13/'Phytopl Count'!Y$8)</f>
        <v/>
      </c>
      <c r="Z83" s="31" t="str">
        <f>IF('Phytopl Count'!Z83=0,"",'Phytopl Count'!Z83*'Phytopl Count'!Z$13/'Phytopl Count'!Z$8)</f>
        <v/>
      </c>
      <c r="AA83" s="31" t="str">
        <f>IF('Phytopl Count'!AA83=0,"",'Phytopl Count'!AA83*'Phytopl Count'!AA$13/'Phytopl Count'!AA$8)</f>
        <v/>
      </c>
      <c r="AB83" s="31" t="str">
        <f>IF('Phytopl Count'!AB83=0,"",'Phytopl Count'!AB83*'Phytopl Count'!AB$13/'Phytopl Count'!AB$8)</f>
        <v/>
      </c>
      <c r="AC83" s="31" t="str">
        <f>IF('Phytopl Count'!AC83=0,"",'Phytopl Count'!AC83*'Phytopl Count'!AC$13/'Phytopl Count'!AC$8)</f>
        <v/>
      </c>
      <c r="AD83" s="31" t="str">
        <f>IF('Phytopl Count'!AD83=0,"",'Phytopl Count'!AD83*'Phytopl Count'!AD$13/'Phytopl Count'!AD$8)</f>
        <v/>
      </c>
      <c r="AE83" s="31" t="str">
        <f>IF('Phytopl Count'!AE83=0,"",'Phytopl Count'!AE83*'Phytopl Count'!AE$13/'Phytopl Count'!AE$8)</f>
        <v/>
      </c>
      <c r="AF83" s="31" t="str">
        <f>IF('Phytopl Count'!AF83=0,"",'Phytopl Count'!AF83*'Phytopl Count'!AF$13/'Phytopl Count'!AF$8)</f>
        <v/>
      </c>
    </row>
    <row r="84" spans="1:32" ht="15" hidden="1" customHeight="1">
      <c r="E84" s="10" t="s">
        <v>6</v>
      </c>
      <c r="F84" s="11" t="s">
        <v>18</v>
      </c>
      <c r="G84" s="31" t="str">
        <f>IF('Phytopl Count'!G84=0,"",'Phytopl Count'!G84*'Phytopl Count'!G$13/'Phytopl Count'!G$8)</f>
        <v/>
      </c>
      <c r="H84" s="31" t="str">
        <f>IF('Phytopl Count'!H84=0,"",'Phytopl Count'!H84*'Phytopl Count'!H$13/'Phytopl Count'!H$8)</f>
        <v/>
      </c>
      <c r="I84" s="31" t="str">
        <f>IF('Phytopl Count'!I84=0,"",'Phytopl Count'!I84*'Phytopl Count'!I$13/'Phytopl Count'!I$8)</f>
        <v/>
      </c>
      <c r="J84" s="31" t="str">
        <f>IF('Phytopl Count'!J84=0,"",'Phytopl Count'!J84*'Phytopl Count'!J$13/'Phytopl Count'!J$8)</f>
        <v/>
      </c>
      <c r="K84" s="31" t="str">
        <f>IF('Phytopl Count'!K84=0,"",'Phytopl Count'!K84*'Phytopl Count'!K$13/'Phytopl Count'!K$8)</f>
        <v/>
      </c>
      <c r="L84" s="31" t="str">
        <f>IF('Phytopl Count'!L84=0,"",'Phytopl Count'!L84*'Phytopl Count'!L$13/'Phytopl Count'!L$8)</f>
        <v/>
      </c>
      <c r="M84" s="31" t="str">
        <f>IF('Phytopl Count'!M84=0,"",'Phytopl Count'!M84*'Phytopl Count'!M$13/'Phytopl Count'!M$8)</f>
        <v/>
      </c>
      <c r="N84" s="31" t="str">
        <f>IF('Phytopl Count'!N84=0,"",'Phytopl Count'!N84*'Phytopl Count'!N$13/'Phytopl Count'!N$8)</f>
        <v/>
      </c>
      <c r="O84" s="31" t="str">
        <f>IF('Phytopl Count'!O84=0,"",'Phytopl Count'!O84*'Phytopl Count'!O$13/'Phytopl Count'!O$8)</f>
        <v/>
      </c>
      <c r="P84" s="31" t="str">
        <f>IF('Phytopl Count'!P84=0,"",'Phytopl Count'!P84*'Phytopl Count'!P$13/'Phytopl Count'!P$8)</f>
        <v/>
      </c>
      <c r="Q84" s="31" t="str">
        <f>IF('Phytopl Count'!Q84=0,"",'Phytopl Count'!Q84*'Phytopl Count'!Q$13/'Phytopl Count'!Q$8)</f>
        <v/>
      </c>
      <c r="R84" s="31" t="str">
        <f>IF('Phytopl Count'!R84=0,"",'Phytopl Count'!R84*'Phytopl Count'!R$13/'Phytopl Count'!R$8)</f>
        <v/>
      </c>
      <c r="S84" s="31" t="str">
        <f>IF('Phytopl Count'!S84=0,"",'Phytopl Count'!S84*'Phytopl Count'!S$13/'Phytopl Count'!S$8)</f>
        <v/>
      </c>
      <c r="T84" s="31" t="str">
        <f>IF('Phytopl Count'!T84=0,"",'Phytopl Count'!T84*'Phytopl Count'!T$13/'Phytopl Count'!T$8)</f>
        <v/>
      </c>
      <c r="U84" s="31" t="str">
        <f>IF('Phytopl Count'!U84=0,"",'Phytopl Count'!U84*'Phytopl Count'!U$13/'Phytopl Count'!U$8)</f>
        <v/>
      </c>
      <c r="V84" s="31" t="str">
        <f>IF('Phytopl Count'!V84=0,"",'Phytopl Count'!V84*'Phytopl Count'!V$13/'Phytopl Count'!V$8)</f>
        <v/>
      </c>
      <c r="W84" s="31" t="str">
        <f>IF('Phytopl Count'!W84=0,"",'Phytopl Count'!W84*'Phytopl Count'!W$13/'Phytopl Count'!W$8)</f>
        <v/>
      </c>
      <c r="X84" s="31" t="str">
        <f>IF('Phytopl Count'!X84=0,"",'Phytopl Count'!X84*'Phytopl Count'!X$13/'Phytopl Count'!X$8)</f>
        <v/>
      </c>
      <c r="Y84" s="31" t="str">
        <f>IF('Phytopl Count'!Y84=0,"",'Phytopl Count'!Y84*'Phytopl Count'!Y$13/'Phytopl Count'!Y$8)</f>
        <v/>
      </c>
      <c r="Z84" s="31" t="str">
        <f>IF('Phytopl Count'!Z84=0,"",'Phytopl Count'!Z84*'Phytopl Count'!Z$13/'Phytopl Count'!Z$8)</f>
        <v/>
      </c>
      <c r="AA84" s="31" t="str">
        <f>IF('Phytopl Count'!AA84=0,"",'Phytopl Count'!AA84*'Phytopl Count'!AA$13/'Phytopl Count'!AA$8)</f>
        <v/>
      </c>
      <c r="AB84" s="31" t="str">
        <f>IF('Phytopl Count'!AB84=0,"",'Phytopl Count'!AB84*'Phytopl Count'!AB$13/'Phytopl Count'!AB$8)</f>
        <v/>
      </c>
      <c r="AC84" s="31" t="str">
        <f>IF('Phytopl Count'!AC84=0,"",'Phytopl Count'!AC84*'Phytopl Count'!AC$13/'Phytopl Count'!AC$8)</f>
        <v/>
      </c>
      <c r="AD84" s="31" t="str">
        <f>IF('Phytopl Count'!AD84=0,"",'Phytopl Count'!AD84*'Phytopl Count'!AD$13/'Phytopl Count'!AD$8)</f>
        <v/>
      </c>
      <c r="AE84" s="31" t="str">
        <f>IF('Phytopl Count'!AE84=0,"",'Phytopl Count'!AE84*'Phytopl Count'!AE$13/'Phytopl Count'!AE$8)</f>
        <v/>
      </c>
      <c r="AF84" s="31" t="str">
        <f>IF('Phytopl Count'!AF84=0,"",'Phytopl Count'!AF84*'Phytopl Count'!AF$13/'Phytopl Count'!AF$8)</f>
        <v/>
      </c>
    </row>
    <row r="85" spans="1:32" ht="16.5" customHeight="1">
      <c r="D85" s="10" t="s">
        <v>5</v>
      </c>
      <c r="E85" s="12" t="s">
        <v>99</v>
      </c>
      <c r="F85" s="11"/>
      <c r="G85" s="31" t="str">
        <f>IF('Phytopl Count'!G85=0,"",'Phytopl Count'!G85*'Phytopl Count'!G$13/'Phytopl Count'!G$8)</f>
        <v/>
      </c>
      <c r="H85" s="31" t="str">
        <f>IF('Phytopl Count'!H85=0,"",'Phytopl Count'!H85*'Phytopl Count'!H$13/'Phytopl Count'!H$8)</f>
        <v/>
      </c>
      <c r="I85" s="31" t="str">
        <f>IF('Phytopl Count'!I85=0,"",'Phytopl Count'!I85*'Phytopl Count'!I$13/'Phytopl Count'!I$8)</f>
        <v/>
      </c>
      <c r="J85" s="31" t="str">
        <f>IF('Phytopl Count'!J85=0,"",'Phytopl Count'!J85*'Phytopl Count'!J$13/'Phytopl Count'!J$8)</f>
        <v/>
      </c>
      <c r="K85" s="31" t="str">
        <f>IF('Phytopl Count'!K85=0,"",'Phytopl Count'!K85*'Phytopl Count'!K$13/'Phytopl Count'!K$8)</f>
        <v/>
      </c>
      <c r="L85" s="31" t="str">
        <f>IF('Phytopl Count'!L85=0,"",'Phytopl Count'!L85*'Phytopl Count'!L$13/'Phytopl Count'!L$8)</f>
        <v/>
      </c>
      <c r="M85" s="31" t="str">
        <f>IF('Phytopl Count'!M85=0,"",'Phytopl Count'!M85*'Phytopl Count'!M$13/'Phytopl Count'!M$8)</f>
        <v/>
      </c>
      <c r="N85" s="31" t="str">
        <f>IF('Phytopl Count'!N85=0,"",'Phytopl Count'!N85*'Phytopl Count'!N$13/'Phytopl Count'!N$8)</f>
        <v/>
      </c>
      <c r="O85" s="31" t="str">
        <f>IF('Phytopl Count'!O85=0,"",'Phytopl Count'!O85*'Phytopl Count'!O$13/'Phytopl Count'!O$8)</f>
        <v/>
      </c>
      <c r="P85" s="31" t="str">
        <f>IF('Phytopl Count'!P85=0,"",'Phytopl Count'!P85*'Phytopl Count'!P$13/'Phytopl Count'!P$8)</f>
        <v/>
      </c>
      <c r="Q85" s="31" t="str">
        <f>IF('Phytopl Count'!Q85=0,"",'Phytopl Count'!Q85*'Phytopl Count'!Q$13/'Phytopl Count'!Q$8)</f>
        <v/>
      </c>
      <c r="R85" s="31" t="str">
        <f>IF('Phytopl Count'!R85=0,"",'Phytopl Count'!R85*'Phytopl Count'!R$13/'Phytopl Count'!R$8)</f>
        <v/>
      </c>
      <c r="S85" s="31" t="str">
        <f>IF('Phytopl Count'!S85=0,"",'Phytopl Count'!S85*'Phytopl Count'!S$13/'Phytopl Count'!S$8)</f>
        <v/>
      </c>
      <c r="T85" s="31" t="str">
        <f>IF('Phytopl Count'!T85=0,"",'Phytopl Count'!T85*'Phytopl Count'!T$13/'Phytopl Count'!T$8)</f>
        <v/>
      </c>
      <c r="U85" s="31" t="str">
        <f>IF('Phytopl Count'!U85=0,"",'Phytopl Count'!U85*'Phytopl Count'!U$13/'Phytopl Count'!U$8)</f>
        <v/>
      </c>
      <c r="V85" s="31" t="str">
        <f>IF('Phytopl Count'!V85=0,"",'Phytopl Count'!V85*'Phytopl Count'!V$13/'Phytopl Count'!V$8)</f>
        <v/>
      </c>
      <c r="W85" s="31" t="str">
        <f>IF('Phytopl Count'!W85=0,"",'Phytopl Count'!W85*'Phytopl Count'!W$13/'Phytopl Count'!W$8)</f>
        <v/>
      </c>
      <c r="X85" s="31" t="str">
        <f>IF('Phytopl Count'!X85=0,"",'Phytopl Count'!X85*'Phytopl Count'!X$13/'Phytopl Count'!X$8)</f>
        <v/>
      </c>
      <c r="Y85" s="31" t="str">
        <f>IF('Phytopl Count'!Y85=0,"",'Phytopl Count'!Y85*'Phytopl Count'!Y$13/'Phytopl Count'!Y$8)</f>
        <v/>
      </c>
      <c r="Z85" s="31" t="str">
        <f>IF('Phytopl Count'!Z85=0,"",'Phytopl Count'!Z85*'Phytopl Count'!Z$13/'Phytopl Count'!Z$8)</f>
        <v/>
      </c>
      <c r="AA85" s="31" t="str">
        <f>IF('Phytopl Count'!AA85=0,"",'Phytopl Count'!AA85*'Phytopl Count'!AA$13/'Phytopl Count'!AA$8)</f>
        <v/>
      </c>
      <c r="AB85" s="31" t="str">
        <f>IF('Phytopl Count'!AB85=0,"",'Phytopl Count'!AB85*'Phytopl Count'!AB$13/'Phytopl Count'!AB$8)</f>
        <v/>
      </c>
      <c r="AC85" s="31" t="str">
        <f>IF('Phytopl Count'!AC85=0,"",'Phytopl Count'!AC85*'Phytopl Count'!AC$13/'Phytopl Count'!AC$8)</f>
        <v/>
      </c>
      <c r="AD85" s="31" t="str">
        <f>IF('Phytopl Count'!AD85=0,"",'Phytopl Count'!AD85*'Phytopl Count'!AD$13/'Phytopl Count'!AD$8)</f>
        <v/>
      </c>
      <c r="AE85" s="31" t="str">
        <f>IF('Phytopl Count'!AE85=0,"",'Phytopl Count'!AE85*'Phytopl Count'!AE$13/'Phytopl Count'!AE$8)</f>
        <v/>
      </c>
      <c r="AF85" s="31" t="str">
        <f>IF('Phytopl Count'!AF85=0,"",'Phytopl Count'!AF85*'Phytopl Count'!AF$13/'Phytopl Count'!AF$8)</f>
        <v/>
      </c>
    </row>
    <row r="86" spans="1:32" ht="16.5" customHeight="1">
      <c r="E86" s="10" t="s">
        <v>6</v>
      </c>
      <c r="F86" s="11" t="s">
        <v>100</v>
      </c>
      <c r="G86" s="31" t="str">
        <f>IF('Phytopl Count'!G86=0,"",'Phytopl Count'!G86*'Phytopl Count'!G$13/'Phytopl Count'!G$8)</f>
        <v/>
      </c>
      <c r="H86" s="31" t="str">
        <f>IF('Phytopl Count'!H86=0,"",'Phytopl Count'!H86*'Phytopl Count'!H$13/'Phytopl Count'!H$8)</f>
        <v/>
      </c>
      <c r="I86" s="31" t="str">
        <f>IF('Phytopl Count'!I86=0,"",'Phytopl Count'!I86*'Phytopl Count'!I$13/'Phytopl Count'!I$8)</f>
        <v/>
      </c>
      <c r="J86" s="31" t="str">
        <f>IF('Phytopl Count'!J86=0,"",'Phytopl Count'!J86*'Phytopl Count'!J$13/'Phytopl Count'!J$8)</f>
        <v/>
      </c>
      <c r="K86" s="31" t="str">
        <f>IF('Phytopl Count'!K86=0,"",'Phytopl Count'!K86*'Phytopl Count'!K$13/'Phytopl Count'!K$8)</f>
        <v/>
      </c>
      <c r="L86" s="31" t="str">
        <f>IF('Phytopl Count'!L86=0,"",'Phytopl Count'!L86*'Phytopl Count'!L$13/'Phytopl Count'!L$8)</f>
        <v/>
      </c>
      <c r="M86" s="31" t="str">
        <f>IF('Phytopl Count'!M86=0,"",'Phytopl Count'!M86*'Phytopl Count'!M$13/'Phytopl Count'!M$8)</f>
        <v/>
      </c>
      <c r="N86" s="31" t="str">
        <f>IF('Phytopl Count'!N86=0,"",'Phytopl Count'!N86*'Phytopl Count'!N$13/'Phytopl Count'!N$8)</f>
        <v/>
      </c>
      <c r="O86" s="31" t="str">
        <f>IF('Phytopl Count'!O86=0,"",'Phytopl Count'!O86*'Phytopl Count'!O$13/'Phytopl Count'!O$8)</f>
        <v/>
      </c>
      <c r="P86" s="31" t="str">
        <f>IF('Phytopl Count'!P86=0,"",'Phytopl Count'!P86*'Phytopl Count'!P$13/'Phytopl Count'!P$8)</f>
        <v/>
      </c>
      <c r="Q86" s="31">
        <f>IF('Phytopl Count'!Q86=0,"",'Phytopl Count'!Q86*'Phytopl Count'!Q$13/'Phytopl Count'!Q$8)</f>
        <v>4.0038979394187504E-2</v>
      </c>
      <c r="R86" s="31" t="str">
        <f>IF('Phytopl Count'!R86=0,"",'Phytopl Count'!R86*'Phytopl Count'!R$13/'Phytopl Count'!R$8)</f>
        <v/>
      </c>
      <c r="S86" s="31" t="str">
        <f>IF('Phytopl Count'!S86=0,"",'Phytopl Count'!S86*'Phytopl Count'!S$13/'Phytopl Count'!S$8)</f>
        <v/>
      </c>
      <c r="T86" s="31" t="str">
        <f>IF('Phytopl Count'!T86=0,"",'Phytopl Count'!T86*'Phytopl Count'!T$13/'Phytopl Count'!T$8)</f>
        <v/>
      </c>
      <c r="U86" s="31" t="str">
        <f>IF('Phytopl Count'!U86=0,"",'Phytopl Count'!U86*'Phytopl Count'!U$13/'Phytopl Count'!U$8)</f>
        <v/>
      </c>
      <c r="V86" s="31" t="str">
        <f>IF('Phytopl Count'!V86=0,"",'Phytopl Count'!V86*'Phytopl Count'!V$13/'Phytopl Count'!V$8)</f>
        <v/>
      </c>
      <c r="W86" s="31" t="str">
        <f>IF('Phytopl Count'!W86=0,"",'Phytopl Count'!W86*'Phytopl Count'!W$13/'Phytopl Count'!W$8)</f>
        <v/>
      </c>
      <c r="X86" s="31" t="str">
        <f>IF('Phytopl Count'!X86=0,"",'Phytopl Count'!X86*'Phytopl Count'!X$13/'Phytopl Count'!X$8)</f>
        <v/>
      </c>
      <c r="Y86" s="31" t="str">
        <f>IF('Phytopl Count'!Y86=0,"",'Phytopl Count'!Y86*'Phytopl Count'!Y$13/'Phytopl Count'!Y$8)</f>
        <v/>
      </c>
      <c r="Z86" s="31" t="str">
        <f>IF('Phytopl Count'!Z86=0,"",'Phytopl Count'!Z86*'Phytopl Count'!Z$13/'Phytopl Count'!Z$8)</f>
        <v/>
      </c>
      <c r="AA86" s="31" t="str">
        <f>IF('Phytopl Count'!AA86=0,"",'Phytopl Count'!AA86*'Phytopl Count'!AA$13/'Phytopl Count'!AA$8)</f>
        <v/>
      </c>
      <c r="AB86" s="31" t="str">
        <f>IF('Phytopl Count'!AB86=0,"",'Phytopl Count'!AB86*'Phytopl Count'!AB$13/'Phytopl Count'!AB$8)</f>
        <v/>
      </c>
      <c r="AC86" s="31" t="str">
        <f>IF('Phytopl Count'!AC86=0,"",'Phytopl Count'!AC86*'Phytopl Count'!AC$13/'Phytopl Count'!AC$8)</f>
        <v/>
      </c>
      <c r="AD86" s="31" t="str">
        <f>IF('Phytopl Count'!AD86=0,"",'Phytopl Count'!AD86*'Phytopl Count'!AD$13/'Phytopl Count'!AD$8)</f>
        <v/>
      </c>
      <c r="AE86" s="31" t="str">
        <f>IF('Phytopl Count'!AE86=0,"",'Phytopl Count'!AE86*'Phytopl Count'!AE$13/'Phytopl Count'!AE$8)</f>
        <v/>
      </c>
      <c r="AF86" s="31" t="str">
        <f>IF('Phytopl Count'!AF86=0,"",'Phytopl Count'!AF86*'Phytopl Count'!AF$13/'Phytopl Count'!AF$8)</f>
        <v/>
      </c>
    </row>
    <row r="87" spans="1:32" ht="15" hidden="1" customHeight="1">
      <c r="A87" s="4"/>
      <c r="B87" s="4"/>
      <c r="C87" s="16" t="s">
        <v>73</v>
      </c>
      <c r="D87" s="4" t="s">
        <v>285</v>
      </c>
      <c r="F87" s="11"/>
      <c r="G87" s="31" t="str">
        <f>IF('Phytopl Count'!G87=0,"",'Phytopl Count'!G87*'Phytopl Count'!G$13/'Phytopl Count'!G$8)</f>
        <v/>
      </c>
      <c r="H87" s="31" t="str">
        <f>IF('Phytopl Count'!H87=0,"",'Phytopl Count'!H87*'Phytopl Count'!H$13/'Phytopl Count'!H$8)</f>
        <v/>
      </c>
      <c r="I87" s="31" t="str">
        <f>IF('Phytopl Count'!I87=0,"",'Phytopl Count'!I87*'Phytopl Count'!I$13/'Phytopl Count'!I$8)</f>
        <v/>
      </c>
      <c r="J87" s="31" t="str">
        <f>IF('Phytopl Count'!J87=0,"",'Phytopl Count'!J87*'Phytopl Count'!J$13/'Phytopl Count'!J$8)</f>
        <v/>
      </c>
      <c r="K87" s="31" t="str">
        <f>IF('Phytopl Count'!K87=0,"",'Phytopl Count'!K87*'Phytopl Count'!K$13/'Phytopl Count'!K$8)</f>
        <v/>
      </c>
      <c r="L87" s="31" t="str">
        <f>IF('Phytopl Count'!L87=0,"",'Phytopl Count'!L87*'Phytopl Count'!L$13/'Phytopl Count'!L$8)</f>
        <v/>
      </c>
      <c r="M87" s="31" t="str">
        <f>IF('Phytopl Count'!M87=0,"",'Phytopl Count'!M87*'Phytopl Count'!M$13/'Phytopl Count'!M$8)</f>
        <v/>
      </c>
      <c r="N87" s="31" t="str">
        <f>IF('Phytopl Count'!N87=0,"",'Phytopl Count'!N87*'Phytopl Count'!N$13/'Phytopl Count'!N$8)</f>
        <v/>
      </c>
      <c r="O87" s="31" t="str">
        <f>IF('Phytopl Count'!O87=0,"",'Phytopl Count'!O87*'Phytopl Count'!O$13/'Phytopl Count'!O$8)</f>
        <v/>
      </c>
      <c r="P87" s="31" t="str">
        <f>IF('Phytopl Count'!P87=0,"",'Phytopl Count'!P87*'Phytopl Count'!P$13/'Phytopl Count'!P$8)</f>
        <v/>
      </c>
      <c r="Q87" s="31" t="str">
        <f>IF('Phytopl Count'!Q87=0,"",'Phytopl Count'!Q87*'Phytopl Count'!Q$13/'Phytopl Count'!Q$8)</f>
        <v/>
      </c>
      <c r="R87" s="31" t="str">
        <f>IF('Phytopl Count'!R87=0,"",'Phytopl Count'!R87*'Phytopl Count'!R$13/'Phytopl Count'!R$8)</f>
        <v/>
      </c>
      <c r="S87" s="31" t="str">
        <f>IF('Phytopl Count'!S87=0,"",'Phytopl Count'!S87*'Phytopl Count'!S$13/'Phytopl Count'!S$8)</f>
        <v/>
      </c>
      <c r="T87" s="31" t="str">
        <f>IF('Phytopl Count'!T87=0,"",'Phytopl Count'!T87*'Phytopl Count'!T$13/'Phytopl Count'!T$8)</f>
        <v/>
      </c>
      <c r="U87" s="31" t="str">
        <f>IF('Phytopl Count'!U87=0,"",'Phytopl Count'!U87*'Phytopl Count'!U$13/'Phytopl Count'!U$8)</f>
        <v/>
      </c>
      <c r="V87" s="31" t="str">
        <f>IF('Phytopl Count'!V87=0,"",'Phytopl Count'!V87*'Phytopl Count'!V$13/'Phytopl Count'!V$8)</f>
        <v/>
      </c>
      <c r="W87" s="31" t="str">
        <f>IF('Phytopl Count'!W87=0,"",'Phytopl Count'!W87*'Phytopl Count'!W$13/'Phytopl Count'!W$8)</f>
        <v/>
      </c>
      <c r="X87" s="31" t="str">
        <f>IF('Phytopl Count'!X87=0,"",'Phytopl Count'!X87*'Phytopl Count'!X$13/'Phytopl Count'!X$8)</f>
        <v/>
      </c>
      <c r="Y87" s="31" t="str">
        <f>IF('Phytopl Count'!Y87=0,"",'Phytopl Count'!Y87*'Phytopl Count'!Y$13/'Phytopl Count'!Y$8)</f>
        <v/>
      </c>
      <c r="Z87" s="31" t="str">
        <f>IF('Phytopl Count'!Z87=0,"",'Phytopl Count'!Z87*'Phytopl Count'!Z$13/'Phytopl Count'!Z$8)</f>
        <v/>
      </c>
      <c r="AA87" s="31" t="str">
        <f>IF('Phytopl Count'!AA87=0,"",'Phytopl Count'!AA87*'Phytopl Count'!AA$13/'Phytopl Count'!AA$8)</f>
        <v/>
      </c>
      <c r="AB87" s="31" t="str">
        <f>IF('Phytopl Count'!AB87=0,"",'Phytopl Count'!AB87*'Phytopl Count'!AB$13/'Phytopl Count'!AB$8)</f>
        <v/>
      </c>
      <c r="AC87" s="31" t="str">
        <f>IF('Phytopl Count'!AC87=0,"",'Phytopl Count'!AC87*'Phytopl Count'!AC$13/'Phytopl Count'!AC$8)</f>
        <v/>
      </c>
      <c r="AD87" s="31" t="str">
        <f>IF('Phytopl Count'!AD87=0,"",'Phytopl Count'!AD87*'Phytopl Count'!AD$13/'Phytopl Count'!AD$8)</f>
        <v/>
      </c>
      <c r="AE87" s="31" t="str">
        <f>IF('Phytopl Count'!AE87=0,"",'Phytopl Count'!AE87*'Phytopl Count'!AE$13/'Phytopl Count'!AE$8)</f>
        <v/>
      </c>
      <c r="AF87" s="31" t="str">
        <f>IF('Phytopl Count'!AF87=0,"",'Phytopl Count'!AF87*'Phytopl Count'!AF$13/'Phytopl Count'!AF$8)</f>
        <v/>
      </c>
    </row>
    <row r="88" spans="1:32" ht="15" hidden="1" customHeight="1">
      <c r="D88" s="10" t="s">
        <v>5</v>
      </c>
      <c r="E88" s="5" t="s">
        <v>157</v>
      </c>
      <c r="F88" s="11"/>
      <c r="G88" s="31" t="str">
        <f>IF('Phytopl Count'!G88=0,"",'Phytopl Count'!G88*'Phytopl Count'!G$13/'Phytopl Count'!G$8)</f>
        <v/>
      </c>
      <c r="H88" s="31" t="str">
        <f>IF('Phytopl Count'!H88=0,"",'Phytopl Count'!H88*'Phytopl Count'!H$13/'Phytopl Count'!H$8)</f>
        <v/>
      </c>
      <c r="I88" s="31" t="str">
        <f>IF('Phytopl Count'!I88=0,"",'Phytopl Count'!I88*'Phytopl Count'!I$13/'Phytopl Count'!I$8)</f>
        <v/>
      </c>
      <c r="J88" s="31" t="str">
        <f>IF('Phytopl Count'!J88=0,"",'Phytopl Count'!J88*'Phytopl Count'!J$13/'Phytopl Count'!J$8)</f>
        <v/>
      </c>
      <c r="K88" s="31" t="str">
        <f>IF('Phytopl Count'!K88=0,"",'Phytopl Count'!K88*'Phytopl Count'!K$13/'Phytopl Count'!K$8)</f>
        <v/>
      </c>
      <c r="L88" s="31" t="str">
        <f>IF('Phytopl Count'!L88=0,"",'Phytopl Count'!L88*'Phytopl Count'!L$13/'Phytopl Count'!L$8)</f>
        <v/>
      </c>
      <c r="M88" s="31" t="str">
        <f>IF('Phytopl Count'!M88=0,"",'Phytopl Count'!M88*'Phytopl Count'!M$13/'Phytopl Count'!M$8)</f>
        <v/>
      </c>
      <c r="N88" s="31" t="str">
        <f>IF('Phytopl Count'!N88=0,"",'Phytopl Count'!N88*'Phytopl Count'!N$13/'Phytopl Count'!N$8)</f>
        <v/>
      </c>
      <c r="O88" s="31" t="str">
        <f>IF('Phytopl Count'!O88=0,"",'Phytopl Count'!O88*'Phytopl Count'!O$13/'Phytopl Count'!O$8)</f>
        <v/>
      </c>
      <c r="P88" s="31" t="str">
        <f>IF('Phytopl Count'!P88=0,"",'Phytopl Count'!P88*'Phytopl Count'!P$13/'Phytopl Count'!P$8)</f>
        <v/>
      </c>
      <c r="Q88" s="31" t="str">
        <f>IF('Phytopl Count'!Q88=0,"",'Phytopl Count'!Q88*'Phytopl Count'!Q$13/'Phytopl Count'!Q$8)</f>
        <v/>
      </c>
      <c r="R88" s="31" t="str">
        <f>IF('Phytopl Count'!R88=0,"",'Phytopl Count'!R88*'Phytopl Count'!R$13/'Phytopl Count'!R$8)</f>
        <v/>
      </c>
      <c r="S88" s="31" t="str">
        <f>IF('Phytopl Count'!S88=0,"",'Phytopl Count'!S88*'Phytopl Count'!S$13/'Phytopl Count'!S$8)</f>
        <v/>
      </c>
      <c r="T88" s="31" t="str">
        <f>IF('Phytopl Count'!T88=0,"",'Phytopl Count'!T88*'Phytopl Count'!T$13/'Phytopl Count'!T$8)</f>
        <v/>
      </c>
      <c r="U88" s="31" t="str">
        <f>IF('Phytopl Count'!U88=0,"",'Phytopl Count'!U88*'Phytopl Count'!U$13/'Phytopl Count'!U$8)</f>
        <v/>
      </c>
      <c r="V88" s="31" t="str">
        <f>IF('Phytopl Count'!V88=0,"",'Phytopl Count'!V88*'Phytopl Count'!V$13/'Phytopl Count'!V$8)</f>
        <v/>
      </c>
      <c r="W88" s="31" t="str">
        <f>IF('Phytopl Count'!W88=0,"",'Phytopl Count'!W88*'Phytopl Count'!W$13/'Phytopl Count'!W$8)</f>
        <v/>
      </c>
      <c r="X88" s="31" t="str">
        <f>IF('Phytopl Count'!X88=0,"",'Phytopl Count'!X88*'Phytopl Count'!X$13/'Phytopl Count'!X$8)</f>
        <v/>
      </c>
      <c r="Y88" s="31" t="str">
        <f>IF('Phytopl Count'!Y88=0,"",'Phytopl Count'!Y88*'Phytopl Count'!Y$13/'Phytopl Count'!Y$8)</f>
        <v/>
      </c>
      <c r="Z88" s="31" t="str">
        <f>IF('Phytopl Count'!Z88=0,"",'Phytopl Count'!Z88*'Phytopl Count'!Z$13/'Phytopl Count'!Z$8)</f>
        <v/>
      </c>
      <c r="AA88" s="31" t="str">
        <f>IF('Phytopl Count'!AA88=0,"",'Phytopl Count'!AA88*'Phytopl Count'!AA$13/'Phytopl Count'!AA$8)</f>
        <v/>
      </c>
      <c r="AB88" s="31" t="str">
        <f>IF('Phytopl Count'!AB88=0,"",'Phytopl Count'!AB88*'Phytopl Count'!AB$13/'Phytopl Count'!AB$8)</f>
        <v/>
      </c>
      <c r="AC88" s="31" t="str">
        <f>IF('Phytopl Count'!AC88=0,"",'Phytopl Count'!AC88*'Phytopl Count'!AC$13/'Phytopl Count'!AC$8)</f>
        <v/>
      </c>
      <c r="AD88" s="31" t="str">
        <f>IF('Phytopl Count'!AD88=0,"",'Phytopl Count'!AD88*'Phytopl Count'!AD$13/'Phytopl Count'!AD$8)</f>
        <v/>
      </c>
      <c r="AE88" s="31" t="str">
        <f>IF('Phytopl Count'!AE88=0,"",'Phytopl Count'!AE88*'Phytopl Count'!AE$13/'Phytopl Count'!AE$8)</f>
        <v/>
      </c>
      <c r="AF88" s="31" t="str">
        <f>IF('Phytopl Count'!AF88=0,"",'Phytopl Count'!AF88*'Phytopl Count'!AF$13/'Phytopl Count'!AF$8)</f>
        <v/>
      </c>
    </row>
    <row r="89" spans="1:32" ht="15" hidden="1" customHeight="1">
      <c r="A89" s="10"/>
      <c r="B89" s="10"/>
      <c r="C89" s="10"/>
      <c r="D89" s="10"/>
      <c r="E89" s="10" t="s">
        <v>6</v>
      </c>
      <c r="F89" s="11" t="s">
        <v>19</v>
      </c>
      <c r="G89" s="31" t="str">
        <f>IF('Phytopl Count'!G89=0,"",'Phytopl Count'!G89*'Phytopl Count'!G$13/'Phytopl Count'!G$8)</f>
        <v/>
      </c>
      <c r="H89" s="31" t="str">
        <f>IF('Phytopl Count'!H89=0,"",'Phytopl Count'!H89*'Phytopl Count'!H$13/'Phytopl Count'!H$8)</f>
        <v/>
      </c>
      <c r="I89" s="31" t="str">
        <f>IF('Phytopl Count'!I89=0,"",'Phytopl Count'!I89*'Phytopl Count'!I$13/'Phytopl Count'!I$8)</f>
        <v/>
      </c>
      <c r="J89" s="31" t="str">
        <f>IF('Phytopl Count'!J89=0,"",'Phytopl Count'!J89*'Phytopl Count'!J$13/'Phytopl Count'!J$8)</f>
        <v/>
      </c>
      <c r="K89" s="31" t="str">
        <f>IF('Phytopl Count'!K89=0,"",'Phytopl Count'!K89*'Phytopl Count'!K$13/'Phytopl Count'!K$8)</f>
        <v/>
      </c>
      <c r="L89" s="31" t="str">
        <f>IF('Phytopl Count'!L89=0,"",'Phytopl Count'!L89*'Phytopl Count'!L$13/'Phytopl Count'!L$8)</f>
        <v/>
      </c>
      <c r="M89" s="31" t="str">
        <f>IF('Phytopl Count'!M89=0,"",'Phytopl Count'!M89*'Phytopl Count'!M$13/'Phytopl Count'!M$8)</f>
        <v/>
      </c>
      <c r="N89" s="31" t="str">
        <f>IF('Phytopl Count'!N89=0,"",'Phytopl Count'!N89*'Phytopl Count'!N$13/'Phytopl Count'!N$8)</f>
        <v/>
      </c>
      <c r="O89" s="31" t="str">
        <f>IF('Phytopl Count'!O89=0,"",'Phytopl Count'!O89*'Phytopl Count'!O$13/'Phytopl Count'!O$8)</f>
        <v/>
      </c>
      <c r="P89" s="31" t="str">
        <f>IF('Phytopl Count'!P89=0,"",'Phytopl Count'!P89*'Phytopl Count'!P$13/'Phytopl Count'!P$8)</f>
        <v/>
      </c>
      <c r="Q89" s="31" t="str">
        <f>IF('Phytopl Count'!Q89=0,"",'Phytopl Count'!Q89*'Phytopl Count'!Q$13/'Phytopl Count'!Q$8)</f>
        <v/>
      </c>
      <c r="R89" s="31" t="str">
        <f>IF('Phytopl Count'!R89=0,"",'Phytopl Count'!R89*'Phytopl Count'!R$13/'Phytopl Count'!R$8)</f>
        <v/>
      </c>
      <c r="S89" s="31" t="str">
        <f>IF('Phytopl Count'!S89=0,"",'Phytopl Count'!S89*'Phytopl Count'!S$13/'Phytopl Count'!S$8)</f>
        <v/>
      </c>
      <c r="T89" s="31" t="str">
        <f>IF('Phytopl Count'!T89=0,"",'Phytopl Count'!T89*'Phytopl Count'!T$13/'Phytopl Count'!T$8)</f>
        <v/>
      </c>
      <c r="U89" s="31" t="str">
        <f>IF('Phytopl Count'!U89=0,"",'Phytopl Count'!U89*'Phytopl Count'!U$13/'Phytopl Count'!U$8)</f>
        <v/>
      </c>
      <c r="V89" s="31" t="str">
        <f>IF('Phytopl Count'!V89=0,"",'Phytopl Count'!V89*'Phytopl Count'!V$13/'Phytopl Count'!V$8)</f>
        <v/>
      </c>
      <c r="W89" s="31" t="str">
        <f>IF('Phytopl Count'!W89=0,"",'Phytopl Count'!W89*'Phytopl Count'!W$13/'Phytopl Count'!W$8)</f>
        <v/>
      </c>
      <c r="X89" s="31" t="str">
        <f>IF('Phytopl Count'!X89=0,"",'Phytopl Count'!X89*'Phytopl Count'!X$13/'Phytopl Count'!X$8)</f>
        <v/>
      </c>
      <c r="Y89" s="31" t="str">
        <f>IF('Phytopl Count'!Y89=0,"",'Phytopl Count'!Y89*'Phytopl Count'!Y$13/'Phytopl Count'!Y$8)</f>
        <v/>
      </c>
      <c r="Z89" s="31" t="str">
        <f>IF('Phytopl Count'!Z89=0,"",'Phytopl Count'!Z89*'Phytopl Count'!Z$13/'Phytopl Count'!Z$8)</f>
        <v/>
      </c>
      <c r="AA89" s="31" t="str">
        <f>IF('Phytopl Count'!AA89=0,"",'Phytopl Count'!AA89*'Phytopl Count'!AA$13/'Phytopl Count'!AA$8)</f>
        <v/>
      </c>
      <c r="AB89" s="31" t="str">
        <f>IF('Phytopl Count'!AB89=0,"",'Phytopl Count'!AB89*'Phytopl Count'!AB$13/'Phytopl Count'!AB$8)</f>
        <v/>
      </c>
      <c r="AC89" s="31" t="str">
        <f>IF('Phytopl Count'!AC89=0,"",'Phytopl Count'!AC89*'Phytopl Count'!AC$13/'Phytopl Count'!AC$8)</f>
        <v/>
      </c>
      <c r="AD89" s="31" t="str">
        <f>IF('Phytopl Count'!AD89=0,"",'Phytopl Count'!AD89*'Phytopl Count'!AD$13/'Phytopl Count'!AD$8)</f>
        <v/>
      </c>
      <c r="AE89" s="31" t="str">
        <f>IF('Phytopl Count'!AE89=0,"",'Phytopl Count'!AE89*'Phytopl Count'!AE$13/'Phytopl Count'!AE$8)</f>
        <v/>
      </c>
      <c r="AF89" s="31" t="str">
        <f>IF('Phytopl Count'!AF89=0,"",'Phytopl Count'!AF89*'Phytopl Count'!AF$13/'Phytopl Count'!AF$8)</f>
        <v/>
      </c>
    </row>
    <row r="90" spans="1:32" ht="15" customHeight="1">
      <c r="A90" s="4"/>
      <c r="B90" s="4"/>
      <c r="C90" s="16" t="s">
        <v>73</v>
      </c>
      <c r="D90" s="4" t="s">
        <v>158</v>
      </c>
      <c r="F90" s="11"/>
      <c r="G90" s="31" t="str">
        <f>IF('Phytopl Count'!G90=0,"",'Phytopl Count'!G90*'Phytopl Count'!G$13/'Phytopl Count'!G$8)</f>
        <v/>
      </c>
      <c r="H90" s="31" t="str">
        <f>IF('Phytopl Count'!H90=0,"",'Phytopl Count'!H90*'Phytopl Count'!H$13/'Phytopl Count'!H$8)</f>
        <v/>
      </c>
      <c r="I90" s="31" t="str">
        <f>IF('Phytopl Count'!I90=0,"",'Phytopl Count'!I90*'Phytopl Count'!I$13/'Phytopl Count'!I$8)</f>
        <v/>
      </c>
      <c r="J90" s="31" t="str">
        <f>IF('Phytopl Count'!J90=0,"",'Phytopl Count'!J90*'Phytopl Count'!J$13/'Phytopl Count'!J$8)</f>
        <v/>
      </c>
      <c r="K90" s="31" t="str">
        <f>IF('Phytopl Count'!K90=0,"",'Phytopl Count'!K90*'Phytopl Count'!K$13/'Phytopl Count'!K$8)</f>
        <v/>
      </c>
      <c r="L90" s="31" t="str">
        <f>IF('Phytopl Count'!L90=0,"",'Phytopl Count'!L90*'Phytopl Count'!L$13/'Phytopl Count'!L$8)</f>
        <v/>
      </c>
      <c r="M90" s="31" t="str">
        <f>IF('Phytopl Count'!M90=0,"",'Phytopl Count'!M90*'Phytopl Count'!M$13/'Phytopl Count'!M$8)</f>
        <v/>
      </c>
      <c r="N90" s="31" t="str">
        <f>IF('Phytopl Count'!N90=0,"",'Phytopl Count'!N90*'Phytopl Count'!N$13/'Phytopl Count'!N$8)</f>
        <v/>
      </c>
      <c r="O90" s="31" t="str">
        <f>IF('Phytopl Count'!O90=0,"",'Phytopl Count'!O90*'Phytopl Count'!O$13/'Phytopl Count'!O$8)</f>
        <v/>
      </c>
      <c r="P90" s="31" t="str">
        <f>IF('Phytopl Count'!P90=0,"",'Phytopl Count'!P90*'Phytopl Count'!P$13/'Phytopl Count'!P$8)</f>
        <v/>
      </c>
      <c r="Q90" s="31" t="str">
        <f>IF('Phytopl Count'!Q90=0,"",'Phytopl Count'!Q90*'Phytopl Count'!Q$13/'Phytopl Count'!Q$8)</f>
        <v/>
      </c>
      <c r="R90" s="31" t="str">
        <f>IF('Phytopl Count'!R90=0,"",'Phytopl Count'!R90*'Phytopl Count'!R$13/'Phytopl Count'!R$8)</f>
        <v/>
      </c>
      <c r="S90" s="31" t="str">
        <f>IF('Phytopl Count'!S90=0,"",'Phytopl Count'!S90*'Phytopl Count'!S$13/'Phytopl Count'!S$8)</f>
        <v/>
      </c>
      <c r="T90" s="31" t="str">
        <f>IF('Phytopl Count'!T90=0,"",'Phytopl Count'!T90*'Phytopl Count'!T$13/'Phytopl Count'!T$8)</f>
        <v/>
      </c>
      <c r="U90" s="31" t="str">
        <f>IF('Phytopl Count'!U90=0,"",'Phytopl Count'!U90*'Phytopl Count'!U$13/'Phytopl Count'!U$8)</f>
        <v/>
      </c>
      <c r="V90" s="31" t="str">
        <f>IF('Phytopl Count'!V90=0,"",'Phytopl Count'!V90*'Phytopl Count'!V$13/'Phytopl Count'!V$8)</f>
        <v/>
      </c>
      <c r="W90" s="31" t="str">
        <f>IF('Phytopl Count'!W90=0,"",'Phytopl Count'!W90*'Phytopl Count'!W$13/'Phytopl Count'!W$8)</f>
        <v/>
      </c>
      <c r="X90" s="31" t="str">
        <f>IF('Phytopl Count'!X90=0,"",'Phytopl Count'!X90*'Phytopl Count'!X$13/'Phytopl Count'!X$8)</f>
        <v/>
      </c>
      <c r="Y90" s="31" t="str">
        <f>IF('Phytopl Count'!Y90=0,"",'Phytopl Count'!Y90*'Phytopl Count'!Y$13/'Phytopl Count'!Y$8)</f>
        <v/>
      </c>
      <c r="Z90" s="31" t="str">
        <f>IF('Phytopl Count'!Z90=0,"",'Phytopl Count'!Z90*'Phytopl Count'!Z$13/'Phytopl Count'!Z$8)</f>
        <v/>
      </c>
      <c r="AA90" s="31" t="str">
        <f>IF('Phytopl Count'!AA90=0,"",'Phytopl Count'!AA90*'Phytopl Count'!AA$13/'Phytopl Count'!AA$8)</f>
        <v/>
      </c>
      <c r="AB90" s="31" t="str">
        <f>IF('Phytopl Count'!AB90=0,"",'Phytopl Count'!AB90*'Phytopl Count'!AB$13/'Phytopl Count'!AB$8)</f>
        <v/>
      </c>
      <c r="AC90" s="31" t="str">
        <f>IF('Phytopl Count'!AC90=0,"",'Phytopl Count'!AC90*'Phytopl Count'!AC$13/'Phytopl Count'!AC$8)</f>
        <v/>
      </c>
      <c r="AD90" s="31" t="str">
        <f>IF('Phytopl Count'!AD90=0,"",'Phytopl Count'!AD90*'Phytopl Count'!AD$13/'Phytopl Count'!AD$8)</f>
        <v/>
      </c>
      <c r="AE90" s="31" t="str">
        <f>IF('Phytopl Count'!AE90=0,"",'Phytopl Count'!AE90*'Phytopl Count'!AE$13/'Phytopl Count'!AE$8)</f>
        <v/>
      </c>
      <c r="AF90" s="31" t="str">
        <f>IF('Phytopl Count'!AF90=0,"",'Phytopl Count'!AF90*'Phytopl Count'!AF$13/'Phytopl Count'!AF$8)</f>
        <v/>
      </c>
    </row>
    <row r="91" spans="1:32" ht="15" customHeight="1">
      <c r="D91" s="10" t="s">
        <v>5</v>
      </c>
      <c r="E91" s="5" t="s">
        <v>159</v>
      </c>
      <c r="F91" s="11"/>
      <c r="G91" s="31" t="str">
        <f>IF('Phytopl Count'!G91=0,"",'Phytopl Count'!G91*'Phytopl Count'!G$13/'Phytopl Count'!G$8)</f>
        <v/>
      </c>
      <c r="H91" s="31" t="str">
        <f>IF('Phytopl Count'!H91=0,"",'Phytopl Count'!H91*'Phytopl Count'!H$13/'Phytopl Count'!H$8)</f>
        <v/>
      </c>
      <c r="I91" s="31" t="str">
        <f>IF('Phytopl Count'!I91=0,"",'Phytopl Count'!I91*'Phytopl Count'!I$13/'Phytopl Count'!I$8)</f>
        <v/>
      </c>
      <c r="J91" s="31" t="str">
        <f>IF('Phytopl Count'!J91=0,"",'Phytopl Count'!J91*'Phytopl Count'!J$13/'Phytopl Count'!J$8)</f>
        <v/>
      </c>
      <c r="K91" s="31" t="str">
        <f>IF('Phytopl Count'!K91=0,"",'Phytopl Count'!K91*'Phytopl Count'!K$13/'Phytopl Count'!K$8)</f>
        <v/>
      </c>
      <c r="L91" s="31" t="str">
        <f>IF('Phytopl Count'!L91=0,"",'Phytopl Count'!L91*'Phytopl Count'!L$13/'Phytopl Count'!L$8)</f>
        <v/>
      </c>
      <c r="M91" s="31" t="str">
        <f>IF('Phytopl Count'!M91=0,"",'Phytopl Count'!M91*'Phytopl Count'!M$13/'Phytopl Count'!M$8)</f>
        <v/>
      </c>
      <c r="N91" s="31" t="str">
        <f>IF('Phytopl Count'!N91=0,"",'Phytopl Count'!N91*'Phytopl Count'!N$13/'Phytopl Count'!N$8)</f>
        <v/>
      </c>
      <c r="O91" s="31" t="str">
        <f>IF('Phytopl Count'!O91=0,"",'Phytopl Count'!O91*'Phytopl Count'!O$13/'Phytopl Count'!O$8)</f>
        <v/>
      </c>
      <c r="P91" s="31" t="str">
        <f>IF('Phytopl Count'!P91=0,"",'Phytopl Count'!P91*'Phytopl Count'!P$13/'Phytopl Count'!P$8)</f>
        <v/>
      </c>
      <c r="Q91" s="31" t="str">
        <f>IF('Phytopl Count'!Q91=0,"",'Phytopl Count'!Q91*'Phytopl Count'!Q$13/'Phytopl Count'!Q$8)</f>
        <v/>
      </c>
      <c r="R91" s="31" t="str">
        <f>IF('Phytopl Count'!R91=0,"",'Phytopl Count'!R91*'Phytopl Count'!R$13/'Phytopl Count'!R$8)</f>
        <v/>
      </c>
      <c r="S91" s="31" t="str">
        <f>IF('Phytopl Count'!S91=0,"",'Phytopl Count'!S91*'Phytopl Count'!S$13/'Phytopl Count'!S$8)</f>
        <v/>
      </c>
      <c r="T91" s="31" t="str">
        <f>IF('Phytopl Count'!T91=0,"",'Phytopl Count'!T91*'Phytopl Count'!T$13/'Phytopl Count'!T$8)</f>
        <v/>
      </c>
      <c r="U91" s="31" t="str">
        <f>IF('Phytopl Count'!U91=0,"",'Phytopl Count'!U91*'Phytopl Count'!U$13/'Phytopl Count'!U$8)</f>
        <v/>
      </c>
      <c r="V91" s="31" t="str">
        <f>IF('Phytopl Count'!V91=0,"",'Phytopl Count'!V91*'Phytopl Count'!V$13/'Phytopl Count'!V$8)</f>
        <v/>
      </c>
      <c r="W91" s="31" t="str">
        <f>IF('Phytopl Count'!W91=0,"",'Phytopl Count'!W91*'Phytopl Count'!W$13/'Phytopl Count'!W$8)</f>
        <v/>
      </c>
      <c r="X91" s="31" t="str">
        <f>IF('Phytopl Count'!X91=0,"",'Phytopl Count'!X91*'Phytopl Count'!X$13/'Phytopl Count'!X$8)</f>
        <v/>
      </c>
      <c r="Y91" s="31" t="str">
        <f>IF('Phytopl Count'!Y91=0,"",'Phytopl Count'!Y91*'Phytopl Count'!Y$13/'Phytopl Count'!Y$8)</f>
        <v/>
      </c>
      <c r="Z91" s="31" t="str">
        <f>IF('Phytopl Count'!Z91=0,"",'Phytopl Count'!Z91*'Phytopl Count'!Z$13/'Phytopl Count'!Z$8)</f>
        <v/>
      </c>
      <c r="AA91" s="31" t="str">
        <f>IF('Phytopl Count'!AA91=0,"",'Phytopl Count'!AA91*'Phytopl Count'!AA$13/'Phytopl Count'!AA$8)</f>
        <v/>
      </c>
      <c r="AB91" s="31" t="str">
        <f>IF('Phytopl Count'!AB91=0,"",'Phytopl Count'!AB91*'Phytopl Count'!AB$13/'Phytopl Count'!AB$8)</f>
        <v/>
      </c>
      <c r="AC91" s="31" t="str">
        <f>IF('Phytopl Count'!AC91=0,"",'Phytopl Count'!AC91*'Phytopl Count'!AC$13/'Phytopl Count'!AC$8)</f>
        <v/>
      </c>
      <c r="AD91" s="31" t="str">
        <f>IF('Phytopl Count'!AD91=0,"",'Phytopl Count'!AD91*'Phytopl Count'!AD$13/'Phytopl Count'!AD$8)</f>
        <v/>
      </c>
      <c r="AE91" s="31" t="str">
        <f>IF('Phytopl Count'!AE91=0,"",'Phytopl Count'!AE91*'Phytopl Count'!AE$13/'Phytopl Count'!AE$8)</f>
        <v/>
      </c>
      <c r="AF91" s="31" t="str">
        <f>IF('Phytopl Count'!AF91=0,"",'Phytopl Count'!AF91*'Phytopl Count'!AF$13/'Phytopl Count'!AF$8)</f>
        <v/>
      </c>
    </row>
    <row r="92" spans="1:32" ht="15" customHeight="1">
      <c r="E92" s="10" t="s">
        <v>6</v>
      </c>
      <c r="F92" s="11" t="s">
        <v>21</v>
      </c>
      <c r="G92" s="31" t="str">
        <f>IF('Phytopl Count'!G92=0,"",'Phytopl Count'!G92*'Phytopl Count'!G$13/'Phytopl Count'!G$8)</f>
        <v/>
      </c>
      <c r="H92" s="31" t="str">
        <f>IF('Phytopl Count'!H92=0,"",'Phytopl Count'!H92*'Phytopl Count'!H$13/'Phytopl Count'!H$8)</f>
        <v/>
      </c>
      <c r="I92" s="31" t="str">
        <f>IF('Phytopl Count'!I92=0,"",'Phytopl Count'!I92*'Phytopl Count'!I$13/'Phytopl Count'!I$8)</f>
        <v/>
      </c>
      <c r="J92" s="31" t="str">
        <f>IF('Phytopl Count'!J92=0,"",'Phytopl Count'!J92*'Phytopl Count'!J$13/'Phytopl Count'!J$8)</f>
        <v/>
      </c>
      <c r="K92" s="31" t="str">
        <f>IF('Phytopl Count'!K92=0,"",'Phytopl Count'!K92*'Phytopl Count'!K$13/'Phytopl Count'!K$8)</f>
        <v/>
      </c>
      <c r="L92" s="31" t="str">
        <f>IF('Phytopl Count'!L92=0,"",'Phytopl Count'!L92*'Phytopl Count'!L$13/'Phytopl Count'!L$8)</f>
        <v/>
      </c>
      <c r="M92" s="31" t="str">
        <f>IF('Phytopl Count'!M92=0,"",'Phytopl Count'!M92*'Phytopl Count'!M$13/'Phytopl Count'!M$8)</f>
        <v/>
      </c>
      <c r="N92" s="31" t="str">
        <f>IF('Phytopl Count'!N92=0,"",'Phytopl Count'!N92*'Phytopl Count'!N$13/'Phytopl Count'!N$8)</f>
        <v/>
      </c>
      <c r="O92" s="31" t="str">
        <f>IF('Phytopl Count'!O92=0,"",'Phytopl Count'!O92*'Phytopl Count'!O$13/'Phytopl Count'!O$8)</f>
        <v/>
      </c>
      <c r="P92" s="31" t="str">
        <f>IF('Phytopl Count'!P92=0,"",'Phytopl Count'!P92*'Phytopl Count'!P$13/'Phytopl Count'!P$8)</f>
        <v/>
      </c>
      <c r="Q92" s="31" t="str">
        <f>IF('Phytopl Count'!Q92=0,"",'Phytopl Count'!Q92*'Phytopl Count'!Q$13/'Phytopl Count'!Q$8)</f>
        <v/>
      </c>
      <c r="R92" s="31">
        <f>IF('Phytopl Count'!R92=0,"",'Phytopl Count'!R92*'Phytopl Count'!R$13/'Phytopl Count'!R$8)</f>
        <v>3.2031183515350004E-2</v>
      </c>
      <c r="S92" s="31" t="str">
        <f>IF('Phytopl Count'!S92=0,"",'Phytopl Count'!S92*'Phytopl Count'!S$13/'Phytopl Count'!S$8)</f>
        <v/>
      </c>
      <c r="T92" s="31" t="str">
        <f>IF('Phytopl Count'!T92=0,"",'Phytopl Count'!T92*'Phytopl Count'!T$13/'Phytopl Count'!T$8)</f>
        <v/>
      </c>
      <c r="U92" s="31" t="str">
        <f>IF('Phytopl Count'!U92=0,"",'Phytopl Count'!U92*'Phytopl Count'!U$13/'Phytopl Count'!U$8)</f>
        <v/>
      </c>
      <c r="V92" s="31" t="str">
        <f>IF('Phytopl Count'!V92=0,"",'Phytopl Count'!V92*'Phytopl Count'!V$13/'Phytopl Count'!V$8)</f>
        <v/>
      </c>
      <c r="W92" s="31" t="str">
        <f>IF('Phytopl Count'!W92=0,"",'Phytopl Count'!W92*'Phytopl Count'!W$13/'Phytopl Count'!W$8)</f>
        <v/>
      </c>
      <c r="X92" s="31" t="str">
        <f>IF('Phytopl Count'!X92=0,"",'Phytopl Count'!X92*'Phytopl Count'!X$13/'Phytopl Count'!X$8)</f>
        <v/>
      </c>
      <c r="Y92" s="31" t="str">
        <f>IF('Phytopl Count'!Y92=0,"",'Phytopl Count'!Y92*'Phytopl Count'!Y$13/'Phytopl Count'!Y$8)</f>
        <v/>
      </c>
      <c r="Z92" s="31" t="str">
        <f>IF('Phytopl Count'!Z92=0,"",'Phytopl Count'!Z92*'Phytopl Count'!Z$13/'Phytopl Count'!Z$8)</f>
        <v/>
      </c>
      <c r="AA92" s="31" t="str">
        <f>IF('Phytopl Count'!AA92=0,"",'Phytopl Count'!AA92*'Phytopl Count'!AA$13/'Phytopl Count'!AA$8)</f>
        <v/>
      </c>
      <c r="AB92" s="31" t="str">
        <f>IF('Phytopl Count'!AB92=0,"",'Phytopl Count'!AB92*'Phytopl Count'!AB$13/'Phytopl Count'!AB$8)</f>
        <v/>
      </c>
      <c r="AC92" s="31">
        <f>IF('Phytopl Count'!AC92=0,"",'Phytopl Count'!AC92*'Phytopl Count'!AC$13/'Phytopl Count'!AC$8)</f>
        <v>3.2031183515350004E-2</v>
      </c>
      <c r="AD92" s="31" t="str">
        <f>IF('Phytopl Count'!AD92=0,"",'Phytopl Count'!AD92*'Phytopl Count'!AD$13/'Phytopl Count'!AD$8)</f>
        <v/>
      </c>
      <c r="AE92" s="31" t="str">
        <f>IF('Phytopl Count'!AE92=0,"",'Phytopl Count'!AE92*'Phytopl Count'!AE$13/'Phytopl Count'!AE$8)</f>
        <v/>
      </c>
      <c r="AF92" s="31">
        <f>IF('Phytopl Count'!AF92=0,"",'Phytopl Count'!AF92*'Phytopl Count'!AF$13/'Phytopl Count'!AF$8)</f>
        <v>6.4062367030700007E-2</v>
      </c>
    </row>
    <row r="93" spans="1:32">
      <c r="A93" s="4"/>
      <c r="B93" s="4"/>
      <c r="C93" s="16" t="s">
        <v>73</v>
      </c>
      <c r="D93" s="4" t="s">
        <v>80</v>
      </c>
      <c r="E93" s="4"/>
      <c r="F93" s="54"/>
      <c r="G93" s="31" t="str">
        <f>IF('Phytopl Count'!G93=0,"",'Phytopl Count'!G93*'Phytopl Count'!G$13/'Phytopl Count'!G$8)</f>
        <v/>
      </c>
      <c r="H93" s="31" t="str">
        <f>IF('Phytopl Count'!H93=0,"",'Phytopl Count'!H93*'Phytopl Count'!H$13/'Phytopl Count'!H$8)</f>
        <v/>
      </c>
      <c r="I93" s="31" t="str">
        <f>IF('Phytopl Count'!I93=0,"",'Phytopl Count'!I93*'Phytopl Count'!I$13/'Phytopl Count'!I$8)</f>
        <v/>
      </c>
      <c r="J93" s="31" t="str">
        <f>IF('Phytopl Count'!J93=0,"",'Phytopl Count'!J93*'Phytopl Count'!J$13/'Phytopl Count'!J$8)</f>
        <v/>
      </c>
      <c r="K93" s="31" t="str">
        <f>IF('Phytopl Count'!K93=0,"",'Phytopl Count'!K93*'Phytopl Count'!K$13/'Phytopl Count'!K$8)</f>
        <v/>
      </c>
      <c r="L93" s="31" t="str">
        <f>IF('Phytopl Count'!L93=0,"",'Phytopl Count'!L93*'Phytopl Count'!L$13/'Phytopl Count'!L$8)</f>
        <v/>
      </c>
      <c r="M93" s="31" t="str">
        <f>IF('Phytopl Count'!M93=0,"",'Phytopl Count'!M93*'Phytopl Count'!M$13/'Phytopl Count'!M$8)</f>
        <v/>
      </c>
      <c r="N93" s="31" t="str">
        <f>IF('Phytopl Count'!N93=0,"",'Phytopl Count'!N93*'Phytopl Count'!N$13/'Phytopl Count'!N$8)</f>
        <v/>
      </c>
      <c r="O93" s="31" t="str">
        <f>IF('Phytopl Count'!O93=0,"",'Phytopl Count'!O93*'Phytopl Count'!O$13/'Phytopl Count'!O$8)</f>
        <v/>
      </c>
      <c r="P93" s="31" t="str">
        <f>IF('Phytopl Count'!P93=0,"",'Phytopl Count'!P93*'Phytopl Count'!P$13/'Phytopl Count'!P$8)</f>
        <v/>
      </c>
      <c r="Q93" s="31" t="str">
        <f>IF('Phytopl Count'!Q93=0,"",'Phytopl Count'!Q93*'Phytopl Count'!Q$13/'Phytopl Count'!Q$8)</f>
        <v/>
      </c>
      <c r="R93" s="31" t="str">
        <f>IF('Phytopl Count'!R93=0,"",'Phytopl Count'!R93*'Phytopl Count'!R$13/'Phytopl Count'!R$8)</f>
        <v/>
      </c>
      <c r="S93" s="31" t="str">
        <f>IF('Phytopl Count'!S93=0,"",'Phytopl Count'!S93*'Phytopl Count'!S$13/'Phytopl Count'!S$8)</f>
        <v/>
      </c>
      <c r="T93" s="31" t="str">
        <f>IF('Phytopl Count'!T93=0,"",'Phytopl Count'!T93*'Phytopl Count'!T$13/'Phytopl Count'!T$8)</f>
        <v/>
      </c>
      <c r="U93" s="31" t="str">
        <f>IF('Phytopl Count'!U93=0,"",'Phytopl Count'!U93*'Phytopl Count'!U$13/'Phytopl Count'!U$8)</f>
        <v/>
      </c>
      <c r="V93" s="31" t="str">
        <f>IF('Phytopl Count'!V93=0,"",'Phytopl Count'!V93*'Phytopl Count'!V$13/'Phytopl Count'!V$8)</f>
        <v/>
      </c>
      <c r="W93" s="31" t="str">
        <f>IF('Phytopl Count'!W93=0,"",'Phytopl Count'!W93*'Phytopl Count'!W$13/'Phytopl Count'!W$8)</f>
        <v/>
      </c>
      <c r="X93" s="31" t="str">
        <f>IF('Phytopl Count'!X93=0,"",'Phytopl Count'!X93*'Phytopl Count'!X$13/'Phytopl Count'!X$8)</f>
        <v/>
      </c>
      <c r="Y93" s="31" t="str">
        <f>IF('Phytopl Count'!Y93=0,"",'Phytopl Count'!Y93*'Phytopl Count'!Y$13/'Phytopl Count'!Y$8)</f>
        <v/>
      </c>
      <c r="Z93" s="31" t="str">
        <f>IF('Phytopl Count'!Z93=0,"",'Phytopl Count'!Z93*'Phytopl Count'!Z$13/'Phytopl Count'!Z$8)</f>
        <v/>
      </c>
      <c r="AA93" s="31" t="str">
        <f>IF('Phytopl Count'!AA93=0,"",'Phytopl Count'!AA93*'Phytopl Count'!AA$13/'Phytopl Count'!AA$8)</f>
        <v/>
      </c>
      <c r="AB93" s="31" t="str">
        <f>IF('Phytopl Count'!AB93=0,"",'Phytopl Count'!AB93*'Phytopl Count'!AB$13/'Phytopl Count'!AB$8)</f>
        <v/>
      </c>
      <c r="AC93" s="31" t="str">
        <f>IF('Phytopl Count'!AC93=0,"",'Phytopl Count'!AC93*'Phytopl Count'!AC$13/'Phytopl Count'!AC$8)</f>
        <v/>
      </c>
      <c r="AD93" s="31" t="str">
        <f>IF('Phytopl Count'!AD93=0,"",'Phytopl Count'!AD93*'Phytopl Count'!AD$13/'Phytopl Count'!AD$8)</f>
        <v/>
      </c>
      <c r="AE93" s="31" t="str">
        <f>IF('Phytopl Count'!AE93=0,"",'Phytopl Count'!AE93*'Phytopl Count'!AE$13/'Phytopl Count'!AE$8)</f>
        <v/>
      </c>
      <c r="AF93" s="31" t="str">
        <f>IF('Phytopl Count'!AF93=0,"",'Phytopl Count'!AF93*'Phytopl Count'!AF$13/'Phytopl Count'!AF$8)</f>
        <v/>
      </c>
    </row>
    <row r="94" spans="1:32">
      <c r="A94" s="10"/>
      <c r="B94" s="10"/>
      <c r="C94" s="10"/>
      <c r="D94" s="10" t="s">
        <v>5</v>
      </c>
      <c r="E94" s="5" t="s">
        <v>22</v>
      </c>
      <c r="F94" s="9"/>
      <c r="G94" s="31" t="str">
        <f>IF('Phytopl Count'!G94=0,"",'Phytopl Count'!G94*'Phytopl Count'!G$13/'Phytopl Count'!G$8)</f>
        <v/>
      </c>
      <c r="H94" s="31" t="str">
        <f>IF('Phytopl Count'!H94=0,"",'Phytopl Count'!H94*'Phytopl Count'!H$13/'Phytopl Count'!H$8)</f>
        <v/>
      </c>
      <c r="I94" s="31" t="str">
        <f>IF('Phytopl Count'!I94=0,"",'Phytopl Count'!I94*'Phytopl Count'!I$13/'Phytopl Count'!I$8)</f>
        <v/>
      </c>
      <c r="J94" s="31" t="str">
        <f>IF('Phytopl Count'!J94=0,"",'Phytopl Count'!J94*'Phytopl Count'!J$13/'Phytopl Count'!J$8)</f>
        <v/>
      </c>
      <c r="K94" s="31" t="str">
        <f>IF('Phytopl Count'!K94=0,"",'Phytopl Count'!K94*'Phytopl Count'!K$13/'Phytopl Count'!K$8)</f>
        <v/>
      </c>
      <c r="L94" s="31" t="str">
        <f>IF('Phytopl Count'!L94=0,"",'Phytopl Count'!L94*'Phytopl Count'!L$13/'Phytopl Count'!L$8)</f>
        <v/>
      </c>
      <c r="M94" s="31" t="str">
        <f>IF('Phytopl Count'!M94=0,"",'Phytopl Count'!M94*'Phytopl Count'!M$13/'Phytopl Count'!M$8)</f>
        <v/>
      </c>
      <c r="N94" s="31" t="str">
        <f>IF('Phytopl Count'!N94=0,"",'Phytopl Count'!N94*'Phytopl Count'!N$13/'Phytopl Count'!N$8)</f>
        <v/>
      </c>
      <c r="O94" s="31" t="str">
        <f>IF('Phytopl Count'!O94=0,"",'Phytopl Count'!O94*'Phytopl Count'!O$13/'Phytopl Count'!O$8)</f>
        <v/>
      </c>
      <c r="P94" s="31" t="str">
        <f>IF('Phytopl Count'!P94=0,"",'Phytopl Count'!P94*'Phytopl Count'!P$13/'Phytopl Count'!P$8)</f>
        <v/>
      </c>
      <c r="Q94" s="31" t="str">
        <f>IF('Phytopl Count'!Q94=0,"",'Phytopl Count'!Q94*'Phytopl Count'!Q$13/'Phytopl Count'!Q$8)</f>
        <v/>
      </c>
      <c r="R94" s="31" t="str">
        <f>IF('Phytopl Count'!R94=0,"",'Phytopl Count'!R94*'Phytopl Count'!R$13/'Phytopl Count'!R$8)</f>
        <v/>
      </c>
      <c r="S94" s="31" t="str">
        <f>IF('Phytopl Count'!S94=0,"",'Phytopl Count'!S94*'Phytopl Count'!S$13/'Phytopl Count'!S$8)</f>
        <v/>
      </c>
      <c r="T94" s="31" t="str">
        <f>IF('Phytopl Count'!T94=0,"",'Phytopl Count'!T94*'Phytopl Count'!T$13/'Phytopl Count'!T$8)</f>
        <v/>
      </c>
      <c r="U94" s="31" t="str">
        <f>IF('Phytopl Count'!U94=0,"",'Phytopl Count'!U94*'Phytopl Count'!U$13/'Phytopl Count'!U$8)</f>
        <v/>
      </c>
      <c r="V94" s="31" t="str">
        <f>IF('Phytopl Count'!V94=0,"",'Phytopl Count'!V94*'Phytopl Count'!V$13/'Phytopl Count'!V$8)</f>
        <v/>
      </c>
      <c r="W94" s="31" t="str">
        <f>IF('Phytopl Count'!W94=0,"",'Phytopl Count'!W94*'Phytopl Count'!W$13/'Phytopl Count'!W$8)</f>
        <v/>
      </c>
      <c r="X94" s="31" t="str">
        <f>IF('Phytopl Count'!X94=0,"",'Phytopl Count'!X94*'Phytopl Count'!X$13/'Phytopl Count'!X$8)</f>
        <v/>
      </c>
      <c r="Y94" s="31" t="str">
        <f>IF('Phytopl Count'!Y94=0,"",'Phytopl Count'!Y94*'Phytopl Count'!Y$13/'Phytopl Count'!Y$8)</f>
        <v/>
      </c>
      <c r="Z94" s="31" t="str">
        <f>IF('Phytopl Count'!Z94=0,"",'Phytopl Count'!Z94*'Phytopl Count'!Z$13/'Phytopl Count'!Z$8)</f>
        <v/>
      </c>
      <c r="AA94" s="31" t="str">
        <f>IF('Phytopl Count'!AA94=0,"",'Phytopl Count'!AA94*'Phytopl Count'!AA$13/'Phytopl Count'!AA$8)</f>
        <v/>
      </c>
      <c r="AB94" s="31" t="str">
        <f>IF('Phytopl Count'!AB94=0,"",'Phytopl Count'!AB94*'Phytopl Count'!AB$13/'Phytopl Count'!AB$8)</f>
        <v/>
      </c>
      <c r="AC94" s="31" t="str">
        <f>IF('Phytopl Count'!AC94=0,"",'Phytopl Count'!AC94*'Phytopl Count'!AC$13/'Phytopl Count'!AC$8)</f>
        <v/>
      </c>
      <c r="AD94" s="31" t="str">
        <f>IF('Phytopl Count'!AD94=0,"",'Phytopl Count'!AD94*'Phytopl Count'!AD$13/'Phytopl Count'!AD$8)</f>
        <v/>
      </c>
      <c r="AE94" s="31" t="str">
        <f>IF('Phytopl Count'!AE94=0,"",'Phytopl Count'!AE94*'Phytopl Count'!AE$13/'Phytopl Count'!AE$8)</f>
        <v/>
      </c>
      <c r="AF94" s="31" t="str">
        <f>IF('Phytopl Count'!AF94=0,"",'Phytopl Count'!AF94*'Phytopl Count'!AF$13/'Phytopl Count'!AF$8)</f>
        <v/>
      </c>
    </row>
    <row r="95" spans="1:32">
      <c r="A95" s="10"/>
      <c r="B95" s="10"/>
      <c r="C95" s="10"/>
      <c r="D95" s="10"/>
      <c r="E95" s="10" t="s">
        <v>6</v>
      </c>
      <c r="F95" s="11" t="s">
        <v>23</v>
      </c>
      <c r="G95" s="31">
        <f>IF('Phytopl Count'!G95=0,"",'Phytopl Count'!G95*'Phytopl Count'!G$13/'Phytopl Count'!G$8)</f>
        <v>0.10677061171783335</v>
      </c>
      <c r="H95" s="31">
        <f>IF('Phytopl Count'!H95=0,"",'Phytopl Count'!H95*'Phytopl Count'!H$13/'Phytopl Count'!H$8)</f>
        <v>0.67265485382235013</v>
      </c>
      <c r="I95" s="31">
        <f>IF('Phytopl Count'!I95=0,"",'Phytopl Count'!I95*'Phytopl Count'!I$13/'Phytopl Count'!I$8)</f>
        <v>5.6054571151862506E-2</v>
      </c>
      <c r="J95" s="31">
        <f>IF('Phytopl Count'!J95=0,"",'Phytopl Count'!J95*'Phytopl Count'!J$13/'Phytopl Count'!J$8)</f>
        <v>0.28027285575931249</v>
      </c>
      <c r="K95" s="31">
        <f>IF('Phytopl Count'!K95=0,"",'Phytopl Count'!K95*'Phytopl Count'!K$13/'Phytopl Count'!K$8)</f>
        <v>0.19218710109210005</v>
      </c>
      <c r="L95" s="31">
        <f>IF('Phytopl Count'!L95=0,"",'Phytopl Count'!L95*'Phytopl Count'!L$13/'Phytopl Count'!L$8)</f>
        <v>4.8046775273025012E-2</v>
      </c>
      <c r="M95" s="31" t="str">
        <f>IF('Phytopl Count'!M95=0,"",'Phytopl Count'!M95*'Phytopl Count'!M$13/'Phytopl Count'!M$8)</f>
        <v/>
      </c>
      <c r="N95" s="31">
        <f>IF('Phytopl Count'!N95=0,"",'Phytopl Count'!N95*'Phytopl Count'!N$13/'Phytopl Count'!N$8)</f>
        <v>0.24023387636512505</v>
      </c>
      <c r="O95" s="31">
        <f>IF('Phytopl Count'!O95=0,"",'Phytopl Count'!O95*'Phytopl Count'!O$13/'Phytopl Count'!O$8)</f>
        <v>0.35234301866885004</v>
      </c>
      <c r="P95" s="31">
        <f>IF('Phytopl Count'!P95=0,"",'Phytopl Count'!P95*'Phytopl Count'!P$13/'Phytopl Count'!P$8)</f>
        <v>9.6093550546050024E-2</v>
      </c>
      <c r="Q95" s="31">
        <f>IF('Phytopl Count'!Q95=0,"",'Phytopl Count'!Q95*'Phytopl Count'!Q$13/'Phytopl Count'!Q$8)</f>
        <v>0.12011693818256251</v>
      </c>
      <c r="R95" s="31">
        <f>IF('Phytopl Count'!R95=0,"",'Phytopl Count'!R95*'Phytopl Count'!R$13/'Phytopl Count'!R$8)</f>
        <v>3.2031183515350004E-2</v>
      </c>
      <c r="S95" s="31">
        <f>IF('Phytopl Count'!S95=0,"",'Phytopl Count'!S95*'Phytopl Count'!S$13/'Phytopl Count'!S$8)</f>
        <v>9.6093550546050024E-2</v>
      </c>
      <c r="T95" s="31">
        <f>IF('Phytopl Count'!T95=0,"",'Phytopl Count'!T95*'Phytopl Count'!T$13/'Phytopl Count'!T$8)</f>
        <v>9.6093550546050024E-2</v>
      </c>
      <c r="U95" s="31">
        <f>IF('Phytopl Count'!U95=0,"",'Phytopl Count'!U95*'Phytopl Count'!U$13/'Phytopl Count'!U$8)</f>
        <v>0.19218710109210005</v>
      </c>
      <c r="V95" s="31">
        <f>IF('Phytopl Count'!V95=0,"",'Phytopl Count'!V95*'Phytopl Count'!V$13/'Phytopl Count'!V$8)</f>
        <v>0.16015591757675002</v>
      </c>
      <c r="W95" s="31">
        <f>IF('Phytopl Count'!W95=0,"",'Phytopl Count'!W95*'Phytopl Count'!W$13/'Phytopl Count'!W$8)</f>
        <v>4.8046775273025012E-2</v>
      </c>
      <c r="X95" s="31" t="str">
        <f>IF('Phytopl Count'!X95=0,"",'Phytopl Count'!X95*'Phytopl Count'!X$13/'Phytopl Count'!X$8)</f>
        <v/>
      </c>
      <c r="Y95" s="31">
        <f>IF('Phytopl Count'!Y95=0,"",'Phytopl Count'!Y95*'Phytopl Count'!Y$13/'Phytopl Count'!Y$8)</f>
        <v>7.2070162909537508E-2</v>
      </c>
      <c r="Z95" s="31" t="str">
        <f>IF('Phytopl Count'!Z95=0,"",'Phytopl Count'!Z95*'Phytopl Count'!Z$13/'Phytopl Count'!Z$8)</f>
        <v/>
      </c>
      <c r="AA95" s="31">
        <f>IF('Phytopl Count'!AA95=0,"",'Phytopl Count'!AA95*'Phytopl Count'!AA$13/'Phytopl Count'!AA$8)</f>
        <v>6.4062367030700007E-2</v>
      </c>
      <c r="AB95" s="31">
        <f>IF('Phytopl Count'!AB95=0,"",'Phytopl Count'!AB95*'Phytopl Count'!AB$13/'Phytopl Count'!AB$8)</f>
        <v>4.0038979394187504E-2</v>
      </c>
      <c r="AC95" s="31">
        <f>IF('Phytopl Count'!AC95=0,"",'Phytopl Count'!AC95*'Phytopl Count'!AC$13/'Phytopl Count'!AC$8)</f>
        <v>0.19218710109210005</v>
      </c>
      <c r="AD95" s="31">
        <f>IF('Phytopl Count'!AD95=0,"",'Phytopl Count'!AD95*'Phytopl Count'!AD$13/'Phytopl Count'!AD$8)</f>
        <v>0.22421828460745002</v>
      </c>
      <c r="AE95" s="31">
        <f>IF('Phytopl Count'!AE95=0,"",'Phytopl Count'!AE95*'Phytopl Count'!AE$13/'Phytopl Count'!AE$8)</f>
        <v>4.8046775273025012E-2</v>
      </c>
      <c r="AF95" s="31">
        <f>IF('Phytopl Count'!AF95=0,"",'Phytopl Count'!AF95*'Phytopl Count'!AF$13/'Phytopl Count'!AF$8)</f>
        <v>0.7687484043684002</v>
      </c>
    </row>
    <row r="96" spans="1:32" hidden="1">
      <c r="A96" s="10"/>
      <c r="B96" s="10"/>
      <c r="C96" s="10"/>
      <c r="D96" s="10"/>
      <c r="E96" s="10"/>
      <c r="F96" s="11" t="s">
        <v>353</v>
      </c>
      <c r="G96" s="31" t="str">
        <f>IF('Phytopl Count'!G96=0,"",'Phytopl Count'!G96*'Phytopl Count'!G$13/'Phytopl Count'!G$8)</f>
        <v/>
      </c>
      <c r="H96" s="31" t="str">
        <f>IF('Phytopl Count'!H96=0,"",'Phytopl Count'!H96*'Phytopl Count'!H$13/'Phytopl Count'!H$8)</f>
        <v/>
      </c>
      <c r="I96" s="31" t="str">
        <f>IF('Phytopl Count'!I96=0,"",'Phytopl Count'!I96*'Phytopl Count'!I$13/'Phytopl Count'!I$8)</f>
        <v/>
      </c>
      <c r="J96" s="31" t="str">
        <f>IF('Phytopl Count'!J96=0,"",'Phytopl Count'!J96*'Phytopl Count'!J$13/'Phytopl Count'!J$8)</f>
        <v/>
      </c>
      <c r="K96" s="31" t="str">
        <f>IF('Phytopl Count'!K96=0,"",'Phytopl Count'!K96*'Phytopl Count'!K$13/'Phytopl Count'!K$8)</f>
        <v/>
      </c>
      <c r="L96" s="31" t="str">
        <f>IF('Phytopl Count'!L96=0,"",'Phytopl Count'!L96*'Phytopl Count'!L$13/'Phytopl Count'!L$8)</f>
        <v/>
      </c>
      <c r="M96" s="31" t="str">
        <f>IF('Phytopl Count'!M96=0,"",'Phytopl Count'!M96*'Phytopl Count'!M$13/'Phytopl Count'!M$8)</f>
        <v/>
      </c>
      <c r="N96" s="31" t="str">
        <f>IF('Phytopl Count'!N96=0,"",'Phytopl Count'!N96*'Phytopl Count'!N$13/'Phytopl Count'!N$8)</f>
        <v/>
      </c>
      <c r="O96" s="31" t="str">
        <f>IF('Phytopl Count'!O96=0,"",'Phytopl Count'!O96*'Phytopl Count'!O$13/'Phytopl Count'!O$8)</f>
        <v/>
      </c>
      <c r="P96" s="31" t="str">
        <f>IF('Phytopl Count'!P96=0,"",'Phytopl Count'!P96*'Phytopl Count'!P$13/'Phytopl Count'!P$8)</f>
        <v/>
      </c>
      <c r="Q96" s="31" t="str">
        <f>IF('Phytopl Count'!Q96=0,"",'Phytopl Count'!Q96*'Phytopl Count'!Q$13/'Phytopl Count'!Q$8)</f>
        <v/>
      </c>
      <c r="R96" s="31" t="str">
        <f>IF('Phytopl Count'!R96=0,"",'Phytopl Count'!R96*'Phytopl Count'!R$13/'Phytopl Count'!R$8)</f>
        <v/>
      </c>
      <c r="S96" s="31" t="str">
        <f>IF('Phytopl Count'!S96=0,"",'Phytopl Count'!S96*'Phytopl Count'!S$13/'Phytopl Count'!S$8)</f>
        <v/>
      </c>
      <c r="T96" s="31" t="str">
        <f>IF('Phytopl Count'!T96=0,"",'Phytopl Count'!T96*'Phytopl Count'!T$13/'Phytopl Count'!T$8)</f>
        <v/>
      </c>
      <c r="U96" s="31" t="str">
        <f>IF('Phytopl Count'!U96=0,"",'Phytopl Count'!U96*'Phytopl Count'!U$13/'Phytopl Count'!U$8)</f>
        <v/>
      </c>
      <c r="V96" s="31" t="str">
        <f>IF('Phytopl Count'!V96=0,"",'Phytopl Count'!V96*'Phytopl Count'!V$13/'Phytopl Count'!V$8)</f>
        <v/>
      </c>
      <c r="W96" s="31" t="str">
        <f>IF('Phytopl Count'!W96=0,"",'Phytopl Count'!W96*'Phytopl Count'!W$13/'Phytopl Count'!W$8)</f>
        <v/>
      </c>
      <c r="X96" s="31" t="str">
        <f>IF('Phytopl Count'!X96=0,"",'Phytopl Count'!X96*'Phytopl Count'!X$13/'Phytopl Count'!X$8)</f>
        <v/>
      </c>
      <c r="Y96" s="31" t="str">
        <f>IF('Phytopl Count'!Y96=0,"",'Phytopl Count'!Y96*'Phytopl Count'!Y$13/'Phytopl Count'!Y$8)</f>
        <v/>
      </c>
      <c r="Z96" s="31" t="str">
        <f>IF('Phytopl Count'!Z96=0,"",'Phytopl Count'!Z96*'Phytopl Count'!Z$13/'Phytopl Count'!Z$8)</f>
        <v/>
      </c>
      <c r="AA96" s="31" t="str">
        <f>IF('Phytopl Count'!AA96=0,"",'Phytopl Count'!AA96*'Phytopl Count'!AA$13/'Phytopl Count'!AA$8)</f>
        <v/>
      </c>
      <c r="AB96" s="31" t="str">
        <f>IF('Phytopl Count'!AB96=0,"",'Phytopl Count'!AB96*'Phytopl Count'!AB$13/'Phytopl Count'!AB$8)</f>
        <v/>
      </c>
      <c r="AC96" s="31" t="str">
        <f>IF('Phytopl Count'!AC96=0,"",'Phytopl Count'!AC96*'Phytopl Count'!AC$13/'Phytopl Count'!AC$8)</f>
        <v/>
      </c>
      <c r="AD96" s="31" t="str">
        <f>IF('Phytopl Count'!AD96=0,"",'Phytopl Count'!AD96*'Phytopl Count'!AD$13/'Phytopl Count'!AD$8)</f>
        <v/>
      </c>
      <c r="AE96" s="31" t="str">
        <f>IF('Phytopl Count'!AE96=0,"",'Phytopl Count'!AE96*'Phytopl Count'!AE$13/'Phytopl Count'!AE$8)</f>
        <v/>
      </c>
      <c r="AF96" s="31" t="str">
        <f>IF('Phytopl Count'!AF96=0,"",'Phytopl Count'!AF96*'Phytopl Count'!AF$13/'Phytopl Count'!AF$8)</f>
        <v/>
      </c>
    </row>
    <row r="97" spans="1:32" hidden="1">
      <c r="D97" s="10" t="s">
        <v>5</v>
      </c>
      <c r="E97" s="171" t="s">
        <v>392</v>
      </c>
      <c r="F97" s="11"/>
      <c r="G97" s="31" t="str">
        <f>IF('Phytopl Count'!G97=0,"",'Phytopl Count'!G97*'Phytopl Count'!G$13/'Phytopl Count'!G$8)</f>
        <v/>
      </c>
      <c r="H97" s="31" t="str">
        <f>IF('Phytopl Count'!H97=0,"",'Phytopl Count'!H97*'Phytopl Count'!H$13/'Phytopl Count'!H$8)</f>
        <v/>
      </c>
      <c r="I97" s="31" t="str">
        <f>IF('Phytopl Count'!I97=0,"",'Phytopl Count'!I97*'Phytopl Count'!I$13/'Phytopl Count'!I$8)</f>
        <v/>
      </c>
      <c r="J97" s="31" t="str">
        <f>IF('Phytopl Count'!J97=0,"",'Phytopl Count'!J97*'Phytopl Count'!J$13/'Phytopl Count'!J$8)</f>
        <v/>
      </c>
      <c r="K97" s="31" t="str">
        <f>IF('Phytopl Count'!K97=0,"",'Phytopl Count'!K97*'Phytopl Count'!K$13/'Phytopl Count'!K$8)</f>
        <v/>
      </c>
      <c r="L97" s="31" t="str">
        <f>IF('Phytopl Count'!L97=0,"",'Phytopl Count'!L97*'Phytopl Count'!L$13/'Phytopl Count'!L$8)</f>
        <v/>
      </c>
      <c r="M97" s="31" t="str">
        <f>IF('Phytopl Count'!M97=0,"",'Phytopl Count'!M97*'Phytopl Count'!M$13/'Phytopl Count'!M$8)</f>
        <v/>
      </c>
      <c r="N97" s="31" t="str">
        <f>IF('Phytopl Count'!N97=0,"",'Phytopl Count'!N97*'Phytopl Count'!N$13/'Phytopl Count'!N$8)</f>
        <v/>
      </c>
      <c r="O97" s="31" t="str">
        <f>IF('Phytopl Count'!O97=0,"",'Phytopl Count'!O97*'Phytopl Count'!O$13/'Phytopl Count'!O$8)</f>
        <v/>
      </c>
      <c r="P97" s="31" t="str">
        <f>IF('Phytopl Count'!P97=0,"",'Phytopl Count'!P97*'Phytopl Count'!P$13/'Phytopl Count'!P$8)</f>
        <v/>
      </c>
      <c r="Q97" s="31" t="str">
        <f>IF('Phytopl Count'!Q97=0,"",'Phytopl Count'!Q97*'Phytopl Count'!Q$13/'Phytopl Count'!Q$8)</f>
        <v/>
      </c>
      <c r="R97" s="31" t="str">
        <f>IF('Phytopl Count'!R97=0,"",'Phytopl Count'!R97*'Phytopl Count'!R$13/'Phytopl Count'!R$8)</f>
        <v/>
      </c>
      <c r="S97" s="31" t="str">
        <f>IF('Phytopl Count'!S97=0,"",'Phytopl Count'!S97*'Phytopl Count'!S$13/'Phytopl Count'!S$8)</f>
        <v/>
      </c>
      <c r="T97" s="31" t="str">
        <f>IF('Phytopl Count'!T97=0,"",'Phytopl Count'!T97*'Phytopl Count'!T$13/'Phytopl Count'!T$8)</f>
        <v/>
      </c>
      <c r="U97" s="31" t="str">
        <f>IF('Phytopl Count'!U97=0,"",'Phytopl Count'!U97*'Phytopl Count'!U$13/'Phytopl Count'!U$8)</f>
        <v/>
      </c>
      <c r="V97" s="31" t="str">
        <f>IF('Phytopl Count'!V97=0,"",'Phytopl Count'!V97*'Phytopl Count'!V$13/'Phytopl Count'!V$8)</f>
        <v/>
      </c>
      <c r="W97" s="31" t="str">
        <f>IF('Phytopl Count'!W97=0,"",'Phytopl Count'!W97*'Phytopl Count'!W$13/'Phytopl Count'!W$8)</f>
        <v/>
      </c>
      <c r="X97" s="31" t="str">
        <f>IF('Phytopl Count'!X97=0,"",'Phytopl Count'!X97*'Phytopl Count'!X$13/'Phytopl Count'!X$8)</f>
        <v/>
      </c>
      <c r="Y97" s="31" t="str">
        <f>IF('Phytopl Count'!Y97=0,"",'Phytopl Count'!Y97*'Phytopl Count'!Y$13/'Phytopl Count'!Y$8)</f>
        <v/>
      </c>
      <c r="Z97" s="31" t="str">
        <f>IF('Phytopl Count'!Z97=0,"",'Phytopl Count'!Z97*'Phytopl Count'!Z$13/'Phytopl Count'!Z$8)</f>
        <v/>
      </c>
      <c r="AA97" s="31" t="str">
        <f>IF('Phytopl Count'!AA97=0,"",'Phytopl Count'!AA97*'Phytopl Count'!AA$13/'Phytopl Count'!AA$8)</f>
        <v/>
      </c>
      <c r="AB97" s="31" t="str">
        <f>IF('Phytopl Count'!AB97=0,"",'Phytopl Count'!AB97*'Phytopl Count'!AB$13/'Phytopl Count'!AB$8)</f>
        <v/>
      </c>
      <c r="AC97" s="31" t="str">
        <f>IF('Phytopl Count'!AC97=0,"",'Phytopl Count'!AC97*'Phytopl Count'!AC$13/'Phytopl Count'!AC$8)</f>
        <v/>
      </c>
      <c r="AD97" s="31" t="str">
        <f>IF('Phytopl Count'!AD97=0,"",'Phytopl Count'!AD97*'Phytopl Count'!AD$13/'Phytopl Count'!AD$8)</f>
        <v/>
      </c>
      <c r="AE97" s="31" t="str">
        <f>IF('Phytopl Count'!AE97=0,"",'Phytopl Count'!AE97*'Phytopl Count'!AE$13/'Phytopl Count'!AE$8)</f>
        <v/>
      </c>
      <c r="AF97" s="31" t="str">
        <f>IF('Phytopl Count'!AF97=0,"",'Phytopl Count'!AF97*'Phytopl Count'!AF$13/'Phytopl Count'!AF$8)</f>
        <v/>
      </c>
    </row>
    <row r="98" spans="1:32" hidden="1">
      <c r="D98" s="10"/>
      <c r="E98" s="10" t="s">
        <v>6</v>
      </c>
      <c r="F98" s="11" t="s">
        <v>393</v>
      </c>
      <c r="G98" s="31" t="str">
        <f>IF('Phytopl Count'!G98=0,"",'Phytopl Count'!G98*'Phytopl Count'!G$13/'Phytopl Count'!G$8)</f>
        <v/>
      </c>
      <c r="H98" s="31" t="str">
        <f>IF('Phytopl Count'!H98=0,"",'Phytopl Count'!H98*'Phytopl Count'!H$13/'Phytopl Count'!H$8)</f>
        <v/>
      </c>
      <c r="I98" s="31" t="str">
        <f>IF('Phytopl Count'!I98=0,"",'Phytopl Count'!I98*'Phytopl Count'!I$13/'Phytopl Count'!I$8)</f>
        <v/>
      </c>
      <c r="J98" s="31" t="str">
        <f>IF('Phytopl Count'!J98=0,"",'Phytopl Count'!J98*'Phytopl Count'!J$13/'Phytopl Count'!J$8)</f>
        <v/>
      </c>
      <c r="K98" s="31" t="str">
        <f>IF('Phytopl Count'!K98=0,"",'Phytopl Count'!K98*'Phytopl Count'!K$13/'Phytopl Count'!K$8)</f>
        <v/>
      </c>
      <c r="L98" s="31" t="str">
        <f>IF('Phytopl Count'!L98=0,"",'Phytopl Count'!L98*'Phytopl Count'!L$13/'Phytopl Count'!L$8)</f>
        <v/>
      </c>
      <c r="M98" s="31" t="str">
        <f>IF('Phytopl Count'!M98=0,"",'Phytopl Count'!M98*'Phytopl Count'!M$13/'Phytopl Count'!M$8)</f>
        <v/>
      </c>
      <c r="N98" s="31" t="str">
        <f>IF('Phytopl Count'!N98=0,"",'Phytopl Count'!N98*'Phytopl Count'!N$13/'Phytopl Count'!N$8)</f>
        <v/>
      </c>
      <c r="O98" s="31" t="str">
        <f>IF('Phytopl Count'!O98=0,"",'Phytopl Count'!O98*'Phytopl Count'!O$13/'Phytopl Count'!O$8)</f>
        <v/>
      </c>
      <c r="P98" s="31" t="str">
        <f>IF('Phytopl Count'!P98=0,"",'Phytopl Count'!P98*'Phytopl Count'!P$13/'Phytopl Count'!P$8)</f>
        <v/>
      </c>
      <c r="Q98" s="31" t="str">
        <f>IF('Phytopl Count'!Q98=0,"",'Phytopl Count'!Q98*'Phytopl Count'!Q$13/'Phytopl Count'!Q$8)</f>
        <v/>
      </c>
      <c r="R98" s="31" t="str">
        <f>IF('Phytopl Count'!R98=0,"",'Phytopl Count'!R98*'Phytopl Count'!R$13/'Phytopl Count'!R$8)</f>
        <v/>
      </c>
      <c r="S98" s="31" t="str">
        <f>IF('Phytopl Count'!S98=0,"",'Phytopl Count'!S98*'Phytopl Count'!S$13/'Phytopl Count'!S$8)</f>
        <v/>
      </c>
      <c r="T98" s="31" t="str">
        <f>IF('Phytopl Count'!T98=0,"",'Phytopl Count'!T98*'Phytopl Count'!T$13/'Phytopl Count'!T$8)</f>
        <v/>
      </c>
      <c r="U98" s="31" t="str">
        <f>IF('Phytopl Count'!U98=0,"",'Phytopl Count'!U98*'Phytopl Count'!U$13/'Phytopl Count'!U$8)</f>
        <v/>
      </c>
      <c r="V98" s="31" t="str">
        <f>IF('Phytopl Count'!V98=0,"",'Phytopl Count'!V98*'Phytopl Count'!V$13/'Phytopl Count'!V$8)</f>
        <v/>
      </c>
      <c r="W98" s="31" t="str">
        <f>IF('Phytopl Count'!W98=0,"",'Phytopl Count'!W98*'Phytopl Count'!W$13/'Phytopl Count'!W$8)</f>
        <v/>
      </c>
      <c r="X98" s="31" t="str">
        <f>IF('Phytopl Count'!X98=0,"",'Phytopl Count'!X98*'Phytopl Count'!X$13/'Phytopl Count'!X$8)</f>
        <v/>
      </c>
      <c r="Y98" s="31" t="str">
        <f>IF('Phytopl Count'!Y98=0,"",'Phytopl Count'!Y98*'Phytopl Count'!Y$13/'Phytopl Count'!Y$8)</f>
        <v/>
      </c>
      <c r="Z98" s="31" t="str">
        <f>IF('Phytopl Count'!Z98=0,"",'Phytopl Count'!Z98*'Phytopl Count'!Z$13/'Phytopl Count'!Z$8)</f>
        <v/>
      </c>
      <c r="AA98" s="31" t="str">
        <f>IF('Phytopl Count'!AA98=0,"",'Phytopl Count'!AA98*'Phytopl Count'!AA$13/'Phytopl Count'!AA$8)</f>
        <v/>
      </c>
      <c r="AB98" s="31" t="str">
        <f>IF('Phytopl Count'!AB98=0,"",'Phytopl Count'!AB98*'Phytopl Count'!AB$13/'Phytopl Count'!AB$8)</f>
        <v/>
      </c>
      <c r="AC98" s="31" t="str">
        <f>IF('Phytopl Count'!AC98=0,"",'Phytopl Count'!AC98*'Phytopl Count'!AC$13/'Phytopl Count'!AC$8)</f>
        <v/>
      </c>
      <c r="AD98" s="31" t="str">
        <f>IF('Phytopl Count'!AD98=0,"",'Phytopl Count'!AD98*'Phytopl Count'!AD$13/'Phytopl Count'!AD$8)</f>
        <v/>
      </c>
      <c r="AE98" s="31" t="str">
        <f>IF('Phytopl Count'!AE98=0,"",'Phytopl Count'!AE98*'Phytopl Count'!AE$13/'Phytopl Count'!AE$8)</f>
        <v/>
      </c>
      <c r="AF98" s="31" t="str">
        <f>IF('Phytopl Count'!AF98=0,"",'Phytopl Count'!AF98*'Phytopl Count'!AF$13/'Phytopl Count'!AF$8)</f>
        <v/>
      </c>
    </row>
    <row r="99" spans="1:32" hidden="1">
      <c r="D99" s="10" t="s">
        <v>5</v>
      </c>
      <c r="E99" s="12" t="s">
        <v>24</v>
      </c>
      <c r="F99" s="11"/>
      <c r="G99" s="31" t="str">
        <f>IF('Phytopl Count'!G99=0,"",'Phytopl Count'!G99*'Phytopl Count'!G$13/'Phytopl Count'!G$8)</f>
        <v/>
      </c>
      <c r="H99" s="31" t="str">
        <f>IF('Phytopl Count'!H99=0,"",'Phytopl Count'!H99*'Phytopl Count'!H$13/'Phytopl Count'!H$8)</f>
        <v/>
      </c>
      <c r="I99" s="31" t="str">
        <f>IF('Phytopl Count'!I99=0,"",'Phytopl Count'!I99*'Phytopl Count'!I$13/'Phytopl Count'!I$8)</f>
        <v/>
      </c>
      <c r="J99" s="31" t="str">
        <f>IF('Phytopl Count'!J99=0,"",'Phytopl Count'!J99*'Phytopl Count'!J$13/'Phytopl Count'!J$8)</f>
        <v/>
      </c>
      <c r="K99" s="31" t="str">
        <f>IF('Phytopl Count'!K99=0,"",'Phytopl Count'!K99*'Phytopl Count'!K$13/'Phytopl Count'!K$8)</f>
        <v/>
      </c>
      <c r="L99" s="31" t="str">
        <f>IF('Phytopl Count'!L99=0,"",'Phytopl Count'!L99*'Phytopl Count'!L$13/'Phytopl Count'!L$8)</f>
        <v/>
      </c>
      <c r="M99" s="31" t="str">
        <f>IF('Phytopl Count'!M99=0,"",'Phytopl Count'!M99*'Phytopl Count'!M$13/'Phytopl Count'!M$8)</f>
        <v/>
      </c>
      <c r="N99" s="31" t="str">
        <f>IF('Phytopl Count'!N99=0,"",'Phytopl Count'!N99*'Phytopl Count'!N$13/'Phytopl Count'!N$8)</f>
        <v/>
      </c>
      <c r="O99" s="31" t="str">
        <f>IF('Phytopl Count'!O99=0,"",'Phytopl Count'!O99*'Phytopl Count'!O$13/'Phytopl Count'!O$8)</f>
        <v/>
      </c>
      <c r="P99" s="31" t="str">
        <f>IF('Phytopl Count'!P99=0,"",'Phytopl Count'!P99*'Phytopl Count'!P$13/'Phytopl Count'!P$8)</f>
        <v/>
      </c>
      <c r="Q99" s="31" t="str">
        <f>IF('Phytopl Count'!Q99=0,"",'Phytopl Count'!Q99*'Phytopl Count'!Q$13/'Phytopl Count'!Q$8)</f>
        <v/>
      </c>
      <c r="R99" s="31" t="str">
        <f>IF('Phytopl Count'!R99=0,"",'Phytopl Count'!R99*'Phytopl Count'!R$13/'Phytopl Count'!R$8)</f>
        <v/>
      </c>
      <c r="S99" s="31" t="str">
        <f>IF('Phytopl Count'!S99=0,"",'Phytopl Count'!S99*'Phytopl Count'!S$13/'Phytopl Count'!S$8)</f>
        <v/>
      </c>
      <c r="T99" s="31" t="str">
        <f>IF('Phytopl Count'!T99=0,"",'Phytopl Count'!T99*'Phytopl Count'!T$13/'Phytopl Count'!T$8)</f>
        <v/>
      </c>
      <c r="U99" s="31" t="str">
        <f>IF('Phytopl Count'!U99=0,"",'Phytopl Count'!U99*'Phytopl Count'!U$13/'Phytopl Count'!U$8)</f>
        <v/>
      </c>
      <c r="V99" s="31" t="str">
        <f>IF('Phytopl Count'!V99=0,"",'Phytopl Count'!V99*'Phytopl Count'!V$13/'Phytopl Count'!V$8)</f>
        <v/>
      </c>
      <c r="W99" s="31" t="str">
        <f>IF('Phytopl Count'!W99=0,"",'Phytopl Count'!W99*'Phytopl Count'!W$13/'Phytopl Count'!W$8)</f>
        <v/>
      </c>
      <c r="X99" s="31" t="str">
        <f>IF('Phytopl Count'!X99=0,"",'Phytopl Count'!X99*'Phytopl Count'!X$13/'Phytopl Count'!X$8)</f>
        <v/>
      </c>
      <c r="Y99" s="31" t="str">
        <f>IF('Phytopl Count'!Y99=0,"",'Phytopl Count'!Y99*'Phytopl Count'!Y$13/'Phytopl Count'!Y$8)</f>
        <v/>
      </c>
      <c r="Z99" s="31" t="str">
        <f>IF('Phytopl Count'!Z99=0,"",'Phytopl Count'!Z99*'Phytopl Count'!Z$13/'Phytopl Count'!Z$8)</f>
        <v/>
      </c>
      <c r="AA99" s="31" t="str">
        <f>IF('Phytopl Count'!AA99=0,"",'Phytopl Count'!AA99*'Phytopl Count'!AA$13/'Phytopl Count'!AA$8)</f>
        <v/>
      </c>
      <c r="AB99" s="31" t="str">
        <f>IF('Phytopl Count'!AB99=0,"",'Phytopl Count'!AB99*'Phytopl Count'!AB$13/'Phytopl Count'!AB$8)</f>
        <v/>
      </c>
      <c r="AC99" s="31" t="str">
        <f>IF('Phytopl Count'!AC99=0,"",'Phytopl Count'!AC99*'Phytopl Count'!AC$13/'Phytopl Count'!AC$8)</f>
        <v/>
      </c>
      <c r="AD99" s="31" t="str">
        <f>IF('Phytopl Count'!AD99=0,"",'Phytopl Count'!AD99*'Phytopl Count'!AD$13/'Phytopl Count'!AD$8)</f>
        <v/>
      </c>
      <c r="AE99" s="31" t="str">
        <f>IF('Phytopl Count'!AE99=0,"",'Phytopl Count'!AE99*'Phytopl Count'!AE$13/'Phytopl Count'!AE$8)</f>
        <v/>
      </c>
      <c r="AF99" s="31" t="str">
        <f>IF('Phytopl Count'!AF99=0,"",'Phytopl Count'!AF99*'Phytopl Count'!AF$13/'Phytopl Count'!AF$8)</f>
        <v/>
      </c>
    </row>
    <row r="100" spans="1:32" hidden="1">
      <c r="D100" s="10"/>
      <c r="E100" s="10" t="s">
        <v>6</v>
      </c>
      <c r="F100" s="11" t="s">
        <v>351</v>
      </c>
      <c r="G100" s="31" t="str">
        <f>IF('Phytopl Count'!G100=0,"",'Phytopl Count'!G100*'Phytopl Count'!G$13/'Phytopl Count'!G$8)</f>
        <v/>
      </c>
      <c r="H100" s="31" t="str">
        <f>IF('Phytopl Count'!H100=0,"",'Phytopl Count'!H100*'Phytopl Count'!H$13/'Phytopl Count'!H$8)</f>
        <v/>
      </c>
      <c r="I100" s="31" t="str">
        <f>IF('Phytopl Count'!I100=0,"",'Phytopl Count'!I100*'Phytopl Count'!I$13/'Phytopl Count'!I$8)</f>
        <v/>
      </c>
      <c r="J100" s="31" t="str">
        <f>IF('Phytopl Count'!J100=0,"",'Phytopl Count'!J100*'Phytopl Count'!J$13/'Phytopl Count'!J$8)</f>
        <v/>
      </c>
      <c r="K100" s="31" t="str">
        <f>IF('Phytopl Count'!K100=0,"",'Phytopl Count'!K100*'Phytopl Count'!K$13/'Phytopl Count'!K$8)</f>
        <v/>
      </c>
      <c r="L100" s="31" t="str">
        <f>IF('Phytopl Count'!L100=0,"",'Phytopl Count'!L100*'Phytopl Count'!L$13/'Phytopl Count'!L$8)</f>
        <v/>
      </c>
      <c r="M100" s="31" t="str">
        <f>IF('Phytopl Count'!M100=0,"",'Phytopl Count'!M100*'Phytopl Count'!M$13/'Phytopl Count'!M$8)</f>
        <v/>
      </c>
      <c r="N100" s="31" t="str">
        <f>IF('Phytopl Count'!N100=0,"",'Phytopl Count'!N100*'Phytopl Count'!N$13/'Phytopl Count'!N$8)</f>
        <v/>
      </c>
      <c r="O100" s="31" t="str">
        <f>IF('Phytopl Count'!O100=0,"",'Phytopl Count'!O100*'Phytopl Count'!O$13/'Phytopl Count'!O$8)</f>
        <v/>
      </c>
      <c r="P100" s="31" t="str">
        <f>IF('Phytopl Count'!P100=0,"",'Phytopl Count'!P100*'Phytopl Count'!P$13/'Phytopl Count'!P$8)</f>
        <v/>
      </c>
      <c r="Q100" s="31" t="str">
        <f>IF('Phytopl Count'!Q100=0,"",'Phytopl Count'!Q100*'Phytopl Count'!Q$13/'Phytopl Count'!Q$8)</f>
        <v/>
      </c>
      <c r="R100" s="31" t="str">
        <f>IF('Phytopl Count'!R100=0,"",'Phytopl Count'!R100*'Phytopl Count'!R$13/'Phytopl Count'!R$8)</f>
        <v/>
      </c>
      <c r="S100" s="31" t="str">
        <f>IF('Phytopl Count'!S100=0,"",'Phytopl Count'!S100*'Phytopl Count'!S$13/'Phytopl Count'!S$8)</f>
        <v/>
      </c>
      <c r="T100" s="31" t="str">
        <f>IF('Phytopl Count'!T100=0,"",'Phytopl Count'!T100*'Phytopl Count'!T$13/'Phytopl Count'!T$8)</f>
        <v/>
      </c>
      <c r="U100" s="31" t="str">
        <f>IF('Phytopl Count'!U100=0,"",'Phytopl Count'!U100*'Phytopl Count'!U$13/'Phytopl Count'!U$8)</f>
        <v/>
      </c>
      <c r="V100" s="31" t="str">
        <f>IF('Phytopl Count'!V100=0,"",'Phytopl Count'!V100*'Phytopl Count'!V$13/'Phytopl Count'!V$8)</f>
        <v/>
      </c>
      <c r="W100" s="31" t="str">
        <f>IF('Phytopl Count'!W100=0,"",'Phytopl Count'!W100*'Phytopl Count'!W$13/'Phytopl Count'!W$8)</f>
        <v/>
      </c>
      <c r="X100" s="31" t="str">
        <f>IF('Phytopl Count'!X100=0,"",'Phytopl Count'!X100*'Phytopl Count'!X$13/'Phytopl Count'!X$8)</f>
        <v/>
      </c>
      <c r="Y100" s="31" t="str">
        <f>IF('Phytopl Count'!Y100=0,"",'Phytopl Count'!Y100*'Phytopl Count'!Y$13/'Phytopl Count'!Y$8)</f>
        <v/>
      </c>
      <c r="Z100" s="31" t="str">
        <f>IF('Phytopl Count'!Z100=0,"",'Phytopl Count'!Z100*'Phytopl Count'!Z$13/'Phytopl Count'!Z$8)</f>
        <v/>
      </c>
      <c r="AA100" s="31" t="str">
        <f>IF('Phytopl Count'!AA100=0,"",'Phytopl Count'!AA100*'Phytopl Count'!AA$13/'Phytopl Count'!AA$8)</f>
        <v/>
      </c>
      <c r="AB100" s="31" t="str">
        <f>IF('Phytopl Count'!AB100=0,"",'Phytopl Count'!AB100*'Phytopl Count'!AB$13/'Phytopl Count'!AB$8)</f>
        <v/>
      </c>
      <c r="AC100" s="31" t="str">
        <f>IF('Phytopl Count'!AC100=0,"",'Phytopl Count'!AC100*'Phytopl Count'!AC$13/'Phytopl Count'!AC$8)</f>
        <v/>
      </c>
      <c r="AD100" s="31" t="str">
        <f>IF('Phytopl Count'!AD100=0,"",'Phytopl Count'!AD100*'Phytopl Count'!AD$13/'Phytopl Count'!AD$8)</f>
        <v/>
      </c>
      <c r="AE100" s="31" t="str">
        <f>IF('Phytopl Count'!AE100=0,"",'Phytopl Count'!AE100*'Phytopl Count'!AE$13/'Phytopl Count'!AE$8)</f>
        <v/>
      </c>
      <c r="AF100" s="31" t="str">
        <f>IF('Phytopl Count'!AF100=0,"",'Phytopl Count'!AF100*'Phytopl Count'!AF$13/'Phytopl Count'!AF$8)</f>
        <v/>
      </c>
    </row>
    <row r="101" spans="1:32" hidden="1">
      <c r="F101" s="11" t="s">
        <v>25</v>
      </c>
      <c r="G101" s="31" t="str">
        <f>IF('Phytopl Count'!G101=0,"",'Phytopl Count'!G101*'Phytopl Count'!G$13/'Phytopl Count'!G$8)</f>
        <v/>
      </c>
      <c r="H101" s="31" t="str">
        <f>IF('Phytopl Count'!H101=0,"",'Phytopl Count'!H101*'Phytopl Count'!H$13/'Phytopl Count'!H$8)</f>
        <v/>
      </c>
      <c r="I101" s="31" t="str">
        <f>IF('Phytopl Count'!I101=0,"",'Phytopl Count'!I101*'Phytopl Count'!I$13/'Phytopl Count'!I$8)</f>
        <v/>
      </c>
      <c r="J101" s="31" t="str">
        <f>IF('Phytopl Count'!J101=0,"",'Phytopl Count'!J101*'Phytopl Count'!J$13/'Phytopl Count'!J$8)</f>
        <v/>
      </c>
      <c r="K101" s="31" t="str">
        <f>IF('Phytopl Count'!K101=0,"",'Phytopl Count'!K101*'Phytopl Count'!K$13/'Phytopl Count'!K$8)</f>
        <v/>
      </c>
      <c r="L101" s="31" t="str">
        <f>IF('Phytopl Count'!L101=0,"",'Phytopl Count'!L101*'Phytopl Count'!L$13/'Phytopl Count'!L$8)</f>
        <v/>
      </c>
      <c r="M101" s="31" t="str">
        <f>IF('Phytopl Count'!M101=0,"",'Phytopl Count'!M101*'Phytopl Count'!M$13/'Phytopl Count'!M$8)</f>
        <v/>
      </c>
      <c r="N101" s="31" t="str">
        <f>IF('Phytopl Count'!N101=0,"",'Phytopl Count'!N101*'Phytopl Count'!N$13/'Phytopl Count'!N$8)</f>
        <v/>
      </c>
      <c r="O101" s="31" t="str">
        <f>IF('Phytopl Count'!O101=0,"",'Phytopl Count'!O101*'Phytopl Count'!O$13/'Phytopl Count'!O$8)</f>
        <v/>
      </c>
      <c r="P101" s="31" t="str">
        <f>IF('Phytopl Count'!P101=0,"",'Phytopl Count'!P101*'Phytopl Count'!P$13/'Phytopl Count'!P$8)</f>
        <v/>
      </c>
      <c r="Q101" s="31" t="str">
        <f>IF('Phytopl Count'!Q101=0,"",'Phytopl Count'!Q101*'Phytopl Count'!Q$13/'Phytopl Count'!Q$8)</f>
        <v/>
      </c>
      <c r="R101" s="31" t="str">
        <f>IF('Phytopl Count'!R101=0,"",'Phytopl Count'!R101*'Phytopl Count'!R$13/'Phytopl Count'!R$8)</f>
        <v/>
      </c>
      <c r="S101" s="31" t="str">
        <f>IF('Phytopl Count'!S101=0,"",'Phytopl Count'!S101*'Phytopl Count'!S$13/'Phytopl Count'!S$8)</f>
        <v/>
      </c>
      <c r="T101" s="31" t="str">
        <f>IF('Phytopl Count'!T101=0,"",'Phytopl Count'!T101*'Phytopl Count'!T$13/'Phytopl Count'!T$8)</f>
        <v/>
      </c>
      <c r="U101" s="31" t="str">
        <f>IF('Phytopl Count'!U101=0,"",'Phytopl Count'!U101*'Phytopl Count'!U$13/'Phytopl Count'!U$8)</f>
        <v/>
      </c>
      <c r="V101" s="31" t="str">
        <f>IF('Phytopl Count'!V101=0,"",'Phytopl Count'!V101*'Phytopl Count'!V$13/'Phytopl Count'!V$8)</f>
        <v/>
      </c>
      <c r="W101" s="31" t="str">
        <f>IF('Phytopl Count'!W101=0,"",'Phytopl Count'!W101*'Phytopl Count'!W$13/'Phytopl Count'!W$8)</f>
        <v/>
      </c>
      <c r="X101" s="31" t="str">
        <f>IF('Phytopl Count'!X101=0,"",'Phytopl Count'!X101*'Phytopl Count'!X$13/'Phytopl Count'!X$8)</f>
        <v/>
      </c>
      <c r="Y101" s="31" t="str">
        <f>IF('Phytopl Count'!Y101=0,"",'Phytopl Count'!Y101*'Phytopl Count'!Y$13/'Phytopl Count'!Y$8)</f>
        <v/>
      </c>
      <c r="Z101" s="31" t="str">
        <f>IF('Phytopl Count'!Z101=0,"",'Phytopl Count'!Z101*'Phytopl Count'!Z$13/'Phytopl Count'!Z$8)</f>
        <v/>
      </c>
      <c r="AA101" s="31" t="str">
        <f>IF('Phytopl Count'!AA101=0,"",'Phytopl Count'!AA101*'Phytopl Count'!AA$13/'Phytopl Count'!AA$8)</f>
        <v/>
      </c>
      <c r="AB101" s="31" t="str">
        <f>IF('Phytopl Count'!AB101=0,"",'Phytopl Count'!AB101*'Phytopl Count'!AB$13/'Phytopl Count'!AB$8)</f>
        <v/>
      </c>
      <c r="AC101" s="31" t="str">
        <f>IF('Phytopl Count'!AC101=0,"",'Phytopl Count'!AC101*'Phytopl Count'!AC$13/'Phytopl Count'!AC$8)</f>
        <v/>
      </c>
      <c r="AD101" s="31" t="str">
        <f>IF('Phytopl Count'!AD101=0,"",'Phytopl Count'!AD101*'Phytopl Count'!AD$13/'Phytopl Count'!AD$8)</f>
        <v/>
      </c>
      <c r="AE101" s="31" t="str">
        <f>IF('Phytopl Count'!AE101=0,"",'Phytopl Count'!AE101*'Phytopl Count'!AE$13/'Phytopl Count'!AE$8)</f>
        <v/>
      </c>
      <c r="AF101" s="31" t="str">
        <f>IF('Phytopl Count'!AF101=0,"",'Phytopl Count'!AF101*'Phytopl Count'!AF$13/'Phytopl Count'!AF$8)</f>
        <v/>
      </c>
    </row>
    <row r="102" spans="1:32">
      <c r="A102" s="4"/>
      <c r="B102" s="4"/>
      <c r="C102" s="16" t="s">
        <v>73</v>
      </c>
      <c r="D102" s="4" t="s">
        <v>81</v>
      </c>
      <c r="E102" s="16"/>
      <c r="F102" s="54"/>
      <c r="G102" s="31" t="str">
        <f>IF('Phytopl Count'!G102=0,"",'Phytopl Count'!G102*'Phytopl Count'!G$13/'Phytopl Count'!G$8)</f>
        <v/>
      </c>
      <c r="H102" s="31" t="str">
        <f>IF('Phytopl Count'!H102=0,"",'Phytopl Count'!H102*'Phytopl Count'!H$13/'Phytopl Count'!H$8)</f>
        <v/>
      </c>
      <c r="I102" s="31" t="str">
        <f>IF('Phytopl Count'!I102=0,"",'Phytopl Count'!I102*'Phytopl Count'!I$13/'Phytopl Count'!I$8)</f>
        <v/>
      </c>
      <c r="J102" s="31" t="str">
        <f>IF('Phytopl Count'!J102=0,"",'Phytopl Count'!J102*'Phytopl Count'!J$13/'Phytopl Count'!J$8)</f>
        <v/>
      </c>
      <c r="K102" s="31" t="str">
        <f>IF('Phytopl Count'!K102=0,"",'Phytopl Count'!K102*'Phytopl Count'!K$13/'Phytopl Count'!K$8)</f>
        <v/>
      </c>
      <c r="L102" s="31" t="str">
        <f>IF('Phytopl Count'!L102=0,"",'Phytopl Count'!L102*'Phytopl Count'!L$13/'Phytopl Count'!L$8)</f>
        <v/>
      </c>
      <c r="M102" s="31" t="str">
        <f>IF('Phytopl Count'!M102=0,"",'Phytopl Count'!M102*'Phytopl Count'!M$13/'Phytopl Count'!M$8)</f>
        <v/>
      </c>
      <c r="N102" s="31" t="str">
        <f>IF('Phytopl Count'!N102=0,"",'Phytopl Count'!N102*'Phytopl Count'!N$13/'Phytopl Count'!N$8)</f>
        <v/>
      </c>
      <c r="O102" s="31" t="str">
        <f>IF('Phytopl Count'!O102=0,"",'Phytopl Count'!O102*'Phytopl Count'!O$13/'Phytopl Count'!O$8)</f>
        <v/>
      </c>
      <c r="P102" s="31" t="str">
        <f>IF('Phytopl Count'!P102=0,"",'Phytopl Count'!P102*'Phytopl Count'!P$13/'Phytopl Count'!P$8)</f>
        <v/>
      </c>
      <c r="Q102" s="31" t="str">
        <f>IF('Phytopl Count'!Q102=0,"",'Phytopl Count'!Q102*'Phytopl Count'!Q$13/'Phytopl Count'!Q$8)</f>
        <v/>
      </c>
      <c r="R102" s="31" t="str">
        <f>IF('Phytopl Count'!R102=0,"",'Phytopl Count'!R102*'Phytopl Count'!R$13/'Phytopl Count'!R$8)</f>
        <v/>
      </c>
      <c r="S102" s="31" t="str">
        <f>IF('Phytopl Count'!S102=0,"",'Phytopl Count'!S102*'Phytopl Count'!S$13/'Phytopl Count'!S$8)</f>
        <v/>
      </c>
      <c r="T102" s="31" t="str">
        <f>IF('Phytopl Count'!T102=0,"",'Phytopl Count'!T102*'Phytopl Count'!T$13/'Phytopl Count'!T$8)</f>
        <v/>
      </c>
      <c r="U102" s="31" t="str">
        <f>IF('Phytopl Count'!U102=0,"",'Phytopl Count'!U102*'Phytopl Count'!U$13/'Phytopl Count'!U$8)</f>
        <v/>
      </c>
      <c r="V102" s="31" t="str">
        <f>IF('Phytopl Count'!V102=0,"",'Phytopl Count'!V102*'Phytopl Count'!V$13/'Phytopl Count'!V$8)</f>
        <v/>
      </c>
      <c r="W102" s="31" t="str">
        <f>IF('Phytopl Count'!W102=0,"",'Phytopl Count'!W102*'Phytopl Count'!W$13/'Phytopl Count'!W$8)</f>
        <v/>
      </c>
      <c r="X102" s="31" t="str">
        <f>IF('Phytopl Count'!X102=0,"",'Phytopl Count'!X102*'Phytopl Count'!X$13/'Phytopl Count'!X$8)</f>
        <v/>
      </c>
      <c r="Y102" s="31" t="str">
        <f>IF('Phytopl Count'!Y102=0,"",'Phytopl Count'!Y102*'Phytopl Count'!Y$13/'Phytopl Count'!Y$8)</f>
        <v/>
      </c>
      <c r="Z102" s="31" t="str">
        <f>IF('Phytopl Count'!Z102=0,"",'Phytopl Count'!Z102*'Phytopl Count'!Z$13/'Phytopl Count'!Z$8)</f>
        <v/>
      </c>
      <c r="AA102" s="31" t="str">
        <f>IF('Phytopl Count'!AA102=0,"",'Phytopl Count'!AA102*'Phytopl Count'!AA$13/'Phytopl Count'!AA$8)</f>
        <v/>
      </c>
      <c r="AB102" s="31" t="str">
        <f>IF('Phytopl Count'!AB102=0,"",'Phytopl Count'!AB102*'Phytopl Count'!AB$13/'Phytopl Count'!AB$8)</f>
        <v/>
      </c>
      <c r="AC102" s="31" t="str">
        <f>IF('Phytopl Count'!AC102=0,"",'Phytopl Count'!AC102*'Phytopl Count'!AC$13/'Phytopl Count'!AC$8)</f>
        <v/>
      </c>
      <c r="AD102" s="31" t="str">
        <f>IF('Phytopl Count'!AD102=0,"",'Phytopl Count'!AD102*'Phytopl Count'!AD$13/'Phytopl Count'!AD$8)</f>
        <v/>
      </c>
      <c r="AE102" s="31" t="str">
        <f>IF('Phytopl Count'!AE102=0,"",'Phytopl Count'!AE102*'Phytopl Count'!AE$13/'Phytopl Count'!AE$8)</f>
        <v/>
      </c>
      <c r="AF102" s="31" t="str">
        <f>IF('Phytopl Count'!AF102=0,"",'Phytopl Count'!AF102*'Phytopl Count'!AF$13/'Phytopl Count'!AF$8)</f>
        <v/>
      </c>
    </row>
    <row r="103" spans="1:32">
      <c r="D103" s="10" t="s">
        <v>5</v>
      </c>
      <c r="E103" s="12" t="s">
        <v>26</v>
      </c>
      <c r="F103" s="11"/>
      <c r="G103" s="31" t="str">
        <f>IF('Phytopl Count'!G103=0,"",'Phytopl Count'!G103*'Phytopl Count'!G$13/'Phytopl Count'!G$8)</f>
        <v/>
      </c>
      <c r="H103" s="31" t="str">
        <f>IF('Phytopl Count'!H103=0,"",'Phytopl Count'!H103*'Phytopl Count'!H$13/'Phytopl Count'!H$8)</f>
        <v/>
      </c>
      <c r="I103" s="31" t="str">
        <f>IF('Phytopl Count'!I103=0,"",'Phytopl Count'!I103*'Phytopl Count'!I$13/'Phytopl Count'!I$8)</f>
        <v/>
      </c>
      <c r="J103" s="31" t="str">
        <f>IF('Phytopl Count'!J103=0,"",'Phytopl Count'!J103*'Phytopl Count'!J$13/'Phytopl Count'!J$8)</f>
        <v/>
      </c>
      <c r="K103" s="31" t="str">
        <f>IF('Phytopl Count'!K103=0,"",'Phytopl Count'!K103*'Phytopl Count'!K$13/'Phytopl Count'!K$8)</f>
        <v/>
      </c>
      <c r="L103" s="31" t="str">
        <f>IF('Phytopl Count'!L103=0,"",'Phytopl Count'!L103*'Phytopl Count'!L$13/'Phytopl Count'!L$8)</f>
        <v/>
      </c>
      <c r="M103" s="31" t="str">
        <f>IF('Phytopl Count'!M103=0,"",'Phytopl Count'!M103*'Phytopl Count'!M$13/'Phytopl Count'!M$8)</f>
        <v/>
      </c>
      <c r="N103" s="31" t="str">
        <f>IF('Phytopl Count'!N103=0,"",'Phytopl Count'!N103*'Phytopl Count'!N$13/'Phytopl Count'!N$8)</f>
        <v/>
      </c>
      <c r="O103" s="31" t="str">
        <f>IF('Phytopl Count'!O103=0,"",'Phytopl Count'!O103*'Phytopl Count'!O$13/'Phytopl Count'!O$8)</f>
        <v/>
      </c>
      <c r="P103" s="31" t="str">
        <f>IF('Phytopl Count'!P103=0,"",'Phytopl Count'!P103*'Phytopl Count'!P$13/'Phytopl Count'!P$8)</f>
        <v/>
      </c>
      <c r="Q103" s="31" t="str">
        <f>IF('Phytopl Count'!Q103=0,"",'Phytopl Count'!Q103*'Phytopl Count'!Q$13/'Phytopl Count'!Q$8)</f>
        <v/>
      </c>
      <c r="R103" s="31" t="str">
        <f>IF('Phytopl Count'!R103=0,"",'Phytopl Count'!R103*'Phytopl Count'!R$13/'Phytopl Count'!R$8)</f>
        <v/>
      </c>
      <c r="S103" s="31" t="str">
        <f>IF('Phytopl Count'!S103=0,"",'Phytopl Count'!S103*'Phytopl Count'!S$13/'Phytopl Count'!S$8)</f>
        <v/>
      </c>
      <c r="T103" s="31" t="str">
        <f>IF('Phytopl Count'!T103=0,"",'Phytopl Count'!T103*'Phytopl Count'!T$13/'Phytopl Count'!T$8)</f>
        <v/>
      </c>
      <c r="U103" s="31" t="str">
        <f>IF('Phytopl Count'!U103=0,"",'Phytopl Count'!U103*'Phytopl Count'!U$13/'Phytopl Count'!U$8)</f>
        <v/>
      </c>
      <c r="V103" s="31" t="str">
        <f>IF('Phytopl Count'!V103=0,"",'Phytopl Count'!V103*'Phytopl Count'!V$13/'Phytopl Count'!V$8)</f>
        <v/>
      </c>
      <c r="W103" s="31" t="str">
        <f>IF('Phytopl Count'!W103=0,"",'Phytopl Count'!W103*'Phytopl Count'!W$13/'Phytopl Count'!W$8)</f>
        <v/>
      </c>
      <c r="X103" s="31" t="str">
        <f>IF('Phytopl Count'!X103=0,"",'Phytopl Count'!X103*'Phytopl Count'!X$13/'Phytopl Count'!X$8)</f>
        <v/>
      </c>
      <c r="Y103" s="31" t="str">
        <f>IF('Phytopl Count'!Y103=0,"",'Phytopl Count'!Y103*'Phytopl Count'!Y$13/'Phytopl Count'!Y$8)</f>
        <v/>
      </c>
      <c r="Z103" s="31" t="str">
        <f>IF('Phytopl Count'!Z103=0,"",'Phytopl Count'!Z103*'Phytopl Count'!Z$13/'Phytopl Count'!Z$8)</f>
        <v/>
      </c>
      <c r="AA103" s="31" t="str">
        <f>IF('Phytopl Count'!AA103=0,"",'Phytopl Count'!AA103*'Phytopl Count'!AA$13/'Phytopl Count'!AA$8)</f>
        <v/>
      </c>
      <c r="AB103" s="31" t="str">
        <f>IF('Phytopl Count'!AB103=0,"",'Phytopl Count'!AB103*'Phytopl Count'!AB$13/'Phytopl Count'!AB$8)</f>
        <v/>
      </c>
      <c r="AC103" s="31" t="str">
        <f>IF('Phytopl Count'!AC103=0,"",'Phytopl Count'!AC103*'Phytopl Count'!AC$13/'Phytopl Count'!AC$8)</f>
        <v/>
      </c>
      <c r="AD103" s="31" t="str">
        <f>IF('Phytopl Count'!AD103=0,"",'Phytopl Count'!AD103*'Phytopl Count'!AD$13/'Phytopl Count'!AD$8)</f>
        <v/>
      </c>
      <c r="AE103" s="31" t="str">
        <f>IF('Phytopl Count'!AE103=0,"",'Phytopl Count'!AE103*'Phytopl Count'!AE$13/'Phytopl Count'!AE$8)</f>
        <v/>
      </c>
      <c r="AF103" s="31" t="str">
        <f>IF('Phytopl Count'!AF103=0,"",'Phytopl Count'!AF103*'Phytopl Count'!AF$13/'Phytopl Count'!AF$8)</f>
        <v/>
      </c>
    </row>
    <row r="104" spans="1:32" ht="15" customHeight="1">
      <c r="E104" s="10" t="s">
        <v>6</v>
      </c>
      <c r="F104" s="11" t="s">
        <v>27</v>
      </c>
      <c r="G104" s="31">
        <f>IF('Phytopl Count'!G104=0,"",'Phytopl Count'!G104*'Phytopl Count'!G$13/'Phytopl Count'!G$8)</f>
        <v>1.494788564049667</v>
      </c>
      <c r="H104" s="31">
        <f>IF('Phytopl Count'!H104=0,"",'Phytopl Count'!H104*'Phytopl Count'!H$13/'Phytopl Count'!H$8)</f>
        <v>1.2972629323716753</v>
      </c>
      <c r="I104" s="31">
        <f>IF('Phytopl Count'!I104=0,"",'Phytopl Count'!I104*'Phytopl Count'!I$13/'Phytopl Count'!I$8)</f>
        <v>0.28027285575931254</v>
      </c>
      <c r="J104" s="31">
        <f>IF('Phytopl Count'!J104=0,"",'Phytopl Count'!J104*'Phytopl Count'!J$13/'Phytopl Count'!J$8)</f>
        <v>1.4013642787965626</v>
      </c>
      <c r="K104" s="31">
        <f>IF('Phytopl Count'!K104=0,"",'Phytopl Count'!K104*'Phytopl Count'!K$13/'Phytopl Count'!K$8)</f>
        <v>0.92890432194515005</v>
      </c>
      <c r="L104" s="31">
        <f>IF('Phytopl Count'!L104=0,"",'Phytopl Count'!L104*'Phytopl Count'!L$13/'Phytopl Count'!L$8)</f>
        <v>0.6246080785493251</v>
      </c>
      <c r="M104" s="31">
        <f>IF('Phytopl Count'!M104=0,"",'Phytopl Count'!M104*'Phytopl Count'!M$13/'Phytopl Count'!M$8)</f>
        <v>1.0410134642488751</v>
      </c>
      <c r="N104" s="31">
        <f>IF('Phytopl Count'!N104=0,"",'Phytopl Count'!N104*'Phytopl Count'!N$13/'Phytopl Count'!N$8)</f>
        <v>1.5374968087368004</v>
      </c>
      <c r="O104" s="31">
        <f>IF('Phytopl Count'!O104=0,"",'Phytopl Count'!O104*'Phytopl Count'!O$13/'Phytopl Count'!O$8)</f>
        <v>0.7687484043684002</v>
      </c>
      <c r="P104" s="31">
        <f>IF('Phytopl Count'!P104=0,"",'Phytopl Count'!P104*'Phytopl Count'!P$13/'Phytopl Count'!P$8)</f>
        <v>1.0890602395219</v>
      </c>
      <c r="Q104" s="31">
        <f>IF('Phytopl Count'!Q104=0,"",'Phytopl Count'!Q104*'Phytopl Count'!Q$13/'Phytopl Count'!Q$8)</f>
        <v>0.72070162909537505</v>
      </c>
      <c r="R104" s="31">
        <f>IF('Phytopl Count'!R104=0,"",'Phytopl Count'!R104*'Phytopl Count'!R$13/'Phytopl Count'!R$8)</f>
        <v>0.80077958788375014</v>
      </c>
      <c r="S104" s="31">
        <f>IF('Phytopl Count'!S104=0,"",'Phytopl Count'!S104*'Phytopl Count'!S$13/'Phytopl Count'!S$8)</f>
        <v>0.3843742021842001</v>
      </c>
      <c r="T104" s="31">
        <f>IF('Phytopl Count'!T104=0,"",'Phytopl Count'!T104*'Phytopl Count'!T$13/'Phytopl Count'!T$8)</f>
        <v>0.91288873018747518</v>
      </c>
      <c r="U104" s="31">
        <f>IF('Phytopl Count'!U104=0,"",'Phytopl Count'!U104*'Phytopl Count'!U$13/'Phytopl Count'!U$8)</f>
        <v>1.4734344417061001</v>
      </c>
      <c r="V104" s="31">
        <f>IF('Phytopl Count'!V104=0,"",'Phytopl Count'!V104*'Phytopl Count'!V$13/'Phytopl Count'!V$8)</f>
        <v>1.2412083612198126</v>
      </c>
      <c r="W104" s="31">
        <f>IF('Phytopl Count'!W104=0,"",'Phytopl Count'!W104*'Phytopl Count'!W$13/'Phytopl Count'!W$8)</f>
        <v>0.7687484043684002</v>
      </c>
      <c r="X104" s="31">
        <f>IF('Phytopl Count'!X104=0,"",'Phytopl Count'!X104*'Phytopl Count'!X$13/'Phytopl Count'!X$8)</f>
        <v>1.3453097076447003</v>
      </c>
      <c r="Y104" s="31">
        <f>IF('Phytopl Count'!Y104=0,"",'Phytopl Count'!Y104*'Phytopl Count'!Y$13/'Phytopl Count'!Y$8)</f>
        <v>0.57656130327630006</v>
      </c>
      <c r="Z104" s="31">
        <f>IF('Phytopl Count'!Z104=0,"",'Phytopl Count'!Z104*'Phytopl Count'!Z$13/'Phytopl Count'!Z$8)</f>
        <v>0.72870942497421254</v>
      </c>
      <c r="AA104" s="31">
        <f>IF('Phytopl Count'!AA104=0,"",'Phytopl Count'!AA104*'Phytopl Count'!AA$13/'Phytopl Count'!AA$8)</f>
        <v>1.0890602395219</v>
      </c>
      <c r="AB104" s="31">
        <f>IF('Phytopl Count'!AB104=0,"",'Phytopl Count'!AB104*'Phytopl Count'!AB$13/'Phytopl Count'!AB$8)</f>
        <v>0.64062367030700007</v>
      </c>
      <c r="AC104" s="31">
        <f>IF('Phytopl Count'!AC104=0,"",'Phytopl Count'!AC104*'Phytopl Count'!AC$13/'Phytopl Count'!AC$8)</f>
        <v>0.96093550546050011</v>
      </c>
      <c r="AD104" s="31">
        <f>IF('Phytopl Count'!AD104=0,"",'Phytopl Count'!AD104*'Phytopl Count'!AD$13/'Phytopl Count'!AD$8)</f>
        <v>1.4414032581907501</v>
      </c>
      <c r="AE104" s="31">
        <f>IF('Phytopl Count'!AE104=0,"",'Phytopl Count'!AE104*'Phytopl Count'!AE$13/'Phytopl Count'!AE$8)</f>
        <v>0.79277179200491266</v>
      </c>
      <c r="AF104" s="31">
        <f>IF('Phytopl Count'!AF104=0,"",'Phytopl Count'!AF104*'Phytopl Count'!AF$13/'Phytopl Count'!AF$8)</f>
        <v>3.2671807185657005</v>
      </c>
    </row>
    <row r="105" spans="1:32">
      <c r="E105" s="10"/>
      <c r="F105" s="11" t="s">
        <v>28</v>
      </c>
      <c r="G105" s="31">
        <f>IF('Phytopl Count'!G105=0,"",'Phytopl Count'!G105*'Phytopl Count'!G$13/'Phytopl Count'!G$8)</f>
        <v>4.2708244687133343E-2</v>
      </c>
      <c r="H105" s="31" t="str">
        <f>IF('Phytopl Count'!H105=0,"",'Phytopl Count'!H105*'Phytopl Count'!H$13/'Phytopl Count'!H$8)</f>
        <v/>
      </c>
      <c r="I105" s="31" t="str">
        <f>IF('Phytopl Count'!I105=0,"",'Phytopl Count'!I105*'Phytopl Count'!I$13/'Phytopl Count'!I$8)</f>
        <v/>
      </c>
      <c r="J105" s="31">
        <f>IF('Phytopl Count'!J105=0,"",'Phytopl Count'!J105*'Phytopl Count'!J$13/'Phytopl Count'!J$8)</f>
        <v>4.0038979394187504E-2</v>
      </c>
      <c r="K105" s="31">
        <f>IF('Phytopl Count'!K105=0,"",'Phytopl Count'!K105*'Phytopl Count'!K$13/'Phytopl Count'!K$8)</f>
        <v>9.6093550546050024E-2</v>
      </c>
      <c r="L105" s="31">
        <f>IF('Phytopl Count'!L105=0,"",'Phytopl Count'!L105*'Phytopl Count'!L$13/'Phytopl Count'!L$8)</f>
        <v>2.4023387636512506E-2</v>
      </c>
      <c r="M105" s="31" t="str">
        <f>IF('Phytopl Count'!M105=0,"",'Phytopl Count'!M105*'Phytopl Count'!M$13/'Phytopl Count'!M$8)</f>
        <v/>
      </c>
      <c r="N105" s="31">
        <f>IF('Phytopl Count'!N105=0,"",'Phytopl Count'!N105*'Phytopl Count'!N$13/'Phytopl Count'!N$8)</f>
        <v>4.8046775273025012E-2</v>
      </c>
      <c r="O105" s="31" t="str">
        <f>IF('Phytopl Count'!O105=0,"",'Phytopl Count'!O105*'Phytopl Count'!O$13/'Phytopl Count'!O$8)</f>
        <v/>
      </c>
      <c r="P105" s="31">
        <f>IF('Phytopl Count'!P105=0,"",'Phytopl Count'!P105*'Phytopl Count'!P$13/'Phytopl Count'!P$8)</f>
        <v>6.4062367030700007E-2</v>
      </c>
      <c r="Q105" s="31">
        <f>IF('Phytopl Count'!Q105=0,"",'Phytopl Count'!Q105*'Phytopl Count'!Q$13/'Phytopl Count'!Q$8)</f>
        <v>4.0038979394187504E-2</v>
      </c>
      <c r="R105" s="31">
        <f>IF('Phytopl Count'!R105=0,"",'Phytopl Count'!R105*'Phytopl Count'!R$13/'Phytopl Count'!R$8)</f>
        <v>6.4062367030700007E-2</v>
      </c>
      <c r="S105" s="31" t="str">
        <f>IF('Phytopl Count'!S105=0,"",'Phytopl Count'!S105*'Phytopl Count'!S$13/'Phytopl Count'!S$8)</f>
        <v/>
      </c>
      <c r="T105" s="31">
        <f>IF('Phytopl Count'!T105=0,"",'Phytopl Count'!T105*'Phytopl Count'!T$13/'Phytopl Count'!T$8)</f>
        <v>9.6093550546050024E-2</v>
      </c>
      <c r="U105" s="31">
        <f>IF('Phytopl Count'!U105=0,"",'Phytopl Count'!U105*'Phytopl Count'!U$13/'Phytopl Count'!U$8)</f>
        <v>0.16015591757675002</v>
      </c>
      <c r="V105" s="31">
        <f>IF('Phytopl Count'!V105=0,"",'Phytopl Count'!V105*'Phytopl Count'!V$13/'Phytopl Count'!V$8)</f>
        <v>8.0077958788375009E-2</v>
      </c>
      <c r="W105" s="31">
        <f>IF('Phytopl Count'!W105=0,"",'Phytopl Count'!W105*'Phytopl Count'!W$13/'Phytopl Count'!W$8)</f>
        <v>9.6093550546050024E-2</v>
      </c>
      <c r="X105" s="31">
        <f>IF('Phytopl Count'!X105=0,"",'Phytopl Count'!X105*'Phytopl Count'!X$13/'Phytopl Count'!X$8)</f>
        <v>0.16015591757675002</v>
      </c>
      <c r="Y105" s="31">
        <f>IF('Phytopl Count'!Y105=0,"",'Phytopl Count'!Y105*'Phytopl Count'!Y$13/'Phytopl Count'!Y$8)</f>
        <v>2.4023387636512506E-2</v>
      </c>
      <c r="Z105" s="31" t="str">
        <f>IF('Phytopl Count'!Z105=0,"",'Phytopl Count'!Z105*'Phytopl Count'!Z$13/'Phytopl Count'!Z$8)</f>
        <v/>
      </c>
      <c r="AA105" s="31">
        <f>IF('Phytopl Count'!AA105=0,"",'Phytopl Count'!AA105*'Phytopl Count'!AA$13/'Phytopl Count'!AA$8)</f>
        <v>0.12812473406140001</v>
      </c>
      <c r="AB105" s="31">
        <f>IF('Phytopl Count'!AB105=0,"",'Phytopl Count'!AB105*'Phytopl Count'!AB$13/'Phytopl Count'!AB$8)</f>
        <v>4.0038979394187504E-2</v>
      </c>
      <c r="AC105" s="31">
        <f>IF('Phytopl Count'!AC105=0,"",'Phytopl Count'!AC105*'Phytopl Count'!AC$13/'Phytopl Count'!AC$8)</f>
        <v>3.2031183515350004E-2</v>
      </c>
      <c r="AD105" s="31">
        <f>IF('Phytopl Count'!AD105=0,"",'Phytopl Count'!AD105*'Phytopl Count'!AD$13/'Phytopl Count'!AD$8)</f>
        <v>9.6093550546050024E-2</v>
      </c>
      <c r="AE105" s="31">
        <f>IF('Phytopl Count'!AE105=0,"",'Phytopl Count'!AE105*'Phytopl Count'!AE$13/'Phytopl Count'!AE$8)</f>
        <v>4.8046775273025012E-2</v>
      </c>
      <c r="AF105" s="31">
        <f>IF('Phytopl Count'!AF105=0,"",'Phytopl Count'!AF105*'Phytopl Count'!AF$13/'Phytopl Count'!AF$8)</f>
        <v>0.25624946812280003</v>
      </c>
    </row>
    <row r="106" spans="1:32" hidden="1">
      <c r="E106" s="10"/>
      <c r="F106" s="11" t="s">
        <v>402</v>
      </c>
      <c r="G106" s="31" t="str">
        <f>IF('Phytopl Count'!G106=0,"",'Phytopl Count'!G106*'Phytopl Count'!G$13/'Phytopl Count'!G$8)</f>
        <v/>
      </c>
      <c r="H106" s="31" t="str">
        <f>IF('Phytopl Count'!H106=0,"",'Phytopl Count'!H106*'Phytopl Count'!H$13/'Phytopl Count'!H$8)</f>
        <v/>
      </c>
      <c r="I106" s="31" t="str">
        <f>IF('Phytopl Count'!I106=0,"",'Phytopl Count'!I106*'Phytopl Count'!I$13/'Phytopl Count'!I$8)</f>
        <v/>
      </c>
      <c r="J106" s="31" t="str">
        <f>IF('Phytopl Count'!J106=0,"",'Phytopl Count'!J106*'Phytopl Count'!J$13/'Phytopl Count'!J$8)</f>
        <v/>
      </c>
      <c r="K106" s="31" t="str">
        <f>IF('Phytopl Count'!K106=0,"",'Phytopl Count'!K106*'Phytopl Count'!K$13/'Phytopl Count'!K$8)</f>
        <v/>
      </c>
      <c r="L106" s="31" t="str">
        <f>IF('Phytopl Count'!L106=0,"",'Phytopl Count'!L106*'Phytopl Count'!L$13/'Phytopl Count'!L$8)</f>
        <v/>
      </c>
      <c r="M106" s="31" t="str">
        <f>IF('Phytopl Count'!M106=0,"",'Phytopl Count'!M106*'Phytopl Count'!M$13/'Phytopl Count'!M$8)</f>
        <v/>
      </c>
      <c r="N106" s="31" t="str">
        <f>IF('Phytopl Count'!N106=0,"",'Phytopl Count'!N106*'Phytopl Count'!N$13/'Phytopl Count'!N$8)</f>
        <v/>
      </c>
      <c r="O106" s="31" t="str">
        <f>IF('Phytopl Count'!O106=0,"",'Phytopl Count'!O106*'Phytopl Count'!O$13/'Phytopl Count'!O$8)</f>
        <v/>
      </c>
      <c r="P106" s="31" t="str">
        <f>IF('Phytopl Count'!P106=0,"",'Phytopl Count'!P106*'Phytopl Count'!P$13/'Phytopl Count'!P$8)</f>
        <v/>
      </c>
      <c r="Q106" s="31" t="str">
        <f>IF('Phytopl Count'!Q106=0,"",'Phytopl Count'!Q106*'Phytopl Count'!Q$13/'Phytopl Count'!Q$8)</f>
        <v/>
      </c>
      <c r="R106" s="31" t="str">
        <f>IF('Phytopl Count'!R106=0,"",'Phytopl Count'!R106*'Phytopl Count'!R$13/'Phytopl Count'!R$8)</f>
        <v/>
      </c>
      <c r="S106" s="31" t="str">
        <f>IF('Phytopl Count'!S106=0,"",'Phytopl Count'!S106*'Phytopl Count'!S$13/'Phytopl Count'!S$8)</f>
        <v/>
      </c>
      <c r="T106" s="31" t="str">
        <f>IF('Phytopl Count'!T106=0,"",'Phytopl Count'!T106*'Phytopl Count'!T$13/'Phytopl Count'!T$8)</f>
        <v/>
      </c>
      <c r="U106" s="31" t="str">
        <f>IF('Phytopl Count'!U106=0,"",'Phytopl Count'!U106*'Phytopl Count'!U$13/'Phytopl Count'!U$8)</f>
        <v/>
      </c>
      <c r="V106" s="31" t="str">
        <f>IF('Phytopl Count'!V106=0,"",'Phytopl Count'!V106*'Phytopl Count'!V$13/'Phytopl Count'!V$8)</f>
        <v/>
      </c>
      <c r="W106" s="31" t="str">
        <f>IF('Phytopl Count'!W106=0,"",'Phytopl Count'!W106*'Phytopl Count'!W$13/'Phytopl Count'!W$8)</f>
        <v/>
      </c>
      <c r="X106" s="31" t="str">
        <f>IF('Phytopl Count'!X106=0,"",'Phytopl Count'!X106*'Phytopl Count'!X$13/'Phytopl Count'!X$8)</f>
        <v/>
      </c>
      <c r="Y106" s="31" t="str">
        <f>IF('Phytopl Count'!Y106=0,"",'Phytopl Count'!Y106*'Phytopl Count'!Y$13/'Phytopl Count'!Y$8)</f>
        <v/>
      </c>
      <c r="Z106" s="31" t="str">
        <f>IF('Phytopl Count'!Z106=0,"",'Phytopl Count'!Z106*'Phytopl Count'!Z$13/'Phytopl Count'!Z$8)</f>
        <v/>
      </c>
      <c r="AA106" s="31" t="str">
        <f>IF('Phytopl Count'!AA106=0,"",'Phytopl Count'!AA106*'Phytopl Count'!AA$13/'Phytopl Count'!AA$8)</f>
        <v/>
      </c>
      <c r="AB106" s="31" t="str">
        <f>IF('Phytopl Count'!AB106=0,"",'Phytopl Count'!AB106*'Phytopl Count'!AB$13/'Phytopl Count'!AB$8)</f>
        <v/>
      </c>
      <c r="AC106" s="31" t="str">
        <f>IF('Phytopl Count'!AC106=0,"",'Phytopl Count'!AC106*'Phytopl Count'!AC$13/'Phytopl Count'!AC$8)</f>
        <v/>
      </c>
      <c r="AD106" s="31" t="str">
        <f>IF('Phytopl Count'!AD106=0,"",'Phytopl Count'!AD106*'Phytopl Count'!AD$13/'Phytopl Count'!AD$8)</f>
        <v/>
      </c>
      <c r="AE106" s="31" t="str">
        <f>IF('Phytopl Count'!AE106=0,"",'Phytopl Count'!AE106*'Phytopl Count'!AE$13/'Phytopl Count'!AE$8)</f>
        <v/>
      </c>
      <c r="AF106" s="31" t="str">
        <f>IF('Phytopl Count'!AF106=0,"",'Phytopl Count'!AF106*'Phytopl Count'!AF$13/'Phytopl Count'!AF$8)</f>
        <v/>
      </c>
    </row>
    <row r="107" spans="1:32" hidden="1">
      <c r="A107" s="4"/>
      <c r="B107" s="4"/>
      <c r="C107" s="16" t="s">
        <v>73</v>
      </c>
      <c r="D107" s="4" t="s">
        <v>109</v>
      </c>
      <c r="E107" s="16"/>
      <c r="F107" s="54"/>
      <c r="G107" s="31" t="str">
        <f>IF('Phytopl Count'!G107=0,"",'Phytopl Count'!G107*'Phytopl Count'!G$13/'Phytopl Count'!G$8)</f>
        <v/>
      </c>
      <c r="H107" s="31" t="str">
        <f>IF('Phytopl Count'!H107=0,"",'Phytopl Count'!H107*'Phytopl Count'!H$13/'Phytopl Count'!H$8)</f>
        <v/>
      </c>
      <c r="I107" s="31" t="str">
        <f>IF('Phytopl Count'!I107=0,"",'Phytopl Count'!I107*'Phytopl Count'!I$13/'Phytopl Count'!I$8)</f>
        <v/>
      </c>
      <c r="J107" s="31" t="str">
        <f>IF('Phytopl Count'!J107=0,"",'Phytopl Count'!J107*'Phytopl Count'!J$13/'Phytopl Count'!J$8)</f>
        <v/>
      </c>
      <c r="K107" s="31" t="str">
        <f>IF('Phytopl Count'!K107=0,"",'Phytopl Count'!K107*'Phytopl Count'!K$13/'Phytopl Count'!K$8)</f>
        <v/>
      </c>
      <c r="L107" s="31" t="str">
        <f>IF('Phytopl Count'!L107=0,"",'Phytopl Count'!L107*'Phytopl Count'!L$13/'Phytopl Count'!L$8)</f>
        <v/>
      </c>
      <c r="M107" s="31" t="str">
        <f>IF('Phytopl Count'!M107=0,"",'Phytopl Count'!M107*'Phytopl Count'!M$13/'Phytopl Count'!M$8)</f>
        <v/>
      </c>
      <c r="N107" s="31" t="str">
        <f>IF('Phytopl Count'!N107=0,"",'Phytopl Count'!N107*'Phytopl Count'!N$13/'Phytopl Count'!N$8)</f>
        <v/>
      </c>
      <c r="O107" s="31" t="str">
        <f>IF('Phytopl Count'!O107=0,"",'Phytopl Count'!O107*'Phytopl Count'!O$13/'Phytopl Count'!O$8)</f>
        <v/>
      </c>
      <c r="P107" s="31" t="str">
        <f>IF('Phytopl Count'!P107=0,"",'Phytopl Count'!P107*'Phytopl Count'!P$13/'Phytopl Count'!P$8)</f>
        <v/>
      </c>
      <c r="Q107" s="31" t="str">
        <f>IF('Phytopl Count'!Q107=0,"",'Phytopl Count'!Q107*'Phytopl Count'!Q$13/'Phytopl Count'!Q$8)</f>
        <v/>
      </c>
      <c r="R107" s="31" t="str">
        <f>IF('Phytopl Count'!R107=0,"",'Phytopl Count'!R107*'Phytopl Count'!R$13/'Phytopl Count'!R$8)</f>
        <v/>
      </c>
      <c r="S107" s="31" t="str">
        <f>IF('Phytopl Count'!S107=0,"",'Phytopl Count'!S107*'Phytopl Count'!S$13/'Phytopl Count'!S$8)</f>
        <v/>
      </c>
      <c r="T107" s="31" t="str">
        <f>IF('Phytopl Count'!T107=0,"",'Phytopl Count'!T107*'Phytopl Count'!T$13/'Phytopl Count'!T$8)</f>
        <v/>
      </c>
      <c r="U107" s="31" t="str">
        <f>IF('Phytopl Count'!U107=0,"",'Phytopl Count'!U107*'Phytopl Count'!U$13/'Phytopl Count'!U$8)</f>
        <v/>
      </c>
      <c r="V107" s="31" t="str">
        <f>IF('Phytopl Count'!V107=0,"",'Phytopl Count'!V107*'Phytopl Count'!V$13/'Phytopl Count'!V$8)</f>
        <v/>
      </c>
      <c r="W107" s="31" t="str">
        <f>IF('Phytopl Count'!W107=0,"",'Phytopl Count'!W107*'Phytopl Count'!W$13/'Phytopl Count'!W$8)</f>
        <v/>
      </c>
      <c r="X107" s="31" t="str">
        <f>IF('Phytopl Count'!X107=0,"",'Phytopl Count'!X107*'Phytopl Count'!X$13/'Phytopl Count'!X$8)</f>
        <v/>
      </c>
      <c r="Y107" s="31" t="str">
        <f>IF('Phytopl Count'!Y107=0,"",'Phytopl Count'!Y107*'Phytopl Count'!Y$13/'Phytopl Count'!Y$8)</f>
        <v/>
      </c>
      <c r="Z107" s="31" t="str">
        <f>IF('Phytopl Count'!Z107=0,"",'Phytopl Count'!Z107*'Phytopl Count'!Z$13/'Phytopl Count'!Z$8)</f>
        <v/>
      </c>
      <c r="AA107" s="31" t="str">
        <f>IF('Phytopl Count'!AA107=0,"",'Phytopl Count'!AA107*'Phytopl Count'!AA$13/'Phytopl Count'!AA$8)</f>
        <v/>
      </c>
      <c r="AB107" s="31" t="str">
        <f>IF('Phytopl Count'!AB107=0,"",'Phytopl Count'!AB107*'Phytopl Count'!AB$13/'Phytopl Count'!AB$8)</f>
        <v/>
      </c>
      <c r="AC107" s="31" t="str">
        <f>IF('Phytopl Count'!AC107=0,"",'Phytopl Count'!AC107*'Phytopl Count'!AC$13/'Phytopl Count'!AC$8)</f>
        <v/>
      </c>
      <c r="AD107" s="31" t="str">
        <f>IF('Phytopl Count'!AD107=0,"",'Phytopl Count'!AD107*'Phytopl Count'!AD$13/'Phytopl Count'!AD$8)</f>
        <v/>
      </c>
      <c r="AE107" s="31" t="str">
        <f>IF('Phytopl Count'!AE107=0,"",'Phytopl Count'!AE107*'Phytopl Count'!AE$13/'Phytopl Count'!AE$8)</f>
        <v/>
      </c>
      <c r="AF107" s="31" t="str">
        <f>IF('Phytopl Count'!AF107=0,"",'Phytopl Count'!AF107*'Phytopl Count'!AF$13/'Phytopl Count'!AF$8)</f>
        <v/>
      </c>
    </row>
    <row r="108" spans="1:32" hidden="1">
      <c r="D108" s="10" t="s">
        <v>5</v>
      </c>
      <c r="E108" s="12" t="s">
        <v>110</v>
      </c>
      <c r="F108" s="11"/>
      <c r="G108" s="31" t="str">
        <f>IF('Phytopl Count'!G108=0,"",'Phytopl Count'!G108*'Phytopl Count'!G$13/'Phytopl Count'!G$8)</f>
        <v/>
      </c>
      <c r="H108" s="31" t="str">
        <f>IF('Phytopl Count'!H108=0,"",'Phytopl Count'!H108*'Phytopl Count'!H$13/'Phytopl Count'!H$8)</f>
        <v/>
      </c>
      <c r="I108" s="31" t="str">
        <f>IF('Phytopl Count'!I108=0,"",'Phytopl Count'!I108*'Phytopl Count'!I$13/'Phytopl Count'!I$8)</f>
        <v/>
      </c>
      <c r="J108" s="31" t="str">
        <f>IF('Phytopl Count'!J108=0,"",'Phytopl Count'!J108*'Phytopl Count'!J$13/'Phytopl Count'!J$8)</f>
        <v/>
      </c>
      <c r="K108" s="31" t="str">
        <f>IF('Phytopl Count'!K108=0,"",'Phytopl Count'!K108*'Phytopl Count'!K$13/'Phytopl Count'!K$8)</f>
        <v/>
      </c>
      <c r="L108" s="31" t="str">
        <f>IF('Phytopl Count'!L108=0,"",'Phytopl Count'!L108*'Phytopl Count'!L$13/'Phytopl Count'!L$8)</f>
        <v/>
      </c>
      <c r="M108" s="31" t="str">
        <f>IF('Phytopl Count'!M108=0,"",'Phytopl Count'!M108*'Phytopl Count'!M$13/'Phytopl Count'!M$8)</f>
        <v/>
      </c>
      <c r="N108" s="31" t="str">
        <f>IF('Phytopl Count'!N108=0,"",'Phytopl Count'!N108*'Phytopl Count'!N$13/'Phytopl Count'!N$8)</f>
        <v/>
      </c>
      <c r="O108" s="31" t="str">
        <f>IF('Phytopl Count'!O108=0,"",'Phytopl Count'!O108*'Phytopl Count'!O$13/'Phytopl Count'!O$8)</f>
        <v/>
      </c>
      <c r="P108" s="31" t="str">
        <f>IF('Phytopl Count'!P108=0,"",'Phytopl Count'!P108*'Phytopl Count'!P$13/'Phytopl Count'!P$8)</f>
        <v/>
      </c>
      <c r="Q108" s="31" t="str">
        <f>IF('Phytopl Count'!Q108=0,"",'Phytopl Count'!Q108*'Phytopl Count'!Q$13/'Phytopl Count'!Q$8)</f>
        <v/>
      </c>
      <c r="R108" s="31" t="str">
        <f>IF('Phytopl Count'!R108=0,"",'Phytopl Count'!R108*'Phytopl Count'!R$13/'Phytopl Count'!R$8)</f>
        <v/>
      </c>
      <c r="S108" s="31" t="str">
        <f>IF('Phytopl Count'!S108=0,"",'Phytopl Count'!S108*'Phytopl Count'!S$13/'Phytopl Count'!S$8)</f>
        <v/>
      </c>
      <c r="T108" s="31" t="str">
        <f>IF('Phytopl Count'!T108=0,"",'Phytopl Count'!T108*'Phytopl Count'!T$13/'Phytopl Count'!T$8)</f>
        <v/>
      </c>
      <c r="U108" s="31" t="str">
        <f>IF('Phytopl Count'!U108=0,"",'Phytopl Count'!U108*'Phytopl Count'!U$13/'Phytopl Count'!U$8)</f>
        <v/>
      </c>
      <c r="V108" s="31" t="str">
        <f>IF('Phytopl Count'!V108=0,"",'Phytopl Count'!V108*'Phytopl Count'!V$13/'Phytopl Count'!V$8)</f>
        <v/>
      </c>
      <c r="W108" s="31" t="str">
        <f>IF('Phytopl Count'!W108=0,"",'Phytopl Count'!W108*'Phytopl Count'!W$13/'Phytopl Count'!W$8)</f>
        <v/>
      </c>
      <c r="X108" s="31" t="str">
        <f>IF('Phytopl Count'!X108=0,"",'Phytopl Count'!X108*'Phytopl Count'!X$13/'Phytopl Count'!X$8)</f>
        <v/>
      </c>
      <c r="Y108" s="31" t="str">
        <f>IF('Phytopl Count'!Y108=0,"",'Phytopl Count'!Y108*'Phytopl Count'!Y$13/'Phytopl Count'!Y$8)</f>
        <v/>
      </c>
      <c r="Z108" s="31" t="str">
        <f>IF('Phytopl Count'!Z108=0,"",'Phytopl Count'!Z108*'Phytopl Count'!Z$13/'Phytopl Count'!Z$8)</f>
        <v/>
      </c>
      <c r="AA108" s="31" t="str">
        <f>IF('Phytopl Count'!AA108=0,"",'Phytopl Count'!AA108*'Phytopl Count'!AA$13/'Phytopl Count'!AA$8)</f>
        <v/>
      </c>
      <c r="AB108" s="31" t="str">
        <f>IF('Phytopl Count'!AB108=0,"",'Phytopl Count'!AB108*'Phytopl Count'!AB$13/'Phytopl Count'!AB$8)</f>
        <v/>
      </c>
      <c r="AC108" s="31" t="str">
        <f>IF('Phytopl Count'!AC108=0,"",'Phytopl Count'!AC108*'Phytopl Count'!AC$13/'Phytopl Count'!AC$8)</f>
        <v/>
      </c>
      <c r="AD108" s="31" t="str">
        <f>IF('Phytopl Count'!AD108=0,"",'Phytopl Count'!AD108*'Phytopl Count'!AD$13/'Phytopl Count'!AD$8)</f>
        <v/>
      </c>
      <c r="AE108" s="31" t="str">
        <f>IF('Phytopl Count'!AE108=0,"",'Phytopl Count'!AE108*'Phytopl Count'!AE$13/'Phytopl Count'!AE$8)</f>
        <v/>
      </c>
      <c r="AF108" s="31" t="str">
        <f>IF('Phytopl Count'!AF108=0,"",'Phytopl Count'!AF108*'Phytopl Count'!AF$13/'Phytopl Count'!AF$8)</f>
        <v/>
      </c>
    </row>
    <row r="109" spans="1:32" hidden="1">
      <c r="E109" s="10" t="s">
        <v>6</v>
      </c>
      <c r="F109" s="11" t="s">
        <v>111</v>
      </c>
      <c r="G109" s="31" t="str">
        <f>IF('Phytopl Count'!G109=0,"",'Phytopl Count'!G109*'Phytopl Count'!G$13/'Phytopl Count'!G$8)</f>
        <v/>
      </c>
      <c r="H109" s="31" t="str">
        <f>IF('Phytopl Count'!H109=0,"",'Phytopl Count'!H109*'Phytopl Count'!H$13/'Phytopl Count'!H$8)</f>
        <v/>
      </c>
      <c r="I109" s="31" t="str">
        <f>IF('Phytopl Count'!I109=0,"",'Phytopl Count'!I109*'Phytopl Count'!I$13/'Phytopl Count'!I$8)</f>
        <v/>
      </c>
      <c r="J109" s="31" t="str">
        <f>IF('Phytopl Count'!J109=0,"",'Phytopl Count'!J109*'Phytopl Count'!J$13/'Phytopl Count'!J$8)</f>
        <v/>
      </c>
      <c r="K109" s="31" t="str">
        <f>IF('Phytopl Count'!K109=0,"",'Phytopl Count'!K109*'Phytopl Count'!K$13/'Phytopl Count'!K$8)</f>
        <v/>
      </c>
      <c r="L109" s="31" t="str">
        <f>IF('Phytopl Count'!L109=0,"",'Phytopl Count'!L109*'Phytopl Count'!L$13/'Phytopl Count'!L$8)</f>
        <v/>
      </c>
      <c r="M109" s="31" t="str">
        <f>IF('Phytopl Count'!M109=0,"",'Phytopl Count'!M109*'Phytopl Count'!M$13/'Phytopl Count'!M$8)</f>
        <v/>
      </c>
      <c r="N109" s="31" t="str">
        <f>IF('Phytopl Count'!N109=0,"",'Phytopl Count'!N109*'Phytopl Count'!N$13/'Phytopl Count'!N$8)</f>
        <v/>
      </c>
      <c r="O109" s="31" t="str">
        <f>IF('Phytopl Count'!O109=0,"",'Phytopl Count'!O109*'Phytopl Count'!O$13/'Phytopl Count'!O$8)</f>
        <v/>
      </c>
      <c r="P109" s="31" t="str">
        <f>IF('Phytopl Count'!P109=0,"",'Phytopl Count'!P109*'Phytopl Count'!P$13/'Phytopl Count'!P$8)</f>
        <v/>
      </c>
      <c r="Q109" s="31" t="str">
        <f>IF('Phytopl Count'!Q109=0,"",'Phytopl Count'!Q109*'Phytopl Count'!Q$13/'Phytopl Count'!Q$8)</f>
        <v/>
      </c>
      <c r="R109" s="31" t="str">
        <f>IF('Phytopl Count'!R109=0,"",'Phytopl Count'!R109*'Phytopl Count'!R$13/'Phytopl Count'!R$8)</f>
        <v/>
      </c>
      <c r="S109" s="31" t="str">
        <f>IF('Phytopl Count'!S109=0,"",'Phytopl Count'!S109*'Phytopl Count'!S$13/'Phytopl Count'!S$8)</f>
        <v/>
      </c>
      <c r="T109" s="31" t="str">
        <f>IF('Phytopl Count'!T109=0,"",'Phytopl Count'!T109*'Phytopl Count'!T$13/'Phytopl Count'!T$8)</f>
        <v/>
      </c>
      <c r="U109" s="31" t="str">
        <f>IF('Phytopl Count'!U109=0,"",'Phytopl Count'!U109*'Phytopl Count'!U$13/'Phytopl Count'!U$8)</f>
        <v/>
      </c>
      <c r="V109" s="31" t="str">
        <f>IF('Phytopl Count'!V109=0,"",'Phytopl Count'!V109*'Phytopl Count'!V$13/'Phytopl Count'!V$8)</f>
        <v/>
      </c>
      <c r="W109" s="31" t="str">
        <f>IF('Phytopl Count'!W109=0,"",'Phytopl Count'!W109*'Phytopl Count'!W$13/'Phytopl Count'!W$8)</f>
        <v/>
      </c>
      <c r="X109" s="31" t="str">
        <f>IF('Phytopl Count'!X109=0,"",'Phytopl Count'!X109*'Phytopl Count'!X$13/'Phytopl Count'!X$8)</f>
        <v/>
      </c>
      <c r="Y109" s="31" t="str">
        <f>IF('Phytopl Count'!Y109=0,"",'Phytopl Count'!Y109*'Phytopl Count'!Y$13/'Phytopl Count'!Y$8)</f>
        <v/>
      </c>
      <c r="Z109" s="31" t="str">
        <f>IF('Phytopl Count'!Z109=0,"",'Phytopl Count'!Z109*'Phytopl Count'!Z$13/'Phytopl Count'!Z$8)</f>
        <v/>
      </c>
      <c r="AA109" s="31" t="str">
        <f>IF('Phytopl Count'!AA109=0,"",'Phytopl Count'!AA109*'Phytopl Count'!AA$13/'Phytopl Count'!AA$8)</f>
        <v/>
      </c>
      <c r="AB109" s="31" t="str">
        <f>IF('Phytopl Count'!AB109=0,"",'Phytopl Count'!AB109*'Phytopl Count'!AB$13/'Phytopl Count'!AB$8)</f>
        <v/>
      </c>
      <c r="AC109" s="31" t="str">
        <f>IF('Phytopl Count'!AC109=0,"",'Phytopl Count'!AC109*'Phytopl Count'!AC$13/'Phytopl Count'!AC$8)</f>
        <v/>
      </c>
      <c r="AD109" s="31" t="str">
        <f>IF('Phytopl Count'!AD109=0,"",'Phytopl Count'!AD109*'Phytopl Count'!AD$13/'Phytopl Count'!AD$8)</f>
        <v/>
      </c>
      <c r="AE109" s="31" t="str">
        <f>IF('Phytopl Count'!AE109=0,"",'Phytopl Count'!AE109*'Phytopl Count'!AE$13/'Phytopl Count'!AE$8)</f>
        <v/>
      </c>
      <c r="AF109" s="31" t="str">
        <f>IF('Phytopl Count'!AF109=0,"",'Phytopl Count'!AF109*'Phytopl Count'!AF$13/'Phytopl Count'!AF$8)</f>
        <v/>
      </c>
    </row>
    <row r="110" spans="1:32">
      <c r="E110" s="10"/>
      <c r="F110" s="11"/>
      <c r="G110" s="31" t="str">
        <f>IF('Phytopl Count'!G110=0,"",'Phytopl Count'!G110*'Phytopl Count'!G$13/'Phytopl Count'!G$8)</f>
        <v/>
      </c>
      <c r="H110" s="31" t="str">
        <f>IF('Phytopl Count'!H110=0,"",'Phytopl Count'!H110*'Phytopl Count'!H$13/'Phytopl Count'!H$8)</f>
        <v/>
      </c>
      <c r="I110" s="31" t="str">
        <f>IF('Phytopl Count'!I110=0,"",'Phytopl Count'!I110*'Phytopl Count'!I$13/'Phytopl Count'!I$8)</f>
        <v/>
      </c>
      <c r="J110" s="31" t="str">
        <f>IF('Phytopl Count'!J110=0,"",'Phytopl Count'!J110*'Phytopl Count'!J$13/'Phytopl Count'!J$8)</f>
        <v/>
      </c>
      <c r="K110" s="31" t="str">
        <f>IF('Phytopl Count'!K110=0,"",'Phytopl Count'!K110*'Phytopl Count'!K$13/'Phytopl Count'!K$8)</f>
        <v/>
      </c>
      <c r="L110" s="31" t="str">
        <f>IF('Phytopl Count'!L110=0,"",'Phytopl Count'!L110*'Phytopl Count'!L$13/'Phytopl Count'!L$8)</f>
        <v/>
      </c>
      <c r="M110" s="31" t="str">
        <f>IF('Phytopl Count'!M110=0,"",'Phytopl Count'!M110*'Phytopl Count'!M$13/'Phytopl Count'!M$8)</f>
        <v/>
      </c>
      <c r="N110" s="31" t="str">
        <f>IF('Phytopl Count'!N110=0,"",'Phytopl Count'!N110*'Phytopl Count'!N$13/'Phytopl Count'!N$8)</f>
        <v/>
      </c>
      <c r="O110" s="31" t="str">
        <f>IF('Phytopl Count'!O110=0,"",'Phytopl Count'!O110*'Phytopl Count'!O$13/'Phytopl Count'!O$8)</f>
        <v/>
      </c>
      <c r="P110" s="31" t="str">
        <f>IF('Phytopl Count'!P110=0,"",'Phytopl Count'!P110*'Phytopl Count'!P$13/'Phytopl Count'!P$8)</f>
        <v/>
      </c>
      <c r="Q110" s="31" t="str">
        <f>IF('Phytopl Count'!Q110=0,"",'Phytopl Count'!Q110*'Phytopl Count'!Q$13/'Phytopl Count'!Q$8)</f>
        <v/>
      </c>
      <c r="R110" s="31" t="str">
        <f>IF('Phytopl Count'!R110=0,"",'Phytopl Count'!R110*'Phytopl Count'!R$13/'Phytopl Count'!R$8)</f>
        <v/>
      </c>
      <c r="S110" s="31" t="str">
        <f>IF('Phytopl Count'!S110=0,"",'Phytopl Count'!S110*'Phytopl Count'!S$13/'Phytopl Count'!S$8)</f>
        <v/>
      </c>
      <c r="T110" s="31" t="str">
        <f>IF('Phytopl Count'!T110=0,"",'Phytopl Count'!T110*'Phytopl Count'!T$13/'Phytopl Count'!T$8)</f>
        <v/>
      </c>
      <c r="U110" s="31" t="str">
        <f>IF('Phytopl Count'!U110=0,"",'Phytopl Count'!U110*'Phytopl Count'!U$13/'Phytopl Count'!U$8)</f>
        <v/>
      </c>
      <c r="V110" s="31" t="str">
        <f>IF('Phytopl Count'!V110=0,"",'Phytopl Count'!V110*'Phytopl Count'!V$13/'Phytopl Count'!V$8)</f>
        <v/>
      </c>
      <c r="W110" s="31" t="str">
        <f>IF('Phytopl Count'!W110=0,"",'Phytopl Count'!W110*'Phytopl Count'!W$13/'Phytopl Count'!W$8)</f>
        <v/>
      </c>
      <c r="X110" s="31" t="str">
        <f>IF('Phytopl Count'!X110=0,"",'Phytopl Count'!X110*'Phytopl Count'!X$13/'Phytopl Count'!X$8)</f>
        <v/>
      </c>
      <c r="Y110" s="31" t="str">
        <f>IF('Phytopl Count'!Y110=0,"",'Phytopl Count'!Y110*'Phytopl Count'!Y$13/'Phytopl Count'!Y$8)</f>
        <v/>
      </c>
      <c r="Z110" s="31" t="str">
        <f>IF('Phytopl Count'!Z110=0,"",'Phytopl Count'!Z110*'Phytopl Count'!Z$13/'Phytopl Count'!Z$8)</f>
        <v/>
      </c>
      <c r="AA110" s="31" t="str">
        <f>IF('Phytopl Count'!AA110=0,"",'Phytopl Count'!AA110*'Phytopl Count'!AA$13/'Phytopl Count'!AA$8)</f>
        <v/>
      </c>
      <c r="AB110" s="31" t="str">
        <f>IF('Phytopl Count'!AB110=0,"",'Phytopl Count'!AB110*'Phytopl Count'!AB$13/'Phytopl Count'!AB$8)</f>
        <v/>
      </c>
      <c r="AC110" s="31" t="str">
        <f>IF('Phytopl Count'!AC110=0,"",'Phytopl Count'!AC110*'Phytopl Count'!AC$13/'Phytopl Count'!AC$8)</f>
        <v/>
      </c>
      <c r="AD110" s="31" t="str">
        <f>IF('Phytopl Count'!AD110=0,"",'Phytopl Count'!AD110*'Phytopl Count'!AD$13/'Phytopl Count'!AD$8)</f>
        <v/>
      </c>
      <c r="AE110" s="31" t="str">
        <f>IF('Phytopl Count'!AE110=0,"",'Phytopl Count'!AE110*'Phytopl Count'!AE$13/'Phytopl Count'!AE$8)</f>
        <v/>
      </c>
      <c r="AF110" s="31" t="str">
        <f>IF('Phytopl Count'!AF110=0,"",'Phytopl Count'!AF110*'Phytopl Count'!AF$13/'Phytopl Count'!AF$8)</f>
        <v/>
      </c>
    </row>
    <row r="111" spans="1:32">
      <c r="A111" s="16"/>
      <c r="B111" s="16" t="s">
        <v>72</v>
      </c>
      <c r="C111" s="4" t="s">
        <v>148</v>
      </c>
      <c r="D111" s="4"/>
      <c r="E111" s="4"/>
      <c r="F111" s="59"/>
      <c r="G111" s="31" t="str">
        <f>IF('Phytopl Count'!G111=0,"",'Phytopl Count'!G111*'Phytopl Count'!G$13/'Phytopl Count'!G$8)</f>
        <v/>
      </c>
      <c r="H111" s="31" t="str">
        <f>IF('Phytopl Count'!H111=0,"",'Phytopl Count'!H111*'Phytopl Count'!H$13/'Phytopl Count'!H$8)</f>
        <v/>
      </c>
      <c r="I111" s="31" t="str">
        <f>IF('Phytopl Count'!I111=0,"",'Phytopl Count'!I111*'Phytopl Count'!I$13/'Phytopl Count'!I$8)</f>
        <v/>
      </c>
      <c r="J111" s="31" t="str">
        <f>IF('Phytopl Count'!J111=0,"",'Phytopl Count'!J111*'Phytopl Count'!J$13/'Phytopl Count'!J$8)</f>
        <v/>
      </c>
      <c r="K111" s="31" t="str">
        <f>IF('Phytopl Count'!K111=0,"",'Phytopl Count'!K111*'Phytopl Count'!K$13/'Phytopl Count'!K$8)</f>
        <v/>
      </c>
      <c r="L111" s="31" t="str">
        <f>IF('Phytopl Count'!L111=0,"",'Phytopl Count'!L111*'Phytopl Count'!L$13/'Phytopl Count'!L$8)</f>
        <v/>
      </c>
      <c r="M111" s="31" t="str">
        <f>IF('Phytopl Count'!M111=0,"",'Phytopl Count'!M111*'Phytopl Count'!M$13/'Phytopl Count'!M$8)</f>
        <v/>
      </c>
      <c r="N111" s="31" t="str">
        <f>IF('Phytopl Count'!N111=0,"",'Phytopl Count'!N111*'Phytopl Count'!N$13/'Phytopl Count'!N$8)</f>
        <v/>
      </c>
      <c r="O111" s="31" t="str">
        <f>IF('Phytopl Count'!O111=0,"",'Phytopl Count'!O111*'Phytopl Count'!O$13/'Phytopl Count'!O$8)</f>
        <v/>
      </c>
      <c r="P111" s="31" t="str">
        <f>IF('Phytopl Count'!P111=0,"",'Phytopl Count'!P111*'Phytopl Count'!P$13/'Phytopl Count'!P$8)</f>
        <v/>
      </c>
      <c r="Q111" s="31" t="str">
        <f>IF('Phytopl Count'!Q111=0,"",'Phytopl Count'!Q111*'Phytopl Count'!Q$13/'Phytopl Count'!Q$8)</f>
        <v/>
      </c>
      <c r="R111" s="31" t="str">
        <f>IF('Phytopl Count'!R111=0,"",'Phytopl Count'!R111*'Phytopl Count'!R$13/'Phytopl Count'!R$8)</f>
        <v/>
      </c>
      <c r="S111" s="31" t="str">
        <f>IF('Phytopl Count'!S111=0,"",'Phytopl Count'!S111*'Phytopl Count'!S$13/'Phytopl Count'!S$8)</f>
        <v/>
      </c>
      <c r="T111" s="31" t="str">
        <f>IF('Phytopl Count'!T111=0,"",'Phytopl Count'!T111*'Phytopl Count'!T$13/'Phytopl Count'!T$8)</f>
        <v/>
      </c>
      <c r="U111" s="31" t="str">
        <f>IF('Phytopl Count'!U111=0,"",'Phytopl Count'!U111*'Phytopl Count'!U$13/'Phytopl Count'!U$8)</f>
        <v/>
      </c>
      <c r="V111" s="31" t="str">
        <f>IF('Phytopl Count'!V111=0,"",'Phytopl Count'!V111*'Phytopl Count'!V$13/'Phytopl Count'!V$8)</f>
        <v/>
      </c>
      <c r="W111" s="31" t="str">
        <f>IF('Phytopl Count'!W111=0,"",'Phytopl Count'!W111*'Phytopl Count'!W$13/'Phytopl Count'!W$8)</f>
        <v/>
      </c>
      <c r="X111" s="31" t="str">
        <f>IF('Phytopl Count'!X111=0,"",'Phytopl Count'!X111*'Phytopl Count'!X$13/'Phytopl Count'!X$8)</f>
        <v/>
      </c>
      <c r="Y111" s="31" t="str">
        <f>IF('Phytopl Count'!Y111=0,"",'Phytopl Count'!Y111*'Phytopl Count'!Y$13/'Phytopl Count'!Y$8)</f>
        <v/>
      </c>
      <c r="Z111" s="31" t="str">
        <f>IF('Phytopl Count'!Z111=0,"",'Phytopl Count'!Z111*'Phytopl Count'!Z$13/'Phytopl Count'!Z$8)</f>
        <v/>
      </c>
      <c r="AA111" s="31" t="str">
        <f>IF('Phytopl Count'!AA111=0,"",'Phytopl Count'!AA111*'Phytopl Count'!AA$13/'Phytopl Count'!AA$8)</f>
        <v/>
      </c>
      <c r="AB111" s="31" t="str">
        <f>IF('Phytopl Count'!AB111=0,"",'Phytopl Count'!AB111*'Phytopl Count'!AB$13/'Phytopl Count'!AB$8)</f>
        <v/>
      </c>
      <c r="AC111" s="31" t="str">
        <f>IF('Phytopl Count'!AC111=0,"",'Phytopl Count'!AC111*'Phytopl Count'!AC$13/'Phytopl Count'!AC$8)</f>
        <v/>
      </c>
      <c r="AD111" s="31" t="str">
        <f>IF('Phytopl Count'!AD111=0,"",'Phytopl Count'!AD111*'Phytopl Count'!AD$13/'Phytopl Count'!AD$8)</f>
        <v/>
      </c>
      <c r="AE111" s="31" t="str">
        <f>IF('Phytopl Count'!AE111=0,"",'Phytopl Count'!AE111*'Phytopl Count'!AE$13/'Phytopl Count'!AE$8)</f>
        <v/>
      </c>
      <c r="AF111" s="31" t="str">
        <f>IF('Phytopl Count'!AF111=0,"",'Phytopl Count'!AF111*'Phytopl Count'!AF$13/'Phytopl Count'!AF$8)</f>
        <v/>
      </c>
    </row>
    <row r="112" spans="1:32" ht="15" customHeight="1">
      <c r="A112" s="16"/>
      <c r="B112" s="16"/>
      <c r="C112" s="16" t="s">
        <v>73</v>
      </c>
      <c r="D112" s="4" t="s">
        <v>149</v>
      </c>
      <c r="E112" s="4"/>
      <c r="F112" s="59"/>
      <c r="G112" s="31" t="str">
        <f>IF('Phytopl Count'!G112=0,"",'Phytopl Count'!G112*'Phytopl Count'!G$13/'Phytopl Count'!G$8)</f>
        <v/>
      </c>
      <c r="H112" s="31" t="str">
        <f>IF('Phytopl Count'!H112=0,"",'Phytopl Count'!H112*'Phytopl Count'!H$13/'Phytopl Count'!H$8)</f>
        <v/>
      </c>
      <c r="I112" s="31" t="str">
        <f>IF('Phytopl Count'!I112=0,"",'Phytopl Count'!I112*'Phytopl Count'!I$13/'Phytopl Count'!I$8)</f>
        <v/>
      </c>
      <c r="J112" s="31" t="str">
        <f>IF('Phytopl Count'!J112=0,"",'Phytopl Count'!J112*'Phytopl Count'!J$13/'Phytopl Count'!J$8)</f>
        <v/>
      </c>
      <c r="K112" s="31" t="str">
        <f>IF('Phytopl Count'!K112=0,"",'Phytopl Count'!K112*'Phytopl Count'!K$13/'Phytopl Count'!K$8)</f>
        <v/>
      </c>
      <c r="L112" s="31" t="str">
        <f>IF('Phytopl Count'!L112=0,"",'Phytopl Count'!L112*'Phytopl Count'!L$13/'Phytopl Count'!L$8)</f>
        <v/>
      </c>
      <c r="M112" s="31" t="str">
        <f>IF('Phytopl Count'!M112=0,"",'Phytopl Count'!M112*'Phytopl Count'!M$13/'Phytopl Count'!M$8)</f>
        <v/>
      </c>
      <c r="N112" s="31" t="str">
        <f>IF('Phytopl Count'!N112=0,"",'Phytopl Count'!N112*'Phytopl Count'!N$13/'Phytopl Count'!N$8)</f>
        <v/>
      </c>
      <c r="O112" s="31" t="str">
        <f>IF('Phytopl Count'!O112=0,"",'Phytopl Count'!O112*'Phytopl Count'!O$13/'Phytopl Count'!O$8)</f>
        <v/>
      </c>
      <c r="P112" s="31" t="str">
        <f>IF('Phytopl Count'!P112=0,"",'Phytopl Count'!P112*'Phytopl Count'!P$13/'Phytopl Count'!P$8)</f>
        <v/>
      </c>
      <c r="Q112" s="31" t="str">
        <f>IF('Phytopl Count'!Q112=0,"",'Phytopl Count'!Q112*'Phytopl Count'!Q$13/'Phytopl Count'!Q$8)</f>
        <v/>
      </c>
      <c r="R112" s="31" t="str">
        <f>IF('Phytopl Count'!R112=0,"",'Phytopl Count'!R112*'Phytopl Count'!R$13/'Phytopl Count'!R$8)</f>
        <v/>
      </c>
      <c r="S112" s="31" t="str">
        <f>IF('Phytopl Count'!S112=0,"",'Phytopl Count'!S112*'Phytopl Count'!S$13/'Phytopl Count'!S$8)</f>
        <v/>
      </c>
      <c r="T112" s="31" t="str">
        <f>IF('Phytopl Count'!T112=0,"",'Phytopl Count'!T112*'Phytopl Count'!T$13/'Phytopl Count'!T$8)</f>
        <v/>
      </c>
      <c r="U112" s="31" t="str">
        <f>IF('Phytopl Count'!U112=0,"",'Phytopl Count'!U112*'Phytopl Count'!U$13/'Phytopl Count'!U$8)</f>
        <v/>
      </c>
      <c r="V112" s="31" t="str">
        <f>IF('Phytopl Count'!V112=0,"",'Phytopl Count'!V112*'Phytopl Count'!V$13/'Phytopl Count'!V$8)</f>
        <v/>
      </c>
      <c r="W112" s="31" t="str">
        <f>IF('Phytopl Count'!W112=0,"",'Phytopl Count'!W112*'Phytopl Count'!W$13/'Phytopl Count'!W$8)</f>
        <v/>
      </c>
      <c r="X112" s="31" t="str">
        <f>IF('Phytopl Count'!X112=0,"",'Phytopl Count'!X112*'Phytopl Count'!X$13/'Phytopl Count'!X$8)</f>
        <v/>
      </c>
      <c r="Y112" s="31" t="str">
        <f>IF('Phytopl Count'!Y112=0,"",'Phytopl Count'!Y112*'Phytopl Count'!Y$13/'Phytopl Count'!Y$8)</f>
        <v/>
      </c>
      <c r="Z112" s="31" t="str">
        <f>IF('Phytopl Count'!Z112=0,"",'Phytopl Count'!Z112*'Phytopl Count'!Z$13/'Phytopl Count'!Z$8)</f>
        <v/>
      </c>
      <c r="AA112" s="31" t="str">
        <f>IF('Phytopl Count'!AA112=0,"",'Phytopl Count'!AA112*'Phytopl Count'!AA$13/'Phytopl Count'!AA$8)</f>
        <v/>
      </c>
      <c r="AB112" s="31" t="str">
        <f>IF('Phytopl Count'!AB112=0,"",'Phytopl Count'!AB112*'Phytopl Count'!AB$13/'Phytopl Count'!AB$8)</f>
        <v/>
      </c>
      <c r="AC112" s="31" t="str">
        <f>IF('Phytopl Count'!AC112=0,"",'Phytopl Count'!AC112*'Phytopl Count'!AC$13/'Phytopl Count'!AC$8)</f>
        <v/>
      </c>
      <c r="AD112" s="31" t="str">
        <f>IF('Phytopl Count'!AD112=0,"",'Phytopl Count'!AD112*'Phytopl Count'!AD$13/'Phytopl Count'!AD$8)</f>
        <v/>
      </c>
      <c r="AE112" s="31" t="str">
        <f>IF('Phytopl Count'!AE112=0,"",'Phytopl Count'!AE112*'Phytopl Count'!AE$13/'Phytopl Count'!AE$8)</f>
        <v/>
      </c>
      <c r="AF112" s="31" t="str">
        <f>IF('Phytopl Count'!AF112=0,"",'Phytopl Count'!AF112*'Phytopl Count'!AF$13/'Phytopl Count'!AF$8)</f>
        <v/>
      </c>
    </row>
    <row r="113" spans="1:32" ht="15" hidden="1" customHeight="1">
      <c r="A113" s="61"/>
      <c r="B113" s="61"/>
      <c r="C113" s="61"/>
      <c r="D113" s="61" t="s">
        <v>5</v>
      </c>
      <c r="E113" s="60" t="s">
        <v>303</v>
      </c>
      <c r="F113" s="62"/>
      <c r="G113" s="31" t="str">
        <f>IF('Phytopl Count'!G113=0,"",'Phytopl Count'!G113*'Phytopl Count'!G$13/'Phytopl Count'!G$8)</f>
        <v/>
      </c>
      <c r="H113" s="31" t="str">
        <f>IF('Phytopl Count'!H113=0,"",'Phytopl Count'!H113*'Phytopl Count'!H$13/'Phytopl Count'!H$8)</f>
        <v/>
      </c>
      <c r="I113" s="31" t="str">
        <f>IF('Phytopl Count'!I113=0,"",'Phytopl Count'!I113*'Phytopl Count'!I$13/'Phytopl Count'!I$8)</f>
        <v/>
      </c>
      <c r="J113" s="31" t="str">
        <f>IF('Phytopl Count'!J113=0,"",'Phytopl Count'!J113*'Phytopl Count'!J$13/'Phytopl Count'!J$8)</f>
        <v/>
      </c>
      <c r="K113" s="31" t="str">
        <f>IF('Phytopl Count'!K113=0,"",'Phytopl Count'!K113*'Phytopl Count'!K$13/'Phytopl Count'!K$8)</f>
        <v/>
      </c>
      <c r="L113" s="31" t="str">
        <f>IF('Phytopl Count'!L113=0,"",'Phytopl Count'!L113*'Phytopl Count'!L$13/'Phytopl Count'!L$8)</f>
        <v/>
      </c>
      <c r="M113" s="31" t="str">
        <f>IF('Phytopl Count'!M113=0,"",'Phytopl Count'!M113*'Phytopl Count'!M$13/'Phytopl Count'!M$8)</f>
        <v/>
      </c>
      <c r="N113" s="31" t="str">
        <f>IF('Phytopl Count'!N113=0,"",'Phytopl Count'!N113*'Phytopl Count'!N$13/'Phytopl Count'!N$8)</f>
        <v/>
      </c>
      <c r="O113" s="31" t="str">
        <f>IF('Phytopl Count'!O113=0,"",'Phytopl Count'!O113*'Phytopl Count'!O$13/'Phytopl Count'!O$8)</f>
        <v/>
      </c>
      <c r="P113" s="31" t="str">
        <f>IF('Phytopl Count'!P113=0,"",'Phytopl Count'!P113*'Phytopl Count'!P$13/'Phytopl Count'!P$8)</f>
        <v/>
      </c>
      <c r="Q113" s="31" t="str">
        <f>IF('Phytopl Count'!Q113=0,"",'Phytopl Count'!Q113*'Phytopl Count'!Q$13/'Phytopl Count'!Q$8)</f>
        <v/>
      </c>
      <c r="R113" s="31" t="str">
        <f>IF('Phytopl Count'!R113=0,"",'Phytopl Count'!R113*'Phytopl Count'!R$13/'Phytopl Count'!R$8)</f>
        <v/>
      </c>
      <c r="S113" s="31" t="str">
        <f>IF('Phytopl Count'!S113=0,"",'Phytopl Count'!S113*'Phytopl Count'!S$13/'Phytopl Count'!S$8)</f>
        <v/>
      </c>
      <c r="T113" s="31" t="str">
        <f>IF('Phytopl Count'!T113=0,"",'Phytopl Count'!T113*'Phytopl Count'!T$13/'Phytopl Count'!T$8)</f>
        <v/>
      </c>
      <c r="U113" s="31" t="str">
        <f>IF('Phytopl Count'!U113=0,"",'Phytopl Count'!U113*'Phytopl Count'!U$13/'Phytopl Count'!U$8)</f>
        <v/>
      </c>
      <c r="V113" s="31" t="str">
        <f>IF('Phytopl Count'!V113=0,"",'Phytopl Count'!V113*'Phytopl Count'!V$13/'Phytopl Count'!V$8)</f>
        <v/>
      </c>
      <c r="W113" s="31" t="str">
        <f>IF('Phytopl Count'!W113=0,"",'Phytopl Count'!W113*'Phytopl Count'!W$13/'Phytopl Count'!W$8)</f>
        <v/>
      </c>
      <c r="X113" s="31" t="str">
        <f>IF('Phytopl Count'!X113=0,"",'Phytopl Count'!X113*'Phytopl Count'!X$13/'Phytopl Count'!X$8)</f>
        <v/>
      </c>
      <c r="Y113" s="31" t="str">
        <f>IF('Phytopl Count'!Y113=0,"",'Phytopl Count'!Y113*'Phytopl Count'!Y$13/'Phytopl Count'!Y$8)</f>
        <v/>
      </c>
      <c r="Z113" s="31" t="str">
        <f>IF('Phytopl Count'!Z113=0,"",'Phytopl Count'!Z113*'Phytopl Count'!Z$13/'Phytopl Count'!Z$8)</f>
        <v/>
      </c>
      <c r="AA113" s="31" t="str">
        <f>IF('Phytopl Count'!AA113=0,"",'Phytopl Count'!AA113*'Phytopl Count'!AA$13/'Phytopl Count'!AA$8)</f>
        <v/>
      </c>
      <c r="AB113" s="31" t="str">
        <f>IF('Phytopl Count'!AB113=0,"",'Phytopl Count'!AB113*'Phytopl Count'!AB$13/'Phytopl Count'!AB$8)</f>
        <v/>
      </c>
      <c r="AC113" s="31" t="str">
        <f>IF('Phytopl Count'!AC113=0,"",'Phytopl Count'!AC113*'Phytopl Count'!AC$13/'Phytopl Count'!AC$8)</f>
        <v/>
      </c>
      <c r="AD113" s="31" t="str">
        <f>IF('Phytopl Count'!AD113=0,"",'Phytopl Count'!AD113*'Phytopl Count'!AD$13/'Phytopl Count'!AD$8)</f>
        <v/>
      </c>
      <c r="AE113" s="31" t="str">
        <f>IF('Phytopl Count'!AE113=0,"",'Phytopl Count'!AE113*'Phytopl Count'!AE$13/'Phytopl Count'!AE$8)</f>
        <v/>
      </c>
      <c r="AF113" s="31" t="str">
        <f>IF('Phytopl Count'!AF113=0,"",'Phytopl Count'!AF113*'Phytopl Count'!AF$13/'Phytopl Count'!AF$8)</f>
        <v/>
      </c>
    </row>
    <row r="114" spans="1:32" ht="15" hidden="1" customHeight="1">
      <c r="E114" s="10" t="s">
        <v>6</v>
      </c>
      <c r="F114" s="52" t="s">
        <v>151</v>
      </c>
      <c r="G114" s="31" t="str">
        <f>IF('Phytopl Count'!G114=0,"",'Phytopl Count'!G114*'Phytopl Count'!G$13/'Phytopl Count'!G$8)</f>
        <v/>
      </c>
      <c r="H114" s="31" t="str">
        <f>IF('Phytopl Count'!H114=0,"",'Phytopl Count'!H114*'Phytopl Count'!H$13/'Phytopl Count'!H$8)</f>
        <v/>
      </c>
      <c r="I114" s="31" t="str">
        <f>IF('Phytopl Count'!I114=0,"",'Phytopl Count'!I114*'Phytopl Count'!I$13/'Phytopl Count'!I$8)</f>
        <v/>
      </c>
      <c r="J114" s="31" t="str">
        <f>IF('Phytopl Count'!J114=0,"",'Phytopl Count'!J114*'Phytopl Count'!J$13/'Phytopl Count'!J$8)</f>
        <v/>
      </c>
      <c r="K114" s="31" t="str">
        <f>IF('Phytopl Count'!K114=0,"",'Phytopl Count'!K114*'Phytopl Count'!K$13/'Phytopl Count'!K$8)</f>
        <v/>
      </c>
      <c r="L114" s="31" t="str">
        <f>IF('Phytopl Count'!L114=0,"",'Phytopl Count'!L114*'Phytopl Count'!L$13/'Phytopl Count'!L$8)</f>
        <v/>
      </c>
      <c r="M114" s="31" t="str">
        <f>IF('Phytopl Count'!M114=0,"",'Phytopl Count'!M114*'Phytopl Count'!M$13/'Phytopl Count'!M$8)</f>
        <v/>
      </c>
      <c r="N114" s="31" t="str">
        <f>IF('Phytopl Count'!N114=0,"",'Phytopl Count'!N114*'Phytopl Count'!N$13/'Phytopl Count'!N$8)</f>
        <v/>
      </c>
      <c r="O114" s="31" t="str">
        <f>IF('Phytopl Count'!O114=0,"",'Phytopl Count'!O114*'Phytopl Count'!O$13/'Phytopl Count'!O$8)</f>
        <v/>
      </c>
      <c r="P114" s="31" t="str">
        <f>IF('Phytopl Count'!P114=0,"",'Phytopl Count'!P114*'Phytopl Count'!P$13/'Phytopl Count'!P$8)</f>
        <v/>
      </c>
      <c r="Q114" s="31" t="str">
        <f>IF('Phytopl Count'!Q114=0,"",'Phytopl Count'!Q114*'Phytopl Count'!Q$13/'Phytopl Count'!Q$8)</f>
        <v/>
      </c>
      <c r="R114" s="31" t="str">
        <f>IF('Phytopl Count'!R114=0,"",'Phytopl Count'!R114*'Phytopl Count'!R$13/'Phytopl Count'!R$8)</f>
        <v/>
      </c>
      <c r="S114" s="31" t="str">
        <f>IF('Phytopl Count'!S114=0,"",'Phytopl Count'!S114*'Phytopl Count'!S$13/'Phytopl Count'!S$8)</f>
        <v/>
      </c>
      <c r="T114" s="31" t="str">
        <f>IF('Phytopl Count'!T114=0,"",'Phytopl Count'!T114*'Phytopl Count'!T$13/'Phytopl Count'!T$8)</f>
        <v/>
      </c>
      <c r="U114" s="31" t="str">
        <f>IF('Phytopl Count'!U114=0,"",'Phytopl Count'!U114*'Phytopl Count'!U$13/'Phytopl Count'!U$8)</f>
        <v/>
      </c>
      <c r="V114" s="31" t="str">
        <f>IF('Phytopl Count'!V114=0,"",'Phytopl Count'!V114*'Phytopl Count'!V$13/'Phytopl Count'!V$8)</f>
        <v/>
      </c>
      <c r="W114" s="31" t="str">
        <f>IF('Phytopl Count'!W114=0,"",'Phytopl Count'!W114*'Phytopl Count'!W$13/'Phytopl Count'!W$8)</f>
        <v/>
      </c>
      <c r="X114" s="31" t="str">
        <f>IF('Phytopl Count'!X114=0,"",'Phytopl Count'!X114*'Phytopl Count'!X$13/'Phytopl Count'!X$8)</f>
        <v/>
      </c>
      <c r="Y114" s="31" t="str">
        <f>IF('Phytopl Count'!Y114=0,"",'Phytopl Count'!Y114*'Phytopl Count'!Y$13/'Phytopl Count'!Y$8)</f>
        <v/>
      </c>
      <c r="Z114" s="31" t="str">
        <f>IF('Phytopl Count'!Z114=0,"",'Phytopl Count'!Z114*'Phytopl Count'!Z$13/'Phytopl Count'!Z$8)</f>
        <v/>
      </c>
      <c r="AA114" s="31" t="str">
        <f>IF('Phytopl Count'!AA114=0,"",'Phytopl Count'!AA114*'Phytopl Count'!AA$13/'Phytopl Count'!AA$8)</f>
        <v/>
      </c>
      <c r="AB114" s="31" t="str">
        <f>IF('Phytopl Count'!AB114=0,"",'Phytopl Count'!AB114*'Phytopl Count'!AB$13/'Phytopl Count'!AB$8)</f>
        <v/>
      </c>
      <c r="AC114" s="31" t="str">
        <f>IF('Phytopl Count'!AC114=0,"",'Phytopl Count'!AC114*'Phytopl Count'!AC$13/'Phytopl Count'!AC$8)</f>
        <v/>
      </c>
      <c r="AD114" s="31" t="str">
        <f>IF('Phytopl Count'!AD114=0,"",'Phytopl Count'!AD114*'Phytopl Count'!AD$13/'Phytopl Count'!AD$8)</f>
        <v/>
      </c>
      <c r="AE114" s="31" t="str">
        <f>IF('Phytopl Count'!AE114=0,"",'Phytopl Count'!AE114*'Phytopl Count'!AE$13/'Phytopl Count'!AE$8)</f>
        <v/>
      </c>
      <c r="AF114" s="31" t="str">
        <f>IF('Phytopl Count'!AF114=0,"",'Phytopl Count'!AF114*'Phytopl Count'!AF$13/'Phytopl Count'!AF$8)</f>
        <v/>
      </c>
    </row>
    <row r="115" spans="1:32" ht="15" customHeight="1">
      <c r="A115" s="61"/>
      <c r="B115" s="61"/>
      <c r="C115" s="61"/>
      <c r="D115" s="61" t="s">
        <v>5</v>
      </c>
      <c r="E115" s="178" t="s">
        <v>413</v>
      </c>
      <c r="F115" s="62"/>
      <c r="G115" s="31" t="str">
        <f>IF('Phytopl Count'!G115=0,"",'Phytopl Count'!G115*'Phytopl Count'!G$13/'Phytopl Count'!G$8)</f>
        <v/>
      </c>
      <c r="H115" s="31" t="str">
        <f>IF('Phytopl Count'!H115=0,"",'Phytopl Count'!H115*'Phytopl Count'!H$13/'Phytopl Count'!H$8)</f>
        <v/>
      </c>
      <c r="I115" s="31" t="str">
        <f>IF('Phytopl Count'!I115=0,"",'Phytopl Count'!I115*'Phytopl Count'!I$13/'Phytopl Count'!I$8)</f>
        <v/>
      </c>
      <c r="J115" s="31" t="str">
        <f>IF('Phytopl Count'!J115=0,"",'Phytopl Count'!J115*'Phytopl Count'!J$13/'Phytopl Count'!J$8)</f>
        <v/>
      </c>
      <c r="K115" s="31" t="str">
        <f>IF('Phytopl Count'!K115=0,"",'Phytopl Count'!K115*'Phytopl Count'!K$13/'Phytopl Count'!K$8)</f>
        <v/>
      </c>
      <c r="L115" s="31" t="str">
        <f>IF('Phytopl Count'!L115=0,"",'Phytopl Count'!L115*'Phytopl Count'!L$13/'Phytopl Count'!L$8)</f>
        <v/>
      </c>
      <c r="M115" s="31" t="str">
        <f>IF('Phytopl Count'!M115=0,"",'Phytopl Count'!M115*'Phytopl Count'!M$13/'Phytopl Count'!M$8)</f>
        <v/>
      </c>
      <c r="N115" s="31" t="str">
        <f>IF('Phytopl Count'!N115=0,"",'Phytopl Count'!N115*'Phytopl Count'!N$13/'Phytopl Count'!N$8)</f>
        <v/>
      </c>
      <c r="O115" s="31" t="str">
        <f>IF('Phytopl Count'!O115=0,"",'Phytopl Count'!O115*'Phytopl Count'!O$13/'Phytopl Count'!O$8)</f>
        <v/>
      </c>
      <c r="P115" s="31" t="str">
        <f>IF('Phytopl Count'!P115=0,"",'Phytopl Count'!P115*'Phytopl Count'!P$13/'Phytopl Count'!P$8)</f>
        <v/>
      </c>
      <c r="Q115" s="31" t="str">
        <f>IF('Phytopl Count'!Q115=0,"",'Phytopl Count'!Q115*'Phytopl Count'!Q$13/'Phytopl Count'!Q$8)</f>
        <v/>
      </c>
      <c r="R115" s="31" t="str">
        <f>IF('Phytopl Count'!R115=0,"",'Phytopl Count'!R115*'Phytopl Count'!R$13/'Phytopl Count'!R$8)</f>
        <v/>
      </c>
      <c r="S115" s="31" t="str">
        <f>IF('Phytopl Count'!S115=0,"",'Phytopl Count'!S115*'Phytopl Count'!S$13/'Phytopl Count'!S$8)</f>
        <v/>
      </c>
      <c r="T115" s="31" t="str">
        <f>IF('Phytopl Count'!T115=0,"",'Phytopl Count'!T115*'Phytopl Count'!T$13/'Phytopl Count'!T$8)</f>
        <v/>
      </c>
      <c r="U115" s="31" t="str">
        <f>IF('Phytopl Count'!U115=0,"",'Phytopl Count'!U115*'Phytopl Count'!U$13/'Phytopl Count'!U$8)</f>
        <v/>
      </c>
      <c r="V115" s="31" t="str">
        <f>IF('Phytopl Count'!V115=0,"",'Phytopl Count'!V115*'Phytopl Count'!V$13/'Phytopl Count'!V$8)</f>
        <v/>
      </c>
      <c r="W115" s="31" t="str">
        <f>IF('Phytopl Count'!W115=0,"",'Phytopl Count'!W115*'Phytopl Count'!W$13/'Phytopl Count'!W$8)</f>
        <v/>
      </c>
      <c r="X115" s="31" t="str">
        <f>IF('Phytopl Count'!X115=0,"",'Phytopl Count'!X115*'Phytopl Count'!X$13/'Phytopl Count'!X$8)</f>
        <v/>
      </c>
      <c r="Y115" s="31" t="str">
        <f>IF('Phytopl Count'!Y115=0,"",'Phytopl Count'!Y115*'Phytopl Count'!Y$13/'Phytopl Count'!Y$8)</f>
        <v/>
      </c>
      <c r="Z115" s="31" t="str">
        <f>IF('Phytopl Count'!Z115=0,"",'Phytopl Count'!Z115*'Phytopl Count'!Z$13/'Phytopl Count'!Z$8)</f>
        <v/>
      </c>
      <c r="AA115" s="31" t="str">
        <f>IF('Phytopl Count'!AA115=0,"",'Phytopl Count'!AA115*'Phytopl Count'!AA$13/'Phytopl Count'!AA$8)</f>
        <v/>
      </c>
      <c r="AB115" s="31" t="str">
        <f>IF('Phytopl Count'!AB115=0,"",'Phytopl Count'!AB115*'Phytopl Count'!AB$13/'Phytopl Count'!AB$8)</f>
        <v/>
      </c>
      <c r="AC115" s="31" t="str">
        <f>IF('Phytopl Count'!AC115=0,"",'Phytopl Count'!AC115*'Phytopl Count'!AC$13/'Phytopl Count'!AC$8)</f>
        <v/>
      </c>
      <c r="AD115" s="31" t="str">
        <f>IF('Phytopl Count'!AD115=0,"",'Phytopl Count'!AD115*'Phytopl Count'!AD$13/'Phytopl Count'!AD$8)</f>
        <v/>
      </c>
      <c r="AE115" s="31" t="str">
        <f>IF('Phytopl Count'!AE115=0,"",'Phytopl Count'!AE115*'Phytopl Count'!AE$13/'Phytopl Count'!AE$8)</f>
        <v/>
      </c>
      <c r="AF115" s="31" t="str">
        <f>IF('Phytopl Count'!AF115=0,"",'Phytopl Count'!AF115*'Phytopl Count'!AF$13/'Phytopl Count'!AF$8)</f>
        <v/>
      </c>
    </row>
    <row r="116" spans="1:32" ht="15" customHeight="1">
      <c r="E116" s="10" t="s">
        <v>6</v>
      </c>
      <c r="F116" s="11" t="s">
        <v>414</v>
      </c>
      <c r="G116" s="31" t="str">
        <f>IF('Phytopl Count'!G116=0,"",'Phytopl Count'!G116*'Phytopl Count'!G$13/'Phytopl Count'!G$8)</f>
        <v/>
      </c>
      <c r="H116" s="31" t="str">
        <f>IF('Phytopl Count'!H116=0,"",'Phytopl Count'!H116*'Phytopl Count'!H$13/'Phytopl Count'!H$8)</f>
        <v/>
      </c>
      <c r="I116" s="31">
        <f>IF('Phytopl Count'!I116=0,"",'Phytopl Count'!I116*'Phytopl Count'!I$13/'Phytopl Count'!I$8)</f>
        <v>5.6054571151862506E-2</v>
      </c>
      <c r="J116" s="31" t="str">
        <f>IF('Phytopl Count'!J116=0,"",'Phytopl Count'!J116*'Phytopl Count'!J$13/'Phytopl Count'!J$8)</f>
        <v/>
      </c>
      <c r="K116" s="31" t="str">
        <f>IF('Phytopl Count'!K116=0,"",'Phytopl Count'!K116*'Phytopl Count'!K$13/'Phytopl Count'!K$8)</f>
        <v/>
      </c>
      <c r="L116" s="31" t="str">
        <f>IF('Phytopl Count'!L116=0,"",'Phytopl Count'!L116*'Phytopl Count'!L$13/'Phytopl Count'!L$8)</f>
        <v/>
      </c>
      <c r="M116" s="31" t="str">
        <f>IF('Phytopl Count'!M116=0,"",'Phytopl Count'!M116*'Phytopl Count'!M$13/'Phytopl Count'!M$8)</f>
        <v/>
      </c>
      <c r="N116" s="31" t="str">
        <f>IF('Phytopl Count'!N116=0,"",'Phytopl Count'!N116*'Phytopl Count'!N$13/'Phytopl Count'!N$8)</f>
        <v/>
      </c>
      <c r="O116" s="31">
        <f>IF('Phytopl Count'!O116=0,"",'Phytopl Count'!O116*'Phytopl Count'!O$13/'Phytopl Count'!O$8)</f>
        <v>3.2031183515350004E-2</v>
      </c>
      <c r="P116" s="31">
        <f>IF('Phytopl Count'!P116=0,"",'Phytopl Count'!P116*'Phytopl Count'!P$13/'Phytopl Count'!P$8)</f>
        <v>0.28828065163815003</v>
      </c>
      <c r="Q116" s="31">
        <f>IF('Phytopl Count'!Q116=0,"",'Phytopl Count'!Q116*'Phytopl Count'!Q$13/'Phytopl Count'!Q$8)</f>
        <v>4.0038979394187504E-2</v>
      </c>
      <c r="R116" s="31" t="str">
        <f>IF('Phytopl Count'!R116=0,"",'Phytopl Count'!R116*'Phytopl Count'!R$13/'Phytopl Count'!R$8)</f>
        <v/>
      </c>
      <c r="S116" s="31">
        <f>IF('Phytopl Count'!S116=0,"",'Phytopl Count'!S116*'Phytopl Count'!S$13/'Phytopl Count'!S$8)</f>
        <v>4.8046775273025012E-2</v>
      </c>
      <c r="T116" s="31" t="str">
        <f>IF('Phytopl Count'!T116=0,"",'Phytopl Count'!T116*'Phytopl Count'!T$13/'Phytopl Count'!T$8)</f>
        <v/>
      </c>
      <c r="U116" s="31" t="str">
        <f>IF('Phytopl Count'!U116=0,"",'Phytopl Count'!U116*'Phytopl Count'!U$13/'Phytopl Count'!U$8)</f>
        <v/>
      </c>
      <c r="V116" s="31">
        <f>IF('Phytopl Count'!V116=0,"",'Phytopl Count'!V116*'Phytopl Count'!V$13/'Phytopl Count'!V$8)</f>
        <v>8.0077958788375009E-2</v>
      </c>
      <c r="W116" s="31" t="str">
        <f>IF('Phytopl Count'!W116=0,"",'Phytopl Count'!W116*'Phytopl Count'!W$13/'Phytopl Count'!W$8)</f>
        <v/>
      </c>
      <c r="X116" s="31" t="str">
        <f>IF('Phytopl Count'!X116=0,"",'Phytopl Count'!X116*'Phytopl Count'!X$13/'Phytopl Count'!X$8)</f>
        <v/>
      </c>
      <c r="Y116" s="31" t="str">
        <f>IF('Phytopl Count'!Y116=0,"",'Phytopl Count'!Y116*'Phytopl Count'!Y$13/'Phytopl Count'!Y$8)</f>
        <v/>
      </c>
      <c r="Z116" s="31" t="str">
        <f>IF('Phytopl Count'!Z116=0,"",'Phytopl Count'!Z116*'Phytopl Count'!Z$13/'Phytopl Count'!Z$8)</f>
        <v/>
      </c>
      <c r="AA116" s="31" t="str">
        <f>IF('Phytopl Count'!AA116=0,"",'Phytopl Count'!AA116*'Phytopl Count'!AA$13/'Phytopl Count'!AA$8)</f>
        <v/>
      </c>
      <c r="AB116" s="31">
        <f>IF('Phytopl Count'!AB116=0,"",'Phytopl Count'!AB116*'Phytopl Count'!AB$13/'Phytopl Count'!AB$8)</f>
        <v>4.0038979394187504E-2</v>
      </c>
      <c r="AC116" s="31" t="str">
        <f>IF('Phytopl Count'!AC116=0,"",'Phytopl Count'!AC116*'Phytopl Count'!AC$13/'Phytopl Count'!AC$8)</f>
        <v/>
      </c>
      <c r="AD116" s="31" t="str">
        <f>IF('Phytopl Count'!AD116=0,"",'Phytopl Count'!AD116*'Phytopl Count'!AD$13/'Phytopl Count'!AD$8)</f>
        <v/>
      </c>
      <c r="AE116" s="31" t="str">
        <f>IF('Phytopl Count'!AE116=0,"",'Phytopl Count'!AE116*'Phytopl Count'!AE$13/'Phytopl Count'!AE$8)</f>
        <v/>
      </c>
      <c r="AF116" s="31" t="str">
        <f>IF('Phytopl Count'!AF116=0,"",'Phytopl Count'!AF116*'Phytopl Count'!AF$13/'Phytopl Count'!AF$8)</f>
        <v/>
      </c>
    </row>
    <row r="117" spans="1:32" hidden="1">
      <c r="A117" s="4"/>
      <c r="B117" s="4"/>
      <c r="C117" s="16" t="s">
        <v>73</v>
      </c>
      <c r="D117" s="4" t="s">
        <v>301</v>
      </c>
      <c r="E117" s="16"/>
      <c r="F117" s="54"/>
      <c r="G117" s="31" t="str">
        <f>IF('Phytopl Count'!G117=0,"",'Phytopl Count'!G117*'Phytopl Count'!G$13/'Phytopl Count'!G$8)</f>
        <v/>
      </c>
      <c r="H117" s="31" t="str">
        <f>IF('Phytopl Count'!H117=0,"",'Phytopl Count'!H117*'Phytopl Count'!H$13/'Phytopl Count'!H$8)</f>
        <v/>
      </c>
      <c r="I117" s="31" t="str">
        <f>IF('Phytopl Count'!I117=0,"",'Phytopl Count'!I117*'Phytopl Count'!I$13/'Phytopl Count'!I$8)</f>
        <v/>
      </c>
      <c r="J117" s="31" t="str">
        <f>IF('Phytopl Count'!J117=0,"",'Phytopl Count'!J117*'Phytopl Count'!J$13/'Phytopl Count'!J$8)</f>
        <v/>
      </c>
      <c r="K117" s="31" t="str">
        <f>IF('Phytopl Count'!K117=0,"",'Phytopl Count'!K117*'Phytopl Count'!K$13/'Phytopl Count'!K$8)</f>
        <v/>
      </c>
      <c r="L117" s="31" t="str">
        <f>IF('Phytopl Count'!L117=0,"",'Phytopl Count'!L117*'Phytopl Count'!L$13/'Phytopl Count'!L$8)</f>
        <v/>
      </c>
      <c r="M117" s="31" t="str">
        <f>IF('Phytopl Count'!M117=0,"",'Phytopl Count'!M117*'Phytopl Count'!M$13/'Phytopl Count'!M$8)</f>
        <v/>
      </c>
      <c r="N117" s="31" t="str">
        <f>IF('Phytopl Count'!N117=0,"",'Phytopl Count'!N117*'Phytopl Count'!N$13/'Phytopl Count'!N$8)</f>
        <v/>
      </c>
      <c r="O117" s="31" t="str">
        <f>IF('Phytopl Count'!O117=0,"",'Phytopl Count'!O117*'Phytopl Count'!O$13/'Phytopl Count'!O$8)</f>
        <v/>
      </c>
      <c r="P117" s="31" t="str">
        <f>IF('Phytopl Count'!P117=0,"",'Phytopl Count'!P117*'Phytopl Count'!P$13/'Phytopl Count'!P$8)</f>
        <v/>
      </c>
      <c r="Q117" s="31" t="str">
        <f>IF('Phytopl Count'!Q117=0,"",'Phytopl Count'!Q117*'Phytopl Count'!Q$13/'Phytopl Count'!Q$8)</f>
        <v/>
      </c>
      <c r="R117" s="31" t="str">
        <f>IF('Phytopl Count'!R117=0,"",'Phytopl Count'!R117*'Phytopl Count'!R$13/'Phytopl Count'!R$8)</f>
        <v/>
      </c>
      <c r="S117" s="31" t="str">
        <f>IF('Phytopl Count'!S117=0,"",'Phytopl Count'!S117*'Phytopl Count'!S$13/'Phytopl Count'!S$8)</f>
        <v/>
      </c>
      <c r="T117" s="31" t="str">
        <f>IF('Phytopl Count'!T117=0,"",'Phytopl Count'!T117*'Phytopl Count'!T$13/'Phytopl Count'!T$8)</f>
        <v/>
      </c>
      <c r="U117" s="31" t="str">
        <f>IF('Phytopl Count'!U117=0,"",'Phytopl Count'!U117*'Phytopl Count'!U$13/'Phytopl Count'!U$8)</f>
        <v/>
      </c>
      <c r="V117" s="31" t="str">
        <f>IF('Phytopl Count'!V117=0,"",'Phytopl Count'!V117*'Phytopl Count'!V$13/'Phytopl Count'!V$8)</f>
        <v/>
      </c>
      <c r="W117" s="31" t="str">
        <f>IF('Phytopl Count'!W117=0,"",'Phytopl Count'!W117*'Phytopl Count'!W$13/'Phytopl Count'!W$8)</f>
        <v/>
      </c>
      <c r="X117" s="31" t="str">
        <f>IF('Phytopl Count'!X117=0,"",'Phytopl Count'!X117*'Phytopl Count'!X$13/'Phytopl Count'!X$8)</f>
        <v/>
      </c>
      <c r="Y117" s="31" t="str">
        <f>IF('Phytopl Count'!Y117=0,"",'Phytopl Count'!Y117*'Phytopl Count'!Y$13/'Phytopl Count'!Y$8)</f>
        <v/>
      </c>
      <c r="Z117" s="31" t="str">
        <f>IF('Phytopl Count'!Z117=0,"",'Phytopl Count'!Z117*'Phytopl Count'!Z$13/'Phytopl Count'!Z$8)</f>
        <v/>
      </c>
      <c r="AA117" s="31" t="str">
        <f>IF('Phytopl Count'!AA117=0,"",'Phytopl Count'!AA117*'Phytopl Count'!AA$13/'Phytopl Count'!AA$8)</f>
        <v/>
      </c>
      <c r="AB117" s="31" t="str">
        <f>IF('Phytopl Count'!AB117=0,"",'Phytopl Count'!AB117*'Phytopl Count'!AB$13/'Phytopl Count'!AB$8)</f>
        <v/>
      </c>
      <c r="AC117" s="31" t="str">
        <f>IF('Phytopl Count'!AC117=0,"",'Phytopl Count'!AC117*'Phytopl Count'!AC$13/'Phytopl Count'!AC$8)</f>
        <v/>
      </c>
      <c r="AD117" s="31" t="str">
        <f>IF('Phytopl Count'!AD117=0,"",'Phytopl Count'!AD117*'Phytopl Count'!AD$13/'Phytopl Count'!AD$8)</f>
        <v/>
      </c>
      <c r="AE117" s="31" t="str">
        <f>IF('Phytopl Count'!AE117=0,"",'Phytopl Count'!AE117*'Phytopl Count'!AE$13/'Phytopl Count'!AE$8)</f>
        <v/>
      </c>
      <c r="AF117" s="31" t="str">
        <f>IF('Phytopl Count'!AF117=0,"",'Phytopl Count'!AF117*'Phytopl Count'!AF$13/'Phytopl Count'!AF$8)</f>
        <v/>
      </c>
    </row>
    <row r="118" spans="1:32" hidden="1">
      <c r="D118" s="10" t="s">
        <v>5</v>
      </c>
      <c r="E118" s="12" t="s">
        <v>302</v>
      </c>
      <c r="F118" s="11"/>
      <c r="G118" s="31" t="str">
        <f>IF('Phytopl Count'!G118=0,"",'Phytopl Count'!G118*'Phytopl Count'!G$13/'Phytopl Count'!G$8)</f>
        <v/>
      </c>
      <c r="H118" s="31" t="str">
        <f>IF('Phytopl Count'!H118=0,"",'Phytopl Count'!H118*'Phytopl Count'!H$13/'Phytopl Count'!H$8)</f>
        <v/>
      </c>
      <c r="I118" s="31" t="str">
        <f>IF('Phytopl Count'!I118=0,"",'Phytopl Count'!I118*'Phytopl Count'!I$13/'Phytopl Count'!I$8)</f>
        <v/>
      </c>
      <c r="J118" s="31" t="str">
        <f>IF('Phytopl Count'!J118=0,"",'Phytopl Count'!J118*'Phytopl Count'!J$13/'Phytopl Count'!J$8)</f>
        <v/>
      </c>
      <c r="K118" s="31" t="str">
        <f>IF('Phytopl Count'!K118=0,"",'Phytopl Count'!K118*'Phytopl Count'!K$13/'Phytopl Count'!K$8)</f>
        <v/>
      </c>
      <c r="L118" s="31" t="str">
        <f>IF('Phytopl Count'!L118=0,"",'Phytopl Count'!L118*'Phytopl Count'!L$13/'Phytopl Count'!L$8)</f>
        <v/>
      </c>
      <c r="M118" s="31" t="str">
        <f>IF('Phytopl Count'!M118=0,"",'Phytopl Count'!M118*'Phytopl Count'!M$13/'Phytopl Count'!M$8)</f>
        <v/>
      </c>
      <c r="N118" s="31" t="str">
        <f>IF('Phytopl Count'!N118=0,"",'Phytopl Count'!N118*'Phytopl Count'!N$13/'Phytopl Count'!N$8)</f>
        <v/>
      </c>
      <c r="O118" s="31" t="str">
        <f>IF('Phytopl Count'!O118=0,"",'Phytopl Count'!O118*'Phytopl Count'!O$13/'Phytopl Count'!O$8)</f>
        <v/>
      </c>
      <c r="P118" s="31" t="str">
        <f>IF('Phytopl Count'!P118=0,"",'Phytopl Count'!P118*'Phytopl Count'!P$13/'Phytopl Count'!P$8)</f>
        <v/>
      </c>
      <c r="Q118" s="31" t="str">
        <f>IF('Phytopl Count'!Q118=0,"",'Phytopl Count'!Q118*'Phytopl Count'!Q$13/'Phytopl Count'!Q$8)</f>
        <v/>
      </c>
      <c r="R118" s="31" t="str">
        <f>IF('Phytopl Count'!R118=0,"",'Phytopl Count'!R118*'Phytopl Count'!R$13/'Phytopl Count'!R$8)</f>
        <v/>
      </c>
      <c r="S118" s="31" t="str">
        <f>IF('Phytopl Count'!S118=0,"",'Phytopl Count'!S118*'Phytopl Count'!S$13/'Phytopl Count'!S$8)</f>
        <v/>
      </c>
      <c r="T118" s="31" t="str">
        <f>IF('Phytopl Count'!T118=0,"",'Phytopl Count'!T118*'Phytopl Count'!T$13/'Phytopl Count'!T$8)</f>
        <v/>
      </c>
      <c r="U118" s="31" t="str">
        <f>IF('Phytopl Count'!U118=0,"",'Phytopl Count'!U118*'Phytopl Count'!U$13/'Phytopl Count'!U$8)</f>
        <v/>
      </c>
      <c r="V118" s="31" t="str">
        <f>IF('Phytopl Count'!V118=0,"",'Phytopl Count'!V118*'Phytopl Count'!V$13/'Phytopl Count'!V$8)</f>
        <v/>
      </c>
      <c r="W118" s="31" t="str">
        <f>IF('Phytopl Count'!W118=0,"",'Phytopl Count'!W118*'Phytopl Count'!W$13/'Phytopl Count'!W$8)</f>
        <v/>
      </c>
      <c r="X118" s="31" t="str">
        <f>IF('Phytopl Count'!X118=0,"",'Phytopl Count'!X118*'Phytopl Count'!X$13/'Phytopl Count'!X$8)</f>
        <v/>
      </c>
      <c r="Y118" s="31" t="str">
        <f>IF('Phytopl Count'!Y118=0,"",'Phytopl Count'!Y118*'Phytopl Count'!Y$13/'Phytopl Count'!Y$8)</f>
        <v/>
      </c>
      <c r="Z118" s="31" t="str">
        <f>IF('Phytopl Count'!Z118=0,"",'Phytopl Count'!Z118*'Phytopl Count'!Z$13/'Phytopl Count'!Z$8)</f>
        <v/>
      </c>
      <c r="AA118" s="31" t="str">
        <f>IF('Phytopl Count'!AA118=0,"",'Phytopl Count'!AA118*'Phytopl Count'!AA$13/'Phytopl Count'!AA$8)</f>
        <v/>
      </c>
      <c r="AB118" s="31" t="str">
        <f>IF('Phytopl Count'!AB118=0,"",'Phytopl Count'!AB118*'Phytopl Count'!AB$13/'Phytopl Count'!AB$8)</f>
        <v/>
      </c>
      <c r="AC118" s="31" t="str">
        <f>IF('Phytopl Count'!AC118=0,"",'Phytopl Count'!AC118*'Phytopl Count'!AC$13/'Phytopl Count'!AC$8)</f>
        <v/>
      </c>
      <c r="AD118" s="31" t="str">
        <f>IF('Phytopl Count'!AD118=0,"",'Phytopl Count'!AD118*'Phytopl Count'!AD$13/'Phytopl Count'!AD$8)</f>
        <v/>
      </c>
      <c r="AE118" s="31" t="str">
        <f>IF('Phytopl Count'!AE118=0,"",'Phytopl Count'!AE118*'Phytopl Count'!AE$13/'Phytopl Count'!AE$8)</f>
        <v/>
      </c>
      <c r="AF118" s="31" t="str">
        <f>IF('Phytopl Count'!AF118=0,"",'Phytopl Count'!AF118*'Phytopl Count'!AF$13/'Phytopl Count'!AF$8)</f>
        <v/>
      </c>
    </row>
    <row r="119" spans="1:32" hidden="1">
      <c r="E119" s="10" t="s">
        <v>6</v>
      </c>
      <c r="F119" s="11" t="s">
        <v>247</v>
      </c>
      <c r="G119" s="31" t="str">
        <f>IF('Phytopl Count'!G119=0,"",'Phytopl Count'!G119*'Phytopl Count'!G$13/'Phytopl Count'!G$8)</f>
        <v/>
      </c>
      <c r="H119" s="31" t="str">
        <f>IF('Phytopl Count'!H119=0,"",'Phytopl Count'!H119*'Phytopl Count'!H$13/'Phytopl Count'!H$8)</f>
        <v/>
      </c>
      <c r="I119" s="31" t="str">
        <f>IF('Phytopl Count'!I119=0,"",'Phytopl Count'!I119*'Phytopl Count'!I$13/'Phytopl Count'!I$8)</f>
        <v/>
      </c>
      <c r="J119" s="31" t="str">
        <f>IF('Phytopl Count'!J119=0,"",'Phytopl Count'!J119*'Phytopl Count'!J$13/'Phytopl Count'!J$8)</f>
        <v/>
      </c>
      <c r="K119" s="31" t="str">
        <f>IF('Phytopl Count'!K119=0,"",'Phytopl Count'!K119*'Phytopl Count'!K$13/'Phytopl Count'!K$8)</f>
        <v/>
      </c>
      <c r="L119" s="31" t="str">
        <f>IF('Phytopl Count'!L119=0,"",'Phytopl Count'!L119*'Phytopl Count'!L$13/'Phytopl Count'!L$8)</f>
        <v/>
      </c>
      <c r="M119" s="31" t="str">
        <f>IF('Phytopl Count'!M119=0,"",'Phytopl Count'!M119*'Phytopl Count'!M$13/'Phytopl Count'!M$8)</f>
        <v/>
      </c>
      <c r="N119" s="31" t="str">
        <f>IF('Phytopl Count'!N119=0,"",'Phytopl Count'!N119*'Phytopl Count'!N$13/'Phytopl Count'!N$8)</f>
        <v/>
      </c>
      <c r="O119" s="31" t="str">
        <f>IF('Phytopl Count'!O119=0,"",'Phytopl Count'!O119*'Phytopl Count'!O$13/'Phytopl Count'!O$8)</f>
        <v/>
      </c>
      <c r="P119" s="31" t="str">
        <f>IF('Phytopl Count'!P119=0,"",'Phytopl Count'!P119*'Phytopl Count'!P$13/'Phytopl Count'!P$8)</f>
        <v/>
      </c>
      <c r="Q119" s="31" t="str">
        <f>IF('Phytopl Count'!Q119=0,"",'Phytopl Count'!Q119*'Phytopl Count'!Q$13/'Phytopl Count'!Q$8)</f>
        <v/>
      </c>
      <c r="R119" s="31" t="str">
        <f>IF('Phytopl Count'!R119=0,"",'Phytopl Count'!R119*'Phytopl Count'!R$13/'Phytopl Count'!R$8)</f>
        <v/>
      </c>
      <c r="S119" s="31" t="str">
        <f>IF('Phytopl Count'!S119=0,"",'Phytopl Count'!S119*'Phytopl Count'!S$13/'Phytopl Count'!S$8)</f>
        <v/>
      </c>
      <c r="T119" s="31" t="str">
        <f>IF('Phytopl Count'!T119=0,"",'Phytopl Count'!T119*'Phytopl Count'!T$13/'Phytopl Count'!T$8)</f>
        <v/>
      </c>
      <c r="U119" s="31" t="str">
        <f>IF('Phytopl Count'!U119=0,"",'Phytopl Count'!U119*'Phytopl Count'!U$13/'Phytopl Count'!U$8)</f>
        <v/>
      </c>
      <c r="V119" s="31" t="str">
        <f>IF('Phytopl Count'!V119=0,"",'Phytopl Count'!V119*'Phytopl Count'!V$13/'Phytopl Count'!V$8)</f>
        <v/>
      </c>
      <c r="W119" s="31" t="str">
        <f>IF('Phytopl Count'!W119=0,"",'Phytopl Count'!W119*'Phytopl Count'!W$13/'Phytopl Count'!W$8)</f>
        <v/>
      </c>
      <c r="X119" s="31" t="str">
        <f>IF('Phytopl Count'!X119=0,"",'Phytopl Count'!X119*'Phytopl Count'!X$13/'Phytopl Count'!X$8)</f>
        <v/>
      </c>
      <c r="Y119" s="31" t="str">
        <f>IF('Phytopl Count'!Y119=0,"",'Phytopl Count'!Y119*'Phytopl Count'!Y$13/'Phytopl Count'!Y$8)</f>
        <v/>
      </c>
      <c r="Z119" s="31" t="str">
        <f>IF('Phytopl Count'!Z119=0,"",'Phytopl Count'!Z119*'Phytopl Count'!Z$13/'Phytopl Count'!Z$8)</f>
        <v/>
      </c>
      <c r="AA119" s="31" t="str">
        <f>IF('Phytopl Count'!AA119=0,"",'Phytopl Count'!AA119*'Phytopl Count'!AA$13/'Phytopl Count'!AA$8)</f>
        <v/>
      </c>
      <c r="AB119" s="31" t="str">
        <f>IF('Phytopl Count'!AB119=0,"",'Phytopl Count'!AB119*'Phytopl Count'!AB$13/'Phytopl Count'!AB$8)</f>
        <v/>
      </c>
      <c r="AC119" s="31" t="str">
        <f>IF('Phytopl Count'!AC119=0,"",'Phytopl Count'!AC119*'Phytopl Count'!AC$13/'Phytopl Count'!AC$8)</f>
        <v/>
      </c>
      <c r="AD119" s="31" t="str">
        <f>IF('Phytopl Count'!AD119=0,"",'Phytopl Count'!AD119*'Phytopl Count'!AD$13/'Phytopl Count'!AD$8)</f>
        <v/>
      </c>
      <c r="AE119" s="31" t="str">
        <f>IF('Phytopl Count'!AE119=0,"",'Phytopl Count'!AE119*'Phytopl Count'!AE$13/'Phytopl Count'!AE$8)</f>
        <v/>
      </c>
      <c r="AF119" s="31" t="str">
        <f>IF('Phytopl Count'!AF119=0,"",'Phytopl Count'!AF119*'Phytopl Count'!AF$13/'Phytopl Count'!AF$8)</f>
        <v/>
      </c>
    </row>
    <row r="120" spans="1:32" ht="15" hidden="1" customHeight="1">
      <c r="A120" s="16"/>
      <c r="B120" s="16"/>
      <c r="C120" s="16" t="s">
        <v>73</v>
      </c>
      <c r="D120" s="4" t="s">
        <v>77</v>
      </c>
      <c r="E120" s="4"/>
      <c r="F120" s="59"/>
      <c r="G120" s="31" t="str">
        <f>IF('Phytopl Count'!G120=0,"",'Phytopl Count'!G120*'Phytopl Count'!G$13/'Phytopl Count'!G$8)</f>
        <v/>
      </c>
      <c r="H120" s="31" t="str">
        <f>IF('Phytopl Count'!H120=0,"",'Phytopl Count'!H120*'Phytopl Count'!H$13/'Phytopl Count'!H$8)</f>
        <v/>
      </c>
      <c r="I120" s="31" t="str">
        <f>IF('Phytopl Count'!I120=0,"",'Phytopl Count'!I120*'Phytopl Count'!I$13/'Phytopl Count'!I$8)</f>
        <v/>
      </c>
      <c r="J120" s="31" t="str">
        <f>IF('Phytopl Count'!J120=0,"",'Phytopl Count'!J120*'Phytopl Count'!J$13/'Phytopl Count'!J$8)</f>
        <v/>
      </c>
      <c r="K120" s="31" t="str">
        <f>IF('Phytopl Count'!K120=0,"",'Phytopl Count'!K120*'Phytopl Count'!K$13/'Phytopl Count'!K$8)</f>
        <v/>
      </c>
      <c r="L120" s="31" t="str">
        <f>IF('Phytopl Count'!L120=0,"",'Phytopl Count'!L120*'Phytopl Count'!L$13/'Phytopl Count'!L$8)</f>
        <v/>
      </c>
      <c r="M120" s="31" t="str">
        <f>IF('Phytopl Count'!M120=0,"",'Phytopl Count'!M120*'Phytopl Count'!M$13/'Phytopl Count'!M$8)</f>
        <v/>
      </c>
      <c r="N120" s="31" t="str">
        <f>IF('Phytopl Count'!N120=0,"",'Phytopl Count'!N120*'Phytopl Count'!N$13/'Phytopl Count'!N$8)</f>
        <v/>
      </c>
      <c r="O120" s="31" t="str">
        <f>IF('Phytopl Count'!O120=0,"",'Phytopl Count'!O120*'Phytopl Count'!O$13/'Phytopl Count'!O$8)</f>
        <v/>
      </c>
      <c r="P120" s="31" t="str">
        <f>IF('Phytopl Count'!P120=0,"",'Phytopl Count'!P120*'Phytopl Count'!P$13/'Phytopl Count'!P$8)</f>
        <v/>
      </c>
      <c r="Q120" s="31" t="str">
        <f>IF('Phytopl Count'!Q120=0,"",'Phytopl Count'!Q120*'Phytopl Count'!Q$13/'Phytopl Count'!Q$8)</f>
        <v/>
      </c>
      <c r="R120" s="31" t="str">
        <f>IF('Phytopl Count'!R120=0,"",'Phytopl Count'!R120*'Phytopl Count'!R$13/'Phytopl Count'!R$8)</f>
        <v/>
      </c>
      <c r="S120" s="31" t="str">
        <f>IF('Phytopl Count'!S120=0,"",'Phytopl Count'!S120*'Phytopl Count'!S$13/'Phytopl Count'!S$8)</f>
        <v/>
      </c>
      <c r="T120" s="31" t="str">
        <f>IF('Phytopl Count'!T120=0,"",'Phytopl Count'!T120*'Phytopl Count'!T$13/'Phytopl Count'!T$8)</f>
        <v/>
      </c>
      <c r="U120" s="31" t="str">
        <f>IF('Phytopl Count'!U120=0,"",'Phytopl Count'!U120*'Phytopl Count'!U$13/'Phytopl Count'!U$8)</f>
        <v/>
      </c>
      <c r="V120" s="31" t="str">
        <f>IF('Phytopl Count'!V120=0,"",'Phytopl Count'!V120*'Phytopl Count'!V$13/'Phytopl Count'!V$8)</f>
        <v/>
      </c>
      <c r="W120" s="31" t="str">
        <f>IF('Phytopl Count'!W120=0,"",'Phytopl Count'!W120*'Phytopl Count'!W$13/'Phytopl Count'!W$8)</f>
        <v/>
      </c>
      <c r="X120" s="31" t="str">
        <f>IF('Phytopl Count'!X120=0,"",'Phytopl Count'!X120*'Phytopl Count'!X$13/'Phytopl Count'!X$8)</f>
        <v/>
      </c>
      <c r="Y120" s="31" t="str">
        <f>IF('Phytopl Count'!Y120=0,"",'Phytopl Count'!Y120*'Phytopl Count'!Y$13/'Phytopl Count'!Y$8)</f>
        <v/>
      </c>
      <c r="Z120" s="31" t="str">
        <f>IF('Phytopl Count'!Z120=0,"",'Phytopl Count'!Z120*'Phytopl Count'!Z$13/'Phytopl Count'!Z$8)</f>
        <v/>
      </c>
      <c r="AA120" s="31" t="str">
        <f>IF('Phytopl Count'!AA120=0,"",'Phytopl Count'!AA120*'Phytopl Count'!AA$13/'Phytopl Count'!AA$8)</f>
        <v/>
      </c>
      <c r="AB120" s="31" t="str">
        <f>IF('Phytopl Count'!AB120=0,"",'Phytopl Count'!AB120*'Phytopl Count'!AB$13/'Phytopl Count'!AB$8)</f>
        <v/>
      </c>
      <c r="AC120" s="31" t="str">
        <f>IF('Phytopl Count'!AC120=0,"",'Phytopl Count'!AC120*'Phytopl Count'!AC$13/'Phytopl Count'!AC$8)</f>
        <v/>
      </c>
      <c r="AD120" s="31" t="str">
        <f>IF('Phytopl Count'!AD120=0,"",'Phytopl Count'!AD120*'Phytopl Count'!AD$13/'Phytopl Count'!AD$8)</f>
        <v/>
      </c>
      <c r="AE120" s="31" t="str">
        <f>IF('Phytopl Count'!AE120=0,"",'Phytopl Count'!AE120*'Phytopl Count'!AE$13/'Phytopl Count'!AE$8)</f>
        <v/>
      </c>
      <c r="AF120" s="31" t="str">
        <f>IF('Phytopl Count'!AF120=0,"",'Phytopl Count'!AF120*'Phytopl Count'!AF$13/'Phytopl Count'!AF$8)</f>
        <v/>
      </c>
    </row>
    <row r="121" spans="1:32" ht="15" hidden="1" customHeight="1">
      <c r="A121" s="4"/>
      <c r="B121" s="16"/>
      <c r="C121" s="16"/>
      <c r="D121" s="10" t="s">
        <v>5</v>
      </c>
      <c r="E121" s="120" t="s">
        <v>288</v>
      </c>
      <c r="F121" s="114"/>
      <c r="G121" s="31" t="str">
        <f>IF('Phytopl Count'!G121=0,"",'Phytopl Count'!G121*'Phytopl Count'!G$13/'Phytopl Count'!G$8)</f>
        <v/>
      </c>
      <c r="H121" s="31" t="str">
        <f>IF('Phytopl Count'!H121=0,"",'Phytopl Count'!H121*'Phytopl Count'!H$13/'Phytopl Count'!H$8)</f>
        <v/>
      </c>
      <c r="I121" s="31" t="str">
        <f>IF('Phytopl Count'!I121=0,"",'Phytopl Count'!I121*'Phytopl Count'!I$13/'Phytopl Count'!I$8)</f>
        <v/>
      </c>
      <c r="J121" s="31" t="str">
        <f>IF('Phytopl Count'!J121=0,"",'Phytopl Count'!J121*'Phytopl Count'!J$13/'Phytopl Count'!J$8)</f>
        <v/>
      </c>
      <c r="K121" s="31" t="str">
        <f>IF('Phytopl Count'!K121=0,"",'Phytopl Count'!K121*'Phytopl Count'!K$13/'Phytopl Count'!K$8)</f>
        <v/>
      </c>
      <c r="L121" s="31" t="str">
        <f>IF('Phytopl Count'!L121=0,"",'Phytopl Count'!L121*'Phytopl Count'!L$13/'Phytopl Count'!L$8)</f>
        <v/>
      </c>
      <c r="M121" s="31" t="str">
        <f>IF('Phytopl Count'!M121=0,"",'Phytopl Count'!M121*'Phytopl Count'!M$13/'Phytopl Count'!M$8)</f>
        <v/>
      </c>
      <c r="N121" s="31" t="str">
        <f>IF('Phytopl Count'!N121=0,"",'Phytopl Count'!N121*'Phytopl Count'!N$13/'Phytopl Count'!N$8)</f>
        <v/>
      </c>
      <c r="O121" s="31" t="str">
        <f>IF('Phytopl Count'!O121=0,"",'Phytopl Count'!O121*'Phytopl Count'!O$13/'Phytopl Count'!O$8)</f>
        <v/>
      </c>
      <c r="P121" s="31" t="str">
        <f>IF('Phytopl Count'!P121=0,"",'Phytopl Count'!P121*'Phytopl Count'!P$13/'Phytopl Count'!P$8)</f>
        <v/>
      </c>
      <c r="Q121" s="31" t="str">
        <f>IF('Phytopl Count'!Q121=0,"",'Phytopl Count'!Q121*'Phytopl Count'!Q$13/'Phytopl Count'!Q$8)</f>
        <v/>
      </c>
      <c r="R121" s="31" t="str">
        <f>IF('Phytopl Count'!R121=0,"",'Phytopl Count'!R121*'Phytopl Count'!R$13/'Phytopl Count'!R$8)</f>
        <v/>
      </c>
      <c r="S121" s="31" t="str">
        <f>IF('Phytopl Count'!S121=0,"",'Phytopl Count'!S121*'Phytopl Count'!S$13/'Phytopl Count'!S$8)</f>
        <v/>
      </c>
      <c r="T121" s="31" t="str">
        <f>IF('Phytopl Count'!T121=0,"",'Phytopl Count'!T121*'Phytopl Count'!T$13/'Phytopl Count'!T$8)</f>
        <v/>
      </c>
      <c r="U121" s="31" t="str">
        <f>IF('Phytopl Count'!U121=0,"",'Phytopl Count'!U121*'Phytopl Count'!U$13/'Phytopl Count'!U$8)</f>
        <v/>
      </c>
      <c r="V121" s="31" t="str">
        <f>IF('Phytopl Count'!V121=0,"",'Phytopl Count'!V121*'Phytopl Count'!V$13/'Phytopl Count'!V$8)</f>
        <v/>
      </c>
      <c r="W121" s="31" t="str">
        <f>IF('Phytopl Count'!W121=0,"",'Phytopl Count'!W121*'Phytopl Count'!W$13/'Phytopl Count'!W$8)</f>
        <v/>
      </c>
      <c r="X121" s="31" t="str">
        <f>IF('Phytopl Count'!X121=0,"",'Phytopl Count'!X121*'Phytopl Count'!X$13/'Phytopl Count'!X$8)</f>
        <v/>
      </c>
      <c r="Y121" s="31" t="str">
        <f>IF('Phytopl Count'!Y121=0,"",'Phytopl Count'!Y121*'Phytopl Count'!Y$13/'Phytopl Count'!Y$8)</f>
        <v/>
      </c>
      <c r="Z121" s="31" t="str">
        <f>IF('Phytopl Count'!Z121=0,"",'Phytopl Count'!Z121*'Phytopl Count'!Z$13/'Phytopl Count'!Z$8)</f>
        <v/>
      </c>
      <c r="AA121" s="31" t="str">
        <f>IF('Phytopl Count'!AA121=0,"",'Phytopl Count'!AA121*'Phytopl Count'!AA$13/'Phytopl Count'!AA$8)</f>
        <v/>
      </c>
      <c r="AB121" s="31" t="str">
        <f>IF('Phytopl Count'!AB121=0,"",'Phytopl Count'!AB121*'Phytopl Count'!AB$13/'Phytopl Count'!AB$8)</f>
        <v/>
      </c>
      <c r="AC121" s="31" t="str">
        <f>IF('Phytopl Count'!AC121=0,"",'Phytopl Count'!AC121*'Phytopl Count'!AC$13/'Phytopl Count'!AC$8)</f>
        <v/>
      </c>
      <c r="AD121" s="31" t="str">
        <f>IF('Phytopl Count'!AD121=0,"",'Phytopl Count'!AD121*'Phytopl Count'!AD$13/'Phytopl Count'!AD$8)</f>
        <v/>
      </c>
      <c r="AE121" s="31" t="str">
        <f>IF('Phytopl Count'!AE121=0,"",'Phytopl Count'!AE121*'Phytopl Count'!AE$13/'Phytopl Count'!AE$8)</f>
        <v/>
      </c>
      <c r="AF121" s="31" t="str">
        <f>IF('Phytopl Count'!AF121=0,"",'Phytopl Count'!AF121*'Phytopl Count'!AF$13/'Phytopl Count'!AF$8)</f>
        <v/>
      </c>
    </row>
    <row r="122" spans="1:32" ht="15.75" hidden="1" customHeight="1">
      <c r="A122" s="16"/>
      <c r="B122" s="4"/>
      <c r="C122" s="4"/>
      <c r="E122" s="10" t="s">
        <v>6</v>
      </c>
      <c r="F122" s="11" t="s">
        <v>289</v>
      </c>
      <c r="G122" s="31" t="str">
        <f>IF('Phytopl Count'!G122=0,"",'Phytopl Count'!G122*'Phytopl Count'!G$13/'Phytopl Count'!G$8)</f>
        <v/>
      </c>
      <c r="H122" s="31" t="str">
        <f>IF('Phytopl Count'!H122=0,"",'Phytopl Count'!H122*'Phytopl Count'!H$13/'Phytopl Count'!H$8)</f>
        <v/>
      </c>
      <c r="I122" s="31" t="str">
        <f>IF('Phytopl Count'!I122=0,"",'Phytopl Count'!I122*'Phytopl Count'!I$13/'Phytopl Count'!I$8)</f>
        <v/>
      </c>
      <c r="J122" s="31" t="str">
        <f>IF('Phytopl Count'!J122=0,"",'Phytopl Count'!J122*'Phytopl Count'!J$13/'Phytopl Count'!J$8)</f>
        <v/>
      </c>
      <c r="K122" s="31" t="str">
        <f>IF('Phytopl Count'!K122=0,"",'Phytopl Count'!K122*'Phytopl Count'!K$13/'Phytopl Count'!K$8)</f>
        <v/>
      </c>
      <c r="L122" s="31" t="str">
        <f>IF('Phytopl Count'!L122=0,"",'Phytopl Count'!L122*'Phytopl Count'!L$13/'Phytopl Count'!L$8)</f>
        <v/>
      </c>
      <c r="M122" s="31" t="str">
        <f>IF('Phytopl Count'!M122=0,"",'Phytopl Count'!M122*'Phytopl Count'!M$13/'Phytopl Count'!M$8)</f>
        <v/>
      </c>
      <c r="N122" s="31" t="str">
        <f>IF('Phytopl Count'!N122=0,"",'Phytopl Count'!N122*'Phytopl Count'!N$13/'Phytopl Count'!N$8)</f>
        <v/>
      </c>
      <c r="O122" s="31" t="str">
        <f>IF('Phytopl Count'!O122=0,"",'Phytopl Count'!O122*'Phytopl Count'!O$13/'Phytopl Count'!O$8)</f>
        <v/>
      </c>
      <c r="P122" s="31" t="str">
        <f>IF('Phytopl Count'!P122=0,"",'Phytopl Count'!P122*'Phytopl Count'!P$13/'Phytopl Count'!P$8)</f>
        <v/>
      </c>
      <c r="Q122" s="31" t="str">
        <f>IF('Phytopl Count'!Q122=0,"",'Phytopl Count'!Q122*'Phytopl Count'!Q$13/'Phytopl Count'!Q$8)</f>
        <v/>
      </c>
      <c r="R122" s="31" t="str">
        <f>IF('Phytopl Count'!R122=0,"",'Phytopl Count'!R122*'Phytopl Count'!R$13/'Phytopl Count'!R$8)</f>
        <v/>
      </c>
      <c r="S122" s="31" t="str">
        <f>IF('Phytopl Count'!S122=0,"",'Phytopl Count'!S122*'Phytopl Count'!S$13/'Phytopl Count'!S$8)</f>
        <v/>
      </c>
      <c r="T122" s="31" t="str">
        <f>IF('Phytopl Count'!T122=0,"",'Phytopl Count'!T122*'Phytopl Count'!T$13/'Phytopl Count'!T$8)</f>
        <v/>
      </c>
      <c r="U122" s="31" t="str">
        <f>IF('Phytopl Count'!U122=0,"",'Phytopl Count'!U122*'Phytopl Count'!U$13/'Phytopl Count'!U$8)</f>
        <v/>
      </c>
      <c r="V122" s="31" t="str">
        <f>IF('Phytopl Count'!V122=0,"",'Phytopl Count'!V122*'Phytopl Count'!V$13/'Phytopl Count'!V$8)</f>
        <v/>
      </c>
      <c r="W122" s="31" t="str">
        <f>IF('Phytopl Count'!W122=0,"",'Phytopl Count'!W122*'Phytopl Count'!W$13/'Phytopl Count'!W$8)</f>
        <v/>
      </c>
      <c r="X122" s="31" t="str">
        <f>IF('Phytopl Count'!X122=0,"",'Phytopl Count'!X122*'Phytopl Count'!X$13/'Phytopl Count'!X$8)</f>
        <v/>
      </c>
      <c r="Y122" s="31" t="str">
        <f>IF('Phytopl Count'!Y122=0,"",'Phytopl Count'!Y122*'Phytopl Count'!Y$13/'Phytopl Count'!Y$8)</f>
        <v/>
      </c>
      <c r="Z122" s="31" t="str">
        <f>IF('Phytopl Count'!Z122=0,"",'Phytopl Count'!Z122*'Phytopl Count'!Z$13/'Phytopl Count'!Z$8)</f>
        <v/>
      </c>
      <c r="AA122" s="31" t="str">
        <f>IF('Phytopl Count'!AA122=0,"",'Phytopl Count'!AA122*'Phytopl Count'!AA$13/'Phytopl Count'!AA$8)</f>
        <v/>
      </c>
      <c r="AB122" s="31" t="str">
        <f>IF('Phytopl Count'!AB122=0,"",'Phytopl Count'!AB122*'Phytopl Count'!AB$13/'Phytopl Count'!AB$8)</f>
        <v/>
      </c>
      <c r="AC122" s="31" t="str">
        <f>IF('Phytopl Count'!AC122=0,"",'Phytopl Count'!AC122*'Phytopl Count'!AC$13/'Phytopl Count'!AC$8)</f>
        <v/>
      </c>
      <c r="AD122" s="31" t="str">
        <f>IF('Phytopl Count'!AD122=0,"",'Phytopl Count'!AD122*'Phytopl Count'!AD$13/'Phytopl Count'!AD$8)</f>
        <v/>
      </c>
      <c r="AE122" s="31" t="str">
        <f>IF('Phytopl Count'!AE122=0,"",'Phytopl Count'!AE122*'Phytopl Count'!AE$13/'Phytopl Count'!AE$8)</f>
        <v/>
      </c>
      <c r="AF122" s="31" t="str">
        <f>IF('Phytopl Count'!AF122=0,"",'Phytopl Count'!AF122*'Phytopl Count'!AF$13/'Phytopl Count'!AF$8)</f>
        <v/>
      </c>
    </row>
    <row r="123" spans="1:32" ht="15.75" hidden="1" customHeight="1">
      <c r="A123" s="16"/>
      <c r="B123" s="16"/>
      <c r="C123" s="16"/>
      <c r="D123" s="10" t="s">
        <v>5</v>
      </c>
      <c r="E123" s="85" t="s">
        <v>102</v>
      </c>
      <c r="F123" s="9"/>
      <c r="G123" s="31" t="str">
        <f>IF('Phytopl Count'!G123=0,"",'Phytopl Count'!G123*'Phytopl Count'!G$13/'Phytopl Count'!G$8)</f>
        <v/>
      </c>
      <c r="H123" s="31" t="str">
        <f>IF('Phytopl Count'!H123=0,"",'Phytopl Count'!H123*'Phytopl Count'!H$13/'Phytopl Count'!H$8)</f>
        <v/>
      </c>
      <c r="I123" s="31" t="str">
        <f>IF('Phytopl Count'!I123=0,"",'Phytopl Count'!I123*'Phytopl Count'!I$13/'Phytopl Count'!I$8)</f>
        <v/>
      </c>
      <c r="J123" s="31" t="str">
        <f>IF('Phytopl Count'!J123=0,"",'Phytopl Count'!J123*'Phytopl Count'!J$13/'Phytopl Count'!J$8)</f>
        <v/>
      </c>
      <c r="K123" s="31" t="str">
        <f>IF('Phytopl Count'!K123=0,"",'Phytopl Count'!K123*'Phytopl Count'!K$13/'Phytopl Count'!K$8)</f>
        <v/>
      </c>
      <c r="L123" s="31" t="str">
        <f>IF('Phytopl Count'!L123=0,"",'Phytopl Count'!L123*'Phytopl Count'!L$13/'Phytopl Count'!L$8)</f>
        <v/>
      </c>
      <c r="M123" s="31" t="str">
        <f>IF('Phytopl Count'!M123=0,"",'Phytopl Count'!M123*'Phytopl Count'!M$13/'Phytopl Count'!M$8)</f>
        <v/>
      </c>
      <c r="N123" s="31" t="str">
        <f>IF('Phytopl Count'!N123=0,"",'Phytopl Count'!N123*'Phytopl Count'!N$13/'Phytopl Count'!N$8)</f>
        <v/>
      </c>
      <c r="O123" s="31" t="str">
        <f>IF('Phytopl Count'!O123=0,"",'Phytopl Count'!O123*'Phytopl Count'!O$13/'Phytopl Count'!O$8)</f>
        <v/>
      </c>
      <c r="P123" s="31" t="str">
        <f>IF('Phytopl Count'!P123=0,"",'Phytopl Count'!P123*'Phytopl Count'!P$13/'Phytopl Count'!P$8)</f>
        <v/>
      </c>
      <c r="Q123" s="31" t="str">
        <f>IF('Phytopl Count'!Q123=0,"",'Phytopl Count'!Q123*'Phytopl Count'!Q$13/'Phytopl Count'!Q$8)</f>
        <v/>
      </c>
      <c r="R123" s="31" t="str">
        <f>IF('Phytopl Count'!R123=0,"",'Phytopl Count'!R123*'Phytopl Count'!R$13/'Phytopl Count'!R$8)</f>
        <v/>
      </c>
      <c r="S123" s="31" t="str">
        <f>IF('Phytopl Count'!S123=0,"",'Phytopl Count'!S123*'Phytopl Count'!S$13/'Phytopl Count'!S$8)</f>
        <v/>
      </c>
      <c r="T123" s="31" t="str">
        <f>IF('Phytopl Count'!T123=0,"",'Phytopl Count'!T123*'Phytopl Count'!T$13/'Phytopl Count'!T$8)</f>
        <v/>
      </c>
      <c r="U123" s="31" t="str">
        <f>IF('Phytopl Count'!U123=0,"",'Phytopl Count'!U123*'Phytopl Count'!U$13/'Phytopl Count'!U$8)</f>
        <v/>
      </c>
      <c r="V123" s="31" t="str">
        <f>IF('Phytopl Count'!V123=0,"",'Phytopl Count'!V123*'Phytopl Count'!V$13/'Phytopl Count'!V$8)</f>
        <v/>
      </c>
      <c r="W123" s="31" t="str">
        <f>IF('Phytopl Count'!W123=0,"",'Phytopl Count'!W123*'Phytopl Count'!W$13/'Phytopl Count'!W$8)</f>
        <v/>
      </c>
      <c r="X123" s="31" t="str">
        <f>IF('Phytopl Count'!X123=0,"",'Phytopl Count'!X123*'Phytopl Count'!X$13/'Phytopl Count'!X$8)</f>
        <v/>
      </c>
      <c r="Y123" s="31" t="str">
        <f>IF('Phytopl Count'!Y123=0,"",'Phytopl Count'!Y123*'Phytopl Count'!Y$13/'Phytopl Count'!Y$8)</f>
        <v/>
      </c>
      <c r="Z123" s="31" t="str">
        <f>IF('Phytopl Count'!Z123=0,"",'Phytopl Count'!Z123*'Phytopl Count'!Z$13/'Phytopl Count'!Z$8)</f>
        <v/>
      </c>
      <c r="AA123" s="31" t="str">
        <f>IF('Phytopl Count'!AA123=0,"",'Phytopl Count'!AA123*'Phytopl Count'!AA$13/'Phytopl Count'!AA$8)</f>
        <v/>
      </c>
      <c r="AB123" s="31" t="str">
        <f>IF('Phytopl Count'!AB123=0,"",'Phytopl Count'!AB123*'Phytopl Count'!AB$13/'Phytopl Count'!AB$8)</f>
        <v/>
      </c>
      <c r="AC123" s="31" t="str">
        <f>IF('Phytopl Count'!AC123=0,"",'Phytopl Count'!AC123*'Phytopl Count'!AC$13/'Phytopl Count'!AC$8)</f>
        <v/>
      </c>
      <c r="AD123" s="31" t="str">
        <f>IF('Phytopl Count'!AD123=0,"",'Phytopl Count'!AD123*'Phytopl Count'!AD$13/'Phytopl Count'!AD$8)</f>
        <v/>
      </c>
      <c r="AE123" s="31" t="str">
        <f>IF('Phytopl Count'!AE123=0,"",'Phytopl Count'!AE123*'Phytopl Count'!AE$13/'Phytopl Count'!AE$8)</f>
        <v/>
      </c>
      <c r="AF123" s="31" t="str">
        <f>IF('Phytopl Count'!AF123=0,"",'Phytopl Count'!AF123*'Phytopl Count'!AF$13/'Phytopl Count'!AF$8)</f>
        <v/>
      </c>
    </row>
    <row r="124" spans="1:32" ht="15" hidden="1" customHeight="1">
      <c r="E124" s="10" t="s">
        <v>6</v>
      </c>
      <c r="F124" s="11" t="s">
        <v>15</v>
      </c>
      <c r="G124" s="31" t="str">
        <f>IF('Phytopl Count'!G124=0,"",'Phytopl Count'!G124*'Phytopl Count'!G$13/'Phytopl Count'!G$8)</f>
        <v/>
      </c>
      <c r="H124" s="31" t="str">
        <f>IF('Phytopl Count'!H124=0,"",'Phytopl Count'!H124*'Phytopl Count'!H$13/'Phytopl Count'!H$8)</f>
        <v/>
      </c>
      <c r="I124" s="31" t="str">
        <f>IF('Phytopl Count'!I124=0,"",'Phytopl Count'!I124*'Phytopl Count'!I$13/'Phytopl Count'!I$8)</f>
        <v/>
      </c>
      <c r="J124" s="31" t="str">
        <f>IF('Phytopl Count'!J124=0,"",'Phytopl Count'!J124*'Phytopl Count'!J$13/'Phytopl Count'!J$8)</f>
        <v/>
      </c>
      <c r="K124" s="31" t="str">
        <f>IF('Phytopl Count'!K124=0,"",'Phytopl Count'!K124*'Phytopl Count'!K$13/'Phytopl Count'!K$8)</f>
        <v/>
      </c>
      <c r="L124" s="31" t="str">
        <f>IF('Phytopl Count'!L124=0,"",'Phytopl Count'!L124*'Phytopl Count'!L$13/'Phytopl Count'!L$8)</f>
        <v/>
      </c>
      <c r="M124" s="31" t="str">
        <f>IF('Phytopl Count'!M124=0,"",'Phytopl Count'!M124*'Phytopl Count'!M$13/'Phytopl Count'!M$8)</f>
        <v/>
      </c>
      <c r="N124" s="31" t="str">
        <f>IF('Phytopl Count'!N124=0,"",'Phytopl Count'!N124*'Phytopl Count'!N$13/'Phytopl Count'!N$8)</f>
        <v/>
      </c>
      <c r="O124" s="31" t="str">
        <f>IF('Phytopl Count'!O124=0,"",'Phytopl Count'!O124*'Phytopl Count'!O$13/'Phytopl Count'!O$8)</f>
        <v/>
      </c>
      <c r="P124" s="31" t="str">
        <f>IF('Phytopl Count'!P124=0,"",'Phytopl Count'!P124*'Phytopl Count'!P$13/'Phytopl Count'!P$8)</f>
        <v/>
      </c>
      <c r="Q124" s="31" t="str">
        <f>IF('Phytopl Count'!Q124=0,"",'Phytopl Count'!Q124*'Phytopl Count'!Q$13/'Phytopl Count'!Q$8)</f>
        <v/>
      </c>
      <c r="R124" s="31" t="str">
        <f>IF('Phytopl Count'!R124=0,"",'Phytopl Count'!R124*'Phytopl Count'!R$13/'Phytopl Count'!R$8)</f>
        <v/>
      </c>
      <c r="S124" s="31" t="str">
        <f>IF('Phytopl Count'!S124=0,"",'Phytopl Count'!S124*'Phytopl Count'!S$13/'Phytopl Count'!S$8)</f>
        <v/>
      </c>
      <c r="T124" s="31" t="str">
        <f>IF('Phytopl Count'!T124=0,"",'Phytopl Count'!T124*'Phytopl Count'!T$13/'Phytopl Count'!T$8)</f>
        <v/>
      </c>
      <c r="U124" s="31" t="str">
        <f>IF('Phytopl Count'!U124=0,"",'Phytopl Count'!U124*'Phytopl Count'!U$13/'Phytopl Count'!U$8)</f>
        <v/>
      </c>
      <c r="V124" s="31" t="str">
        <f>IF('Phytopl Count'!V124=0,"",'Phytopl Count'!V124*'Phytopl Count'!V$13/'Phytopl Count'!V$8)</f>
        <v/>
      </c>
      <c r="W124" s="31" t="str">
        <f>IF('Phytopl Count'!W124=0,"",'Phytopl Count'!W124*'Phytopl Count'!W$13/'Phytopl Count'!W$8)</f>
        <v/>
      </c>
      <c r="X124" s="31" t="str">
        <f>IF('Phytopl Count'!X124=0,"",'Phytopl Count'!X124*'Phytopl Count'!X$13/'Phytopl Count'!X$8)</f>
        <v/>
      </c>
      <c r="Y124" s="31" t="str">
        <f>IF('Phytopl Count'!Y124=0,"",'Phytopl Count'!Y124*'Phytopl Count'!Y$13/'Phytopl Count'!Y$8)</f>
        <v/>
      </c>
      <c r="Z124" s="31" t="str">
        <f>IF('Phytopl Count'!Z124=0,"",'Phytopl Count'!Z124*'Phytopl Count'!Z$13/'Phytopl Count'!Z$8)</f>
        <v/>
      </c>
      <c r="AA124" s="31" t="str">
        <f>IF('Phytopl Count'!AA124=0,"",'Phytopl Count'!AA124*'Phytopl Count'!AA$13/'Phytopl Count'!AA$8)</f>
        <v/>
      </c>
      <c r="AB124" s="31" t="str">
        <f>IF('Phytopl Count'!AB124=0,"",'Phytopl Count'!AB124*'Phytopl Count'!AB$13/'Phytopl Count'!AB$8)</f>
        <v/>
      </c>
      <c r="AC124" s="31" t="str">
        <f>IF('Phytopl Count'!AC124=0,"",'Phytopl Count'!AC124*'Phytopl Count'!AC$13/'Phytopl Count'!AC$8)</f>
        <v/>
      </c>
      <c r="AD124" s="31" t="str">
        <f>IF('Phytopl Count'!AD124=0,"",'Phytopl Count'!AD124*'Phytopl Count'!AD$13/'Phytopl Count'!AD$8)</f>
        <v/>
      </c>
      <c r="AE124" s="31" t="str">
        <f>IF('Phytopl Count'!AE124=0,"",'Phytopl Count'!AE124*'Phytopl Count'!AE$13/'Phytopl Count'!AE$8)</f>
        <v/>
      </c>
      <c r="AF124" s="31" t="str">
        <f>IF('Phytopl Count'!AF124=0,"",'Phytopl Count'!AF124*'Phytopl Count'!AF$13/'Phytopl Count'!AF$8)</f>
        <v/>
      </c>
    </row>
    <row r="125" spans="1:32" ht="15" hidden="1" customHeight="1">
      <c r="D125" s="10" t="s">
        <v>5</v>
      </c>
      <c r="E125" s="5" t="s">
        <v>14</v>
      </c>
      <c r="F125" s="11"/>
      <c r="G125" s="31" t="str">
        <f>IF('Phytopl Count'!G125=0,"",'Phytopl Count'!G125*'Phytopl Count'!G$13/'Phytopl Count'!G$8)</f>
        <v/>
      </c>
      <c r="H125" s="31" t="str">
        <f>IF('Phytopl Count'!H125=0,"",'Phytopl Count'!H125*'Phytopl Count'!H$13/'Phytopl Count'!H$8)</f>
        <v/>
      </c>
      <c r="I125" s="31" t="str">
        <f>IF('Phytopl Count'!I125=0,"",'Phytopl Count'!I125*'Phytopl Count'!I$13/'Phytopl Count'!I$8)</f>
        <v/>
      </c>
      <c r="J125" s="31" t="str">
        <f>IF('Phytopl Count'!J125=0,"",'Phytopl Count'!J125*'Phytopl Count'!J$13/'Phytopl Count'!J$8)</f>
        <v/>
      </c>
      <c r="K125" s="31" t="str">
        <f>IF('Phytopl Count'!K125=0,"",'Phytopl Count'!K125*'Phytopl Count'!K$13/'Phytopl Count'!K$8)</f>
        <v/>
      </c>
      <c r="L125" s="31" t="str">
        <f>IF('Phytopl Count'!L125=0,"",'Phytopl Count'!L125*'Phytopl Count'!L$13/'Phytopl Count'!L$8)</f>
        <v/>
      </c>
      <c r="M125" s="31" t="str">
        <f>IF('Phytopl Count'!M125=0,"",'Phytopl Count'!M125*'Phytopl Count'!M$13/'Phytopl Count'!M$8)</f>
        <v/>
      </c>
      <c r="N125" s="31" t="str">
        <f>IF('Phytopl Count'!N125=0,"",'Phytopl Count'!N125*'Phytopl Count'!N$13/'Phytopl Count'!N$8)</f>
        <v/>
      </c>
      <c r="O125" s="31" t="str">
        <f>IF('Phytopl Count'!O125=0,"",'Phytopl Count'!O125*'Phytopl Count'!O$13/'Phytopl Count'!O$8)</f>
        <v/>
      </c>
      <c r="P125" s="31" t="str">
        <f>IF('Phytopl Count'!P125=0,"",'Phytopl Count'!P125*'Phytopl Count'!P$13/'Phytopl Count'!P$8)</f>
        <v/>
      </c>
      <c r="Q125" s="31" t="str">
        <f>IF('Phytopl Count'!Q125=0,"",'Phytopl Count'!Q125*'Phytopl Count'!Q$13/'Phytopl Count'!Q$8)</f>
        <v/>
      </c>
      <c r="R125" s="31" t="str">
        <f>IF('Phytopl Count'!R125=0,"",'Phytopl Count'!R125*'Phytopl Count'!R$13/'Phytopl Count'!R$8)</f>
        <v/>
      </c>
      <c r="S125" s="31" t="str">
        <f>IF('Phytopl Count'!S125=0,"",'Phytopl Count'!S125*'Phytopl Count'!S$13/'Phytopl Count'!S$8)</f>
        <v/>
      </c>
      <c r="T125" s="31" t="str">
        <f>IF('Phytopl Count'!T125=0,"",'Phytopl Count'!T125*'Phytopl Count'!T$13/'Phytopl Count'!T$8)</f>
        <v/>
      </c>
      <c r="U125" s="31" t="str">
        <f>IF('Phytopl Count'!U125=0,"",'Phytopl Count'!U125*'Phytopl Count'!U$13/'Phytopl Count'!U$8)</f>
        <v/>
      </c>
      <c r="V125" s="31" t="str">
        <f>IF('Phytopl Count'!V125=0,"",'Phytopl Count'!V125*'Phytopl Count'!V$13/'Phytopl Count'!V$8)</f>
        <v/>
      </c>
      <c r="W125" s="31" t="str">
        <f>IF('Phytopl Count'!W125=0,"",'Phytopl Count'!W125*'Phytopl Count'!W$13/'Phytopl Count'!W$8)</f>
        <v/>
      </c>
      <c r="X125" s="31" t="str">
        <f>IF('Phytopl Count'!X125=0,"",'Phytopl Count'!X125*'Phytopl Count'!X$13/'Phytopl Count'!X$8)</f>
        <v/>
      </c>
      <c r="Y125" s="31" t="str">
        <f>IF('Phytopl Count'!Y125=0,"",'Phytopl Count'!Y125*'Phytopl Count'!Y$13/'Phytopl Count'!Y$8)</f>
        <v/>
      </c>
      <c r="Z125" s="31" t="str">
        <f>IF('Phytopl Count'!Z125=0,"",'Phytopl Count'!Z125*'Phytopl Count'!Z$13/'Phytopl Count'!Z$8)</f>
        <v/>
      </c>
      <c r="AA125" s="31" t="str">
        <f>IF('Phytopl Count'!AA125=0,"",'Phytopl Count'!AA125*'Phytopl Count'!AA$13/'Phytopl Count'!AA$8)</f>
        <v/>
      </c>
      <c r="AB125" s="31" t="str">
        <f>IF('Phytopl Count'!AB125=0,"",'Phytopl Count'!AB125*'Phytopl Count'!AB$13/'Phytopl Count'!AB$8)</f>
        <v/>
      </c>
      <c r="AC125" s="31" t="str">
        <f>IF('Phytopl Count'!AC125=0,"",'Phytopl Count'!AC125*'Phytopl Count'!AC$13/'Phytopl Count'!AC$8)</f>
        <v/>
      </c>
      <c r="AD125" s="31" t="str">
        <f>IF('Phytopl Count'!AD125=0,"",'Phytopl Count'!AD125*'Phytopl Count'!AD$13/'Phytopl Count'!AD$8)</f>
        <v/>
      </c>
      <c r="AE125" s="31" t="str">
        <f>IF('Phytopl Count'!AE125=0,"",'Phytopl Count'!AE125*'Phytopl Count'!AE$13/'Phytopl Count'!AE$8)</f>
        <v/>
      </c>
      <c r="AF125" s="31" t="str">
        <f>IF('Phytopl Count'!AF125=0,"",'Phytopl Count'!AF125*'Phytopl Count'!AF$13/'Phytopl Count'!AF$8)</f>
        <v/>
      </c>
    </row>
    <row r="126" spans="1:32" ht="15" hidden="1" customHeight="1">
      <c r="E126" s="10" t="s">
        <v>6</v>
      </c>
      <c r="F126" s="11" t="s">
        <v>16</v>
      </c>
      <c r="G126" s="31" t="str">
        <f>IF('Phytopl Count'!G126=0,"",'Phytopl Count'!G126*'Phytopl Count'!G$13/'Phytopl Count'!G$8)</f>
        <v/>
      </c>
      <c r="H126" s="31" t="str">
        <f>IF('Phytopl Count'!H126=0,"",'Phytopl Count'!H126*'Phytopl Count'!H$13/'Phytopl Count'!H$8)</f>
        <v/>
      </c>
      <c r="I126" s="31" t="str">
        <f>IF('Phytopl Count'!I126=0,"",'Phytopl Count'!I126*'Phytopl Count'!I$13/'Phytopl Count'!I$8)</f>
        <v/>
      </c>
      <c r="J126" s="31" t="str">
        <f>IF('Phytopl Count'!J126=0,"",'Phytopl Count'!J126*'Phytopl Count'!J$13/'Phytopl Count'!J$8)</f>
        <v/>
      </c>
      <c r="K126" s="31" t="str">
        <f>IF('Phytopl Count'!K126=0,"",'Phytopl Count'!K126*'Phytopl Count'!K$13/'Phytopl Count'!K$8)</f>
        <v/>
      </c>
      <c r="L126" s="31" t="str">
        <f>IF('Phytopl Count'!L126=0,"",'Phytopl Count'!L126*'Phytopl Count'!L$13/'Phytopl Count'!L$8)</f>
        <v/>
      </c>
      <c r="M126" s="31" t="str">
        <f>IF('Phytopl Count'!M126=0,"",'Phytopl Count'!M126*'Phytopl Count'!M$13/'Phytopl Count'!M$8)</f>
        <v/>
      </c>
      <c r="N126" s="31" t="str">
        <f>IF('Phytopl Count'!N126=0,"",'Phytopl Count'!N126*'Phytopl Count'!N$13/'Phytopl Count'!N$8)</f>
        <v/>
      </c>
      <c r="O126" s="31" t="str">
        <f>IF('Phytopl Count'!O126=0,"",'Phytopl Count'!O126*'Phytopl Count'!O$13/'Phytopl Count'!O$8)</f>
        <v/>
      </c>
      <c r="P126" s="31" t="str">
        <f>IF('Phytopl Count'!P126=0,"",'Phytopl Count'!P126*'Phytopl Count'!P$13/'Phytopl Count'!P$8)</f>
        <v/>
      </c>
      <c r="Q126" s="31" t="str">
        <f>IF('Phytopl Count'!Q126=0,"",'Phytopl Count'!Q126*'Phytopl Count'!Q$13/'Phytopl Count'!Q$8)</f>
        <v/>
      </c>
      <c r="R126" s="31" t="str">
        <f>IF('Phytopl Count'!R126=0,"",'Phytopl Count'!R126*'Phytopl Count'!R$13/'Phytopl Count'!R$8)</f>
        <v/>
      </c>
      <c r="S126" s="31" t="str">
        <f>IF('Phytopl Count'!S126=0,"",'Phytopl Count'!S126*'Phytopl Count'!S$13/'Phytopl Count'!S$8)</f>
        <v/>
      </c>
      <c r="T126" s="31" t="str">
        <f>IF('Phytopl Count'!T126=0,"",'Phytopl Count'!T126*'Phytopl Count'!T$13/'Phytopl Count'!T$8)</f>
        <v/>
      </c>
      <c r="U126" s="31" t="str">
        <f>IF('Phytopl Count'!U126=0,"",'Phytopl Count'!U126*'Phytopl Count'!U$13/'Phytopl Count'!U$8)</f>
        <v/>
      </c>
      <c r="V126" s="31" t="str">
        <f>IF('Phytopl Count'!V126=0,"",'Phytopl Count'!V126*'Phytopl Count'!V$13/'Phytopl Count'!V$8)</f>
        <v/>
      </c>
      <c r="W126" s="31" t="str">
        <f>IF('Phytopl Count'!W126=0,"",'Phytopl Count'!W126*'Phytopl Count'!W$13/'Phytopl Count'!W$8)</f>
        <v/>
      </c>
      <c r="X126" s="31" t="str">
        <f>IF('Phytopl Count'!X126=0,"",'Phytopl Count'!X126*'Phytopl Count'!X$13/'Phytopl Count'!X$8)</f>
        <v/>
      </c>
      <c r="Y126" s="31" t="str">
        <f>IF('Phytopl Count'!Y126=0,"",'Phytopl Count'!Y126*'Phytopl Count'!Y$13/'Phytopl Count'!Y$8)</f>
        <v/>
      </c>
      <c r="Z126" s="31" t="str">
        <f>IF('Phytopl Count'!Z126=0,"",'Phytopl Count'!Z126*'Phytopl Count'!Z$13/'Phytopl Count'!Z$8)</f>
        <v/>
      </c>
      <c r="AA126" s="31" t="str">
        <f>IF('Phytopl Count'!AA126=0,"",'Phytopl Count'!AA126*'Phytopl Count'!AA$13/'Phytopl Count'!AA$8)</f>
        <v/>
      </c>
      <c r="AB126" s="31" t="str">
        <f>IF('Phytopl Count'!AB126=0,"",'Phytopl Count'!AB126*'Phytopl Count'!AB$13/'Phytopl Count'!AB$8)</f>
        <v/>
      </c>
      <c r="AC126" s="31" t="str">
        <f>IF('Phytopl Count'!AC126=0,"",'Phytopl Count'!AC126*'Phytopl Count'!AC$13/'Phytopl Count'!AC$8)</f>
        <v/>
      </c>
      <c r="AD126" s="31" t="str">
        <f>IF('Phytopl Count'!AD126=0,"",'Phytopl Count'!AD126*'Phytopl Count'!AD$13/'Phytopl Count'!AD$8)</f>
        <v/>
      </c>
      <c r="AE126" s="31" t="str">
        <f>IF('Phytopl Count'!AE126=0,"",'Phytopl Count'!AE126*'Phytopl Count'!AE$13/'Phytopl Count'!AE$8)</f>
        <v/>
      </c>
      <c r="AF126" s="31" t="str">
        <f>IF('Phytopl Count'!AF126=0,"",'Phytopl Count'!AF126*'Phytopl Count'!AF$13/'Phytopl Count'!AF$8)</f>
        <v/>
      </c>
    </row>
    <row r="127" spans="1:32" ht="15" hidden="1" customHeight="1">
      <c r="F127" s="11" t="s">
        <v>101</v>
      </c>
      <c r="G127" s="31" t="str">
        <f>IF('Phytopl Count'!G127=0,"",'Phytopl Count'!G127*'Phytopl Count'!G$13/'Phytopl Count'!G$8)</f>
        <v/>
      </c>
      <c r="H127" s="31" t="str">
        <f>IF('Phytopl Count'!H127=0,"",'Phytopl Count'!H127*'Phytopl Count'!H$13/'Phytopl Count'!H$8)</f>
        <v/>
      </c>
      <c r="I127" s="31" t="str">
        <f>IF('Phytopl Count'!I127=0,"",'Phytopl Count'!I127*'Phytopl Count'!I$13/'Phytopl Count'!I$8)</f>
        <v/>
      </c>
      <c r="J127" s="31" t="str">
        <f>IF('Phytopl Count'!J127=0,"",'Phytopl Count'!J127*'Phytopl Count'!J$13/'Phytopl Count'!J$8)</f>
        <v/>
      </c>
      <c r="K127" s="31" t="str">
        <f>IF('Phytopl Count'!K127=0,"",'Phytopl Count'!K127*'Phytopl Count'!K$13/'Phytopl Count'!K$8)</f>
        <v/>
      </c>
      <c r="L127" s="31" t="str">
        <f>IF('Phytopl Count'!L127=0,"",'Phytopl Count'!L127*'Phytopl Count'!L$13/'Phytopl Count'!L$8)</f>
        <v/>
      </c>
      <c r="M127" s="31" t="str">
        <f>IF('Phytopl Count'!M127=0,"",'Phytopl Count'!M127*'Phytopl Count'!M$13/'Phytopl Count'!M$8)</f>
        <v/>
      </c>
      <c r="N127" s="31" t="str">
        <f>IF('Phytopl Count'!N127=0,"",'Phytopl Count'!N127*'Phytopl Count'!N$13/'Phytopl Count'!N$8)</f>
        <v/>
      </c>
      <c r="O127" s="31" t="str">
        <f>IF('Phytopl Count'!O127=0,"",'Phytopl Count'!O127*'Phytopl Count'!O$13/'Phytopl Count'!O$8)</f>
        <v/>
      </c>
      <c r="P127" s="31" t="str">
        <f>IF('Phytopl Count'!P127=0,"",'Phytopl Count'!P127*'Phytopl Count'!P$13/'Phytopl Count'!P$8)</f>
        <v/>
      </c>
      <c r="Q127" s="31" t="str">
        <f>IF('Phytopl Count'!Q127=0,"",'Phytopl Count'!Q127*'Phytopl Count'!Q$13/'Phytopl Count'!Q$8)</f>
        <v/>
      </c>
      <c r="R127" s="31" t="str">
        <f>IF('Phytopl Count'!R127=0,"",'Phytopl Count'!R127*'Phytopl Count'!R$13/'Phytopl Count'!R$8)</f>
        <v/>
      </c>
      <c r="S127" s="31" t="str">
        <f>IF('Phytopl Count'!S127=0,"",'Phytopl Count'!S127*'Phytopl Count'!S$13/'Phytopl Count'!S$8)</f>
        <v/>
      </c>
      <c r="T127" s="31" t="str">
        <f>IF('Phytopl Count'!T127=0,"",'Phytopl Count'!T127*'Phytopl Count'!T$13/'Phytopl Count'!T$8)</f>
        <v/>
      </c>
      <c r="U127" s="31" t="str">
        <f>IF('Phytopl Count'!U127=0,"",'Phytopl Count'!U127*'Phytopl Count'!U$13/'Phytopl Count'!U$8)</f>
        <v/>
      </c>
      <c r="V127" s="31" t="str">
        <f>IF('Phytopl Count'!V127=0,"",'Phytopl Count'!V127*'Phytopl Count'!V$13/'Phytopl Count'!V$8)</f>
        <v/>
      </c>
      <c r="W127" s="31" t="str">
        <f>IF('Phytopl Count'!W127=0,"",'Phytopl Count'!W127*'Phytopl Count'!W$13/'Phytopl Count'!W$8)</f>
        <v/>
      </c>
      <c r="X127" s="31" t="str">
        <f>IF('Phytopl Count'!X127=0,"",'Phytopl Count'!X127*'Phytopl Count'!X$13/'Phytopl Count'!X$8)</f>
        <v/>
      </c>
      <c r="Y127" s="31" t="str">
        <f>IF('Phytopl Count'!Y127=0,"",'Phytopl Count'!Y127*'Phytopl Count'!Y$13/'Phytopl Count'!Y$8)</f>
        <v/>
      </c>
      <c r="Z127" s="31" t="str">
        <f>IF('Phytopl Count'!Z127=0,"",'Phytopl Count'!Z127*'Phytopl Count'!Z$13/'Phytopl Count'!Z$8)</f>
        <v/>
      </c>
      <c r="AA127" s="31" t="str">
        <f>IF('Phytopl Count'!AA127=0,"",'Phytopl Count'!AA127*'Phytopl Count'!AA$13/'Phytopl Count'!AA$8)</f>
        <v/>
      </c>
      <c r="AB127" s="31" t="str">
        <f>IF('Phytopl Count'!AB127=0,"",'Phytopl Count'!AB127*'Phytopl Count'!AB$13/'Phytopl Count'!AB$8)</f>
        <v/>
      </c>
      <c r="AC127" s="31" t="str">
        <f>IF('Phytopl Count'!AC127=0,"",'Phytopl Count'!AC127*'Phytopl Count'!AC$13/'Phytopl Count'!AC$8)</f>
        <v/>
      </c>
      <c r="AD127" s="31" t="str">
        <f>IF('Phytopl Count'!AD127=0,"",'Phytopl Count'!AD127*'Phytopl Count'!AD$13/'Phytopl Count'!AD$8)</f>
        <v/>
      </c>
      <c r="AE127" s="31" t="str">
        <f>IF('Phytopl Count'!AE127=0,"",'Phytopl Count'!AE127*'Phytopl Count'!AE$13/'Phytopl Count'!AE$8)</f>
        <v/>
      </c>
      <c r="AF127" s="31" t="str">
        <f>IF('Phytopl Count'!AF127=0,"",'Phytopl Count'!AF127*'Phytopl Count'!AF$13/'Phytopl Count'!AF$8)</f>
        <v/>
      </c>
    </row>
    <row r="128" spans="1:32">
      <c r="A128" s="4"/>
      <c r="B128" s="4"/>
      <c r="C128" s="16" t="s">
        <v>73</v>
      </c>
      <c r="D128" s="4" t="s">
        <v>83</v>
      </c>
      <c r="E128" s="4"/>
      <c r="F128" s="54"/>
      <c r="G128" s="31" t="str">
        <f>IF('Phytopl Count'!G128=0,"",'Phytopl Count'!G128*'Phytopl Count'!G$13/'Phytopl Count'!G$8)</f>
        <v/>
      </c>
      <c r="H128" s="31" t="str">
        <f>IF('Phytopl Count'!H128=0,"",'Phytopl Count'!H128*'Phytopl Count'!H$13/'Phytopl Count'!H$8)</f>
        <v/>
      </c>
      <c r="I128" s="31" t="str">
        <f>IF('Phytopl Count'!I128=0,"",'Phytopl Count'!I128*'Phytopl Count'!I$13/'Phytopl Count'!I$8)</f>
        <v/>
      </c>
      <c r="J128" s="31" t="str">
        <f>IF('Phytopl Count'!J128=0,"",'Phytopl Count'!J128*'Phytopl Count'!J$13/'Phytopl Count'!J$8)</f>
        <v/>
      </c>
      <c r="K128" s="31" t="str">
        <f>IF('Phytopl Count'!K128=0,"",'Phytopl Count'!K128*'Phytopl Count'!K$13/'Phytopl Count'!K$8)</f>
        <v/>
      </c>
      <c r="L128" s="31" t="str">
        <f>IF('Phytopl Count'!L128=0,"",'Phytopl Count'!L128*'Phytopl Count'!L$13/'Phytopl Count'!L$8)</f>
        <v/>
      </c>
      <c r="M128" s="31" t="str">
        <f>IF('Phytopl Count'!M128=0,"",'Phytopl Count'!M128*'Phytopl Count'!M$13/'Phytopl Count'!M$8)</f>
        <v/>
      </c>
      <c r="N128" s="31" t="str">
        <f>IF('Phytopl Count'!N128=0,"",'Phytopl Count'!N128*'Phytopl Count'!N$13/'Phytopl Count'!N$8)</f>
        <v/>
      </c>
      <c r="O128" s="31" t="str">
        <f>IF('Phytopl Count'!O128=0,"",'Phytopl Count'!O128*'Phytopl Count'!O$13/'Phytopl Count'!O$8)</f>
        <v/>
      </c>
      <c r="P128" s="31" t="str">
        <f>IF('Phytopl Count'!P128=0,"",'Phytopl Count'!P128*'Phytopl Count'!P$13/'Phytopl Count'!P$8)</f>
        <v/>
      </c>
      <c r="Q128" s="31" t="str">
        <f>IF('Phytopl Count'!Q128=0,"",'Phytopl Count'!Q128*'Phytopl Count'!Q$13/'Phytopl Count'!Q$8)</f>
        <v/>
      </c>
      <c r="R128" s="31" t="str">
        <f>IF('Phytopl Count'!R128=0,"",'Phytopl Count'!R128*'Phytopl Count'!R$13/'Phytopl Count'!R$8)</f>
        <v/>
      </c>
      <c r="S128" s="31" t="str">
        <f>IF('Phytopl Count'!S128=0,"",'Phytopl Count'!S128*'Phytopl Count'!S$13/'Phytopl Count'!S$8)</f>
        <v/>
      </c>
      <c r="T128" s="31" t="str">
        <f>IF('Phytopl Count'!T128=0,"",'Phytopl Count'!T128*'Phytopl Count'!T$13/'Phytopl Count'!T$8)</f>
        <v/>
      </c>
      <c r="U128" s="31" t="str">
        <f>IF('Phytopl Count'!U128=0,"",'Phytopl Count'!U128*'Phytopl Count'!U$13/'Phytopl Count'!U$8)</f>
        <v/>
      </c>
      <c r="V128" s="31" t="str">
        <f>IF('Phytopl Count'!V128=0,"",'Phytopl Count'!V128*'Phytopl Count'!V$13/'Phytopl Count'!V$8)</f>
        <v/>
      </c>
      <c r="W128" s="31" t="str">
        <f>IF('Phytopl Count'!W128=0,"",'Phytopl Count'!W128*'Phytopl Count'!W$13/'Phytopl Count'!W$8)</f>
        <v/>
      </c>
      <c r="X128" s="31" t="str">
        <f>IF('Phytopl Count'!X128=0,"",'Phytopl Count'!X128*'Phytopl Count'!X$13/'Phytopl Count'!X$8)</f>
        <v/>
      </c>
      <c r="Y128" s="31" t="str">
        <f>IF('Phytopl Count'!Y128=0,"",'Phytopl Count'!Y128*'Phytopl Count'!Y$13/'Phytopl Count'!Y$8)</f>
        <v/>
      </c>
      <c r="Z128" s="31" t="str">
        <f>IF('Phytopl Count'!Z128=0,"",'Phytopl Count'!Z128*'Phytopl Count'!Z$13/'Phytopl Count'!Z$8)</f>
        <v/>
      </c>
      <c r="AA128" s="31" t="str">
        <f>IF('Phytopl Count'!AA128=0,"",'Phytopl Count'!AA128*'Phytopl Count'!AA$13/'Phytopl Count'!AA$8)</f>
        <v/>
      </c>
      <c r="AB128" s="31" t="str">
        <f>IF('Phytopl Count'!AB128=0,"",'Phytopl Count'!AB128*'Phytopl Count'!AB$13/'Phytopl Count'!AB$8)</f>
        <v/>
      </c>
      <c r="AC128" s="31" t="str">
        <f>IF('Phytopl Count'!AC128=0,"",'Phytopl Count'!AC128*'Phytopl Count'!AC$13/'Phytopl Count'!AC$8)</f>
        <v/>
      </c>
      <c r="AD128" s="31" t="str">
        <f>IF('Phytopl Count'!AD128=0,"",'Phytopl Count'!AD128*'Phytopl Count'!AD$13/'Phytopl Count'!AD$8)</f>
        <v/>
      </c>
      <c r="AE128" s="31" t="str">
        <f>IF('Phytopl Count'!AE128=0,"",'Phytopl Count'!AE128*'Phytopl Count'!AE$13/'Phytopl Count'!AE$8)</f>
        <v/>
      </c>
      <c r="AF128" s="31" t="str">
        <f>IF('Phytopl Count'!AF128=0,"",'Phytopl Count'!AF128*'Phytopl Count'!AF$13/'Phytopl Count'!AF$8)</f>
        <v/>
      </c>
    </row>
    <row r="129" spans="1:32">
      <c r="D129" s="10" t="s">
        <v>5</v>
      </c>
      <c r="E129" s="5" t="s">
        <v>20</v>
      </c>
      <c r="F129" s="11"/>
      <c r="G129" s="31" t="str">
        <f>IF('Phytopl Count'!G129=0,"",'Phytopl Count'!G129*'Phytopl Count'!G$13/'Phytopl Count'!G$8)</f>
        <v/>
      </c>
      <c r="H129" s="31" t="str">
        <f>IF('Phytopl Count'!H129=0,"",'Phytopl Count'!H129*'Phytopl Count'!H$13/'Phytopl Count'!H$8)</f>
        <v/>
      </c>
      <c r="I129" s="31" t="str">
        <f>IF('Phytopl Count'!I129=0,"",'Phytopl Count'!I129*'Phytopl Count'!I$13/'Phytopl Count'!I$8)</f>
        <v/>
      </c>
      <c r="J129" s="31" t="str">
        <f>IF('Phytopl Count'!J129=0,"",'Phytopl Count'!J129*'Phytopl Count'!J$13/'Phytopl Count'!J$8)</f>
        <v/>
      </c>
      <c r="K129" s="31" t="str">
        <f>IF('Phytopl Count'!K129=0,"",'Phytopl Count'!K129*'Phytopl Count'!K$13/'Phytopl Count'!K$8)</f>
        <v/>
      </c>
      <c r="L129" s="31" t="str">
        <f>IF('Phytopl Count'!L129=0,"",'Phytopl Count'!L129*'Phytopl Count'!L$13/'Phytopl Count'!L$8)</f>
        <v/>
      </c>
      <c r="M129" s="31" t="str">
        <f>IF('Phytopl Count'!M129=0,"",'Phytopl Count'!M129*'Phytopl Count'!M$13/'Phytopl Count'!M$8)</f>
        <v/>
      </c>
      <c r="N129" s="31" t="str">
        <f>IF('Phytopl Count'!N129=0,"",'Phytopl Count'!N129*'Phytopl Count'!N$13/'Phytopl Count'!N$8)</f>
        <v/>
      </c>
      <c r="O129" s="31" t="str">
        <f>IF('Phytopl Count'!O129=0,"",'Phytopl Count'!O129*'Phytopl Count'!O$13/'Phytopl Count'!O$8)</f>
        <v/>
      </c>
      <c r="P129" s="31" t="str">
        <f>IF('Phytopl Count'!P129=0,"",'Phytopl Count'!P129*'Phytopl Count'!P$13/'Phytopl Count'!P$8)</f>
        <v/>
      </c>
      <c r="Q129" s="31" t="str">
        <f>IF('Phytopl Count'!Q129=0,"",'Phytopl Count'!Q129*'Phytopl Count'!Q$13/'Phytopl Count'!Q$8)</f>
        <v/>
      </c>
      <c r="R129" s="31" t="str">
        <f>IF('Phytopl Count'!R129=0,"",'Phytopl Count'!R129*'Phytopl Count'!R$13/'Phytopl Count'!R$8)</f>
        <v/>
      </c>
      <c r="S129" s="31" t="str">
        <f>IF('Phytopl Count'!S129=0,"",'Phytopl Count'!S129*'Phytopl Count'!S$13/'Phytopl Count'!S$8)</f>
        <v/>
      </c>
      <c r="T129" s="31" t="str">
        <f>IF('Phytopl Count'!T129=0,"",'Phytopl Count'!T129*'Phytopl Count'!T$13/'Phytopl Count'!T$8)</f>
        <v/>
      </c>
      <c r="U129" s="31" t="str">
        <f>IF('Phytopl Count'!U129=0,"",'Phytopl Count'!U129*'Phytopl Count'!U$13/'Phytopl Count'!U$8)</f>
        <v/>
      </c>
      <c r="V129" s="31" t="str">
        <f>IF('Phytopl Count'!V129=0,"",'Phytopl Count'!V129*'Phytopl Count'!V$13/'Phytopl Count'!V$8)</f>
        <v/>
      </c>
      <c r="W129" s="31" t="str">
        <f>IF('Phytopl Count'!W129=0,"",'Phytopl Count'!W129*'Phytopl Count'!W$13/'Phytopl Count'!W$8)</f>
        <v/>
      </c>
      <c r="X129" s="31" t="str">
        <f>IF('Phytopl Count'!X129=0,"",'Phytopl Count'!X129*'Phytopl Count'!X$13/'Phytopl Count'!X$8)</f>
        <v/>
      </c>
      <c r="Y129" s="31" t="str">
        <f>IF('Phytopl Count'!Y129=0,"",'Phytopl Count'!Y129*'Phytopl Count'!Y$13/'Phytopl Count'!Y$8)</f>
        <v/>
      </c>
      <c r="Z129" s="31" t="str">
        <f>IF('Phytopl Count'!Z129=0,"",'Phytopl Count'!Z129*'Phytopl Count'!Z$13/'Phytopl Count'!Z$8)</f>
        <v/>
      </c>
      <c r="AA129" s="31" t="str">
        <f>IF('Phytopl Count'!AA129=0,"",'Phytopl Count'!AA129*'Phytopl Count'!AA$13/'Phytopl Count'!AA$8)</f>
        <v/>
      </c>
      <c r="AB129" s="31" t="str">
        <f>IF('Phytopl Count'!AB129=0,"",'Phytopl Count'!AB129*'Phytopl Count'!AB$13/'Phytopl Count'!AB$8)</f>
        <v/>
      </c>
      <c r="AC129" s="31" t="str">
        <f>IF('Phytopl Count'!AC129=0,"",'Phytopl Count'!AC129*'Phytopl Count'!AC$13/'Phytopl Count'!AC$8)</f>
        <v/>
      </c>
      <c r="AD129" s="31" t="str">
        <f>IF('Phytopl Count'!AD129=0,"",'Phytopl Count'!AD129*'Phytopl Count'!AD$13/'Phytopl Count'!AD$8)</f>
        <v/>
      </c>
      <c r="AE129" s="31" t="str">
        <f>IF('Phytopl Count'!AE129=0,"",'Phytopl Count'!AE129*'Phytopl Count'!AE$13/'Phytopl Count'!AE$8)</f>
        <v/>
      </c>
      <c r="AF129" s="31" t="str">
        <f>IF('Phytopl Count'!AF129=0,"",'Phytopl Count'!AF129*'Phytopl Count'!AF$13/'Phytopl Count'!AF$8)</f>
        <v/>
      </c>
    </row>
    <row r="130" spans="1:32">
      <c r="E130" s="10" t="s">
        <v>6</v>
      </c>
      <c r="F130" s="11" t="s">
        <v>79</v>
      </c>
      <c r="G130" s="31">
        <f>IF('Phytopl Count'!G130=0,"",'Phytopl Count'!G130*'Phytopl Count'!G$13/'Phytopl Count'!G$8)</f>
        <v>2.1354122343566671E-2</v>
      </c>
      <c r="H130" s="31" t="str">
        <f>IF('Phytopl Count'!H130=0,"",'Phytopl Count'!H130*'Phytopl Count'!H$13/'Phytopl Count'!H$8)</f>
        <v/>
      </c>
      <c r="I130" s="31" t="str">
        <f>IF('Phytopl Count'!I130=0,"",'Phytopl Count'!I130*'Phytopl Count'!I$13/'Phytopl Count'!I$8)</f>
        <v/>
      </c>
      <c r="J130" s="31" t="str">
        <f>IF('Phytopl Count'!J130=0,"",'Phytopl Count'!J130*'Phytopl Count'!J$13/'Phytopl Count'!J$8)</f>
        <v/>
      </c>
      <c r="K130" s="31">
        <f>IF('Phytopl Count'!K130=0,"",'Phytopl Count'!K130*'Phytopl Count'!K$13/'Phytopl Count'!K$8)</f>
        <v>3.2031183515350004E-2</v>
      </c>
      <c r="L130" s="31" t="str">
        <f>IF('Phytopl Count'!L130=0,"",'Phytopl Count'!L130*'Phytopl Count'!L$13/'Phytopl Count'!L$8)</f>
        <v/>
      </c>
      <c r="M130" s="31" t="str">
        <f>IF('Phytopl Count'!M130=0,"",'Phytopl Count'!M130*'Phytopl Count'!M$13/'Phytopl Count'!M$8)</f>
        <v/>
      </c>
      <c r="N130" s="31" t="str">
        <f>IF('Phytopl Count'!N130=0,"",'Phytopl Count'!N130*'Phytopl Count'!N$13/'Phytopl Count'!N$8)</f>
        <v/>
      </c>
      <c r="O130" s="31" t="str">
        <f>IF('Phytopl Count'!O130=0,"",'Phytopl Count'!O130*'Phytopl Count'!O$13/'Phytopl Count'!O$8)</f>
        <v/>
      </c>
      <c r="P130" s="31" t="str">
        <f>IF('Phytopl Count'!P130=0,"",'Phytopl Count'!P130*'Phytopl Count'!P$13/'Phytopl Count'!P$8)</f>
        <v/>
      </c>
      <c r="Q130" s="31" t="str">
        <f>IF('Phytopl Count'!Q130=0,"",'Phytopl Count'!Q130*'Phytopl Count'!Q$13/'Phytopl Count'!Q$8)</f>
        <v/>
      </c>
      <c r="R130" s="31">
        <f>IF('Phytopl Count'!R130=0,"",'Phytopl Count'!R130*'Phytopl Count'!R$13/'Phytopl Count'!R$8)</f>
        <v>3.2031183515350004E-2</v>
      </c>
      <c r="S130" s="31" t="str">
        <f>IF('Phytopl Count'!S130=0,"",'Phytopl Count'!S130*'Phytopl Count'!S$13/'Phytopl Count'!S$8)</f>
        <v/>
      </c>
      <c r="T130" s="31">
        <f>IF('Phytopl Count'!T130=0,"",'Phytopl Count'!T130*'Phytopl Count'!T$13/'Phytopl Count'!T$8)</f>
        <v>4.8046775273025012E-2</v>
      </c>
      <c r="U130" s="31" t="str">
        <f>IF('Phytopl Count'!U130=0,"",'Phytopl Count'!U130*'Phytopl Count'!U$13/'Phytopl Count'!U$8)</f>
        <v/>
      </c>
      <c r="V130" s="31">
        <f>IF('Phytopl Count'!V130=0,"",'Phytopl Count'!V130*'Phytopl Count'!V$13/'Phytopl Count'!V$8)</f>
        <v>8.0077958788375009E-2</v>
      </c>
      <c r="W130" s="31" t="str">
        <f>IF('Phytopl Count'!W130=0,"",'Phytopl Count'!W130*'Phytopl Count'!W$13/'Phytopl Count'!W$8)</f>
        <v/>
      </c>
      <c r="X130" s="31" t="str">
        <f>IF('Phytopl Count'!X130=0,"",'Phytopl Count'!X130*'Phytopl Count'!X$13/'Phytopl Count'!X$8)</f>
        <v/>
      </c>
      <c r="Y130" s="31" t="str">
        <f>IF('Phytopl Count'!Y130=0,"",'Phytopl Count'!Y130*'Phytopl Count'!Y$13/'Phytopl Count'!Y$8)</f>
        <v/>
      </c>
      <c r="Z130" s="31" t="str">
        <f>IF('Phytopl Count'!Z130=0,"",'Phytopl Count'!Z130*'Phytopl Count'!Z$13/'Phytopl Count'!Z$8)</f>
        <v/>
      </c>
      <c r="AA130" s="31" t="str">
        <f>IF('Phytopl Count'!AA130=0,"",'Phytopl Count'!AA130*'Phytopl Count'!AA$13/'Phytopl Count'!AA$8)</f>
        <v/>
      </c>
      <c r="AB130" s="31" t="str">
        <f>IF('Phytopl Count'!AB130=0,"",'Phytopl Count'!AB130*'Phytopl Count'!AB$13/'Phytopl Count'!AB$8)</f>
        <v/>
      </c>
      <c r="AC130" s="31" t="str">
        <f>IF('Phytopl Count'!AC130=0,"",'Phytopl Count'!AC130*'Phytopl Count'!AC$13/'Phytopl Count'!AC$8)</f>
        <v/>
      </c>
      <c r="AD130" s="31">
        <f>IF('Phytopl Count'!AD130=0,"",'Phytopl Count'!AD130*'Phytopl Count'!AD$13/'Phytopl Count'!AD$8)</f>
        <v>3.2031183515350004E-2</v>
      </c>
      <c r="AE130" s="31" t="str">
        <f>IF('Phytopl Count'!AE130=0,"",'Phytopl Count'!AE130*'Phytopl Count'!AE$13/'Phytopl Count'!AE$8)</f>
        <v/>
      </c>
      <c r="AF130" s="31" t="str">
        <f>IF('Phytopl Count'!AF130=0,"",'Phytopl Count'!AF130*'Phytopl Count'!AF$13/'Phytopl Count'!AF$8)</f>
        <v/>
      </c>
    </row>
    <row r="131" spans="1:32">
      <c r="D131" s="10" t="s">
        <v>5</v>
      </c>
      <c r="E131" s="12" t="s">
        <v>31</v>
      </c>
      <c r="F131" s="11"/>
      <c r="G131" s="31" t="str">
        <f>IF('Phytopl Count'!G131=0,"",'Phytopl Count'!G131*'Phytopl Count'!G$13/'Phytopl Count'!G$8)</f>
        <v/>
      </c>
      <c r="H131" s="31" t="str">
        <f>IF('Phytopl Count'!H131=0,"",'Phytopl Count'!H131*'Phytopl Count'!H$13/'Phytopl Count'!H$8)</f>
        <v/>
      </c>
      <c r="I131" s="31" t="str">
        <f>IF('Phytopl Count'!I131=0,"",'Phytopl Count'!I131*'Phytopl Count'!I$13/'Phytopl Count'!I$8)</f>
        <v/>
      </c>
      <c r="J131" s="31" t="str">
        <f>IF('Phytopl Count'!J131=0,"",'Phytopl Count'!J131*'Phytopl Count'!J$13/'Phytopl Count'!J$8)</f>
        <v/>
      </c>
      <c r="K131" s="31" t="str">
        <f>IF('Phytopl Count'!K131=0,"",'Phytopl Count'!K131*'Phytopl Count'!K$13/'Phytopl Count'!K$8)</f>
        <v/>
      </c>
      <c r="L131" s="31" t="str">
        <f>IF('Phytopl Count'!L131=0,"",'Phytopl Count'!L131*'Phytopl Count'!L$13/'Phytopl Count'!L$8)</f>
        <v/>
      </c>
      <c r="M131" s="31" t="str">
        <f>IF('Phytopl Count'!M131=0,"",'Phytopl Count'!M131*'Phytopl Count'!M$13/'Phytopl Count'!M$8)</f>
        <v/>
      </c>
      <c r="N131" s="31" t="str">
        <f>IF('Phytopl Count'!N131=0,"",'Phytopl Count'!N131*'Phytopl Count'!N$13/'Phytopl Count'!N$8)</f>
        <v/>
      </c>
      <c r="O131" s="31" t="str">
        <f>IF('Phytopl Count'!O131=0,"",'Phytopl Count'!O131*'Phytopl Count'!O$13/'Phytopl Count'!O$8)</f>
        <v/>
      </c>
      <c r="P131" s="31" t="str">
        <f>IF('Phytopl Count'!P131=0,"",'Phytopl Count'!P131*'Phytopl Count'!P$13/'Phytopl Count'!P$8)</f>
        <v/>
      </c>
      <c r="Q131" s="31" t="str">
        <f>IF('Phytopl Count'!Q131=0,"",'Phytopl Count'!Q131*'Phytopl Count'!Q$13/'Phytopl Count'!Q$8)</f>
        <v/>
      </c>
      <c r="R131" s="31" t="str">
        <f>IF('Phytopl Count'!R131=0,"",'Phytopl Count'!R131*'Phytopl Count'!R$13/'Phytopl Count'!R$8)</f>
        <v/>
      </c>
      <c r="S131" s="31" t="str">
        <f>IF('Phytopl Count'!S131=0,"",'Phytopl Count'!S131*'Phytopl Count'!S$13/'Phytopl Count'!S$8)</f>
        <v/>
      </c>
      <c r="T131" s="31" t="str">
        <f>IF('Phytopl Count'!T131=0,"",'Phytopl Count'!T131*'Phytopl Count'!T$13/'Phytopl Count'!T$8)</f>
        <v/>
      </c>
      <c r="U131" s="31" t="str">
        <f>IF('Phytopl Count'!U131=0,"",'Phytopl Count'!U131*'Phytopl Count'!U$13/'Phytopl Count'!U$8)</f>
        <v/>
      </c>
      <c r="V131" s="31" t="str">
        <f>IF('Phytopl Count'!V131=0,"",'Phytopl Count'!V131*'Phytopl Count'!V$13/'Phytopl Count'!V$8)</f>
        <v/>
      </c>
      <c r="W131" s="31" t="str">
        <f>IF('Phytopl Count'!W131=0,"",'Phytopl Count'!W131*'Phytopl Count'!W$13/'Phytopl Count'!W$8)</f>
        <v/>
      </c>
      <c r="X131" s="31" t="str">
        <f>IF('Phytopl Count'!X131=0,"",'Phytopl Count'!X131*'Phytopl Count'!X$13/'Phytopl Count'!X$8)</f>
        <v/>
      </c>
      <c r="Y131" s="31" t="str">
        <f>IF('Phytopl Count'!Y131=0,"",'Phytopl Count'!Y131*'Phytopl Count'!Y$13/'Phytopl Count'!Y$8)</f>
        <v/>
      </c>
      <c r="Z131" s="31" t="str">
        <f>IF('Phytopl Count'!Z131=0,"",'Phytopl Count'!Z131*'Phytopl Count'!Z$13/'Phytopl Count'!Z$8)</f>
        <v/>
      </c>
      <c r="AA131" s="31" t="str">
        <f>IF('Phytopl Count'!AA131=0,"",'Phytopl Count'!AA131*'Phytopl Count'!AA$13/'Phytopl Count'!AA$8)</f>
        <v/>
      </c>
      <c r="AB131" s="31" t="str">
        <f>IF('Phytopl Count'!AB131=0,"",'Phytopl Count'!AB131*'Phytopl Count'!AB$13/'Phytopl Count'!AB$8)</f>
        <v/>
      </c>
      <c r="AC131" s="31" t="str">
        <f>IF('Phytopl Count'!AC131=0,"",'Phytopl Count'!AC131*'Phytopl Count'!AC$13/'Phytopl Count'!AC$8)</f>
        <v/>
      </c>
      <c r="AD131" s="31" t="str">
        <f>IF('Phytopl Count'!AD131=0,"",'Phytopl Count'!AD131*'Phytopl Count'!AD$13/'Phytopl Count'!AD$8)</f>
        <v/>
      </c>
      <c r="AE131" s="31" t="str">
        <f>IF('Phytopl Count'!AE131=0,"",'Phytopl Count'!AE131*'Phytopl Count'!AE$13/'Phytopl Count'!AE$8)</f>
        <v/>
      </c>
      <c r="AF131" s="31" t="str">
        <f>IF('Phytopl Count'!AF131=0,"",'Phytopl Count'!AF131*'Phytopl Count'!AF$13/'Phytopl Count'!AF$8)</f>
        <v/>
      </c>
    </row>
    <row r="132" spans="1:32">
      <c r="E132" s="10" t="s">
        <v>6</v>
      </c>
      <c r="F132" s="11" t="s">
        <v>32</v>
      </c>
      <c r="G132" s="31">
        <f>IF('Phytopl Count'!G132=0,"",'Phytopl Count'!G132*'Phytopl Count'!G$13/'Phytopl Count'!G$8)</f>
        <v>0.4270824468713334</v>
      </c>
      <c r="H132" s="31">
        <f>IF('Phytopl Count'!H132=0,"",'Phytopl Count'!H132*'Phytopl Count'!H$13/'Phytopl Count'!H$8)</f>
        <v>1.0089822807335251</v>
      </c>
      <c r="I132" s="31">
        <f>IF('Phytopl Count'!I132=0,"",'Phytopl Count'!I132*'Phytopl Count'!I$13/'Phytopl Count'!I$8)</f>
        <v>0.11210914230372501</v>
      </c>
      <c r="J132" s="31">
        <f>IF('Phytopl Count'!J132=0,"",'Phytopl Count'!J132*'Phytopl Count'!J$13/'Phytopl Count'!J$8)</f>
        <v>0.44042877333606251</v>
      </c>
      <c r="K132" s="31">
        <f>IF('Phytopl Count'!K132=0,"",'Phytopl Count'!K132*'Phytopl Count'!K$13/'Phytopl Count'!K$8)</f>
        <v>0.41640538569955005</v>
      </c>
      <c r="L132" s="31">
        <f>IF('Phytopl Count'!L132=0,"",'Phytopl Count'!L132*'Phytopl Count'!L$13/'Phytopl Count'!L$8)</f>
        <v>0.43242097745722508</v>
      </c>
      <c r="M132" s="31">
        <f>IF('Phytopl Count'!M132=0,"",'Phytopl Count'!M132*'Phytopl Count'!M$13/'Phytopl Count'!M$8)</f>
        <v>0.48046775273025005</v>
      </c>
      <c r="N132" s="31">
        <f>IF('Phytopl Count'!N132=0,"",'Phytopl Count'!N132*'Phytopl Count'!N$13/'Phytopl Count'!N$8)</f>
        <v>0.52851452800327514</v>
      </c>
      <c r="O132" s="31">
        <f>IF('Phytopl Count'!O132=0,"",'Phytopl Count'!O132*'Phytopl Count'!O$13/'Phytopl Count'!O$8)</f>
        <v>0.73671722085305003</v>
      </c>
      <c r="P132" s="31">
        <f>IF('Phytopl Count'!P132=0,"",'Phytopl Count'!P132*'Phytopl Count'!P$13/'Phytopl Count'!P$8)</f>
        <v>0.7687484043684002</v>
      </c>
      <c r="Q132" s="31">
        <f>IF('Phytopl Count'!Q132=0,"",'Phytopl Count'!Q132*'Phytopl Count'!Q$13/'Phytopl Count'!Q$8)</f>
        <v>0.72070162909537505</v>
      </c>
      <c r="R132" s="31">
        <f>IF('Phytopl Count'!R132=0,"",'Phytopl Count'!R132*'Phytopl Count'!R$13/'Phytopl Count'!R$8)</f>
        <v>0.54453011976095</v>
      </c>
      <c r="S132" s="31">
        <f>IF('Phytopl Count'!S132=0,"",'Phytopl Count'!S132*'Phytopl Count'!S$13/'Phytopl Count'!S$8)</f>
        <v>9.6093550546050024E-2</v>
      </c>
      <c r="T132" s="31">
        <f>IF('Phytopl Count'!T132=0,"",'Phytopl Count'!T132*'Phytopl Count'!T$13/'Phytopl Count'!T$8)</f>
        <v>0.57656130327630006</v>
      </c>
      <c r="U132" s="31">
        <f>IF('Phytopl Count'!U132=0,"",'Phytopl Count'!U132*'Phytopl Count'!U$13/'Phytopl Count'!U$8)</f>
        <v>0.86484195491445004</v>
      </c>
      <c r="V132" s="31">
        <f>IF('Phytopl Count'!V132=0,"",'Phytopl Count'!V132*'Phytopl Count'!V$13/'Phytopl Count'!V$8)</f>
        <v>1.0410134642488751</v>
      </c>
      <c r="W132" s="31">
        <f>IF('Phytopl Count'!W132=0,"",'Phytopl Count'!W132*'Phytopl Count'!W$13/'Phytopl Count'!W$8)</f>
        <v>0.6246080785493251</v>
      </c>
      <c r="X132" s="31">
        <f>IF('Phytopl Count'!X132=0,"",'Phytopl Count'!X132*'Phytopl Count'!X$13/'Phytopl Count'!X$8)</f>
        <v>1.2171849735833002</v>
      </c>
      <c r="Y132" s="31">
        <f>IF('Phytopl Count'!Y132=0,"",'Phytopl Count'!Y132*'Phytopl Count'!Y$13/'Phytopl Count'!Y$8)</f>
        <v>0.48046775273025011</v>
      </c>
      <c r="Z132" s="31">
        <f>IF('Phytopl Count'!Z132=0,"",'Phytopl Count'!Z132*'Phytopl Count'!Z$13/'Phytopl Count'!Z$8)</f>
        <v>0.41640538569955005</v>
      </c>
      <c r="AA132" s="31">
        <f>IF('Phytopl Count'!AA132=0,"",'Phytopl Count'!AA132*'Phytopl Count'!AA$13/'Phytopl Count'!AA$8)</f>
        <v>1.0570290560065501</v>
      </c>
      <c r="AB132" s="31">
        <f>IF('Phytopl Count'!AB132=0,"",'Phytopl Count'!AB132*'Phytopl Count'!AB$13/'Phytopl Count'!AB$8)</f>
        <v>0.48046775273025005</v>
      </c>
      <c r="AC132" s="31">
        <f>IF('Phytopl Count'!AC132=0,"",'Phytopl Count'!AC132*'Phytopl Count'!AC$13/'Phytopl Count'!AC$8)</f>
        <v>1.0249978724912001</v>
      </c>
      <c r="AD132" s="31">
        <f>IF('Phytopl Count'!AD132=0,"",'Phytopl Count'!AD132*'Phytopl Count'!AD$13/'Phytopl Count'!AD$8)</f>
        <v>0.7687484043684002</v>
      </c>
      <c r="AE132" s="31">
        <f>IF('Phytopl Count'!AE132=0,"",'Phytopl Count'!AE132*'Phytopl Count'!AE$13/'Phytopl Count'!AE$8)</f>
        <v>0.69667824145886259</v>
      </c>
      <c r="AF132" s="31">
        <f>IF('Phytopl Count'!AF132=0,"",'Phytopl Count'!AF132*'Phytopl Count'!AF$13/'Phytopl Count'!AF$8)</f>
        <v>2.1781204790438</v>
      </c>
    </row>
    <row r="133" spans="1:32">
      <c r="E133" s="10"/>
      <c r="F133" s="11" t="s">
        <v>113</v>
      </c>
      <c r="G133" s="31">
        <f>IF('Phytopl Count'!G133=0,"",'Phytopl Count'!G133*'Phytopl Count'!G$13/'Phytopl Count'!G$8)</f>
        <v>0.14947885640496672</v>
      </c>
      <c r="H133" s="31">
        <f>IF('Phytopl Count'!H133=0,"",'Phytopl Count'!H133*'Phytopl Count'!H$13/'Phytopl Count'!H$8)</f>
        <v>0.24023387636512505</v>
      </c>
      <c r="I133" s="31">
        <f>IF('Phytopl Count'!I133=0,"",'Phytopl Count'!I133*'Phytopl Count'!I$13/'Phytopl Count'!I$8)</f>
        <v>5.6054571151862506E-2</v>
      </c>
      <c r="J133" s="31">
        <f>IF('Phytopl Count'!J133=0,"",'Phytopl Count'!J133*'Phytopl Count'!J$13/'Phytopl Count'!J$8)</f>
        <v>8.0077958788375009E-2</v>
      </c>
      <c r="K133" s="31" t="str">
        <f>IF('Phytopl Count'!K133=0,"",'Phytopl Count'!K133*'Phytopl Count'!K$13/'Phytopl Count'!K$8)</f>
        <v/>
      </c>
      <c r="L133" s="31">
        <f>IF('Phytopl Count'!L133=0,"",'Phytopl Count'!L133*'Phytopl Count'!L$13/'Phytopl Count'!L$8)</f>
        <v>4.8046775273025012E-2</v>
      </c>
      <c r="M133" s="31" t="str">
        <f>IF('Phytopl Count'!M133=0,"",'Phytopl Count'!M133*'Phytopl Count'!M$13/'Phytopl Count'!M$8)</f>
        <v/>
      </c>
      <c r="N133" s="31" t="str">
        <f>IF('Phytopl Count'!N133=0,"",'Phytopl Count'!N133*'Phytopl Count'!N$13/'Phytopl Count'!N$8)</f>
        <v/>
      </c>
      <c r="O133" s="31">
        <f>IF('Phytopl Count'!O133=0,"",'Phytopl Count'!O133*'Phytopl Count'!O$13/'Phytopl Count'!O$8)</f>
        <v>0.22421828460745002</v>
      </c>
      <c r="P133" s="31">
        <f>IF('Phytopl Count'!P133=0,"",'Phytopl Count'!P133*'Phytopl Count'!P$13/'Phytopl Count'!P$8)</f>
        <v>0.19218710109210005</v>
      </c>
      <c r="Q133" s="31">
        <f>IF('Phytopl Count'!Q133=0,"",'Phytopl Count'!Q133*'Phytopl Count'!Q$13/'Phytopl Count'!Q$8)</f>
        <v>8.0077958788375009E-2</v>
      </c>
      <c r="R133" s="31">
        <f>IF('Phytopl Count'!R133=0,"",'Phytopl Count'!R133*'Phytopl Count'!R$13/'Phytopl Count'!R$8)</f>
        <v>6.4062367030700007E-2</v>
      </c>
      <c r="S133" s="31">
        <f>IF('Phytopl Count'!S133=0,"",'Phytopl Count'!S133*'Phytopl Count'!S$13/'Phytopl Count'!S$8)</f>
        <v>4.8046775273025012E-2</v>
      </c>
      <c r="T133" s="31">
        <f>IF('Phytopl Count'!T133=0,"",'Phytopl Count'!T133*'Phytopl Count'!T$13/'Phytopl Count'!T$8)</f>
        <v>0.14414032581907502</v>
      </c>
      <c r="U133" s="31">
        <f>IF('Phytopl Count'!U133=0,"",'Phytopl Count'!U133*'Phytopl Count'!U$13/'Phytopl Count'!U$8)</f>
        <v>0.28828065163815003</v>
      </c>
      <c r="V133" s="31">
        <f>IF('Phytopl Count'!V133=0,"",'Phytopl Count'!V133*'Phytopl Count'!V$13/'Phytopl Count'!V$8)</f>
        <v>0.20019489697093754</v>
      </c>
      <c r="W133" s="31">
        <f>IF('Phytopl Count'!W133=0,"",'Phytopl Count'!W133*'Phytopl Count'!W$13/'Phytopl Count'!W$8)</f>
        <v>0.19218710109210005</v>
      </c>
      <c r="X133" s="31">
        <f>IF('Phytopl Count'!X133=0,"",'Phytopl Count'!X133*'Phytopl Count'!X$13/'Phytopl Count'!X$8)</f>
        <v>0.32031183515350004</v>
      </c>
      <c r="Y133" s="31">
        <f>IF('Phytopl Count'!Y133=0,"",'Phytopl Count'!Y133*'Phytopl Count'!Y$13/'Phytopl Count'!Y$8)</f>
        <v>0.28828065163815003</v>
      </c>
      <c r="Z133" s="31">
        <f>IF('Phytopl Count'!Z133=0,"",'Phytopl Count'!Z133*'Phytopl Count'!Z$13/'Phytopl Count'!Z$8)</f>
        <v>0.52050673212443754</v>
      </c>
      <c r="AA133" s="31">
        <f>IF('Phytopl Count'!AA133=0,"",'Phytopl Count'!AA133*'Phytopl Count'!AA$13/'Phytopl Count'!AA$8)</f>
        <v>0.67265485382235013</v>
      </c>
      <c r="AB133" s="31">
        <f>IF('Phytopl Count'!AB133=0,"",'Phytopl Count'!AB133*'Phytopl Count'!AB$13/'Phytopl Count'!AB$8)</f>
        <v>4.0038979394187504E-2</v>
      </c>
      <c r="AC133" s="31">
        <f>IF('Phytopl Count'!AC133=0,"",'Phytopl Count'!AC133*'Phytopl Count'!AC$13/'Phytopl Count'!AC$8)</f>
        <v>0.28828065163815003</v>
      </c>
      <c r="AD133" s="31">
        <f>IF('Phytopl Count'!AD133=0,"",'Phytopl Count'!AD133*'Phytopl Count'!AD$13/'Phytopl Count'!AD$8)</f>
        <v>0.41640538569955005</v>
      </c>
      <c r="AE133" s="31">
        <f>IF('Phytopl Count'!AE133=0,"",'Phytopl Count'!AE133*'Phytopl Count'!AE$13/'Phytopl Count'!AE$8)</f>
        <v>4.8046775273025012E-2</v>
      </c>
      <c r="AF133" s="31">
        <f>IF('Phytopl Count'!AF133=0,"",'Phytopl Count'!AF133*'Phytopl Count'!AF$13/'Phytopl Count'!AF$8)</f>
        <v>0.7687484043684002</v>
      </c>
    </row>
    <row r="134" spans="1:32" ht="15" customHeight="1">
      <c r="A134" s="4"/>
      <c r="B134" s="4"/>
      <c r="C134" s="16" t="s">
        <v>73</v>
      </c>
      <c r="D134" s="4" t="s">
        <v>82</v>
      </c>
      <c r="E134" s="28"/>
      <c r="F134" s="54"/>
      <c r="G134" s="31" t="str">
        <f>IF('Phytopl Count'!G134=0,"",'Phytopl Count'!G134*'Phytopl Count'!G$13/'Phytopl Count'!G$8)</f>
        <v/>
      </c>
      <c r="H134" s="31" t="str">
        <f>IF('Phytopl Count'!H134=0,"",'Phytopl Count'!H134*'Phytopl Count'!H$13/'Phytopl Count'!H$8)</f>
        <v/>
      </c>
      <c r="I134" s="31" t="str">
        <f>IF('Phytopl Count'!I134=0,"",'Phytopl Count'!I134*'Phytopl Count'!I$13/'Phytopl Count'!I$8)</f>
        <v/>
      </c>
      <c r="J134" s="31" t="str">
        <f>IF('Phytopl Count'!J134=0,"",'Phytopl Count'!J134*'Phytopl Count'!J$13/'Phytopl Count'!J$8)</f>
        <v/>
      </c>
      <c r="K134" s="31" t="str">
        <f>IF('Phytopl Count'!K134=0,"",'Phytopl Count'!K134*'Phytopl Count'!K$13/'Phytopl Count'!K$8)</f>
        <v/>
      </c>
      <c r="L134" s="31" t="str">
        <f>IF('Phytopl Count'!L134=0,"",'Phytopl Count'!L134*'Phytopl Count'!L$13/'Phytopl Count'!L$8)</f>
        <v/>
      </c>
      <c r="M134" s="31" t="str">
        <f>IF('Phytopl Count'!M134=0,"",'Phytopl Count'!M134*'Phytopl Count'!M$13/'Phytopl Count'!M$8)</f>
        <v/>
      </c>
      <c r="N134" s="31" t="str">
        <f>IF('Phytopl Count'!N134=0,"",'Phytopl Count'!N134*'Phytopl Count'!N$13/'Phytopl Count'!N$8)</f>
        <v/>
      </c>
      <c r="O134" s="31" t="str">
        <f>IF('Phytopl Count'!O134=0,"",'Phytopl Count'!O134*'Phytopl Count'!O$13/'Phytopl Count'!O$8)</f>
        <v/>
      </c>
      <c r="P134" s="31" t="str">
        <f>IF('Phytopl Count'!P134=0,"",'Phytopl Count'!P134*'Phytopl Count'!P$13/'Phytopl Count'!P$8)</f>
        <v/>
      </c>
      <c r="Q134" s="31" t="str">
        <f>IF('Phytopl Count'!Q134=0,"",'Phytopl Count'!Q134*'Phytopl Count'!Q$13/'Phytopl Count'!Q$8)</f>
        <v/>
      </c>
      <c r="R134" s="31" t="str">
        <f>IF('Phytopl Count'!R134=0,"",'Phytopl Count'!R134*'Phytopl Count'!R$13/'Phytopl Count'!R$8)</f>
        <v/>
      </c>
      <c r="S134" s="31" t="str">
        <f>IF('Phytopl Count'!S134=0,"",'Phytopl Count'!S134*'Phytopl Count'!S$13/'Phytopl Count'!S$8)</f>
        <v/>
      </c>
      <c r="T134" s="31" t="str">
        <f>IF('Phytopl Count'!T134=0,"",'Phytopl Count'!T134*'Phytopl Count'!T$13/'Phytopl Count'!T$8)</f>
        <v/>
      </c>
      <c r="U134" s="31" t="str">
        <f>IF('Phytopl Count'!U134=0,"",'Phytopl Count'!U134*'Phytopl Count'!U$13/'Phytopl Count'!U$8)</f>
        <v/>
      </c>
      <c r="V134" s="31" t="str">
        <f>IF('Phytopl Count'!V134=0,"",'Phytopl Count'!V134*'Phytopl Count'!V$13/'Phytopl Count'!V$8)</f>
        <v/>
      </c>
      <c r="W134" s="31" t="str">
        <f>IF('Phytopl Count'!W134=0,"",'Phytopl Count'!W134*'Phytopl Count'!W$13/'Phytopl Count'!W$8)</f>
        <v/>
      </c>
      <c r="X134" s="31" t="str">
        <f>IF('Phytopl Count'!X134=0,"",'Phytopl Count'!X134*'Phytopl Count'!X$13/'Phytopl Count'!X$8)</f>
        <v/>
      </c>
      <c r="Y134" s="31" t="str">
        <f>IF('Phytopl Count'!Y134=0,"",'Phytopl Count'!Y134*'Phytopl Count'!Y$13/'Phytopl Count'!Y$8)</f>
        <v/>
      </c>
      <c r="Z134" s="31" t="str">
        <f>IF('Phytopl Count'!Z134=0,"",'Phytopl Count'!Z134*'Phytopl Count'!Z$13/'Phytopl Count'!Z$8)</f>
        <v/>
      </c>
      <c r="AA134" s="31" t="str">
        <f>IF('Phytopl Count'!AA134=0,"",'Phytopl Count'!AA134*'Phytopl Count'!AA$13/'Phytopl Count'!AA$8)</f>
        <v/>
      </c>
      <c r="AB134" s="31" t="str">
        <f>IF('Phytopl Count'!AB134=0,"",'Phytopl Count'!AB134*'Phytopl Count'!AB$13/'Phytopl Count'!AB$8)</f>
        <v/>
      </c>
      <c r="AC134" s="31" t="str">
        <f>IF('Phytopl Count'!AC134=0,"",'Phytopl Count'!AC134*'Phytopl Count'!AC$13/'Phytopl Count'!AC$8)</f>
        <v/>
      </c>
      <c r="AD134" s="31" t="str">
        <f>IF('Phytopl Count'!AD134=0,"",'Phytopl Count'!AD134*'Phytopl Count'!AD$13/'Phytopl Count'!AD$8)</f>
        <v/>
      </c>
      <c r="AE134" s="31" t="str">
        <f>IF('Phytopl Count'!AE134=0,"",'Phytopl Count'!AE134*'Phytopl Count'!AE$13/'Phytopl Count'!AE$8)</f>
        <v/>
      </c>
      <c r="AF134" s="31" t="str">
        <f>IF('Phytopl Count'!AF134=0,"",'Phytopl Count'!AF134*'Phytopl Count'!AF$13/'Phytopl Count'!AF$8)</f>
        <v/>
      </c>
    </row>
    <row r="135" spans="1:32" ht="15" customHeight="1">
      <c r="D135" s="10" t="s">
        <v>5</v>
      </c>
      <c r="E135" s="12" t="s">
        <v>29</v>
      </c>
      <c r="F135" s="11"/>
      <c r="G135" s="31" t="str">
        <f>IF('Phytopl Count'!G135=0,"",'Phytopl Count'!G135*'Phytopl Count'!G$13/'Phytopl Count'!G$8)</f>
        <v/>
      </c>
      <c r="H135" s="31" t="str">
        <f>IF('Phytopl Count'!H135=0,"",'Phytopl Count'!H135*'Phytopl Count'!H$13/'Phytopl Count'!H$8)</f>
        <v/>
      </c>
      <c r="I135" s="31" t="str">
        <f>IF('Phytopl Count'!I135=0,"",'Phytopl Count'!I135*'Phytopl Count'!I$13/'Phytopl Count'!I$8)</f>
        <v/>
      </c>
      <c r="J135" s="31" t="str">
        <f>IF('Phytopl Count'!J135=0,"",'Phytopl Count'!J135*'Phytopl Count'!J$13/'Phytopl Count'!J$8)</f>
        <v/>
      </c>
      <c r="K135" s="31" t="str">
        <f>IF('Phytopl Count'!K135=0,"",'Phytopl Count'!K135*'Phytopl Count'!K$13/'Phytopl Count'!K$8)</f>
        <v/>
      </c>
      <c r="L135" s="31" t="str">
        <f>IF('Phytopl Count'!L135=0,"",'Phytopl Count'!L135*'Phytopl Count'!L$13/'Phytopl Count'!L$8)</f>
        <v/>
      </c>
      <c r="M135" s="31" t="str">
        <f>IF('Phytopl Count'!M135=0,"",'Phytopl Count'!M135*'Phytopl Count'!M$13/'Phytopl Count'!M$8)</f>
        <v/>
      </c>
      <c r="N135" s="31" t="str">
        <f>IF('Phytopl Count'!N135=0,"",'Phytopl Count'!N135*'Phytopl Count'!N$13/'Phytopl Count'!N$8)</f>
        <v/>
      </c>
      <c r="O135" s="31" t="str">
        <f>IF('Phytopl Count'!O135=0,"",'Phytopl Count'!O135*'Phytopl Count'!O$13/'Phytopl Count'!O$8)</f>
        <v/>
      </c>
      <c r="P135" s="31" t="str">
        <f>IF('Phytopl Count'!P135=0,"",'Phytopl Count'!P135*'Phytopl Count'!P$13/'Phytopl Count'!P$8)</f>
        <v/>
      </c>
      <c r="Q135" s="31" t="str">
        <f>IF('Phytopl Count'!Q135=0,"",'Phytopl Count'!Q135*'Phytopl Count'!Q$13/'Phytopl Count'!Q$8)</f>
        <v/>
      </c>
      <c r="R135" s="31" t="str">
        <f>IF('Phytopl Count'!R135=0,"",'Phytopl Count'!R135*'Phytopl Count'!R$13/'Phytopl Count'!R$8)</f>
        <v/>
      </c>
      <c r="S135" s="31" t="str">
        <f>IF('Phytopl Count'!S135=0,"",'Phytopl Count'!S135*'Phytopl Count'!S$13/'Phytopl Count'!S$8)</f>
        <v/>
      </c>
      <c r="T135" s="31" t="str">
        <f>IF('Phytopl Count'!T135=0,"",'Phytopl Count'!T135*'Phytopl Count'!T$13/'Phytopl Count'!T$8)</f>
        <v/>
      </c>
      <c r="U135" s="31" t="str">
        <f>IF('Phytopl Count'!U135=0,"",'Phytopl Count'!U135*'Phytopl Count'!U$13/'Phytopl Count'!U$8)</f>
        <v/>
      </c>
      <c r="V135" s="31" t="str">
        <f>IF('Phytopl Count'!V135=0,"",'Phytopl Count'!V135*'Phytopl Count'!V$13/'Phytopl Count'!V$8)</f>
        <v/>
      </c>
      <c r="W135" s="31" t="str">
        <f>IF('Phytopl Count'!W135=0,"",'Phytopl Count'!W135*'Phytopl Count'!W$13/'Phytopl Count'!W$8)</f>
        <v/>
      </c>
      <c r="X135" s="31" t="str">
        <f>IF('Phytopl Count'!X135=0,"",'Phytopl Count'!X135*'Phytopl Count'!X$13/'Phytopl Count'!X$8)</f>
        <v/>
      </c>
      <c r="Y135" s="31" t="str">
        <f>IF('Phytopl Count'!Y135=0,"",'Phytopl Count'!Y135*'Phytopl Count'!Y$13/'Phytopl Count'!Y$8)</f>
        <v/>
      </c>
      <c r="Z135" s="31" t="str">
        <f>IF('Phytopl Count'!Z135=0,"",'Phytopl Count'!Z135*'Phytopl Count'!Z$13/'Phytopl Count'!Z$8)</f>
        <v/>
      </c>
      <c r="AA135" s="31" t="str">
        <f>IF('Phytopl Count'!AA135=0,"",'Phytopl Count'!AA135*'Phytopl Count'!AA$13/'Phytopl Count'!AA$8)</f>
        <v/>
      </c>
      <c r="AB135" s="31" t="str">
        <f>IF('Phytopl Count'!AB135=0,"",'Phytopl Count'!AB135*'Phytopl Count'!AB$13/'Phytopl Count'!AB$8)</f>
        <v/>
      </c>
      <c r="AC135" s="31" t="str">
        <f>IF('Phytopl Count'!AC135=0,"",'Phytopl Count'!AC135*'Phytopl Count'!AC$13/'Phytopl Count'!AC$8)</f>
        <v/>
      </c>
      <c r="AD135" s="31" t="str">
        <f>IF('Phytopl Count'!AD135=0,"",'Phytopl Count'!AD135*'Phytopl Count'!AD$13/'Phytopl Count'!AD$8)</f>
        <v/>
      </c>
      <c r="AE135" s="31" t="str">
        <f>IF('Phytopl Count'!AE135=0,"",'Phytopl Count'!AE135*'Phytopl Count'!AE$13/'Phytopl Count'!AE$8)</f>
        <v/>
      </c>
      <c r="AF135" s="31" t="str">
        <f>IF('Phytopl Count'!AF135=0,"",'Phytopl Count'!AF135*'Phytopl Count'!AF$13/'Phytopl Count'!AF$8)</f>
        <v/>
      </c>
    </row>
    <row r="136" spans="1:32" ht="15" hidden="1" customHeight="1">
      <c r="F136" s="11" t="s">
        <v>30</v>
      </c>
      <c r="G136" s="31" t="str">
        <f>IF('Phytopl Count'!G136=0,"",'Phytopl Count'!G136*'Phytopl Count'!G$13/'Phytopl Count'!G$8)</f>
        <v/>
      </c>
      <c r="H136" s="31" t="str">
        <f>IF('Phytopl Count'!H136=0,"",'Phytopl Count'!H136*'Phytopl Count'!H$13/'Phytopl Count'!H$8)</f>
        <v/>
      </c>
      <c r="I136" s="31" t="str">
        <f>IF('Phytopl Count'!I136=0,"",'Phytopl Count'!I136*'Phytopl Count'!I$13/'Phytopl Count'!I$8)</f>
        <v/>
      </c>
      <c r="J136" s="31" t="str">
        <f>IF('Phytopl Count'!J136=0,"",'Phytopl Count'!J136*'Phytopl Count'!J$13/'Phytopl Count'!J$8)</f>
        <v/>
      </c>
      <c r="K136" s="31" t="str">
        <f>IF('Phytopl Count'!K136=0,"",'Phytopl Count'!K136*'Phytopl Count'!K$13/'Phytopl Count'!K$8)</f>
        <v/>
      </c>
      <c r="L136" s="31" t="str">
        <f>IF('Phytopl Count'!L136=0,"",'Phytopl Count'!L136*'Phytopl Count'!L$13/'Phytopl Count'!L$8)</f>
        <v/>
      </c>
      <c r="M136" s="31" t="str">
        <f>IF('Phytopl Count'!M136=0,"",'Phytopl Count'!M136*'Phytopl Count'!M$13/'Phytopl Count'!M$8)</f>
        <v/>
      </c>
      <c r="N136" s="31" t="str">
        <f>IF('Phytopl Count'!N136=0,"",'Phytopl Count'!N136*'Phytopl Count'!N$13/'Phytopl Count'!N$8)</f>
        <v/>
      </c>
      <c r="O136" s="31" t="str">
        <f>IF('Phytopl Count'!O136=0,"",'Phytopl Count'!O136*'Phytopl Count'!O$13/'Phytopl Count'!O$8)</f>
        <v/>
      </c>
      <c r="P136" s="31" t="str">
        <f>IF('Phytopl Count'!P136=0,"",'Phytopl Count'!P136*'Phytopl Count'!P$13/'Phytopl Count'!P$8)</f>
        <v/>
      </c>
      <c r="Q136" s="31" t="str">
        <f>IF('Phytopl Count'!Q136=0,"",'Phytopl Count'!Q136*'Phytopl Count'!Q$13/'Phytopl Count'!Q$8)</f>
        <v/>
      </c>
      <c r="R136" s="31" t="str">
        <f>IF('Phytopl Count'!R136=0,"",'Phytopl Count'!R136*'Phytopl Count'!R$13/'Phytopl Count'!R$8)</f>
        <v/>
      </c>
      <c r="S136" s="31" t="str">
        <f>IF('Phytopl Count'!S136=0,"",'Phytopl Count'!S136*'Phytopl Count'!S$13/'Phytopl Count'!S$8)</f>
        <v/>
      </c>
      <c r="T136" s="31" t="str">
        <f>IF('Phytopl Count'!T136=0,"",'Phytopl Count'!T136*'Phytopl Count'!T$13/'Phytopl Count'!T$8)</f>
        <v/>
      </c>
      <c r="U136" s="31" t="str">
        <f>IF('Phytopl Count'!U136=0,"",'Phytopl Count'!U136*'Phytopl Count'!U$13/'Phytopl Count'!U$8)</f>
        <v/>
      </c>
      <c r="V136" s="31" t="str">
        <f>IF('Phytopl Count'!V136=0,"",'Phytopl Count'!V136*'Phytopl Count'!V$13/'Phytopl Count'!V$8)</f>
        <v/>
      </c>
      <c r="W136" s="31" t="str">
        <f>IF('Phytopl Count'!W136=0,"",'Phytopl Count'!W136*'Phytopl Count'!W$13/'Phytopl Count'!W$8)</f>
        <v/>
      </c>
      <c r="X136" s="31" t="str">
        <f>IF('Phytopl Count'!X136=0,"",'Phytopl Count'!X136*'Phytopl Count'!X$13/'Phytopl Count'!X$8)</f>
        <v/>
      </c>
      <c r="Y136" s="31" t="str">
        <f>IF('Phytopl Count'!Y136=0,"",'Phytopl Count'!Y136*'Phytopl Count'!Y$13/'Phytopl Count'!Y$8)</f>
        <v/>
      </c>
      <c r="Z136" s="31" t="str">
        <f>IF('Phytopl Count'!Z136=0,"",'Phytopl Count'!Z136*'Phytopl Count'!Z$13/'Phytopl Count'!Z$8)</f>
        <v/>
      </c>
      <c r="AA136" s="31" t="str">
        <f>IF('Phytopl Count'!AA136=0,"",'Phytopl Count'!AA136*'Phytopl Count'!AA$13/'Phytopl Count'!AA$8)</f>
        <v/>
      </c>
      <c r="AB136" s="31" t="str">
        <f>IF('Phytopl Count'!AB136=0,"",'Phytopl Count'!AB136*'Phytopl Count'!AB$13/'Phytopl Count'!AB$8)</f>
        <v/>
      </c>
      <c r="AC136" s="31" t="str">
        <f>IF('Phytopl Count'!AC136=0,"",'Phytopl Count'!AC136*'Phytopl Count'!AC$13/'Phytopl Count'!AC$8)</f>
        <v/>
      </c>
      <c r="AD136" s="31" t="str">
        <f>IF('Phytopl Count'!AD136=0,"",'Phytopl Count'!AD136*'Phytopl Count'!AD$13/'Phytopl Count'!AD$8)</f>
        <v/>
      </c>
      <c r="AE136" s="31" t="str">
        <f>IF('Phytopl Count'!AE136=0,"",'Phytopl Count'!AE136*'Phytopl Count'!AE$13/'Phytopl Count'!AE$8)</f>
        <v/>
      </c>
      <c r="AF136" s="31" t="str">
        <f>IF('Phytopl Count'!AF136=0,"",'Phytopl Count'!AF136*'Phytopl Count'!AF$13/'Phytopl Count'!AF$8)</f>
        <v/>
      </c>
    </row>
    <row r="137" spans="1:32" ht="15" customHeight="1">
      <c r="E137" s="10" t="s">
        <v>6</v>
      </c>
      <c r="F137" s="11" t="s">
        <v>112</v>
      </c>
      <c r="G137" s="31">
        <f>IF('Phytopl Count'!G137=0,"",'Phytopl Count'!G137*'Phytopl Count'!G$13/'Phytopl Count'!G$8)</f>
        <v>8.5416489374266685E-2</v>
      </c>
      <c r="H137" s="31" t="str">
        <f>IF('Phytopl Count'!H137=0,"",'Phytopl Count'!H137*'Phytopl Count'!H$13/'Phytopl Count'!H$8)</f>
        <v/>
      </c>
      <c r="I137" s="31" t="str">
        <f>IF('Phytopl Count'!I137=0,"",'Phytopl Count'!I137*'Phytopl Count'!I$13/'Phytopl Count'!I$8)</f>
        <v/>
      </c>
      <c r="J137" s="31">
        <f>IF('Phytopl Count'!J137=0,"",'Phytopl Count'!J137*'Phytopl Count'!J$13/'Phytopl Count'!J$8)</f>
        <v>4.0038979394187504E-2</v>
      </c>
      <c r="K137" s="31">
        <f>IF('Phytopl Count'!K137=0,"",'Phytopl Count'!K137*'Phytopl Count'!K$13/'Phytopl Count'!K$8)</f>
        <v>0.16015591757675002</v>
      </c>
      <c r="L137" s="31" t="str">
        <f>IF('Phytopl Count'!L137=0,"",'Phytopl Count'!L137*'Phytopl Count'!L$13/'Phytopl Count'!L$8)</f>
        <v/>
      </c>
      <c r="M137" s="31">
        <f>IF('Phytopl Count'!M137=0,"",'Phytopl Count'!M137*'Phytopl Count'!M$13/'Phytopl Count'!M$8)</f>
        <v>0.12011693818256251</v>
      </c>
      <c r="N137" s="31">
        <f>IF('Phytopl Count'!N137=0,"",'Phytopl Count'!N137*'Phytopl Count'!N$13/'Phytopl Count'!N$8)</f>
        <v>0.14414032581907502</v>
      </c>
      <c r="O137" s="31">
        <f>IF('Phytopl Count'!O137=0,"",'Phytopl Count'!O137*'Phytopl Count'!O$13/'Phytopl Count'!O$8)</f>
        <v>9.6093550546050024E-2</v>
      </c>
      <c r="P137" s="31" t="str">
        <f>IF('Phytopl Count'!P137=0,"",'Phytopl Count'!P137*'Phytopl Count'!P$13/'Phytopl Count'!P$8)</f>
        <v/>
      </c>
      <c r="Q137" s="31">
        <f>IF('Phytopl Count'!Q137=0,"",'Phytopl Count'!Q137*'Phytopl Count'!Q$13/'Phytopl Count'!Q$8)</f>
        <v>8.0077958788375009E-2</v>
      </c>
      <c r="R137" s="31">
        <f>IF('Phytopl Count'!R137=0,"",'Phytopl Count'!R137*'Phytopl Count'!R$13/'Phytopl Count'!R$8)</f>
        <v>3.2031183515350004E-2</v>
      </c>
      <c r="S137" s="31" t="str">
        <f>IF('Phytopl Count'!S137=0,"",'Phytopl Count'!S137*'Phytopl Count'!S$13/'Phytopl Count'!S$8)</f>
        <v/>
      </c>
      <c r="T137" s="31">
        <f>IF('Phytopl Count'!T137=0,"",'Phytopl Count'!T137*'Phytopl Count'!T$13/'Phytopl Count'!T$8)</f>
        <v>0.14414032581907502</v>
      </c>
      <c r="U137" s="31">
        <f>IF('Phytopl Count'!U137=0,"",'Phytopl Count'!U137*'Phytopl Count'!U$13/'Phytopl Count'!U$8)</f>
        <v>0.28828065163815003</v>
      </c>
      <c r="V137" s="31">
        <f>IF('Phytopl Count'!V137=0,"",'Phytopl Count'!V137*'Phytopl Count'!V$13/'Phytopl Count'!V$8)</f>
        <v>8.0077958788375009E-2</v>
      </c>
      <c r="W137" s="31">
        <f>IF('Phytopl Count'!W137=0,"",'Phytopl Count'!W137*'Phytopl Count'!W$13/'Phytopl Count'!W$8)</f>
        <v>4.8046775273025012E-2</v>
      </c>
      <c r="X137" s="31">
        <f>IF('Phytopl Count'!X137=0,"",'Phytopl Count'!X137*'Phytopl Count'!X$13/'Phytopl Count'!X$8)</f>
        <v>0.19218710109210005</v>
      </c>
      <c r="Y137" s="31">
        <f>IF('Phytopl Count'!Y137=0,"",'Phytopl Count'!Y137*'Phytopl Count'!Y$13/'Phytopl Count'!Y$8)</f>
        <v>2.4023387636512506E-2</v>
      </c>
      <c r="Z137" s="31" t="str">
        <f>IF('Phytopl Count'!Z137=0,"",'Phytopl Count'!Z137*'Phytopl Count'!Z$13/'Phytopl Count'!Z$8)</f>
        <v/>
      </c>
      <c r="AA137" s="31">
        <f>IF('Phytopl Count'!AA137=0,"",'Phytopl Count'!AA137*'Phytopl Count'!AA$13/'Phytopl Count'!AA$8)</f>
        <v>0.28828065163815003</v>
      </c>
      <c r="AB137" s="31">
        <f>IF('Phytopl Count'!AB137=0,"",'Phytopl Count'!AB137*'Phytopl Count'!AB$13/'Phytopl Count'!AB$8)</f>
        <v>0.16015591757675002</v>
      </c>
      <c r="AC137" s="31">
        <f>IF('Phytopl Count'!AC137=0,"",'Phytopl Count'!AC137*'Phytopl Count'!AC$13/'Phytopl Count'!AC$8)</f>
        <v>3.2031183515350004E-2</v>
      </c>
      <c r="AD137" s="31">
        <f>IF('Phytopl Count'!AD137=0,"",'Phytopl Count'!AD137*'Phytopl Count'!AD$13/'Phytopl Count'!AD$8)</f>
        <v>0.28828065163815003</v>
      </c>
      <c r="AE137" s="31">
        <f>IF('Phytopl Count'!AE137=0,"",'Phytopl Count'!AE137*'Phytopl Count'!AE$13/'Phytopl Count'!AE$8)</f>
        <v>0.12011693818256253</v>
      </c>
      <c r="AF137" s="31">
        <f>IF('Phytopl Count'!AF137=0,"",'Phytopl Count'!AF137*'Phytopl Count'!AF$13/'Phytopl Count'!AF$8)</f>
        <v>0.8968731384298001</v>
      </c>
    </row>
    <row r="138" spans="1:32" ht="15" hidden="1" customHeight="1">
      <c r="E138" s="10"/>
      <c r="F138" s="11" t="s">
        <v>242</v>
      </c>
      <c r="G138" s="31" t="str">
        <f>IF('Phytopl Count'!G138=0,"",'Phytopl Count'!G138*'Phytopl Count'!G$13/'Phytopl Count'!G$8)</f>
        <v/>
      </c>
      <c r="H138" s="31" t="str">
        <f>IF('Phytopl Count'!H138=0,"",'Phytopl Count'!H138*'Phytopl Count'!H$13/'Phytopl Count'!H$8)</f>
        <v/>
      </c>
      <c r="I138" s="31" t="str">
        <f>IF('Phytopl Count'!I138=0,"",'Phytopl Count'!I138*'Phytopl Count'!I$13/'Phytopl Count'!I$8)</f>
        <v/>
      </c>
      <c r="J138" s="31" t="str">
        <f>IF('Phytopl Count'!J138=0,"",'Phytopl Count'!J138*'Phytopl Count'!J$13/'Phytopl Count'!J$8)</f>
        <v/>
      </c>
      <c r="K138" s="31" t="str">
        <f>IF('Phytopl Count'!K138=0,"",'Phytopl Count'!K138*'Phytopl Count'!K$13/'Phytopl Count'!K$8)</f>
        <v/>
      </c>
      <c r="L138" s="31" t="str">
        <f>IF('Phytopl Count'!L138=0,"",'Phytopl Count'!L138*'Phytopl Count'!L$13/'Phytopl Count'!L$8)</f>
        <v/>
      </c>
      <c r="M138" s="31" t="str">
        <f>IF('Phytopl Count'!M138=0,"",'Phytopl Count'!M138*'Phytopl Count'!M$13/'Phytopl Count'!M$8)</f>
        <v/>
      </c>
      <c r="N138" s="31" t="str">
        <f>IF('Phytopl Count'!N138=0,"",'Phytopl Count'!N138*'Phytopl Count'!N$13/'Phytopl Count'!N$8)</f>
        <v/>
      </c>
      <c r="O138" s="31" t="str">
        <f>IF('Phytopl Count'!O138=0,"",'Phytopl Count'!O138*'Phytopl Count'!O$13/'Phytopl Count'!O$8)</f>
        <v/>
      </c>
      <c r="P138" s="31" t="str">
        <f>IF('Phytopl Count'!P138=0,"",'Phytopl Count'!P138*'Phytopl Count'!P$13/'Phytopl Count'!P$8)</f>
        <v/>
      </c>
      <c r="Q138" s="31" t="str">
        <f>IF('Phytopl Count'!Q138=0,"",'Phytopl Count'!Q138*'Phytopl Count'!Q$13/'Phytopl Count'!Q$8)</f>
        <v/>
      </c>
      <c r="R138" s="31" t="str">
        <f>IF('Phytopl Count'!R138=0,"",'Phytopl Count'!R138*'Phytopl Count'!R$13/'Phytopl Count'!R$8)</f>
        <v/>
      </c>
      <c r="S138" s="31" t="str">
        <f>IF('Phytopl Count'!S138=0,"",'Phytopl Count'!S138*'Phytopl Count'!S$13/'Phytopl Count'!S$8)</f>
        <v/>
      </c>
      <c r="T138" s="31" t="str">
        <f>IF('Phytopl Count'!T138=0,"",'Phytopl Count'!T138*'Phytopl Count'!T$13/'Phytopl Count'!T$8)</f>
        <v/>
      </c>
      <c r="U138" s="31" t="str">
        <f>IF('Phytopl Count'!U138=0,"",'Phytopl Count'!U138*'Phytopl Count'!U$13/'Phytopl Count'!U$8)</f>
        <v/>
      </c>
      <c r="V138" s="31" t="str">
        <f>IF('Phytopl Count'!V138=0,"",'Phytopl Count'!V138*'Phytopl Count'!V$13/'Phytopl Count'!V$8)</f>
        <v/>
      </c>
      <c r="W138" s="31" t="str">
        <f>IF('Phytopl Count'!W138=0,"",'Phytopl Count'!W138*'Phytopl Count'!W$13/'Phytopl Count'!W$8)</f>
        <v/>
      </c>
      <c r="X138" s="31" t="str">
        <f>IF('Phytopl Count'!X138=0,"",'Phytopl Count'!X138*'Phytopl Count'!X$13/'Phytopl Count'!X$8)</f>
        <v/>
      </c>
      <c r="Y138" s="31" t="str">
        <f>IF('Phytopl Count'!Y138=0,"",'Phytopl Count'!Y138*'Phytopl Count'!Y$13/'Phytopl Count'!Y$8)</f>
        <v/>
      </c>
      <c r="Z138" s="31" t="str">
        <f>IF('Phytopl Count'!Z138=0,"",'Phytopl Count'!Z138*'Phytopl Count'!Z$13/'Phytopl Count'!Z$8)</f>
        <v/>
      </c>
      <c r="AA138" s="31" t="str">
        <f>IF('Phytopl Count'!AA138=0,"",'Phytopl Count'!AA138*'Phytopl Count'!AA$13/'Phytopl Count'!AA$8)</f>
        <v/>
      </c>
      <c r="AB138" s="31" t="str">
        <f>IF('Phytopl Count'!AB138=0,"",'Phytopl Count'!AB138*'Phytopl Count'!AB$13/'Phytopl Count'!AB$8)</f>
        <v/>
      </c>
      <c r="AC138" s="31" t="str">
        <f>IF('Phytopl Count'!AC138=0,"",'Phytopl Count'!AC138*'Phytopl Count'!AC$13/'Phytopl Count'!AC$8)</f>
        <v/>
      </c>
      <c r="AD138" s="31" t="str">
        <f>IF('Phytopl Count'!AD138=0,"",'Phytopl Count'!AD138*'Phytopl Count'!AD$13/'Phytopl Count'!AD$8)</f>
        <v/>
      </c>
      <c r="AE138" s="31" t="str">
        <f>IF('Phytopl Count'!AE138=0,"",'Phytopl Count'!AE138*'Phytopl Count'!AE$13/'Phytopl Count'!AE$8)</f>
        <v/>
      </c>
      <c r="AF138" s="31" t="str">
        <f>IF('Phytopl Count'!AF138=0,"",'Phytopl Count'!AF138*'Phytopl Count'!AF$13/'Phytopl Count'!AF$8)</f>
        <v/>
      </c>
    </row>
    <row r="139" spans="1:32" hidden="1">
      <c r="A139" s="4"/>
      <c r="B139" s="4"/>
      <c r="C139" s="16" t="s">
        <v>73</v>
      </c>
      <c r="D139" s="4" t="s">
        <v>103</v>
      </c>
      <c r="E139" s="28"/>
      <c r="F139" s="11"/>
      <c r="G139" s="31" t="str">
        <f>IF('Phytopl Count'!G139=0,"",'Phytopl Count'!G139*'Phytopl Count'!G$13/'Phytopl Count'!G$8)</f>
        <v/>
      </c>
      <c r="H139" s="31" t="str">
        <f>IF('Phytopl Count'!H139=0,"",'Phytopl Count'!H139*'Phytopl Count'!H$13/'Phytopl Count'!H$8)</f>
        <v/>
      </c>
      <c r="I139" s="31" t="str">
        <f>IF('Phytopl Count'!I139=0,"",'Phytopl Count'!I139*'Phytopl Count'!I$13/'Phytopl Count'!I$8)</f>
        <v/>
      </c>
      <c r="J139" s="31" t="str">
        <f>IF('Phytopl Count'!J139=0,"",'Phytopl Count'!J139*'Phytopl Count'!J$13/'Phytopl Count'!J$8)</f>
        <v/>
      </c>
      <c r="K139" s="31" t="str">
        <f>IF('Phytopl Count'!K139=0,"",'Phytopl Count'!K139*'Phytopl Count'!K$13/'Phytopl Count'!K$8)</f>
        <v/>
      </c>
      <c r="L139" s="31" t="str">
        <f>IF('Phytopl Count'!L139=0,"",'Phytopl Count'!L139*'Phytopl Count'!L$13/'Phytopl Count'!L$8)</f>
        <v/>
      </c>
      <c r="M139" s="31" t="str">
        <f>IF('Phytopl Count'!M139=0,"",'Phytopl Count'!M139*'Phytopl Count'!M$13/'Phytopl Count'!M$8)</f>
        <v/>
      </c>
      <c r="N139" s="31" t="str">
        <f>IF('Phytopl Count'!N139=0,"",'Phytopl Count'!N139*'Phytopl Count'!N$13/'Phytopl Count'!N$8)</f>
        <v/>
      </c>
      <c r="O139" s="31" t="str">
        <f>IF('Phytopl Count'!O139=0,"",'Phytopl Count'!O139*'Phytopl Count'!O$13/'Phytopl Count'!O$8)</f>
        <v/>
      </c>
      <c r="P139" s="31" t="str">
        <f>IF('Phytopl Count'!P139=0,"",'Phytopl Count'!P139*'Phytopl Count'!P$13/'Phytopl Count'!P$8)</f>
        <v/>
      </c>
      <c r="Q139" s="31" t="str">
        <f>IF('Phytopl Count'!Q139=0,"",'Phytopl Count'!Q139*'Phytopl Count'!Q$13/'Phytopl Count'!Q$8)</f>
        <v/>
      </c>
      <c r="R139" s="31" t="str">
        <f>IF('Phytopl Count'!R139=0,"",'Phytopl Count'!R139*'Phytopl Count'!R$13/'Phytopl Count'!R$8)</f>
        <v/>
      </c>
      <c r="S139" s="31" t="str">
        <f>IF('Phytopl Count'!S139=0,"",'Phytopl Count'!S139*'Phytopl Count'!S$13/'Phytopl Count'!S$8)</f>
        <v/>
      </c>
      <c r="T139" s="31" t="str">
        <f>IF('Phytopl Count'!T139=0,"",'Phytopl Count'!T139*'Phytopl Count'!T$13/'Phytopl Count'!T$8)</f>
        <v/>
      </c>
      <c r="U139" s="31" t="str">
        <f>IF('Phytopl Count'!U139=0,"",'Phytopl Count'!U139*'Phytopl Count'!U$13/'Phytopl Count'!U$8)</f>
        <v/>
      </c>
      <c r="V139" s="31" t="str">
        <f>IF('Phytopl Count'!V139=0,"",'Phytopl Count'!V139*'Phytopl Count'!V$13/'Phytopl Count'!V$8)</f>
        <v/>
      </c>
      <c r="W139" s="31" t="str">
        <f>IF('Phytopl Count'!W139=0,"",'Phytopl Count'!W139*'Phytopl Count'!W$13/'Phytopl Count'!W$8)</f>
        <v/>
      </c>
      <c r="X139" s="31" t="str">
        <f>IF('Phytopl Count'!X139=0,"",'Phytopl Count'!X139*'Phytopl Count'!X$13/'Phytopl Count'!X$8)</f>
        <v/>
      </c>
      <c r="Y139" s="31" t="str">
        <f>IF('Phytopl Count'!Y139=0,"",'Phytopl Count'!Y139*'Phytopl Count'!Y$13/'Phytopl Count'!Y$8)</f>
        <v/>
      </c>
      <c r="Z139" s="31" t="str">
        <f>IF('Phytopl Count'!Z139=0,"",'Phytopl Count'!Z139*'Phytopl Count'!Z$13/'Phytopl Count'!Z$8)</f>
        <v/>
      </c>
      <c r="AA139" s="31" t="str">
        <f>IF('Phytopl Count'!AA139=0,"",'Phytopl Count'!AA139*'Phytopl Count'!AA$13/'Phytopl Count'!AA$8)</f>
        <v/>
      </c>
      <c r="AB139" s="31" t="str">
        <f>IF('Phytopl Count'!AB139=0,"",'Phytopl Count'!AB139*'Phytopl Count'!AB$13/'Phytopl Count'!AB$8)</f>
        <v/>
      </c>
      <c r="AC139" s="31" t="str">
        <f>IF('Phytopl Count'!AC139=0,"",'Phytopl Count'!AC139*'Phytopl Count'!AC$13/'Phytopl Count'!AC$8)</f>
        <v/>
      </c>
      <c r="AD139" s="31" t="str">
        <f>IF('Phytopl Count'!AD139=0,"",'Phytopl Count'!AD139*'Phytopl Count'!AD$13/'Phytopl Count'!AD$8)</f>
        <v/>
      </c>
      <c r="AE139" s="31" t="str">
        <f>IF('Phytopl Count'!AE139=0,"",'Phytopl Count'!AE139*'Phytopl Count'!AE$13/'Phytopl Count'!AE$8)</f>
        <v/>
      </c>
      <c r="AF139" s="31" t="str">
        <f>IF('Phytopl Count'!AF139=0,"",'Phytopl Count'!AF139*'Phytopl Count'!AF$13/'Phytopl Count'!AF$8)</f>
        <v/>
      </c>
    </row>
    <row r="140" spans="1:32" hidden="1">
      <c r="A140" s="4"/>
      <c r="D140" s="10" t="s">
        <v>5</v>
      </c>
      <c r="E140" s="115" t="s">
        <v>104</v>
      </c>
      <c r="F140" s="11"/>
      <c r="G140" s="31" t="str">
        <f>IF('Phytopl Count'!G140=0,"",'Phytopl Count'!G140*'Phytopl Count'!G$13/'Phytopl Count'!G$8)</f>
        <v/>
      </c>
      <c r="H140" s="31" t="str">
        <f>IF('Phytopl Count'!H140=0,"",'Phytopl Count'!H140*'Phytopl Count'!H$13/'Phytopl Count'!H$8)</f>
        <v/>
      </c>
      <c r="I140" s="31" t="str">
        <f>IF('Phytopl Count'!I140=0,"",'Phytopl Count'!I140*'Phytopl Count'!I$13/'Phytopl Count'!I$8)</f>
        <v/>
      </c>
      <c r="J140" s="31" t="str">
        <f>IF('Phytopl Count'!J140=0,"",'Phytopl Count'!J140*'Phytopl Count'!J$13/'Phytopl Count'!J$8)</f>
        <v/>
      </c>
      <c r="K140" s="31" t="str">
        <f>IF('Phytopl Count'!K140=0,"",'Phytopl Count'!K140*'Phytopl Count'!K$13/'Phytopl Count'!K$8)</f>
        <v/>
      </c>
      <c r="L140" s="31" t="str">
        <f>IF('Phytopl Count'!L140=0,"",'Phytopl Count'!L140*'Phytopl Count'!L$13/'Phytopl Count'!L$8)</f>
        <v/>
      </c>
      <c r="M140" s="31" t="str">
        <f>IF('Phytopl Count'!M140=0,"",'Phytopl Count'!M140*'Phytopl Count'!M$13/'Phytopl Count'!M$8)</f>
        <v/>
      </c>
      <c r="N140" s="31" t="str">
        <f>IF('Phytopl Count'!N140=0,"",'Phytopl Count'!N140*'Phytopl Count'!N$13/'Phytopl Count'!N$8)</f>
        <v/>
      </c>
      <c r="O140" s="31" t="str">
        <f>IF('Phytopl Count'!O140=0,"",'Phytopl Count'!O140*'Phytopl Count'!O$13/'Phytopl Count'!O$8)</f>
        <v/>
      </c>
      <c r="P140" s="31" t="str">
        <f>IF('Phytopl Count'!P140=0,"",'Phytopl Count'!P140*'Phytopl Count'!P$13/'Phytopl Count'!P$8)</f>
        <v/>
      </c>
      <c r="Q140" s="31" t="str">
        <f>IF('Phytopl Count'!Q140=0,"",'Phytopl Count'!Q140*'Phytopl Count'!Q$13/'Phytopl Count'!Q$8)</f>
        <v/>
      </c>
      <c r="R140" s="31" t="str">
        <f>IF('Phytopl Count'!R140=0,"",'Phytopl Count'!R140*'Phytopl Count'!R$13/'Phytopl Count'!R$8)</f>
        <v/>
      </c>
      <c r="S140" s="31" t="str">
        <f>IF('Phytopl Count'!S140=0,"",'Phytopl Count'!S140*'Phytopl Count'!S$13/'Phytopl Count'!S$8)</f>
        <v/>
      </c>
      <c r="T140" s="31" t="str">
        <f>IF('Phytopl Count'!T140=0,"",'Phytopl Count'!T140*'Phytopl Count'!T$13/'Phytopl Count'!T$8)</f>
        <v/>
      </c>
      <c r="U140" s="31" t="str">
        <f>IF('Phytopl Count'!U140=0,"",'Phytopl Count'!U140*'Phytopl Count'!U$13/'Phytopl Count'!U$8)</f>
        <v/>
      </c>
      <c r="V140" s="31" t="str">
        <f>IF('Phytopl Count'!V140=0,"",'Phytopl Count'!V140*'Phytopl Count'!V$13/'Phytopl Count'!V$8)</f>
        <v/>
      </c>
      <c r="W140" s="31" t="str">
        <f>IF('Phytopl Count'!W140=0,"",'Phytopl Count'!W140*'Phytopl Count'!W$13/'Phytopl Count'!W$8)</f>
        <v/>
      </c>
      <c r="X140" s="31" t="str">
        <f>IF('Phytopl Count'!X140=0,"",'Phytopl Count'!X140*'Phytopl Count'!X$13/'Phytopl Count'!X$8)</f>
        <v/>
      </c>
      <c r="Y140" s="31" t="str">
        <f>IF('Phytopl Count'!Y140=0,"",'Phytopl Count'!Y140*'Phytopl Count'!Y$13/'Phytopl Count'!Y$8)</f>
        <v/>
      </c>
      <c r="Z140" s="31" t="str">
        <f>IF('Phytopl Count'!Z140=0,"",'Phytopl Count'!Z140*'Phytopl Count'!Z$13/'Phytopl Count'!Z$8)</f>
        <v/>
      </c>
      <c r="AA140" s="31" t="str">
        <f>IF('Phytopl Count'!AA140=0,"",'Phytopl Count'!AA140*'Phytopl Count'!AA$13/'Phytopl Count'!AA$8)</f>
        <v/>
      </c>
      <c r="AB140" s="31" t="str">
        <f>IF('Phytopl Count'!AB140=0,"",'Phytopl Count'!AB140*'Phytopl Count'!AB$13/'Phytopl Count'!AB$8)</f>
        <v/>
      </c>
      <c r="AC140" s="31" t="str">
        <f>IF('Phytopl Count'!AC140=0,"",'Phytopl Count'!AC140*'Phytopl Count'!AC$13/'Phytopl Count'!AC$8)</f>
        <v/>
      </c>
      <c r="AD140" s="31" t="str">
        <f>IF('Phytopl Count'!AD140=0,"",'Phytopl Count'!AD140*'Phytopl Count'!AD$13/'Phytopl Count'!AD$8)</f>
        <v/>
      </c>
      <c r="AE140" s="31" t="str">
        <f>IF('Phytopl Count'!AE140=0,"",'Phytopl Count'!AE140*'Phytopl Count'!AE$13/'Phytopl Count'!AE$8)</f>
        <v/>
      </c>
      <c r="AF140" s="31" t="str">
        <f>IF('Phytopl Count'!AF140=0,"",'Phytopl Count'!AF140*'Phytopl Count'!AF$13/'Phytopl Count'!AF$8)</f>
        <v/>
      </c>
    </row>
    <row r="141" spans="1:32" hidden="1">
      <c r="E141" s="10" t="s">
        <v>6</v>
      </c>
      <c r="F141" s="11" t="s">
        <v>105</v>
      </c>
      <c r="G141" s="31" t="str">
        <f>IF('Phytopl Count'!G141=0,"",'Phytopl Count'!G141*'Phytopl Count'!G$13/'Phytopl Count'!G$8)</f>
        <v/>
      </c>
      <c r="H141" s="31" t="str">
        <f>IF('Phytopl Count'!H141=0,"",'Phytopl Count'!H141*'Phytopl Count'!H$13/'Phytopl Count'!H$8)</f>
        <v/>
      </c>
      <c r="I141" s="31" t="str">
        <f>IF('Phytopl Count'!I141=0,"",'Phytopl Count'!I141*'Phytopl Count'!I$13/'Phytopl Count'!I$8)</f>
        <v/>
      </c>
      <c r="J141" s="31" t="str">
        <f>IF('Phytopl Count'!J141=0,"",'Phytopl Count'!J141*'Phytopl Count'!J$13/'Phytopl Count'!J$8)</f>
        <v/>
      </c>
      <c r="K141" s="31" t="str">
        <f>IF('Phytopl Count'!K141=0,"",'Phytopl Count'!K141*'Phytopl Count'!K$13/'Phytopl Count'!K$8)</f>
        <v/>
      </c>
      <c r="L141" s="31" t="str">
        <f>IF('Phytopl Count'!L141=0,"",'Phytopl Count'!L141*'Phytopl Count'!L$13/'Phytopl Count'!L$8)</f>
        <v/>
      </c>
      <c r="M141" s="31" t="str">
        <f>IF('Phytopl Count'!M141=0,"",'Phytopl Count'!M141*'Phytopl Count'!M$13/'Phytopl Count'!M$8)</f>
        <v/>
      </c>
      <c r="N141" s="31" t="str">
        <f>IF('Phytopl Count'!N141=0,"",'Phytopl Count'!N141*'Phytopl Count'!N$13/'Phytopl Count'!N$8)</f>
        <v/>
      </c>
      <c r="O141" s="31" t="str">
        <f>IF('Phytopl Count'!O141=0,"",'Phytopl Count'!O141*'Phytopl Count'!O$13/'Phytopl Count'!O$8)</f>
        <v/>
      </c>
      <c r="P141" s="31" t="str">
        <f>IF('Phytopl Count'!P141=0,"",'Phytopl Count'!P141*'Phytopl Count'!P$13/'Phytopl Count'!P$8)</f>
        <v/>
      </c>
      <c r="Q141" s="31" t="str">
        <f>IF('Phytopl Count'!Q141=0,"",'Phytopl Count'!Q141*'Phytopl Count'!Q$13/'Phytopl Count'!Q$8)</f>
        <v/>
      </c>
      <c r="R141" s="31" t="str">
        <f>IF('Phytopl Count'!R141=0,"",'Phytopl Count'!R141*'Phytopl Count'!R$13/'Phytopl Count'!R$8)</f>
        <v/>
      </c>
      <c r="S141" s="31" t="str">
        <f>IF('Phytopl Count'!S141=0,"",'Phytopl Count'!S141*'Phytopl Count'!S$13/'Phytopl Count'!S$8)</f>
        <v/>
      </c>
      <c r="T141" s="31" t="str">
        <f>IF('Phytopl Count'!T141=0,"",'Phytopl Count'!T141*'Phytopl Count'!T$13/'Phytopl Count'!T$8)</f>
        <v/>
      </c>
      <c r="U141" s="31" t="str">
        <f>IF('Phytopl Count'!U141=0,"",'Phytopl Count'!U141*'Phytopl Count'!U$13/'Phytopl Count'!U$8)</f>
        <v/>
      </c>
      <c r="V141" s="31" t="str">
        <f>IF('Phytopl Count'!V141=0,"",'Phytopl Count'!V141*'Phytopl Count'!V$13/'Phytopl Count'!V$8)</f>
        <v/>
      </c>
      <c r="W141" s="31" t="str">
        <f>IF('Phytopl Count'!W141=0,"",'Phytopl Count'!W141*'Phytopl Count'!W$13/'Phytopl Count'!W$8)</f>
        <v/>
      </c>
      <c r="X141" s="31" t="str">
        <f>IF('Phytopl Count'!X141=0,"",'Phytopl Count'!X141*'Phytopl Count'!X$13/'Phytopl Count'!X$8)</f>
        <v/>
      </c>
      <c r="Y141" s="31" t="str">
        <f>IF('Phytopl Count'!Y141=0,"",'Phytopl Count'!Y141*'Phytopl Count'!Y$13/'Phytopl Count'!Y$8)</f>
        <v/>
      </c>
      <c r="Z141" s="31" t="str">
        <f>IF('Phytopl Count'!Z141=0,"",'Phytopl Count'!Z141*'Phytopl Count'!Z$13/'Phytopl Count'!Z$8)</f>
        <v/>
      </c>
      <c r="AA141" s="31" t="str">
        <f>IF('Phytopl Count'!AA141=0,"",'Phytopl Count'!AA141*'Phytopl Count'!AA$13/'Phytopl Count'!AA$8)</f>
        <v/>
      </c>
      <c r="AB141" s="31" t="str">
        <f>IF('Phytopl Count'!AB141=0,"",'Phytopl Count'!AB141*'Phytopl Count'!AB$13/'Phytopl Count'!AB$8)</f>
        <v/>
      </c>
      <c r="AC141" s="31" t="str">
        <f>IF('Phytopl Count'!AC141=0,"",'Phytopl Count'!AC141*'Phytopl Count'!AC$13/'Phytopl Count'!AC$8)</f>
        <v/>
      </c>
      <c r="AD141" s="31" t="str">
        <f>IF('Phytopl Count'!AD141=0,"",'Phytopl Count'!AD141*'Phytopl Count'!AD$13/'Phytopl Count'!AD$8)</f>
        <v/>
      </c>
      <c r="AE141" s="31" t="str">
        <f>IF('Phytopl Count'!AE141=0,"",'Phytopl Count'!AE141*'Phytopl Count'!AE$13/'Phytopl Count'!AE$8)</f>
        <v/>
      </c>
      <c r="AF141" s="31" t="str">
        <f>IF('Phytopl Count'!AF141=0,"",'Phytopl Count'!AF141*'Phytopl Count'!AF$13/'Phytopl Count'!AF$8)</f>
        <v/>
      </c>
    </row>
    <row r="142" spans="1:32" ht="15" customHeight="1">
      <c r="A142" s="4"/>
      <c r="B142" s="4"/>
      <c r="C142" s="16" t="s">
        <v>73</v>
      </c>
      <c r="D142" s="4" t="s">
        <v>84</v>
      </c>
      <c r="E142" s="28"/>
      <c r="F142" s="11"/>
      <c r="G142" s="31" t="str">
        <f>IF('Phytopl Count'!G142=0,"",'Phytopl Count'!G142*'Phytopl Count'!G$13/'Phytopl Count'!G$8)</f>
        <v/>
      </c>
      <c r="H142" s="31" t="str">
        <f>IF('Phytopl Count'!H142=0,"",'Phytopl Count'!H142*'Phytopl Count'!H$13/'Phytopl Count'!H$8)</f>
        <v/>
      </c>
      <c r="I142" s="31" t="str">
        <f>IF('Phytopl Count'!I142=0,"",'Phytopl Count'!I142*'Phytopl Count'!I$13/'Phytopl Count'!I$8)</f>
        <v/>
      </c>
      <c r="J142" s="31" t="str">
        <f>IF('Phytopl Count'!J142=0,"",'Phytopl Count'!J142*'Phytopl Count'!J$13/'Phytopl Count'!J$8)</f>
        <v/>
      </c>
      <c r="K142" s="31" t="str">
        <f>IF('Phytopl Count'!K142=0,"",'Phytopl Count'!K142*'Phytopl Count'!K$13/'Phytopl Count'!K$8)</f>
        <v/>
      </c>
      <c r="L142" s="31" t="str">
        <f>IF('Phytopl Count'!L142=0,"",'Phytopl Count'!L142*'Phytopl Count'!L$13/'Phytopl Count'!L$8)</f>
        <v/>
      </c>
      <c r="M142" s="31" t="str">
        <f>IF('Phytopl Count'!M142=0,"",'Phytopl Count'!M142*'Phytopl Count'!M$13/'Phytopl Count'!M$8)</f>
        <v/>
      </c>
      <c r="N142" s="31" t="str">
        <f>IF('Phytopl Count'!N142=0,"",'Phytopl Count'!N142*'Phytopl Count'!N$13/'Phytopl Count'!N$8)</f>
        <v/>
      </c>
      <c r="O142" s="31" t="str">
        <f>IF('Phytopl Count'!O142=0,"",'Phytopl Count'!O142*'Phytopl Count'!O$13/'Phytopl Count'!O$8)</f>
        <v/>
      </c>
      <c r="P142" s="31" t="str">
        <f>IF('Phytopl Count'!P142=0,"",'Phytopl Count'!P142*'Phytopl Count'!P$13/'Phytopl Count'!P$8)</f>
        <v/>
      </c>
      <c r="Q142" s="31" t="str">
        <f>IF('Phytopl Count'!Q142=0,"",'Phytopl Count'!Q142*'Phytopl Count'!Q$13/'Phytopl Count'!Q$8)</f>
        <v/>
      </c>
      <c r="R142" s="31" t="str">
        <f>IF('Phytopl Count'!R142=0,"",'Phytopl Count'!R142*'Phytopl Count'!R$13/'Phytopl Count'!R$8)</f>
        <v/>
      </c>
      <c r="S142" s="31" t="str">
        <f>IF('Phytopl Count'!S142=0,"",'Phytopl Count'!S142*'Phytopl Count'!S$13/'Phytopl Count'!S$8)</f>
        <v/>
      </c>
      <c r="T142" s="31" t="str">
        <f>IF('Phytopl Count'!T142=0,"",'Phytopl Count'!T142*'Phytopl Count'!T$13/'Phytopl Count'!T$8)</f>
        <v/>
      </c>
      <c r="U142" s="31" t="str">
        <f>IF('Phytopl Count'!U142=0,"",'Phytopl Count'!U142*'Phytopl Count'!U$13/'Phytopl Count'!U$8)</f>
        <v/>
      </c>
      <c r="V142" s="31" t="str">
        <f>IF('Phytopl Count'!V142=0,"",'Phytopl Count'!V142*'Phytopl Count'!V$13/'Phytopl Count'!V$8)</f>
        <v/>
      </c>
      <c r="W142" s="31" t="str">
        <f>IF('Phytopl Count'!W142=0,"",'Phytopl Count'!W142*'Phytopl Count'!W$13/'Phytopl Count'!W$8)</f>
        <v/>
      </c>
      <c r="X142" s="31" t="str">
        <f>IF('Phytopl Count'!X142=0,"",'Phytopl Count'!X142*'Phytopl Count'!X$13/'Phytopl Count'!X$8)</f>
        <v/>
      </c>
      <c r="Y142" s="31" t="str">
        <f>IF('Phytopl Count'!Y142=0,"",'Phytopl Count'!Y142*'Phytopl Count'!Y$13/'Phytopl Count'!Y$8)</f>
        <v/>
      </c>
      <c r="Z142" s="31" t="str">
        <f>IF('Phytopl Count'!Z142=0,"",'Phytopl Count'!Z142*'Phytopl Count'!Z$13/'Phytopl Count'!Z$8)</f>
        <v/>
      </c>
      <c r="AA142" s="31" t="str">
        <f>IF('Phytopl Count'!AA142=0,"",'Phytopl Count'!AA142*'Phytopl Count'!AA$13/'Phytopl Count'!AA$8)</f>
        <v/>
      </c>
      <c r="AB142" s="31" t="str">
        <f>IF('Phytopl Count'!AB142=0,"",'Phytopl Count'!AB142*'Phytopl Count'!AB$13/'Phytopl Count'!AB$8)</f>
        <v/>
      </c>
      <c r="AC142" s="31" t="str">
        <f>IF('Phytopl Count'!AC142=0,"",'Phytopl Count'!AC142*'Phytopl Count'!AC$13/'Phytopl Count'!AC$8)</f>
        <v/>
      </c>
      <c r="AD142" s="31" t="str">
        <f>IF('Phytopl Count'!AD142=0,"",'Phytopl Count'!AD142*'Phytopl Count'!AD$13/'Phytopl Count'!AD$8)</f>
        <v/>
      </c>
      <c r="AE142" s="31" t="str">
        <f>IF('Phytopl Count'!AE142=0,"",'Phytopl Count'!AE142*'Phytopl Count'!AE$13/'Phytopl Count'!AE$8)</f>
        <v/>
      </c>
      <c r="AF142" s="31" t="str">
        <f>IF('Phytopl Count'!AF142=0,"",'Phytopl Count'!AF142*'Phytopl Count'!AF$13/'Phytopl Count'!AF$8)</f>
        <v/>
      </c>
    </row>
    <row r="143" spans="1:32">
      <c r="A143" s="105"/>
      <c r="B143" s="105"/>
      <c r="C143" s="105"/>
      <c r="D143" s="106" t="s">
        <v>5</v>
      </c>
      <c r="E143" s="107" t="s">
        <v>269</v>
      </c>
      <c r="F143" s="11"/>
      <c r="G143" s="31" t="str">
        <f>IF('Phytopl Count'!G143=0,"",'Phytopl Count'!G143*'Phytopl Count'!G$13/'Phytopl Count'!G$8)</f>
        <v/>
      </c>
      <c r="H143" s="31" t="str">
        <f>IF('Phytopl Count'!H143=0,"",'Phytopl Count'!H143*'Phytopl Count'!H$13/'Phytopl Count'!H$8)</f>
        <v/>
      </c>
      <c r="I143" s="31" t="str">
        <f>IF('Phytopl Count'!I143=0,"",'Phytopl Count'!I143*'Phytopl Count'!I$13/'Phytopl Count'!I$8)</f>
        <v/>
      </c>
      <c r="J143" s="31" t="str">
        <f>IF('Phytopl Count'!J143=0,"",'Phytopl Count'!J143*'Phytopl Count'!J$13/'Phytopl Count'!J$8)</f>
        <v/>
      </c>
      <c r="K143" s="31" t="str">
        <f>IF('Phytopl Count'!K143=0,"",'Phytopl Count'!K143*'Phytopl Count'!K$13/'Phytopl Count'!K$8)</f>
        <v/>
      </c>
      <c r="L143" s="31" t="str">
        <f>IF('Phytopl Count'!L143=0,"",'Phytopl Count'!L143*'Phytopl Count'!L$13/'Phytopl Count'!L$8)</f>
        <v/>
      </c>
      <c r="M143" s="31" t="str">
        <f>IF('Phytopl Count'!M143=0,"",'Phytopl Count'!M143*'Phytopl Count'!M$13/'Phytopl Count'!M$8)</f>
        <v/>
      </c>
      <c r="N143" s="31" t="str">
        <f>IF('Phytopl Count'!N143=0,"",'Phytopl Count'!N143*'Phytopl Count'!N$13/'Phytopl Count'!N$8)</f>
        <v/>
      </c>
      <c r="O143" s="31" t="str">
        <f>IF('Phytopl Count'!O143=0,"",'Phytopl Count'!O143*'Phytopl Count'!O$13/'Phytopl Count'!O$8)</f>
        <v/>
      </c>
      <c r="P143" s="31" t="str">
        <f>IF('Phytopl Count'!P143=0,"",'Phytopl Count'!P143*'Phytopl Count'!P$13/'Phytopl Count'!P$8)</f>
        <v/>
      </c>
      <c r="Q143" s="31" t="str">
        <f>IF('Phytopl Count'!Q143=0,"",'Phytopl Count'!Q143*'Phytopl Count'!Q$13/'Phytopl Count'!Q$8)</f>
        <v/>
      </c>
      <c r="R143" s="31" t="str">
        <f>IF('Phytopl Count'!R143=0,"",'Phytopl Count'!R143*'Phytopl Count'!R$13/'Phytopl Count'!R$8)</f>
        <v/>
      </c>
      <c r="S143" s="31" t="str">
        <f>IF('Phytopl Count'!S143=0,"",'Phytopl Count'!S143*'Phytopl Count'!S$13/'Phytopl Count'!S$8)</f>
        <v/>
      </c>
      <c r="T143" s="31" t="str">
        <f>IF('Phytopl Count'!T143=0,"",'Phytopl Count'!T143*'Phytopl Count'!T$13/'Phytopl Count'!T$8)</f>
        <v/>
      </c>
      <c r="U143" s="31" t="str">
        <f>IF('Phytopl Count'!U143=0,"",'Phytopl Count'!U143*'Phytopl Count'!U$13/'Phytopl Count'!U$8)</f>
        <v/>
      </c>
      <c r="V143" s="31" t="str">
        <f>IF('Phytopl Count'!V143=0,"",'Phytopl Count'!V143*'Phytopl Count'!V$13/'Phytopl Count'!V$8)</f>
        <v/>
      </c>
      <c r="W143" s="31" t="str">
        <f>IF('Phytopl Count'!W143=0,"",'Phytopl Count'!W143*'Phytopl Count'!W$13/'Phytopl Count'!W$8)</f>
        <v/>
      </c>
      <c r="X143" s="31" t="str">
        <f>IF('Phytopl Count'!X143=0,"",'Phytopl Count'!X143*'Phytopl Count'!X$13/'Phytopl Count'!X$8)</f>
        <v/>
      </c>
      <c r="Y143" s="31" t="str">
        <f>IF('Phytopl Count'!Y143=0,"",'Phytopl Count'!Y143*'Phytopl Count'!Y$13/'Phytopl Count'!Y$8)</f>
        <v/>
      </c>
      <c r="Z143" s="31" t="str">
        <f>IF('Phytopl Count'!Z143=0,"",'Phytopl Count'!Z143*'Phytopl Count'!Z$13/'Phytopl Count'!Z$8)</f>
        <v/>
      </c>
      <c r="AA143" s="31" t="str">
        <f>IF('Phytopl Count'!AA143=0,"",'Phytopl Count'!AA143*'Phytopl Count'!AA$13/'Phytopl Count'!AA$8)</f>
        <v/>
      </c>
      <c r="AB143" s="31" t="str">
        <f>IF('Phytopl Count'!AB143=0,"",'Phytopl Count'!AB143*'Phytopl Count'!AB$13/'Phytopl Count'!AB$8)</f>
        <v/>
      </c>
      <c r="AC143" s="31" t="str">
        <f>IF('Phytopl Count'!AC143=0,"",'Phytopl Count'!AC143*'Phytopl Count'!AC$13/'Phytopl Count'!AC$8)</f>
        <v/>
      </c>
      <c r="AD143" s="31" t="str">
        <f>IF('Phytopl Count'!AD143=0,"",'Phytopl Count'!AD143*'Phytopl Count'!AD$13/'Phytopl Count'!AD$8)</f>
        <v/>
      </c>
      <c r="AE143" s="31" t="str">
        <f>IF('Phytopl Count'!AE143=0,"",'Phytopl Count'!AE143*'Phytopl Count'!AE$13/'Phytopl Count'!AE$8)</f>
        <v/>
      </c>
      <c r="AF143" s="31" t="str">
        <f>IF('Phytopl Count'!AF143=0,"",'Phytopl Count'!AF143*'Phytopl Count'!AF$13/'Phytopl Count'!AF$8)</f>
        <v/>
      </c>
    </row>
    <row r="144" spans="1:32" hidden="1">
      <c r="A144" s="105"/>
      <c r="B144" s="105"/>
      <c r="C144" s="105"/>
      <c r="D144" s="105"/>
      <c r="F144" s="11" t="s">
        <v>270</v>
      </c>
      <c r="G144" s="31" t="str">
        <f>IF('Phytopl Count'!G144=0,"",'Phytopl Count'!G144*'Phytopl Count'!G$13/'Phytopl Count'!G$8)</f>
        <v/>
      </c>
      <c r="H144" s="31" t="str">
        <f>IF('Phytopl Count'!H144=0,"",'Phytopl Count'!H144*'Phytopl Count'!H$13/'Phytopl Count'!H$8)</f>
        <v/>
      </c>
      <c r="I144" s="31" t="str">
        <f>IF('Phytopl Count'!I144=0,"",'Phytopl Count'!I144*'Phytopl Count'!I$13/'Phytopl Count'!I$8)</f>
        <v/>
      </c>
      <c r="J144" s="31" t="str">
        <f>IF('Phytopl Count'!J144=0,"",'Phytopl Count'!J144*'Phytopl Count'!J$13/'Phytopl Count'!J$8)</f>
        <v/>
      </c>
      <c r="K144" s="31" t="str">
        <f>IF('Phytopl Count'!K144=0,"",'Phytopl Count'!K144*'Phytopl Count'!K$13/'Phytopl Count'!K$8)</f>
        <v/>
      </c>
      <c r="L144" s="31" t="str">
        <f>IF('Phytopl Count'!L144=0,"",'Phytopl Count'!L144*'Phytopl Count'!L$13/'Phytopl Count'!L$8)</f>
        <v/>
      </c>
      <c r="M144" s="31" t="str">
        <f>IF('Phytopl Count'!M144=0,"",'Phytopl Count'!M144*'Phytopl Count'!M$13/'Phytopl Count'!M$8)</f>
        <v/>
      </c>
      <c r="N144" s="31" t="str">
        <f>IF('Phytopl Count'!N144=0,"",'Phytopl Count'!N144*'Phytopl Count'!N$13/'Phytopl Count'!N$8)</f>
        <v/>
      </c>
      <c r="O144" s="31" t="str">
        <f>IF('Phytopl Count'!O144=0,"",'Phytopl Count'!O144*'Phytopl Count'!O$13/'Phytopl Count'!O$8)</f>
        <v/>
      </c>
      <c r="P144" s="31" t="str">
        <f>IF('Phytopl Count'!P144=0,"",'Phytopl Count'!P144*'Phytopl Count'!P$13/'Phytopl Count'!P$8)</f>
        <v/>
      </c>
      <c r="Q144" s="31" t="str">
        <f>IF('Phytopl Count'!Q144=0,"",'Phytopl Count'!Q144*'Phytopl Count'!Q$13/'Phytopl Count'!Q$8)</f>
        <v/>
      </c>
      <c r="R144" s="31" t="str">
        <f>IF('Phytopl Count'!R144=0,"",'Phytopl Count'!R144*'Phytopl Count'!R$13/'Phytopl Count'!R$8)</f>
        <v/>
      </c>
      <c r="S144" s="31" t="str">
        <f>IF('Phytopl Count'!S144=0,"",'Phytopl Count'!S144*'Phytopl Count'!S$13/'Phytopl Count'!S$8)</f>
        <v/>
      </c>
      <c r="T144" s="31" t="str">
        <f>IF('Phytopl Count'!T144=0,"",'Phytopl Count'!T144*'Phytopl Count'!T$13/'Phytopl Count'!T$8)</f>
        <v/>
      </c>
      <c r="U144" s="31" t="str">
        <f>IF('Phytopl Count'!U144=0,"",'Phytopl Count'!U144*'Phytopl Count'!U$13/'Phytopl Count'!U$8)</f>
        <v/>
      </c>
      <c r="V144" s="31" t="str">
        <f>IF('Phytopl Count'!V144=0,"",'Phytopl Count'!V144*'Phytopl Count'!V$13/'Phytopl Count'!V$8)</f>
        <v/>
      </c>
      <c r="W144" s="31" t="str">
        <f>IF('Phytopl Count'!W144=0,"",'Phytopl Count'!W144*'Phytopl Count'!W$13/'Phytopl Count'!W$8)</f>
        <v/>
      </c>
      <c r="X144" s="31" t="str">
        <f>IF('Phytopl Count'!X144=0,"",'Phytopl Count'!X144*'Phytopl Count'!X$13/'Phytopl Count'!X$8)</f>
        <v/>
      </c>
      <c r="Y144" s="31" t="str">
        <f>IF('Phytopl Count'!Y144=0,"",'Phytopl Count'!Y144*'Phytopl Count'!Y$13/'Phytopl Count'!Y$8)</f>
        <v/>
      </c>
      <c r="Z144" s="31" t="str">
        <f>IF('Phytopl Count'!Z144=0,"",'Phytopl Count'!Z144*'Phytopl Count'!Z$13/'Phytopl Count'!Z$8)</f>
        <v/>
      </c>
      <c r="AA144" s="31" t="str">
        <f>IF('Phytopl Count'!AA144=0,"",'Phytopl Count'!AA144*'Phytopl Count'!AA$13/'Phytopl Count'!AA$8)</f>
        <v/>
      </c>
      <c r="AB144" s="31" t="str">
        <f>IF('Phytopl Count'!AB144=0,"",'Phytopl Count'!AB144*'Phytopl Count'!AB$13/'Phytopl Count'!AB$8)</f>
        <v/>
      </c>
      <c r="AC144" s="31" t="str">
        <f>IF('Phytopl Count'!AC144=0,"",'Phytopl Count'!AC144*'Phytopl Count'!AC$13/'Phytopl Count'!AC$8)</f>
        <v/>
      </c>
      <c r="AD144" s="31" t="str">
        <f>IF('Phytopl Count'!AD144=0,"",'Phytopl Count'!AD144*'Phytopl Count'!AD$13/'Phytopl Count'!AD$8)</f>
        <v/>
      </c>
      <c r="AE144" s="31" t="str">
        <f>IF('Phytopl Count'!AE144=0,"",'Phytopl Count'!AE144*'Phytopl Count'!AE$13/'Phytopl Count'!AE$8)</f>
        <v/>
      </c>
      <c r="AF144" s="31" t="str">
        <f>IF('Phytopl Count'!AF144=0,"",'Phytopl Count'!AF144*'Phytopl Count'!AF$13/'Phytopl Count'!AF$8)</f>
        <v/>
      </c>
    </row>
    <row r="145" spans="1:32">
      <c r="A145" s="105"/>
      <c r="B145" s="105"/>
      <c r="C145" s="105"/>
      <c r="D145" s="105"/>
      <c r="E145" s="106" t="s">
        <v>6</v>
      </c>
      <c r="F145" s="11" t="s">
        <v>168</v>
      </c>
      <c r="G145" s="31" t="str">
        <f>IF('Phytopl Count'!G145=0,"",'Phytopl Count'!G145*'Phytopl Count'!G$13/'Phytopl Count'!G$8)</f>
        <v/>
      </c>
      <c r="H145" s="31" t="str">
        <f>IF('Phytopl Count'!H145=0,"",'Phytopl Count'!H145*'Phytopl Count'!H$13/'Phytopl Count'!H$8)</f>
        <v/>
      </c>
      <c r="I145" s="31" t="str">
        <f>IF('Phytopl Count'!I145=0,"",'Phytopl Count'!I145*'Phytopl Count'!I$13/'Phytopl Count'!I$8)</f>
        <v/>
      </c>
      <c r="J145" s="31">
        <f>IF('Phytopl Count'!J145=0,"",'Phytopl Count'!J145*'Phytopl Count'!J$13/'Phytopl Count'!J$8)</f>
        <v>4.0038979394187504E-2</v>
      </c>
      <c r="K145" s="31" t="str">
        <f>IF('Phytopl Count'!K145=0,"",'Phytopl Count'!K145*'Phytopl Count'!K$13/'Phytopl Count'!K$8)</f>
        <v/>
      </c>
      <c r="L145" s="31" t="str">
        <f>IF('Phytopl Count'!L145=0,"",'Phytopl Count'!L145*'Phytopl Count'!L$13/'Phytopl Count'!L$8)</f>
        <v/>
      </c>
      <c r="M145" s="31" t="str">
        <f>IF('Phytopl Count'!M145=0,"",'Phytopl Count'!M145*'Phytopl Count'!M$13/'Phytopl Count'!M$8)</f>
        <v/>
      </c>
      <c r="N145" s="31">
        <f>IF('Phytopl Count'!N145=0,"",'Phytopl Count'!N145*'Phytopl Count'!N$13/'Phytopl Count'!N$8)</f>
        <v>4.8046775273025012E-2</v>
      </c>
      <c r="O145" s="31">
        <f>IF('Phytopl Count'!O145=0,"",'Phytopl Count'!O145*'Phytopl Count'!O$13/'Phytopl Count'!O$8)</f>
        <v>3.2031183515350004E-2</v>
      </c>
      <c r="P145" s="31" t="str">
        <f>IF('Phytopl Count'!P145=0,"",'Phytopl Count'!P145*'Phytopl Count'!P$13/'Phytopl Count'!P$8)</f>
        <v/>
      </c>
      <c r="Q145" s="31" t="str">
        <f>IF('Phytopl Count'!Q145=0,"",'Phytopl Count'!Q145*'Phytopl Count'!Q$13/'Phytopl Count'!Q$8)</f>
        <v/>
      </c>
      <c r="R145" s="31" t="str">
        <f>IF('Phytopl Count'!R145=0,"",'Phytopl Count'!R145*'Phytopl Count'!R$13/'Phytopl Count'!R$8)</f>
        <v/>
      </c>
      <c r="S145" s="31" t="str">
        <f>IF('Phytopl Count'!S145=0,"",'Phytopl Count'!S145*'Phytopl Count'!S$13/'Phytopl Count'!S$8)</f>
        <v/>
      </c>
      <c r="T145" s="31" t="str">
        <f>IF('Phytopl Count'!T145=0,"",'Phytopl Count'!T145*'Phytopl Count'!T$13/'Phytopl Count'!T$8)</f>
        <v/>
      </c>
      <c r="U145" s="31">
        <f>IF('Phytopl Count'!U145=0,"",'Phytopl Count'!U145*'Phytopl Count'!U$13/'Phytopl Count'!U$8)</f>
        <v>3.2031183515350004E-2</v>
      </c>
      <c r="V145" s="31">
        <f>IF('Phytopl Count'!V145=0,"",'Phytopl Count'!V145*'Phytopl Count'!V$13/'Phytopl Count'!V$8)</f>
        <v>4.0038979394187504E-2</v>
      </c>
      <c r="W145" s="31" t="str">
        <f>IF('Phytopl Count'!W145=0,"",'Phytopl Count'!W145*'Phytopl Count'!W$13/'Phytopl Count'!W$8)</f>
        <v/>
      </c>
      <c r="X145" s="31" t="str">
        <f>IF('Phytopl Count'!X145=0,"",'Phytopl Count'!X145*'Phytopl Count'!X$13/'Phytopl Count'!X$8)</f>
        <v/>
      </c>
      <c r="Y145" s="31" t="str">
        <f>IF('Phytopl Count'!Y145=0,"",'Phytopl Count'!Y145*'Phytopl Count'!Y$13/'Phytopl Count'!Y$8)</f>
        <v/>
      </c>
      <c r="Z145" s="31" t="str">
        <f>IF('Phytopl Count'!Z145=0,"",'Phytopl Count'!Z145*'Phytopl Count'!Z$13/'Phytopl Count'!Z$8)</f>
        <v/>
      </c>
      <c r="AA145" s="31" t="str">
        <f>IF('Phytopl Count'!AA145=0,"",'Phytopl Count'!AA145*'Phytopl Count'!AA$13/'Phytopl Count'!AA$8)</f>
        <v/>
      </c>
      <c r="AB145" s="31" t="str">
        <f>IF('Phytopl Count'!AB145=0,"",'Phytopl Count'!AB145*'Phytopl Count'!AB$13/'Phytopl Count'!AB$8)</f>
        <v/>
      </c>
      <c r="AC145" s="31">
        <f>IF('Phytopl Count'!AC145=0,"",'Phytopl Count'!AC145*'Phytopl Count'!AC$13/'Phytopl Count'!AC$8)</f>
        <v>3.2031183515350004E-2</v>
      </c>
      <c r="AD145" s="31" t="str">
        <f>IF('Phytopl Count'!AD145=0,"",'Phytopl Count'!AD145*'Phytopl Count'!AD$13/'Phytopl Count'!AD$8)</f>
        <v/>
      </c>
      <c r="AE145" s="31" t="str">
        <f>IF('Phytopl Count'!AE145=0,"",'Phytopl Count'!AE145*'Phytopl Count'!AE$13/'Phytopl Count'!AE$8)</f>
        <v/>
      </c>
      <c r="AF145" s="31">
        <f>IF('Phytopl Count'!AF145=0,"",'Phytopl Count'!AF145*'Phytopl Count'!AF$13/'Phytopl Count'!AF$8)</f>
        <v>0.19218710109210005</v>
      </c>
    </row>
    <row r="146" spans="1:32" ht="15" hidden="1" customHeight="1">
      <c r="A146" s="4"/>
      <c r="D146" s="10" t="s">
        <v>5</v>
      </c>
      <c r="E146" s="12" t="s">
        <v>85</v>
      </c>
      <c r="F146" s="11"/>
      <c r="G146" s="31" t="str">
        <f>IF('Phytopl Count'!G146=0,"",'Phytopl Count'!G146*'Phytopl Count'!G$13/'Phytopl Count'!G$8)</f>
        <v/>
      </c>
      <c r="H146" s="31" t="str">
        <f>IF('Phytopl Count'!H146=0,"",'Phytopl Count'!H146*'Phytopl Count'!H$13/'Phytopl Count'!H$8)</f>
        <v/>
      </c>
      <c r="I146" s="31" t="str">
        <f>IF('Phytopl Count'!I146=0,"",'Phytopl Count'!I146*'Phytopl Count'!I$13/'Phytopl Count'!I$8)</f>
        <v/>
      </c>
      <c r="J146" s="31" t="str">
        <f>IF('Phytopl Count'!J146=0,"",'Phytopl Count'!J146*'Phytopl Count'!J$13/'Phytopl Count'!J$8)</f>
        <v/>
      </c>
      <c r="K146" s="31" t="str">
        <f>IF('Phytopl Count'!K146=0,"",'Phytopl Count'!K146*'Phytopl Count'!K$13/'Phytopl Count'!K$8)</f>
        <v/>
      </c>
      <c r="L146" s="31" t="str">
        <f>IF('Phytopl Count'!L146=0,"",'Phytopl Count'!L146*'Phytopl Count'!L$13/'Phytopl Count'!L$8)</f>
        <v/>
      </c>
      <c r="M146" s="31" t="str">
        <f>IF('Phytopl Count'!M146=0,"",'Phytopl Count'!M146*'Phytopl Count'!M$13/'Phytopl Count'!M$8)</f>
        <v/>
      </c>
      <c r="N146" s="31" t="str">
        <f>IF('Phytopl Count'!N146=0,"",'Phytopl Count'!N146*'Phytopl Count'!N$13/'Phytopl Count'!N$8)</f>
        <v/>
      </c>
      <c r="O146" s="31" t="str">
        <f>IF('Phytopl Count'!O146=0,"",'Phytopl Count'!O146*'Phytopl Count'!O$13/'Phytopl Count'!O$8)</f>
        <v/>
      </c>
      <c r="P146" s="31" t="str">
        <f>IF('Phytopl Count'!P146=0,"",'Phytopl Count'!P146*'Phytopl Count'!P$13/'Phytopl Count'!P$8)</f>
        <v/>
      </c>
      <c r="Q146" s="31" t="str">
        <f>IF('Phytopl Count'!Q146=0,"",'Phytopl Count'!Q146*'Phytopl Count'!Q$13/'Phytopl Count'!Q$8)</f>
        <v/>
      </c>
      <c r="R146" s="31" t="str">
        <f>IF('Phytopl Count'!R146=0,"",'Phytopl Count'!R146*'Phytopl Count'!R$13/'Phytopl Count'!R$8)</f>
        <v/>
      </c>
      <c r="S146" s="31" t="str">
        <f>IF('Phytopl Count'!S146=0,"",'Phytopl Count'!S146*'Phytopl Count'!S$13/'Phytopl Count'!S$8)</f>
        <v/>
      </c>
      <c r="T146" s="31" t="str">
        <f>IF('Phytopl Count'!T146=0,"",'Phytopl Count'!T146*'Phytopl Count'!T$13/'Phytopl Count'!T$8)</f>
        <v/>
      </c>
      <c r="U146" s="31" t="str">
        <f>IF('Phytopl Count'!U146=0,"",'Phytopl Count'!U146*'Phytopl Count'!U$13/'Phytopl Count'!U$8)</f>
        <v/>
      </c>
      <c r="V146" s="31" t="str">
        <f>IF('Phytopl Count'!V146=0,"",'Phytopl Count'!V146*'Phytopl Count'!V$13/'Phytopl Count'!V$8)</f>
        <v/>
      </c>
      <c r="W146" s="31" t="str">
        <f>IF('Phytopl Count'!W146=0,"",'Phytopl Count'!W146*'Phytopl Count'!W$13/'Phytopl Count'!W$8)</f>
        <v/>
      </c>
      <c r="X146" s="31" t="str">
        <f>IF('Phytopl Count'!X146=0,"",'Phytopl Count'!X146*'Phytopl Count'!X$13/'Phytopl Count'!X$8)</f>
        <v/>
      </c>
      <c r="Y146" s="31" t="str">
        <f>IF('Phytopl Count'!Y146=0,"",'Phytopl Count'!Y146*'Phytopl Count'!Y$13/'Phytopl Count'!Y$8)</f>
        <v/>
      </c>
      <c r="Z146" s="31" t="str">
        <f>IF('Phytopl Count'!Z146=0,"",'Phytopl Count'!Z146*'Phytopl Count'!Z$13/'Phytopl Count'!Z$8)</f>
        <v/>
      </c>
      <c r="AA146" s="31" t="str">
        <f>IF('Phytopl Count'!AA146=0,"",'Phytopl Count'!AA146*'Phytopl Count'!AA$13/'Phytopl Count'!AA$8)</f>
        <v/>
      </c>
      <c r="AB146" s="31" t="str">
        <f>IF('Phytopl Count'!AB146=0,"",'Phytopl Count'!AB146*'Phytopl Count'!AB$13/'Phytopl Count'!AB$8)</f>
        <v/>
      </c>
      <c r="AC146" s="31" t="str">
        <f>IF('Phytopl Count'!AC146=0,"",'Phytopl Count'!AC146*'Phytopl Count'!AC$13/'Phytopl Count'!AC$8)</f>
        <v/>
      </c>
      <c r="AD146" s="31" t="str">
        <f>IF('Phytopl Count'!AD146=0,"",'Phytopl Count'!AD146*'Phytopl Count'!AD$13/'Phytopl Count'!AD$8)</f>
        <v/>
      </c>
      <c r="AE146" s="31" t="str">
        <f>IF('Phytopl Count'!AE146=0,"",'Phytopl Count'!AE146*'Phytopl Count'!AE$13/'Phytopl Count'!AE$8)</f>
        <v/>
      </c>
      <c r="AF146" s="31" t="str">
        <f>IF('Phytopl Count'!AF146=0,"",'Phytopl Count'!AF146*'Phytopl Count'!AF$13/'Phytopl Count'!AF$8)</f>
        <v/>
      </c>
    </row>
    <row r="147" spans="1:32" ht="15" hidden="1" customHeight="1">
      <c r="A147" s="4"/>
      <c r="E147" s="10" t="s">
        <v>6</v>
      </c>
      <c r="F147" s="11" t="s">
        <v>33</v>
      </c>
      <c r="G147" s="31" t="str">
        <f>IF('Phytopl Count'!G147=0,"",'Phytopl Count'!G147*'Phytopl Count'!G$13/'Phytopl Count'!G$8)</f>
        <v/>
      </c>
      <c r="H147" s="31" t="str">
        <f>IF('Phytopl Count'!H147=0,"",'Phytopl Count'!H147*'Phytopl Count'!H$13/'Phytopl Count'!H$8)</f>
        <v/>
      </c>
      <c r="I147" s="31" t="str">
        <f>IF('Phytopl Count'!I147=0,"",'Phytopl Count'!I147*'Phytopl Count'!I$13/'Phytopl Count'!I$8)</f>
        <v/>
      </c>
      <c r="J147" s="31" t="str">
        <f>IF('Phytopl Count'!J147=0,"",'Phytopl Count'!J147*'Phytopl Count'!J$13/'Phytopl Count'!J$8)</f>
        <v/>
      </c>
      <c r="K147" s="31" t="str">
        <f>IF('Phytopl Count'!K147=0,"",'Phytopl Count'!K147*'Phytopl Count'!K$13/'Phytopl Count'!K$8)</f>
        <v/>
      </c>
      <c r="L147" s="31" t="str">
        <f>IF('Phytopl Count'!L147=0,"",'Phytopl Count'!L147*'Phytopl Count'!L$13/'Phytopl Count'!L$8)</f>
        <v/>
      </c>
      <c r="M147" s="31" t="str">
        <f>IF('Phytopl Count'!M147=0,"",'Phytopl Count'!M147*'Phytopl Count'!M$13/'Phytopl Count'!M$8)</f>
        <v/>
      </c>
      <c r="N147" s="31" t="str">
        <f>IF('Phytopl Count'!N147=0,"",'Phytopl Count'!N147*'Phytopl Count'!N$13/'Phytopl Count'!N$8)</f>
        <v/>
      </c>
      <c r="O147" s="31" t="str">
        <f>IF('Phytopl Count'!O147=0,"",'Phytopl Count'!O147*'Phytopl Count'!O$13/'Phytopl Count'!O$8)</f>
        <v/>
      </c>
      <c r="P147" s="31" t="str">
        <f>IF('Phytopl Count'!P147=0,"",'Phytopl Count'!P147*'Phytopl Count'!P$13/'Phytopl Count'!P$8)</f>
        <v/>
      </c>
      <c r="Q147" s="31" t="str">
        <f>IF('Phytopl Count'!Q147=0,"",'Phytopl Count'!Q147*'Phytopl Count'!Q$13/'Phytopl Count'!Q$8)</f>
        <v/>
      </c>
      <c r="R147" s="31" t="str">
        <f>IF('Phytopl Count'!R147=0,"",'Phytopl Count'!R147*'Phytopl Count'!R$13/'Phytopl Count'!R$8)</f>
        <v/>
      </c>
      <c r="S147" s="31" t="str">
        <f>IF('Phytopl Count'!S147=0,"",'Phytopl Count'!S147*'Phytopl Count'!S$13/'Phytopl Count'!S$8)</f>
        <v/>
      </c>
      <c r="T147" s="31" t="str">
        <f>IF('Phytopl Count'!T147=0,"",'Phytopl Count'!T147*'Phytopl Count'!T$13/'Phytopl Count'!T$8)</f>
        <v/>
      </c>
      <c r="U147" s="31" t="str">
        <f>IF('Phytopl Count'!U147=0,"",'Phytopl Count'!U147*'Phytopl Count'!U$13/'Phytopl Count'!U$8)</f>
        <v/>
      </c>
      <c r="V147" s="31" t="str">
        <f>IF('Phytopl Count'!V147=0,"",'Phytopl Count'!V147*'Phytopl Count'!V$13/'Phytopl Count'!V$8)</f>
        <v/>
      </c>
      <c r="W147" s="31" t="str">
        <f>IF('Phytopl Count'!W147=0,"",'Phytopl Count'!W147*'Phytopl Count'!W$13/'Phytopl Count'!W$8)</f>
        <v/>
      </c>
      <c r="X147" s="31" t="str">
        <f>IF('Phytopl Count'!X147=0,"",'Phytopl Count'!X147*'Phytopl Count'!X$13/'Phytopl Count'!X$8)</f>
        <v/>
      </c>
      <c r="Y147" s="31" t="str">
        <f>IF('Phytopl Count'!Y147=0,"",'Phytopl Count'!Y147*'Phytopl Count'!Y$13/'Phytopl Count'!Y$8)</f>
        <v/>
      </c>
      <c r="Z147" s="31" t="str">
        <f>IF('Phytopl Count'!Z147=0,"",'Phytopl Count'!Z147*'Phytopl Count'!Z$13/'Phytopl Count'!Z$8)</f>
        <v/>
      </c>
      <c r="AA147" s="31" t="str">
        <f>IF('Phytopl Count'!AA147=0,"",'Phytopl Count'!AA147*'Phytopl Count'!AA$13/'Phytopl Count'!AA$8)</f>
        <v/>
      </c>
      <c r="AB147" s="31" t="str">
        <f>IF('Phytopl Count'!AB147=0,"",'Phytopl Count'!AB147*'Phytopl Count'!AB$13/'Phytopl Count'!AB$8)</f>
        <v/>
      </c>
      <c r="AC147" s="31" t="str">
        <f>IF('Phytopl Count'!AC147=0,"",'Phytopl Count'!AC147*'Phytopl Count'!AC$13/'Phytopl Count'!AC$8)</f>
        <v/>
      </c>
      <c r="AD147" s="31" t="str">
        <f>IF('Phytopl Count'!AD147=0,"",'Phytopl Count'!AD147*'Phytopl Count'!AD$13/'Phytopl Count'!AD$8)</f>
        <v/>
      </c>
      <c r="AE147" s="31" t="str">
        <f>IF('Phytopl Count'!AE147=0,"",'Phytopl Count'!AE147*'Phytopl Count'!AE$13/'Phytopl Count'!AE$8)</f>
        <v/>
      </c>
      <c r="AF147" s="31" t="str">
        <f>IF('Phytopl Count'!AF147=0,"",'Phytopl Count'!AF147*'Phytopl Count'!AF$13/'Phytopl Count'!AF$8)</f>
        <v/>
      </c>
    </row>
    <row r="148" spans="1:32" hidden="1">
      <c r="E148" s="10"/>
      <c r="F148" s="11" t="s">
        <v>348</v>
      </c>
      <c r="G148" s="31" t="str">
        <f>IF('Phytopl Count'!G148=0,"",'Phytopl Count'!G148*'Phytopl Count'!G$13/'Phytopl Count'!G$8)</f>
        <v/>
      </c>
      <c r="H148" s="31" t="str">
        <f>IF('Phytopl Count'!H148=0,"",'Phytopl Count'!H148*'Phytopl Count'!H$13/'Phytopl Count'!H$8)</f>
        <v/>
      </c>
      <c r="I148" s="31" t="str">
        <f>IF('Phytopl Count'!I148=0,"",'Phytopl Count'!I148*'Phytopl Count'!I$13/'Phytopl Count'!I$8)</f>
        <v/>
      </c>
      <c r="J148" s="31" t="str">
        <f>IF('Phytopl Count'!J148=0,"",'Phytopl Count'!J148*'Phytopl Count'!J$13/'Phytopl Count'!J$8)</f>
        <v/>
      </c>
      <c r="K148" s="31" t="str">
        <f>IF('Phytopl Count'!K148=0,"",'Phytopl Count'!K148*'Phytopl Count'!K$13/'Phytopl Count'!K$8)</f>
        <v/>
      </c>
      <c r="L148" s="31" t="str">
        <f>IF('Phytopl Count'!L148=0,"",'Phytopl Count'!L148*'Phytopl Count'!L$13/'Phytopl Count'!L$8)</f>
        <v/>
      </c>
      <c r="M148" s="31" t="str">
        <f>IF('Phytopl Count'!M148=0,"",'Phytopl Count'!M148*'Phytopl Count'!M$13/'Phytopl Count'!M$8)</f>
        <v/>
      </c>
      <c r="N148" s="31" t="str">
        <f>IF('Phytopl Count'!N148=0,"",'Phytopl Count'!N148*'Phytopl Count'!N$13/'Phytopl Count'!N$8)</f>
        <v/>
      </c>
      <c r="O148" s="31" t="str">
        <f>IF('Phytopl Count'!O148=0,"",'Phytopl Count'!O148*'Phytopl Count'!O$13/'Phytopl Count'!O$8)</f>
        <v/>
      </c>
      <c r="P148" s="31" t="str">
        <f>IF('Phytopl Count'!P148=0,"",'Phytopl Count'!P148*'Phytopl Count'!P$13/'Phytopl Count'!P$8)</f>
        <v/>
      </c>
      <c r="Q148" s="31" t="str">
        <f>IF('Phytopl Count'!Q148=0,"",'Phytopl Count'!Q148*'Phytopl Count'!Q$13/'Phytopl Count'!Q$8)</f>
        <v/>
      </c>
      <c r="R148" s="31" t="str">
        <f>IF('Phytopl Count'!R148=0,"",'Phytopl Count'!R148*'Phytopl Count'!R$13/'Phytopl Count'!R$8)</f>
        <v/>
      </c>
      <c r="S148" s="31" t="str">
        <f>IF('Phytopl Count'!S148=0,"",'Phytopl Count'!S148*'Phytopl Count'!S$13/'Phytopl Count'!S$8)</f>
        <v/>
      </c>
      <c r="T148" s="31" t="str">
        <f>IF('Phytopl Count'!T148=0,"",'Phytopl Count'!T148*'Phytopl Count'!T$13/'Phytopl Count'!T$8)</f>
        <v/>
      </c>
      <c r="U148" s="31" t="str">
        <f>IF('Phytopl Count'!U148=0,"",'Phytopl Count'!U148*'Phytopl Count'!U$13/'Phytopl Count'!U$8)</f>
        <v/>
      </c>
      <c r="V148" s="31" t="str">
        <f>IF('Phytopl Count'!V148=0,"",'Phytopl Count'!V148*'Phytopl Count'!V$13/'Phytopl Count'!V$8)</f>
        <v/>
      </c>
      <c r="W148" s="31" t="str">
        <f>IF('Phytopl Count'!W148=0,"",'Phytopl Count'!W148*'Phytopl Count'!W$13/'Phytopl Count'!W$8)</f>
        <v/>
      </c>
      <c r="X148" s="31" t="str">
        <f>IF('Phytopl Count'!X148=0,"",'Phytopl Count'!X148*'Phytopl Count'!X$13/'Phytopl Count'!X$8)</f>
        <v/>
      </c>
      <c r="Y148" s="31" t="str">
        <f>IF('Phytopl Count'!Y148=0,"",'Phytopl Count'!Y148*'Phytopl Count'!Y$13/'Phytopl Count'!Y$8)</f>
        <v/>
      </c>
      <c r="Z148" s="31" t="str">
        <f>IF('Phytopl Count'!Z148=0,"",'Phytopl Count'!Z148*'Phytopl Count'!Z$13/'Phytopl Count'!Z$8)</f>
        <v/>
      </c>
      <c r="AA148" s="31" t="str">
        <f>IF('Phytopl Count'!AA148=0,"",'Phytopl Count'!AA148*'Phytopl Count'!AA$13/'Phytopl Count'!AA$8)</f>
        <v/>
      </c>
      <c r="AB148" s="31" t="str">
        <f>IF('Phytopl Count'!AB148=0,"",'Phytopl Count'!AB148*'Phytopl Count'!AB$13/'Phytopl Count'!AB$8)</f>
        <v/>
      </c>
      <c r="AC148" s="31" t="str">
        <f>IF('Phytopl Count'!AC148=0,"",'Phytopl Count'!AC148*'Phytopl Count'!AC$13/'Phytopl Count'!AC$8)</f>
        <v/>
      </c>
      <c r="AD148" s="31" t="str">
        <f>IF('Phytopl Count'!AD148=0,"",'Phytopl Count'!AD148*'Phytopl Count'!AD$13/'Phytopl Count'!AD$8)</f>
        <v/>
      </c>
      <c r="AE148" s="31" t="str">
        <f>IF('Phytopl Count'!AE148=0,"",'Phytopl Count'!AE148*'Phytopl Count'!AE$13/'Phytopl Count'!AE$8)</f>
        <v/>
      </c>
      <c r="AF148" s="31" t="str">
        <f>IF('Phytopl Count'!AF148=0,"",'Phytopl Count'!AF148*'Phytopl Count'!AF$13/'Phytopl Count'!AF$8)</f>
        <v/>
      </c>
    </row>
    <row r="149" spans="1:32" hidden="1">
      <c r="E149" s="10"/>
      <c r="F149" s="11" t="s">
        <v>388</v>
      </c>
      <c r="G149" s="31" t="str">
        <f>IF('Phytopl Count'!G149=0,"",'Phytopl Count'!G149*'Phytopl Count'!G$13/'Phytopl Count'!G$8)</f>
        <v/>
      </c>
      <c r="H149" s="31" t="str">
        <f>IF('Phytopl Count'!H149=0,"",'Phytopl Count'!H149*'Phytopl Count'!H$13/'Phytopl Count'!H$8)</f>
        <v/>
      </c>
      <c r="I149" s="31" t="str">
        <f>IF('Phytopl Count'!I149=0,"",'Phytopl Count'!I149*'Phytopl Count'!I$13/'Phytopl Count'!I$8)</f>
        <v/>
      </c>
      <c r="J149" s="31" t="str">
        <f>IF('Phytopl Count'!J149=0,"",'Phytopl Count'!J149*'Phytopl Count'!J$13/'Phytopl Count'!J$8)</f>
        <v/>
      </c>
      <c r="K149" s="31" t="str">
        <f>IF('Phytopl Count'!K149=0,"",'Phytopl Count'!K149*'Phytopl Count'!K$13/'Phytopl Count'!K$8)</f>
        <v/>
      </c>
      <c r="L149" s="31" t="str">
        <f>IF('Phytopl Count'!L149=0,"",'Phytopl Count'!L149*'Phytopl Count'!L$13/'Phytopl Count'!L$8)</f>
        <v/>
      </c>
      <c r="M149" s="31" t="str">
        <f>IF('Phytopl Count'!M149=0,"",'Phytopl Count'!M149*'Phytopl Count'!M$13/'Phytopl Count'!M$8)</f>
        <v/>
      </c>
      <c r="N149" s="31" t="str">
        <f>IF('Phytopl Count'!N149=0,"",'Phytopl Count'!N149*'Phytopl Count'!N$13/'Phytopl Count'!N$8)</f>
        <v/>
      </c>
      <c r="O149" s="31" t="str">
        <f>IF('Phytopl Count'!O149=0,"",'Phytopl Count'!O149*'Phytopl Count'!O$13/'Phytopl Count'!O$8)</f>
        <v/>
      </c>
      <c r="P149" s="31" t="str">
        <f>IF('Phytopl Count'!P149=0,"",'Phytopl Count'!P149*'Phytopl Count'!P$13/'Phytopl Count'!P$8)</f>
        <v/>
      </c>
      <c r="Q149" s="31" t="str">
        <f>IF('Phytopl Count'!Q149=0,"",'Phytopl Count'!Q149*'Phytopl Count'!Q$13/'Phytopl Count'!Q$8)</f>
        <v/>
      </c>
      <c r="R149" s="31" t="str">
        <f>IF('Phytopl Count'!R149=0,"",'Phytopl Count'!R149*'Phytopl Count'!R$13/'Phytopl Count'!R$8)</f>
        <v/>
      </c>
      <c r="S149" s="31" t="str">
        <f>IF('Phytopl Count'!S149=0,"",'Phytopl Count'!S149*'Phytopl Count'!S$13/'Phytopl Count'!S$8)</f>
        <v/>
      </c>
      <c r="T149" s="31" t="str">
        <f>IF('Phytopl Count'!T149=0,"",'Phytopl Count'!T149*'Phytopl Count'!T$13/'Phytopl Count'!T$8)</f>
        <v/>
      </c>
      <c r="U149" s="31" t="str">
        <f>IF('Phytopl Count'!U149=0,"",'Phytopl Count'!U149*'Phytopl Count'!U$13/'Phytopl Count'!U$8)</f>
        <v/>
      </c>
      <c r="V149" s="31" t="str">
        <f>IF('Phytopl Count'!V149=0,"",'Phytopl Count'!V149*'Phytopl Count'!V$13/'Phytopl Count'!V$8)</f>
        <v/>
      </c>
      <c r="W149" s="31" t="str">
        <f>IF('Phytopl Count'!W149=0,"",'Phytopl Count'!W149*'Phytopl Count'!W$13/'Phytopl Count'!W$8)</f>
        <v/>
      </c>
      <c r="X149" s="31" t="str">
        <f>IF('Phytopl Count'!X149=0,"",'Phytopl Count'!X149*'Phytopl Count'!X$13/'Phytopl Count'!X$8)</f>
        <v/>
      </c>
      <c r="Y149" s="31" t="str">
        <f>IF('Phytopl Count'!Y149=0,"",'Phytopl Count'!Y149*'Phytopl Count'!Y$13/'Phytopl Count'!Y$8)</f>
        <v/>
      </c>
      <c r="Z149" s="31" t="str">
        <f>IF('Phytopl Count'!Z149=0,"",'Phytopl Count'!Z149*'Phytopl Count'!Z$13/'Phytopl Count'!Z$8)</f>
        <v/>
      </c>
      <c r="AA149" s="31" t="str">
        <f>IF('Phytopl Count'!AA149=0,"",'Phytopl Count'!AA149*'Phytopl Count'!AA$13/'Phytopl Count'!AA$8)</f>
        <v/>
      </c>
      <c r="AB149" s="31" t="str">
        <f>IF('Phytopl Count'!AB149=0,"",'Phytopl Count'!AB149*'Phytopl Count'!AB$13/'Phytopl Count'!AB$8)</f>
        <v/>
      </c>
      <c r="AC149" s="31" t="str">
        <f>IF('Phytopl Count'!AC149=0,"",'Phytopl Count'!AC149*'Phytopl Count'!AC$13/'Phytopl Count'!AC$8)</f>
        <v/>
      </c>
      <c r="AD149" s="31" t="str">
        <f>IF('Phytopl Count'!AD149=0,"",'Phytopl Count'!AD149*'Phytopl Count'!AD$13/'Phytopl Count'!AD$8)</f>
        <v/>
      </c>
      <c r="AE149" s="31" t="str">
        <f>IF('Phytopl Count'!AE149=0,"",'Phytopl Count'!AE149*'Phytopl Count'!AE$13/'Phytopl Count'!AE$8)</f>
        <v/>
      </c>
      <c r="AF149" s="31" t="str">
        <f>IF('Phytopl Count'!AF149=0,"",'Phytopl Count'!AF149*'Phytopl Count'!AF$13/'Phytopl Count'!AF$8)</f>
        <v/>
      </c>
    </row>
    <row r="150" spans="1:32">
      <c r="A150" s="4"/>
      <c r="B150" s="4"/>
      <c r="C150" s="16" t="s">
        <v>73</v>
      </c>
      <c r="D150" s="4" t="s">
        <v>261</v>
      </c>
      <c r="E150" s="10"/>
      <c r="F150" s="11"/>
      <c r="G150" s="31" t="str">
        <f>IF('Phytopl Count'!G150=0,"",'Phytopl Count'!G150*'Phytopl Count'!G$13/'Phytopl Count'!G$8)</f>
        <v/>
      </c>
      <c r="H150" s="31" t="str">
        <f>IF('Phytopl Count'!H150=0,"",'Phytopl Count'!H150*'Phytopl Count'!H$13/'Phytopl Count'!H$8)</f>
        <v/>
      </c>
      <c r="I150" s="31" t="str">
        <f>IF('Phytopl Count'!I150=0,"",'Phytopl Count'!I150*'Phytopl Count'!I$13/'Phytopl Count'!I$8)</f>
        <v/>
      </c>
      <c r="J150" s="31" t="str">
        <f>IF('Phytopl Count'!J150=0,"",'Phytopl Count'!J150*'Phytopl Count'!J$13/'Phytopl Count'!J$8)</f>
        <v/>
      </c>
      <c r="K150" s="31" t="str">
        <f>IF('Phytopl Count'!K150=0,"",'Phytopl Count'!K150*'Phytopl Count'!K$13/'Phytopl Count'!K$8)</f>
        <v/>
      </c>
      <c r="L150" s="31" t="str">
        <f>IF('Phytopl Count'!L150=0,"",'Phytopl Count'!L150*'Phytopl Count'!L$13/'Phytopl Count'!L$8)</f>
        <v/>
      </c>
      <c r="M150" s="31" t="str">
        <f>IF('Phytopl Count'!M150=0,"",'Phytopl Count'!M150*'Phytopl Count'!M$13/'Phytopl Count'!M$8)</f>
        <v/>
      </c>
      <c r="N150" s="31" t="str">
        <f>IF('Phytopl Count'!N150=0,"",'Phytopl Count'!N150*'Phytopl Count'!N$13/'Phytopl Count'!N$8)</f>
        <v/>
      </c>
      <c r="O150" s="31" t="str">
        <f>IF('Phytopl Count'!O150=0,"",'Phytopl Count'!O150*'Phytopl Count'!O$13/'Phytopl Count'!O$8)</f>
        <v/>
      </c>
      <c r="P150" s="31" t="str">
        <f>IF('Phytopl Count'!P150=0,"",'Phytopl Count'!P150*'Phytopl Count'!P$13/'Phytopl Count'!P$8)</f>
        <v/>
      </c>
      <c r="Q150" s="31" t="str">
        <f>IF('Phytopl Count'!Q150=0,"",'Phytopl Count'!Q150*'Phytopl Count'!Q$13/'Phytopl Count'!Q$8)</f>
        <v/>
      </c>
      <c r="R150" s="31" t="str">
        <f>IF('Phytopl Count'!R150=0,"",'Phytopl Count'!R150*'Phytopl Count'!R$13/'Phytopl Count'!R$8)</f>
        <v/>
      </c>
      <c r="S150" s="31" t="str">
        <f>IF('Phytopl Count'!S150=0,"",'Phytopl Count'!S150*'Phytopl Count'!S$13/'Phytopl Count'!S$8)</f>
        <v/>
      </c>
      <c r="T150" s="31" t="str">
        <f>IF('Phytopl Count'!T150=0,"",'Phytopl Count'!T150*'Phytopl Count'!T$13/'Phytopl Count'!T$8)</f>
        <v/>
      </c>
      <c r="U150" s="31" t="str">
        <f>IF('Phytopl Count'!U150=0,"",'Phytopl Count'!U150*'Phytopl Count'!U$13/'Phytopl Count'!U$8)</f>
        <v/>
      </c>
      <c r="V150" s="31" t="str">
        <f>IF('Phytopl Count'!V150=0,"",'Phytopl Count'!V150*'Phytopl Count'!V$13/'Phytopl Count'!V$8)</f>
        <v/>
      </c>
      <c r="W150" s="31" t="str">
        <f>IF('Phytopl Count'!W150=0,"",'Phytopl Count'!W150*'Phytopl Count'!W$13/'Phytopl Count'!W$8)</f>
        <v/>
      </c>
      <c r="X150" s="31" t="str">
        <f>IF('Phytopl Count'!X150=0,"",'Phytopl Count'!X150*'Phytopl Count'!X$13/'Phytopl Count'!X$8)</f>
        <v/>
      </c>
      <c r="Y150" s="31" t="str">
        <f>IF('Phytopl Count'!Y150=0,"",'Phytopl Count'!Y150*'Phytopl Count'!Y$13/'Phytopl Count'!Y$8)</f>
        <v/>
      </c>
      <c r="Z150" s="31" t="str">
        <f>IF('Phytopl Count'!Z150=0,"",'Phytopl Count'!Z150*'Phytopl Count'!Z$13/'Phytopl Count'!Z$8)</f>
        <v/>
      </c>
      <c r="AA150" s="31" t="str">
        <f>IF('Phytopl Count'!AA150=0,"",'Phytopl Count'!AA150*'Phytopl Count'!AA$13/'Phytopl Count'!AA$8)</f>
        <v/>
      </c>
      <c r="AB150" s="31" t="str">
        <f>IF('Phytopl Count'!AB150=0,"",'Phytopl Count'!AB150*'Phytopl Count'!AB$13/'Phytopl Count'!AB$8)</f>
        <v/>
      </c>
      <c r="AC150" s="31" t="str">
        <f>IF('Phytopl Count'!AC150=0,"",'Phytopl Count'!AC150*'Phytopl Count'!AC$13/'Phytopl Count'!AC$8)</f>
        <v/>
      </c>
      <c r="AD150" s="31" t="str">
        <f>IF('Phytopl Count'!AD150=0,"",'Phytopl Count'!AD150*'Phytopl Count'!AD$13/'Phytopl Count'!AD$8)</f>
        <v/>
      </c>
      <c r="AE150" s="31" t="str">
        <f>IF('Phytopl Count'!AE150=0,"",'Phytopl Count'!AE150*'Phytopl Count'!AE$13/'Phytopl Count'!AE$8)</f>
        <v/>
      </c>
      <c r="AF150" s="31" t="str">
        <f>IF('Phytopl Count'!AF150=0,"",'Phytopl Count'!AF150*'Phytopl Count'!AF$13/'Phytopl Count'!AF$8)</f>
        <v/>
      </c>
    </row>
    <row r="151" spans="1:32">
      <c r="D151" s="10" t="s">
        <v>5</v>
      </c>
      <c r="E151" s="104" t="s">
        <v>262</v>
      </c>
      <c r="F151" s="9"/>
      <c r="G151" s="31" t="str">
        <f>IF('Phytopl Count'!G151=0,"",'Phytopl Count'!G151*'Phytopl Count'!G$13/'Phytopl Count'!G$8)</f>
        <v/>
      </c>
      <c r="H151" s="31" t="str">
        <f>IF('Phytopl Count'!H151=0,"",'Phytopl Count'!H151*'Phytopl Count'!H$13/'Phytopl Count'!H$8)</f>
        <v/>
      </c>
      <c r="I151" s="31" t="str">
        <f>IF('Phytopl Count'!I151=0,"",'Phytopl Count'!I151*'Phytopl Count'!I$13/'Phytopl Count'!I$8)</f>
        <v/>
      </c>
      <c r="J151" s="31" t="str">
        <f>IF('Phytopl Count'!J151=0,"",'Phytopl Count'!J151*'Phytopl Count'!J$13/'Phytopl Count'!J$8)</f>
        <v/>
      </c>
      <c r="K151" s="31" t="str">
        <f>IF('Phytopl Count'!K151=0,"",'Phytopl Count'!K151*'Phytopl Count'!K$13/'Phytopl Count'!K$8)</f>
        <v/>
      </c>
      <c r="L151" s="31" t="str">
        <f>IF('Phytopl Count'!L151=0,"",'Phytopl Count'!L151*'Phytopl Count'!L$13/'Phytopl Count'!L$8)</f>
        <v/>
      </c>
      <c r="M151" s="31" t="str">
        <f>IF('Phytopl Count'!M151=0,"",'Phytopl Count'!M151*'Phytopl Count'!M$13/'Phytopl Count'!M$8)</f>
        <v/>
      </c>
      <c r="N151" s="31" t="str">
        <f>IF('Phytopl Count'!N151=0,"",'Phytopl Count'!N151*'Phytopl Count'!N$13/'Phytopl Count'!N$8)</f>
        <v/>
      </c>
      <c r="O151" s="31" t="str">
        <f>IF('Phytopl Count'!O151=0,"",'Phytopl Count'!O151*'Phytopl Count'!O$13/'Phytopl Count'!O$8)</f>
        <v/>
      </c>
      <c r="P151" s="31" t="str">
        <f>IF('Phytopl Count'!P151=0,"",'Phytopl Count'!P151*'Phytopl Count'!P$13/'Phytopl Count'!P$8)</f>
        <v/>
      </c>
      <c r="Q151" s="31" t="str">
        <f>IF('Phytopl Count'!Q151=0,"",'Phytopl Count'!Q151*'Phytopl Count'!Q$13/'Phytopl Count'!Q$8)</f>
        <v/>
      </c>
      <c r="R151" s="31" t="str">
        <f>IF('Phytopl Count'!R151=0,"",'Phytopl Count'!R151*'Phytopl Count'!R$13/'Phytopl Count'!R$8)</f>
        <v/>
      </c>
      <c r="S151" s="31" t="str">
        <f>IF('Phytopl Count'!S151=0,"",'Phytopl Count'!S151*'Phytopl Count'!S$13/'Phytopl Count'!S$8)</f>
        <v/>
      </c>
      <c r="T151" s="31" t="str">
        <f>IF('Phytopl Count'!T151=0,"",'Phytopl Count'!T151*'Phytopl Count'!T$13/'Phytopl Count'!T$8)</f>
        <v/>
      </c>
      <c r="U151" s="31" t="str">
        <f>IF('Phytopl Count'!U151=0,"",'Phytopl Count'!U151*'Phytopl Count'!U$13/'Phytopl Count'!U$8)</f>
        <v/>
      </c>
      <c r="V151" s="31" t="str">
        <f>IF('Phytopl Count'!V151=0,"",'Phytopl Count'!V151*'Phytopl Count'!V$13/'Phytopl Count'!V$8)</f>
        <v/>
      </c>
      <c r="W151" s="31" t="str">
        <f>IF('Phytopl Count'!W151=0,"",'Phytopl Count'!W151*'Phytopl Count'!W$13/'Phytopl Count'!W$8)</f>
        <v/>
      </c>
      <c r="X151" s="31" t="str">
        <f>IF('Phytopl Count'!X151=0,"",'Phytopl Count'!X151*'Phytopl Count'!X$13/'Phytopl Count'!X$8)</f>
        <v/>
      </c>
      <c r="Y151" s="31" t="str">
        <f>IF('Phytopl Count'!Y151=0,"",'Phytopl Count'!Y151*'Phytopl Count'!Y$13/'Phytopl Count'!Y$8)</f>
        <v/>
      </c>
      <c r="Z151" s="31" t="str">
        <f>IF('Phytopl Count'!Z151=0,"",'Phytopl Count'!Z151*'Phytopl Count'!Z$13/'Phytopl Count'!Z$8)</f>
        <v/>
      </c>
      <c r="AA151" s="31" t="str">
        <f>IF('Phytopl Count'!AA151=0,"",'Phytopl Count'!AA151*'Phytopl Count'!AA$13/'Phytopl Count'!AA$8)</f>
        <v/>
      </c>
      <c r="AB151" s="31" t="str">
        <f>IF('Phytopl Count'!AB151=0,"",'Phytopl Count'!AB151*'Phytopl Count'!AB$13/'Phytopl Count'!AB$8)</f>
        <v/>
      </c>
      <c r="AC151" s="31" t="str">
        <f>IF('Phytopl Count'!AC151=0,"",'Phytopl Count'!AC151*'Phytopl Count'!AC$13/'Phytopl Count'!AC$8)</f>
        <v/>
      </c>
      <c r="AD151" s="31" t="str">
        <f>IF('Phytopl Count'!AD151=0,"",'Phytopl Count'!AD151*'Phytopl Count'!AD$13/'Phytopl Count'!AD$8)</f>
        <v/>
      </c>
      <c r="AE151" s="31" t="str">
        <f>IF('Phytopl Count'!AE151=0,"",'Phytopl Count'!AE151*'Phytopl Count'!AE$13/'Phytopl Count'!AE$8)</f>
        <v/>
      </c>
      <c r="AF151" s="31" t="str">
        <f>IF('Phytopl Count'!AF151=0,"",'Phytopl Count'!AF151*'Phytopl Count'!AF$13/'Phytopl Count'!AF$8)</f>
        <v/>
      </c>
    </row>
    <row r="152" spans="1:32">
      <c r="E152" s="10" t="s">
        <v>6</v>
      </c>
      <c r="F152" s="11" t="s">
        <v>276</v>
      </c>
      <c r="G152" s="31" t="str">
        <f>IF('Phytopl Count'!G152=0,"",'Phytopl Count'!G152*'Phytopl Count'!G$13/'Phytopl Count'!G$8)</f>
        <v/>
      </c>
      <c r="H152" s="31" t="str">
        <f>IF('Phytopl Count'!H152=0,"",'Phytopl Count'!H152*'Phytopl Count'!H$13/'Phytopl Count'!H$8)</f>
        <v/>
      </c>
      <c r="I152" s="31" t="str">
        <f>IF('Phytopl Count'!I152=0,"",'Phytopl Count'!I152*'Phytopl Count'!I$13/'Phytopl Count'!I$8)</f>
        <v/>
      </c>
      <c r="J152" s="31" t="str">
        <f>IF('Phytopl Count'!J152=0,"",'Phytopl Count'!J152*'Phytopl Count'!J$13/'Phytopl Count'!J$8)</f>
        <v/>
      </c>
      <c r="K152" s="31" t="str">
        <f>IF('Phytopl Count'!K152=0,"",'Phytopl Count'!K152*'Phytopl Count'!K$13/'Phytopl Count'!K$8)</f>
        <v/>
      </c>
      <c r="L152" s="31" t="str">
        <f>IF('Phytopl Count'!L152=0,"",'Phytopl Count'!L152*'Phytopl Count'!L$13/'Phytopl Count'!L$8)</f>
        <v/>
      </c>
      <c r="M152" s="31" t="str">
        <f>IF('Phytopl Count'!M152=0,"",'Phytopl Count'!M152*'Phytopl Count'!M$13/'Phytopl Count'!M$8)</f>
        <v/>
      </c>
      <c r="N152" s="31" t="str">
        <f>IF('Phytopl Count'!N152=0,"",'Phytopl Count'!N152*'Phytopl Count'!N$13/'Phytopl Count'!N$8)</f>
        <v/>
      </c>
      <c r="O152" s="31" t="str">
        <f>IF('Phytopl Count'!O152=0,"",'Phytopl Count'!O152*'Phytopl Count'!O$13/'Phytopl Count'!O$8)</f>
        <v/>
      </c>
      <c r="P152" s="31" t="str">
        <f>IF('Phytopl Count'!P152=0,"",'Phytopl Count'!P152*'Phytopl Count'!P$13/'Phytopl Count'!P$8)</f>
        <v/>
      </c>
      <c r="Q152" s="31" t="str">
        <f>IF('Phytopl Count'!Q152=0,"",'Phytopl Count'!Q152*'Phytopl Count'!Q$13/'Phytopl Count'!Q$8)</f>
        <v/>
      </c>
      <c r="R152" s="31">
        <f>IF('Phytopl Count'!R152=0,"",'Phytopl Count'!R152*'Phytopl Count'!R$13/'Phytopl Count'!R$8)</f>
        <v>3.2031183515350004E-2</v>
      </c>
      <c r="S152" s="31" t="str">
        <f>IF('Phytopl Count'!S152=0,"",'Phytopl Count'!S152*'Phytopl Count'!S$13/'Phytopl Count'!S$8)</f>
        <v/>
      </c>
      <c r="T152" s="31" t="str">
        <f>IF('Phytopl Count'!T152=0,"",'Phytopl Count'!T152*'Phytopl Count'!T$13/'Phytopl Count'!T$8)</f>
        <v/>
      </c>
      <c r="U152" s="31" t="str">
        <f>IF('Phytopl Count'!U152=0,"",'Phytopl Count'!U152*'Phytopl Count'!U$13/'Phytopl Count'!U$8)</f>
        <v/>
      </c>
      <c r="V152" s="31" t="str">
        <f>IF('Phytopl Count'!V152=0,"",'Phytopl Count'!V152*'Phytopl Count'!V$13/'Phytopl Count'!V$8)</f>
        <v/>
      </c>
      <c r="W152" s="31" t="str">
        <f>IF('Phytopl Count'!W152=0,"",'Phytopl Count'!W152*'Phytopl Count'!W$13/'Phytopl Count'!W$8)</f>
        <v/>
      </c>
      <c r="X152" s="31" t="str">
        <f>IF('Phytopl Count'!X152=0,"",'Phytopl Count'!X152*'Phytopl Count'!X$13/'Phytopl Count'!X$8)</f>
        <v/>
      </c>
      <c r="Y152" s="31" t="str">
        <f>IF('Phytopl Count'!Y152=0,"",'Phytopl Count'!Y152*'Phytopl Count'!Y$13/'Phytopl Count'!Y$8)</f>
        <v/>
      </c>
      <c r="Z152" s="31" t="str">
        <f>IF('Phytopl Count'!Z152=0,"",'Phytopl Count'!Z152*'Phytopl Count'!Z$13/'Phytopl Count'!Z$8)</f>
        <v/>
      </c>
      <c r="AA152" s="31" t="str">
        <f>IF('Phytopl Count'!AA152=0,"",'Phytopl Count'!AA152*'Phytopl Count'!AA$13/'Phytopl Count'!AA$8)</f>
        <v/>
      </c>
      <c r="AB152" s="31" t="str">
        <f>IF('Phytopl Count'!AB152=0,"",'Phytopl Count'!AB152*'Phytopl Count'!AB$13/'Phytopl Count'!AB$8)</f>
        <v/>
      </c>
      <c r="AC152" s="31" t="str">
        <f>IF('Phytopl Count'!AC152=0,"",'Phytopl Count'!AC152*'Phytopl Count'!AC$13/'Phytopl Count'!AC$8)</f>
        <v/>
      </c>
      <c r="AD152" s="31" t="str">
        <f>IF('Phytopl Count'!AD152=0,"",'Phytopl Count'!AD152*'Phytopl Count'!AD$13/'Phytopl Count'!AD$8)</f>
        <v/>
      </c>
      <c r="AE152" s="31" t="str">
        <f>IF('Phytopl Count'!AE152=0,"",'Phytopl Count'!AE152*'Phytopl Count'!AE$13/'Phytopl Count'!AE$8)</f>
        <v/>
      </c>
      <c r="AF152" s="31" t="str">
        <f>IF('Phytopl Count'!AF152=0,"",'Phytopl Count'!AF152*'Phytopl Count'!AF$13/'Phytopl Count'!AF$8)</f>
        <v/>
      </c>
    </row>
    <row r="153" spans="1:32" hidden="1">
      <c r="E153" s="10"/>
      <c r="F153" s="11" t="s">
        <v>263</v>
      </c>
      <c r="G153" s="31" t="str">
        <f>IF('Phytopl Count'!G153=0,"",'Phytopl Count'!G153*'Phytopl Count'!G$13/'Phytopl Count'!G$8)</f>
        <v/>
      </c>
      <c r="H153" s="31" t="str">
        <f>IF('Phytopl Count'!H153=0,"",'Phytopl Count'!H153*'Phytopl Count'!H$13/'Phytopl Count'!H$8)</f>
        <v/>
      </c>
      <c r="I153" s="31" t="str">
        <f>IF('Phytopl Count'!I153=0,"",'Phytopl Count'!I153*'Phytopl Count'!I$13/'Phytopl Count'!I$8)</f>
        <v/>
      </c>
      <c r="J153" s="31" t="str">
        <f>IF('Phytopl Count'!J153=0,"",'Phytopl Count'!J153*'Phytopl Count'!J$13/'Phytopl Count'!J$8)</f>
        <v/>
      </c>
      <c r="K153" s="31" t="str">
        <f>IF('Phytopl Count'!K153=0,"",'Phytopl Count'!K153*'Phytopl Count'!K$13/'Phytopl Count'!K$8)</f>
        <v/>
      </c>
      <c r="L153" s="31" t="str">
        <f>IF('Phytopl Count'!L153=0,"",'Phytopl Count'!L153*'Phytopl Count'!L$13/'Phytopl Count'!L$8)</f>
        <v/>
      </c>
      <c r="M153" s="31" t="str">
        <f>IF('Phytopl Count'!M153=0,"",'Phytopl Count'!M153*'Phytopl Count'!M$13/'Phytopl Count'!M$8)</f>
        <v/>
      </c>
      <c r="N153" s="31" t="str">
        <f>IF('Phytopl Count'!N153=0,"",'Phytopl Count'!N153*'Phytopl Count'!N$13/'Phytopl Count'!N$8)</f>
        <v/>
      </c>
      <c r="O153" s="31" t="str">
        <f>IF('Phytopl Count'!O153=0,"",'Phytopl Count'!O153*'Phytopl Count'!O$13/'Phytopl Count'!O$8)</f>
        <v/>
      </c>
      <c r="P153" s="31" t="str">
        <f>IF('Phytopl Count'!P153=0,"",'Phytopl Count'!P153*'Phytopl Count'!P$13/'Phytopl Count'!P$8)</f>
        <v/>
      </c>
      <c r="Q153" s="31" t="str">
        <f>IF('Phytopl Count'!Q153=0,"",'Phytopl Count'!Q153*'Phytopl Count'!Q$13/'Phytopl Count'!Q$8)</f>
        <v/>
      </c>
      <c r="R153" s="31" t="str">
        <f>IF('Phytopl Count'!R153=0,"",'Phytopl Count'!R153*'Phytopl Count'!R$13/'Phytopl Count'!R$8)</f>
        <v/>
      </c>
      <c r="S153" s="31" t="str">
        <f>IF('Phytopl Count'!S153=0,"",'Phytopl Count'!S153*'Phytopl Count'!S$13/'Phytopl Count'!S$8)</f>
        <v/>
      </c>
      <c r="T153" s="31" t="str">
        <f>IF('Phytopl Count'!T153=0,"",'Phytopl Count'!T153*'Phytopl Count'!T$13/'Phytopl Count'!T$8)</f>
        <v/>
      </c>
      <c r="U153" s="31" t="str">
        <f>IF('Phytopl Count'!U153=0,"",'Phytopl Count'!U153*'Phytopl Count'!U$13/'Phytopl Count'!U$8)</f>
        <v/>
      </c>
      <c r="V153" s="31" t="str">
        <f>IF('Phytopl Count'!V153=0,"",'Phytopl Count'!V153*'Phytopl Count'!V$13/'Phytopl Count'!V$8)</f>
        <v/>
      </c>
      <c r="W153" s="31" t="str">
        <f>IF('Phytopl Count'!W153=0,"",'Phytopl Count'!W153*'Phytopl Count'!W$13/'Phytopl Count'!W$8)</f>
        <v/>
      </c>
      <c r="X153" s="31" t="str">
        <f>IF('Phytopl Count'!X153=0,"",'Phytopl Count'!X153*'Phytopl Count'!X$13/'Phytopl Count'!X$8)</f>
        <v/>
      </c>
      <c r="Y153" s="31" t="str">
        <f>IF('Phytopl Count'!Y153=0,"",'Phytopl Count'!Y153*'Phytopl Count'!Y$13/'Phytopl Count'!Y$8)</f>
        <v/>
      </c>
      <c r="Z153" s="31" t="str">
        <f>IF('Phytopl Count'!Z153=0,"",'Phytopl Count'!Z153*'Phytopl Count'!Z$13/'Phytopl Count'!Z$8)</f>
        <v/>
      </c>
      <c r="AA153" s="31" t="str">
        <f>IF('Phytopl Count'!AA153=0,"",'Phytopl Count'!AA153*'Phytopl Count'!AA$13/'Phytopl Count'!AA$8)</f>
        <v/>
      </c>
      <c r="AB153" s="31" t="str">
        <f>IF('Phytopl Count'!AB153=0,"",'Phytopl Count'!AB153*'Phytopl Count'!AB$13/'Phytopl Count'!AB$8)</f>
        <v/>
      </c>
      <c r="AC153" s="31" t="str">
        <f>IF('Phytopl Count'!AC153=0,"",'Phytopl Count'!AC153*'Phytopl Count'!AC$13/'Phytopl Count'!AC$8)</f>
        <v/>
      </c>
      <c r="AD153" s="31" t="str">
        <f>IF('Phytopl Count'!AD153=0,"",'Phytopl Count'!AD153*'Phytopl Count'!AD$13/'Phytopl Count'!AD$8)</f>
        <v/>
      </c>
      <c r="AE153" s="31" t="str">
        <f>IF('Phytopl Count'!AE153=0,"",'Phytopl Count'!AE153*'Phytopl Count'!AE$13/'Phytopl Count'!AE$8)</f>
        <v/>
      </c>
      <c r="AF153" s="31" t="str">
        <f>IF('Phytopl Count'!AF153=0,"",'Phytopl Count'!AF153*'Phytopl Count'!AF$13/'Phytopl Count'!AF$8)</f>
        <v/>
      </c>
    </row>
    <row r="154" spans="1:32">
      <c r="E154" s="10"/>
      <c r="F154" s="11"/>
      <c r="G154" s="31" t="str">
        <f>IF('Phytopl Count'!G154=0,"",'Phytopl Count'!G154*'Phytopl Count'!G$13/'Phytopl Count'!G$8)</f>
        <v/>
      </c>
      <c r="H154" s="31" t="str">
        <f>IF('Phytopl Count'!H154=0,"",'Phytopl Count'!H154*'Phytopl Count'!H$13/'Phytopl Count'!H$8)</f>
        <v/>
      </c>
      <c r="I154" s="31" t="str">
        <f>IF('Phytopl Count'!I154=0,"",'Phytopl Count'!I154*'Phytopl Count'!I$13/'Phytopl Count'!I$8)</f>
        <v/>
      </c>
      <c r="J154" s="31" t="str">
        <f>IF('Phytopl Count'!J154=0,"",'Phytopl Count'!J154*'Phytopl Count'!J$13/'Phytopl Count'!J$8)</f>
        <v/>
      </c>
      <c r="K154" s="31" t="str">
        <f>IF('Phytopl Count'!K154=0,"",'Phytopl Count'!K154*'Phytopl Count'!K$13/'Phytopl Count'!K$8)</f>
        <v/>
      </c>
      <c r="L154" s="31" t="str">
        <f>IF('Phytopl Count'!L154=0,"",'Phytopl Count'!L154*'Phytopl Count'!L$13/'Phytopl Count'!L$8)</f>
        <v/>
      </c>
      <c r="M154" s="31" t="str">
        <f>IF('Phytopl Count'!M154=0,"",'Phytopl Count'!M154*'Phytopl Count'!M$13/'Phytopl Count'!M$8)</f>
        <v/>
      </c>
      <c r="N154" s="31" t="str">
        <f>IF('Phytopl Count'!N154=0,"",'Phytopl Count'!N154*'Phytopl Count'!N$13/'Phytopl Count'!N$8)</f>
        <v/>
      </c>
      <c r="O154" s="31" t="str">
        <f>IF('Phytopl Count'!O154=0,"",'Phytopl Count'!O154*'Phytopl Count'!O$13/'Phytopl Count'!O$8)</f>
        <v/>
      </c>
      <c r="P154" s="31" t="str">
        <f>IF('Phytopl Count'!P154=0,"",'Phytopl Count'!P154*'Phytopl Count'!P$13/'Phytopl Count'!P$8)</f>
        <v/>
      </c>
      <c r="Q154" s="31" t="str">
        <f>IF('Phytopl Count'!Q154=0,"",'Phytopl Count'!Q154*'Phytopl Count'!Q$13/'Phytopl Count'!Q$8)</f>
        <v/>
      </c>
      <c r="R154" s="31" t="str">
        <f>IF('Phytopl Count'!R154=0,"",'Phytopl Count'!R154*'Phytopl Count'!R$13/'Phytopl Count'!R$8)</f>
        <v/>
      </c>
      <c r="S154" s="31" t="str">
        <f>IF('Phytopl Count'!S154=0,"",'Phytopl Count'!S154*'Phytopl Count'!S$13/'Phytopl Count'!S$8)</f>
        <v/>
      </c>
      <c r="T154" s="31" t="str">
        <f>IF('Phytopl Count'!T154=0,"",'Phytopl Count'!T154*'Phytopl Count'!T$13/'Phytopl Count'!T$8)</f>
        <v/>
      </c>
      <c r="U154" s="31" t="str">
        <f>IF('Phytopl Count'!U154=0,"",'Phytopl Count'!U154*'Phytopl Count'!U$13/'Phytopl Count'!U$8)</f>
        <v/>
      </c>
      <c r="V154" s="31" t="str">
        <f>IF('Phytopl Count'!V154=0,"",'Phytopl Count'!V154*'Phytopl Count'!V$13/'Phytopl Count'!V$8)</f>
        <v/>
      </c>
      <c r="W154" s="31" t="str">
        <f>IF('Phytopl Count'!W154=0,"",'Phytopl Count'!W154*'Phytopl Count'!W$13/'Phytopl Count'!W$8)</f>
        <v/>
      </c>
      <c r="X154" s="31" t="str">
        <f>IF('Phytopl Count'!X154=0,"",'Phytopl Count'!X154*'Phytopl Count'!X$13/'Phytopl Count'!X$8)</f>
        <v/>
      </c>
      <c r="Y154" s="31" t="str">
        <f>IF('Phytopl Count'!Y154=0,"",'Phytopl Count'!Y154*'Phytopl Count'!Y$13/'Phytopl Count'!Y$8)</f>
        <v/>
      </c>
      <c r="Z154" s="31" t="str">
        <f>IF('Phytopl Count'!Z154=0,"",'Phytopl Count'!Z154*'Phytopl Count'!Z$13/'Phytopl Count'!Z$8)</f>
        <v/>
      </c>
      <c r="AA154" s="31" t="str">
        <f>IF('Phytopl Count'!AA154=0,"",'Phytopl Count'!AA154*'Phytopl Count'!AA$13/'Phytopl Count'!AA$8)</f>
        <v/>
      </c>
      <c r="AB154" s="31" t="str">
        <f>IF('Phytopl Count'!AB154=0,"",'Phytopl Count'!AB154*'Phytopl Count'!AB$13/'Phytopl Count'!AB$8)</f>
        <v/>
      </c>
      <c r="AC154" s="31" t="str">
        <f>IF('Phytopl Count'!AC154=0,"",'Phytopl Count'!AC154*'Phytopl Count'!AC$13/'Phytopl Count'!AC$8)</f>
        <v/>
      </c>
      <c r="AD154" s="31" t="str">
        <f>IF('Phytopl Count'!AD154=0,"",'Phytopl Count'!AD154*'Phytopl Count'!AD$13/'Phytopl Count'!AD$8)</f>
        <v/>
      </c>
      <c r="AE154" s="31" t="str">
        <f>IF('Phytopl Count'!AE154=0,"",'Phytopl Count'!AE154*'Phytopl Count'!AE$13/'Phytopl Count'!AE$8)</f>
        <v/>
      </c>
      <c r="AF154" s="31" t="str">
        <f>IF('Phytopl Count'!AF154=0,"",'Phytopl Count'!AF154*'Phytopl Count'!AF$13/'Phytopl Count'!AF$8)</f>
        <v/>
      </c>
    </row>
    <row r="155" spans="1:32">
      <c r="A155" s="16"/>
      <c r="B155" s="16" t="s">
        <v>72</v>
      </c>
      <c r="C155" s="28" t="s">
        <v>233</v>
      </c>
      <c r="D155" s="4"/>
      <c r="F155" s="9"/>
      <c r="G155" s="31" t="str">
        <f>IF('Phytopl Count'!G155=0,"",'Phytopl Count'!G155*'Phytopl Count'!G$13/'Phytopl Count'!G$8)</f>
        <v/>
      </c>
      <c r="H155" s="31" t="str">
        <f>IF('Phytopl Count'!H155=0,"",'Phytopl Count'!H155*'Phytopl Count'!H$13/'Phytopl Count'!H$8)</f>
        <v/>
      </c>
      <c r="I155" s="31" t="str">
        <f>IF('Phytopl Count'!I155=0,"",'Phytopl Count'!I155*'Phytopl Count'!I$13/'Phytopl Count'!I$8)</f>
        <v/>
      </c>
      <c r="J155" s="31" t="str">
        <f>IF('Phytopl Count'!J155=0,"",'Phytopl Count'!J155*'Phytopl Count'!J$13/'Phytopl Count'!J$8)</f>
        <v/>
      </c>
      <c r="K155" s="31" t="str">
        <f>IF('Phytopl Count'!K155=0,"",'Phytopl Count'!K155*'Phytopl Count'!K$13/'Phytopl Count'!K$8)</f>
        <v/>
      </c>
      <c r="L155" s="31" t="str">
        <f>IF('Phytopl Count'!L155=0,"",'Phytopl Count'!L155*'Phytopl Count'!L$13/'Phytopl Count'!L$8)</f>
        <v/>
      </c>
      <c r="M155" s="31" t="str">
        <f>IF('Phytopl Count'!M155=0,"",'Phytopl Count'!M155*'Phytopl Count'!M$13/'Phytopl Count'!M$8)</f>
        <v/>
      </c>
      <c r="N155" s="31" t="str">
        <f>IF('Phytopl Count'!N155=0,"",'Phytopl Count'!N155*'Phytopl Count'!N$13/'Phytopl Count'!N$8)</f>
        <v/>
      </c>
      <c r="O155" s="31" t="str">
        <f>IF('Phytopl Count'!O155=0,"",'Phytopl Count'!O155*'Phytopl Count'!O$13/'Phytopl Count'!O$8)</f>
        <v/>
      </c>
      <c r="P155" s="31" t="str">
        <f>IF('Phytopl Count'!P155=0,"",'Phytopl Count'!P155*'Phytopl Count'!P$13/'Phytopl Count'!P$8)</f>
        <v/>
      </c>
      <c r="Q155" s="31" t="str">
        <f>IF('Phytopl Count'!Q155=0,"",'Phytopl Count'!Q155*'Phytopl Count'!Q$13/'Phytopl Count'!Q$8)</f>
        <v/>
      </c>
      <c r="R155" s="31" t="str">
        <f>IF('Phytopl Count'!R155=0,"",'Phytopl Count'!R155*'Phytopl Count'!R$13/'Phytopl Count'!R$8)</f>
        <v/>
      </c>
      <c r="S155" s="31" t="str">
        <f>IF('Phytopl Count'!S155=0,"",'Phytopl Count'!S155*'Phytopl Count'!S$13/'Phytopl Count'!S$8)</f>
        <v/>
      </c>
      <c r="T155" s="31" t="str">
        <f>IF('Phytopl Count'!T155=0,"",'Phytopl Count'!T155*'Phytopl Count'!T$13/'Phytopl Count'!T$8)</f>
        <v/>
      </c>
      <c r="U155" s="31" t="str">
        <f>IF('Phytopl Count'!U155=0,"",'Phytopl Count'!U155*'Phytopl Count'!U$13/'Phytopl Count'!U$8)</f>
        <v/>
      </c>
      <c r="V155" s="31" t="str">
        <f>IF('Phytopl Count'!V155=0,"",'Phytopl Count'!V155*'Phytopl Count'!V$13/'Phytopl Count'!V$8)</f>
        <v/>
      </c>
      <c r="W155" s="31" t="str">
        <f>IF('Phytopl Count'!W155=0,"",'Phytopl Count'!W155*'Phytopl Count'!W$13/'Phytopl Count'!W$8)</f>
        <v/>
      </c>
      <c r="X155" s="31" t="str">
        <f>IF('Phytopl Count'!X155=0,"",'Phytopl Count'!X155*'Phytopl Count'!X$13/'Phytopl Count'!X$8)</f>
        <v/>
      </c>
      <c r="Y155" s="31" t="str">
        <f>IF('Phytopl Count'!Y155=0,"",'Phytopl Count'!Y155*'Phytopl Count'!Y$13/'Phytopl Count'!Y$8)</f>
        <v/>
      </c>
      <c r="Z155" s="31" t="str">
        <f>IF('Phytopl Count'!Z155=0,"",'Phytopl Count'!Z155*'Phytopl Count'!Z$13/'Phytopl Count'!Z$8)</f>
        <v/>
      </c>
      <c r="AA155" s="31" t="str">
        <f>IF('Phytopl Count'!AA155=0,"",'Phytopl Count'!AA155*'Phytopl Count'!AA$13/'Phytopl Count'!AA$8)</f>
        <v/>
      </c>
      <c r="AB155" s="31" t="str">
        <f>IF('Phytopl Count'!AB155=0,"",'Phytopl Count'!AB155*'Phytopl Count'!AB$13/'Phytopl Count'!AB$8)</f>
        <v/>
      </c>
      <c r="AC155" s="31" t="str">
        <f>IF('Phytopl Count'!AC155=0,"",'Phytopl Count'!AC155*'Phytopl Count'!AC$13/'Phytopl Count'!AC$8)</f>
        <v/>
      </c>
      <c r="AD155" s="31" t="str">
        <f>IF('Phytopl Count'!AD155=0,"",'Phytopl Count'!AD155*'Phytopl Count'!AD$13/'Phytopl Count'!AD$8)</f>
        <v/>
      </c>
      <c r="AE155" s="31" t="str">
        <f>IF('Phytopl Count'!AE155=0,"",'Phytopl Count'!AE155*'Phytopl Count'!AE$13/'Phytopl Count'!AE$8)</f>
        <v/>
      </c>
      <c r="AF155" s="31" t="str">
        <f>IF('Phytopl Count'!AF155=0,"",'Phytopl Count'!AF155*'Phytopl Count'!AF$13/'Phytopl Count'!AF$8)</f>
        <v/>
      </c>
    </row>
    <row r="156" spans="1:32">
      <c r="A156" s="16"/>
      <c r="B156" s="16"/>
      <c r="C156" s="16" t="s">
        <v>73</v>
      </c>
      <c r="D156" s="4" t="s">
        <v>234</v>
      </c>
      <c r="F156" s="9"/>
      <c r="G156" s="31" t="str">
        <f>IF('Phytopl Count'!G156=0,"",'Phytopl Count'!G156*'Phytopl Count'!G$13/'Phytopl Count'!G$8)</f>
        <v/>
      </c>
      <c r="H156" s="31" t="str">
        <f>IF('Phytopl Count'!H156=0,"",'Phytopl Count'!H156*'Phytopl Count'!H$13/'Phytopl Count'!H$8)</f>
        <v/>
      </c>
      <c r="I156" s="31" t="str">
        <f>IF('Phytopl Count'!I156=0,"",'Phytopl Count'!I156*'Phytopl Count'!I$13/'Phytopl Count'!I$8)</f>
        <v/>
      </c>
      <c r="J156" s="31" t="str">
        <f>IF('Phytopl Count'!J156=0,"",'Phytopl Count'!J156*'Phytopl Count'!J$13/'Phytopl Count'!J$8)</f>
        <v/>
      </c>
      <c r="K156" s="31" t="str">
        <f>IF('Phytopl Count'!K156=0,"",'Phytopl Count'!K156*'Phytopl Count'!K$13/'Phytopl Count'!K$8)</f>
        <v/>
      </c>
      <c r="L156" s="31" t="str">
        <f>IF('Phytopl Count'!L156=0,"",'Phytopl Count'!L156*'Phytopl Count'!L$13/'Phytopl Count'!L$8)</f>
        <v/>
      </c>
      <c r="M156" s="31" t="str">
        <f>IF('Phytopl Count'!M156=0,"",'Phytopl Count'!M156*'Phytopl Count'!M$13/'Phytopl Count'!M$8)</f>
        <v/>
      </c>
      <c r="N156" s="31" t="str">
        <f>IF('Phytopl Count'!N156=0,"",'Phytopl Count'!N156*'Phytopl Count'!N$13/'Phytopl Count'!N$8)</f>
        <v/>
      </c>
      <c r="O156" s="31" t="str">
        <f>IF('Phytopl Count'!O156=0,"",'Phytopl Count'!O156*'Phytopl Count'!O$13/'Phytopl Count'!O$8)</f>
        <v/>
      </c>
      <c r="P156" s="31" t="str">
        <f>IF('Phytopl Count'!P156=0,"",'Phytopl Count'!P156*'Phytopl Count'!P$13/'Phytopl Count'!P$8)</f>
        <v/>
      </c>
      <c r="Q156" s="31" t="str">
        <f>IF('Phytopl Count'!Q156=0,"",'Phytopl Count'!Q156*'Phytopl Count'!Q$13/'Phytopl Count'!Q$8)</f>
        <v/>
      </c>
      <c r="R156" s="31" t="str">
        <f>IF('Phytopl Count'!R156=0,"",'Phytopl Count'!R156*'Phytopl Count'!R$13/'Phytopl Count'!R$8)</f>
        <v/>
      </c>
      <c r="S156" s="31" t="str">
        <f>IF('Phytopl Count'!S156=0,"",'Phytopl Count'!S156*'Phytopl Count'!S$13/'Phytopl Count'!S$8)</f>
        <v/>
      </c>
      <c r="T156" s="31" t="str">
        <f>IF('Phytopl Count'!T156=0,"",'Phytopl Count'!T156*'Phytopl Count'!T$13/'Phytopl Count'!T$8)</f>
        <v/>
      </c>
      <c r="U156" s="31" t="str">
        <f>IF('Phytopl Count'!U156=0,"",'Phytopl Count'!U156*'Phytopl Count'!U$13/'Phytopl Count'!U$8)</f>
        <v/>
      </c>
      <c r="V156" s="31" t="str">
        <f>IF('Phytopl Count'!V156=0,"",'Phytopl Count'!V156*'Phytopl Count'!V$13/'Phytopl Count'!V$8)</f>
        <v/>
      </c>
      <c r="W156" s="31" t="str">
        <f>IF('Phytopl Count'!W156=0,"",'Phytopl Count'!W156*'Phytopl Count'!W$13/'Phytopl Count'!W$8)</f>
        <v/>
      </c>
      <c r="X156" s="31" t="str">
        <f>IF('Phytopl Count'!X156=0,"",'Phytopl Count'!X156*'Phytopl Count'!X$13/'Phytopl Count'!X$8)</f>
        <v/>
      </c>
      <c r="Y156" s="31" t="str">
        <f>IF('Phytopl Count'!Y156=0,"",'Phytopl Count'!Y156*'Phytopl Count'!Y$13/'Phytopl Count'!Y$8)</f>
        <v/>
      </c>
      <c r="Z156" s="31" t="str">
        <f>IF('Phytopl Count'!Z156=0,"",'Phytopl Count'!Z156*'Phytopl Count'!Z$13/'Phytopl Count'!Z$8)</f>
        <v/>
      </c>
      <c r="AA156" s="31" t="str">
        <f>IF('Phytopl Count'!AA156=0,"",'Phytopl Count'!AA156*'Phytopl Count'!AA$13/'Phytopl Count'!AA$8)</f>
        <v/>
      </c>
      <c r="AB156" s="31" t="str">
        <f>IF('Phytopl Count'!AB156=0,"",'Phytopl Count'!AB156*'Phytopl Count'!AB$13/'Phytopl Count'!AB$8)</f>
        <v/>
      </c>
      <c r="AC156" s="31" t="str">
        <f>IF('Phytopl Count'!AC156=0,"",'Phytopl Count'!AC156*'Phytopl Count'!AC$13/'Phytopl Count'!AC$8)</f>
        <v/>
      </c>
      <c r="AD156" s="31" t="str">
        <f>IF('Phytopl Count'!AD156=0,"",'Phytopl Count'!AD156*'Phytopl Count'!AD$13/'Phytopl Count'!AD$8)</f>
        <v/>
      </c>
      <c r="AE156" s="31" t="str">
        <f>IF('Phytopl Count'!AE156=0,"",'Phytopl Count'!AE156*'Phytopl Count'!AE$13/'Phytopl Count'!AE$8)</f>
        <v/>
      </c>
      <c r="AF156" s="31" t="str">
        <f>IF('Phytopl Count'!AF156=0,"",'Phytopl Count'!AF156*'Phytopl Count'!AF$13/'Phytopl Count'!AF$8)</f>
        <v/>
      </c>
    </row>
    <row r="157" spans="1:32">
      <c r="A157" s="10"/>
      <c r="B157" s="10"/>
      <c r="C157" s="10"/>
      <c r="D157" s="10" t="s">
        <v>5</v>
      </c>
      <c r="E157" s="87" t="s">
        <v>235</v>
      </c>
      <c r="F157" s="9"/>
      <c r="G157" s="31" t="str">
        <f>IF('Phytopl Count'!G157=0,"",'Phytopl Count'!G157*'Phytopl Count'!G$13/'Phytopl Count'!G$8)</f>
        <v/>
      </c>
      <c r="H157" s="31" t="str">
        <f>IF('Phytopl Count'!H157=0,"",'Phytopl Count'!H157*'Phytopl Count'!H$13/'Phytopl Count'!H$8)</f>
        <v/>
      </c>
      <c r="I157" s="31" t="str">
        <f>IF('Phytopl Count'!I157=0,"",'Phytopl Count'!I157*'Phytopl Count'!I$13/'Phytopl Count'!I$8)</f>
        <v/>
      </c>
      <c r="J157" s="31" t="str">
        <f>IF('Phytopl Count'!J157=0,"",'Phytopl Count'!J157*'Phytopl Count'!J$13/'Phytopl Count'!J$8)</f>
        <v/>
      </c>
      <c r="K157" s="31" t="str">
        <f>IF('Phytopl Count'!K157=0,"",'Phytopl Count'!K157*'Phytopl Count'!K$13/'Phytopl Count'!K$8)</f>
        <v/>
      </c>
      <c r="L157" s="31" t="str">
        <f>IF('Phytopl Count'!L157=0,"",'Phytopl Count'!L157*'Phytopl Count'!L$13/'Phytopl Count'!L$8)</f>
        <v/>
      </c>
      <c r="M157" s="31" t="str">
        <f>IF('Phytopl Count'!M157=0,"",'Phytopl Count'!M157*'Phytopl Count'!M$13/'Phytopl Count'!M$8)</f>
        <v/>
      </c>
      <c r="N157" s="31" t="str">
        <f>IF('Phytopl Count'!N157=0,"",'Phytopl Count'!N157*'Phytopl Count'!N$13/'Phytopl Count'!N$8)</f>
        <v/>
      </c>
      <c r="O157" s="31" t="str">
        <f>IF('Phytopl Count'!O157=0,"",'Phytopl Count'!O157*'Phytopl Count'!O$13/'Phytopl Count'!O$8)</f>
        <v/>
      </c>
      <c r="P157" s="31" t="str">
        <f>IF('Phytopl Count'!P157=0,"",'Phytopl Count'!P157*'Phytopl Count'!P$13/'Phytopl Count'!P$8)</f>
        <v/>
      </c>
      <c r="Q157" s="31" t="str">
        <f>IF('Phytopl Count'!Q157=0,"",'Phytopl Count'!Q157*'Phytopl Count'!Q$13/'Phytopl Count'!Q$8)</f>
        <v/>
      </c>
      <c r="R157" s="31" t="str">
        <f>IF('Phytopl Count'!R157=0,"",'Phytopl Count'!R157*'Phytopl Count'!R$13/'Phytopl Count'!R$8)</f>
        <v/>
      </c>
      <c r="S157" s="31" t="str">
        <f>IF('Phytopl Count'!S157=0,"",'Phytopl Count'!S157*'Phytopl Count'!S$13/'Phytopl Count'!S$8)</f>
        <v/>
      </c>
      <c r="T157" s="31" t="str">
        <f>IF('Phytopl Count'!T157=0,"",'Phytopl Count'!T157*'Phytopl Count'!T$13/'Phytopl Count'!T$8)</f>
        <v/>
      </c>
      <c r="U157" s="31" t="str">
        <f>IF('Phytopl Count'!U157=0,"",'Phytopl Count'!U157*'Phytopl Count'!U$13/'Phytopl Count'!U$8)</f>
        <v/>
      </c>
      <c r="V157" s="31" t="str">
        <f>IF('Phytopl Count'!V157=0,"",'Phytopl Count'!V157*'Phytopl Count'!V$13/'Phytopl Count'!V$8)</f>
        <v/>
      </c>
      <c r="W157" s="31" t="str">
        <f>IF('Phytopl Count'!W157=0,"",'Phytopl Count'!W157*'Phytopl Count'!W$13/'Phytopl Count'!W$8)</f>
        <v/>
      </c>
      <c r="X157" s="31" t="str">
        <f>IF('Phytopl Count'!X157=0,"",'Phytopl Count'!X157*'Phytopl Count'!X$13/'Phytopl Count'!X$8)</f>
        <v/>
      </c>
      <c r="Y157" s="31" t="str">
        <f>IF('Phytopl Count'!Y157=0,"",'Phytopl Count'!Y157*'Phytopl Count'!Y$13/'Phytopl Count'!Y$8)</f>
        <v/>
      </c>
      <c r="Z157" s="31" t="str">
        <f>IF('Phytopl Count'!Z157=0,"",'Phytopl Count'!Z157*'Phytopl Count'!Z$13/'Phytopl Count'!Z$8)</f>
        <v/>
      </c>
      <c r="AA157" s="31" t="str">
        <f>IF('Phytopl Count'!AA157=0,"",'Phytopl Count'!AA157*'Phytopl Count'!AA$13/'Phytopl Count'!AA$8)</f>
        <v/>
      </c>
      <c r="AB157" s="31" t="str">
        <f>IF('Phytopl Count'!AB157=0,"",'Phytopl Count'!AB157*'Phytopl Count'!AB$13/'Phytopl Count'!AB$8)</f>
        <v/>
      </c>
      <c r="AC157" s="31" t="str">
        <f>IF('Phytopl Count'!AC157=0,"",'Phytopl Count'!AC157*'Phytopl Count'!AC$13/'Phytopl Count'!AC$8)</f>
        <v/>
      </c>
      <c r="AD157" s="31" t="str">
        <f>IF('Phytopl Count'!AD157=0,"",'Phytopl Count'!AD157*'Phytopl Count'!AD$13/'Phytopl Count'!AD$8)</f>
        <v/>
      </c>
      <c r="AE157" s="31" t="str">
        <f>IF('Phytopl Count'!AE157=0,"",'Phytopl Count'!AE157*'Phytopl Count'!AE$13/'Phytopl Count'!AE$8)</f>
        <v/>
      </c>
      <c r="AF157" s="31" t="str">
        <f>IF('Phytopl Count'!AF157=0,"",'Phytopl Count'!AF157*'Phytopl Count'!AF$13/'Phytopl Count'!AF$8)</f>
        <v/>
      </c>
    </row>
    <row r="158" spans="1:32">
      <c r="E158" s="10" t="s">
        <v>6</v>
      </c>
      <c r="F158" s="11" t="s">
        <v>236</v>
      </c>
      <c r="G158" s="31">
        <f>IF('Phytopl Count'!G158=0,"",'Phytopl Count'!G158*'Phytopl Count'!G$13/'Phytopl Count'!G$8)</f>
        <v>8.5416489374266685E-2</v>
      </c>
      <c r="H158" s="31" t="str">
        <f>IF('Phytopl Count'!H158=0,"",'Phytopl Count'!H158*'Phytopl Count'!H$13/'Phytopl Count'!H$8)</f>
        <v/>
      </c>
      <c r="I158" s="31" t="str">
        <f>IF('Phytopl Count'!I158=0,"",'Phytopl Count'!I158*'Phytopl Count'!I$13/'Phytopl Count'!I$8)</f>
        <v/>
      </c>
      <c r="J158" s="31">
        <f>IF('Phytopl Count'!J158=0,"",'Phytopl Count'!J158*'Phytopl Count'!J$13/'Phytopl Count'!J$8)</f>
        <v>4.0038979394187504E-2</v>
      </c>
      <c r="K158" s="31" t="str">
        <f>IF('Phytopl Count'!K158=0,"",'Phytopl Count'!K158*'Phytopl Count'!K$13/'Phytopl Count'!K$8)</f>
        <v/>
      </c>
      <c r="L158" s="31" t="str">
        <f>IF('Phytopl Count'!L158=0,"",'Phytopl Count'!L158*'Phytopl Count'!L$13/'Phytopl Count'!L$8)</f>
        <v/>
      </c>
      <c r="M158" s="31">
        <f>IF('Phytopl Count'!M158=0,"",'Phytopl Count'!M158*'Phytopl Count'!M$13/'Phytopl Count'!M$8)</f>
        <v>4.0038979394187504E-2</v>
      </c>
      <c r="N158" s="31" t="str">
        <f>IF('Phytopl Count'!N158=0,"",'Phytopl Count'!N158*'Phytopl Count'!N$13/'Phytopl Count'!N$8)</f>
        <v/>
      </c>
      <c r="O158" s="31" t="str">
        <f>IF('Phytopl Count'!O158=0,"",'Phytopl Count'!O158*'Phytopl Count'!O$13/'Phytopl Count'!O$8)</f>
        <v/>
      </c>
      <c r="P158" s="31" t="str">
        <f>IF('Phytopl Count'!P158=0,"",'Phytopl Count'!P158*'Phytopl Count'!P$13/'Phytopl Count'!P$8)</f>
        <v/>
      </c>
      <c r="Q158" s="31" t="str">
        <f>IF('Phytopl Count'!Q158=0,"",'Phytopl Count'!Q158*'Phytopl Count'!Q$13/'Phytopl Count'!Q$8)</f>
        <v/>
      </c>
      <c r="R158" s="31" t="str">
        <f>IF('Phytopl Count'!R158=0,"",'Phytopl Count'!R158*'Phytopl Count'!R$13/'Phytopl Count'!R$8)</f>
        <v/>
      </c>
      <c r="S158" s="31" t="str">
        <f>IF('Phytopl Count'!S158=0,"",'Phytopl Count'!S158*'Phytopl Count'!S$13/'Phytopl Count'!S$8)</f>
        <v/>
      </c>
      <c r="T158" s="31" t="str">
        <f>IF('Phytopl Count'!T158=0,"",'Phytopl Count'!T158*'Phytopl Count'!T$13/'Phytopl Count'!T$8)</f>
        <v/>
      </c>
      <c r="U158" s="31" t="str">
        <f>IF('Phytopl Count'!U158=0,"",'Phytopl Count'!U158*'Phytopl Count'!U$13/'Phytopl Count'!U$8)</f>
        <v/>
      </c>
      <c r="V158" s="31">
        <f>IF('Phytopl Count'!V158=0,"",'Phytopl Count'!V158*'Phytopl Count'!V$13/'Phytopl Count'!V$8)</f>
        <v>4.0038979394187504E-2</v>
      </c>
      <c r="W158" s="31" t="str">
        <f>IF('Phytopl Count'!W158=0,"",'Phytopl Count'!W158*'Phytopl Count'!W$13/'Phytopl Count'!W$8)</f>
        <v/>
      </c>
      <c r="X158" s="31" t="str">
        <f>IF('Phytopl Count'!X158=0,"",'Phytopl Count'!X158*'Phytopl Count'!X$13/'Phytopl Count'!X$8)</f>
        <v/>
      </c>
      <c r="Y158" s="31" t="str">
        <f>IF('Phytopl Count'!Y158=0,"",'Phytopl Count'!Y158*'Phytopl Count'!Y$13/'Phytopl Count'!Y$8)</f>
        <v/>
      </c>
      <c r="Z158" s="31" t="str">
        <f>IF('Phytopl Count'!Z158=0,"",'Phytopl Count'!Z158*'Phytopl Count'!Z$13/'Phytopl Count'!Z$8)</f>
        <v/>
      </c>
      <c r="AA158" s="31" t="str">
        <f>IF('Phytopl Count'!AA158=0,"",'Phytopl Count'!AA158*'Phytopl Count'!AA$13/'Phytopl Count'!AA$8)</f>
        <v/>
      </c>
      <c r="AB158" s="31" t="str">
        <f>IF('Phytopl Count'!AB158=0,"",'Phytopl Count'!AB158*'Phytopl Count'!AB$13/'Phytopl Count'!AB$8)</f>
        <v/>
      </c>
      <c r="AC158" s="31" t="str">
        <f>IF('Phytopl Count'!AC158=0,"",'Phytopl Count'!AC158*'Phytopl Count'!AC$13/'Phytopl Count'!AC$8)</f>
        <v/>
      </c>
      <c r="AD158" s="31" t="str">
        <f>IF('Phytopl Count'!AD158=0,"",'Phytopl Count'!AD158*'Phytopl Count'!AD$13/'Phytopl Count'!AD$8)</f>
        <v/>
      </c>
      <c r="AE158" s="31" t="str">
        <f>IF('Phytopl Count'!AE158=0,"",'Phytopl Count'!AE158*'Phytopl Count'!AE$13/'Phytopl Count'!AE$8)</f>
        <v/>
      </c>
      <c r="AF158" s="31" t="str">
        <f>IF('Phytopl Count'!AF158=0,"",'Phytopl Count'!AF158*'Phytopl Count'!AF$13/'Phytopl Count'!AF$8)</f>
        <v/>
      </c>
    </row>
    <row r="159" spans="1:32" hidden="1">
      <c r="E159" s="10"/>
      <c r="F159" s="11"/>
      <c r="G159" s="31" t="str">
        <f>IF('Phytopl Count'!G159=0,"",'Phytopl Count'!G159*'Phytopl Count'!G$13/'Phytopl Count'!G$8)</f>
        <v/>
      </c>
      <c r="H159" s="31" t="str">
        <f>IF('Phytopl Count'!H159=0,"",'Phytopl Count'!H159*'Phytopl Count'!H$13/'Phytopl Count'!H$8)</f>
        <v/>
      </c>
      <c r="I159" s="31" t="str">
        <f>IF('Phytopl Count'!I159=0,"",'Phytopl Count'!I159*'Phytopl Count'!I$13/'Phytopl Count'!I$8)</f>
        <v/>
      </c>
      <c r="J159" s="31" t="str">
        <f>IF('Phytopl Count'!J159=0,"",'Phytopl Count'!J159*'Phytopl Count'!J$13/'Phytopl Count'!J$8)</f>
        <v/>
      </c>
      <c r="K159" s="31" t="str">
        <f>IF('Phytopl Count'!K159=0,"",'Phytopl Count'!K159*'Phytopl Count'!K$13/'Phytopl Count'!K$8)</f>
        <v/>
      </c>
      <c r="L159" s="31" t="str">
        <f>IF('Phytopl Count'!L159=0,"",'Phytopl Count'!L159*'Phytopl Count'!L$13/'Phytopl Count'!L$8)</f>
        <v/>
      </c>
      <c r="M159" s="31" t="str">
        <f>IF('Phytopl Count'!M159=0,"",'Phytopl Count'!M159*'Phytopl Count'!M$13/'Phytopl Count'!M$8)</f>
        <v/>
      </c>
      <c r="N159" s="31" t="str">
        <f>IF('Phytopl Count'!N159=0,"",'Phytopl Count'!N159*'Phytopl Count'!N$13/'Phytopl Count'!N$8)</f>
        <v/>
      </c>
      <c r="O159" s="31" t="str">
        <f>IF('Phytopl Count'!O159=0,"",'Phytopl Count'!O159*'Phytopl Count'!O$13/'Phytopl Count'!O$8)</f>
        <v/>
      </c>
      <c r="P159" s="31" t="str">
        <f>IF('Phytopl Count'!P159=0,"",'Phytopl Count'!P159*'Phytopl Count'!P$13/'Phytopl Count'!P$8)</f>
        <v/>
      </c>
      <c r="Q159" s="31" t="str">
        <f>IF('Phytopl Count'!Q159=0,"",'Phytopl Count'!Q159*'Phytopl Count'!Q$13/'Phytopl Count'!Q$8)</f>
        <v/>
      </c>
      <c r="R159" s="31" t="str">
        <f>IF('Phytopl Count'!R159=0,"",'Phytopl Count'!R159*'Phytopl Count'!R$13/'Phytopl Count'!R$8)</f>
        <v/>
      </c>
      <c r="S159" s="31" t="str">
        <f>IF('Phytopl Count'!S159=0,"",'Phytopl Count'!S159*'Phytopl Count'!S$13/'Phytopl Count'!S$8)</f>
        <v/>
      </c>
      <c r="T159" s="31" t="str">
        <f>IF('Phytopl Count'!T159=0,"",'Phytopl Count'!T159*'Phytopl Count'!T$13/'Phytopl Count'!T$8)</f>
        <v/>
      </c>
      <c r="U159" s="31" t="str">
        <f>IF('Phytopl Count'!U159=0,"",'Phytopl Count'!U159*'Phytopl Count'!U$13/'Phytopl Count'!U$8)</f>
        <v/>
      </c>
      <c r="V159" s="31" t="str">
        <f>IF('Phytopl Count'!V159=0,"",'Phytopl Count'!V159*'Phytopl Count'!V$13/'Phytopl Count'!V$8)</f>
        <v/>
      </c>
      <c r="W159" s="31" t="str">
        <f>IF('Phytopl Count'!W159=0,"",'Phytopl Count'!W159*'Phytopl Count'!W$13/'Phytopl Count'!W$8)</f>
        <v/>
      </c>
      <c r="X159" s="31" t="str">
        <f>IF('Phytopl Count'!X159=0,"",'Phytopl Count'!X159*'Phytopl Count'!X$13/'Phytopl Count'!X$8)</f>
        <v/>
      </c>
      <c r="Y159" s="31" t="str">
        <f>IF('Phytopl Count'!Y159=0,"",'Phytopl Count'!Y159*'Phytopl Count'!Y$13/'Phytopl Count'!Y$8)</f>
        <v/>
      </c>
      <c r="Z159" s="31" t="str">
        <f>IF('Phytopl Count'!Z159=0,"",'Phytopl Count'!Z159*'Phytopl Count'!Z$13/'Phytopl Count'!Z$8)</f>
        <v/>
      </c>
      <c r="AA159" s="31" t="str">
        <f>IF('Phytopl Count'!AA159=0,"",'Phytopl Count'!AA159*'Phytopl Count'!AA$13/'Phytopl Count'!AA$8)</f>
        <v/>
      </c>
      <c r="AB159" s="31" t="str">
        <f>IF('Phytopl Count'!AB159=0,"",'Phytopl Count'!AB159*'Phytopl Count'!AB$13/'Phytopl Count'!AB$8)</f>
        <v/>
      </c>
      <c r="AC159" s="31" t="str">
        <f>IF('Phytopl Count'!AC159=0,"",'Phytopl Count'!AC159*'Phytopl Count'!AC$13/'Phytopl Count'!AC$8)</f>
        <v/>
      </c>
      <c r="AD159" s="31" t="str">
        <f>IF('Phytopl Count'!AD159=0,"",'Phytopl Count'!AD159*'Phytopl Count'!AD$13/'Phytopl Count'!AD$8)</f>
        <v/>
      </c>
      <c r="AE159" s="31" t="str">
        <f>IF('Phytopl Count'!AE159=0,"",'Phytopl Count'!AE159*'Phytopl Count'!AE$13/'Phytopl Count'!AE$8)</f>
        <v/>
      </c>
      <c r="AF159" s="31" t="str">
        <f>IF('Phytopl Count'!AF159=0,"",'Phytopl Count'!AF159*'Phytopl Count'!AF$13/'Phytopl Count'!AF$8)</f>
        <v/>
      </c>
    </row>
    <row r="160" spans="1:32" hidden="1">
      <c r="A160" s="16"/>
      <c r="B160" s="16" t="s">
        <v>72</v>
      </c>
      <c r="C160" s="28" t="s">
        <v>394</v>
      </c>
      <c r="D160" s="4"/>
      <c r="F160" s="9"/>
      <c r="G160" s="31" t="str">
        <f>IF('Phytopl Count'!G160=0,"",'Phytopl Count'!G160*'Phytopl Count'!G$13/'Phytopl Count'!G$8)</f>
        <v/>
      </c>
      <c r="H160" s="31" t="str">
        <f>IF('Phytopl Count'!H160=0,"",'Phytopl Count'!H160*'Phytopl Count'!H$13/'Phytopl Count'!H$8)</f>
        <v/>
      </c>
      <c r="I160" s="31" t="str">
        <f>IF('Phytopl Count'!I160=0,"",'Phytopl Count'!I160*'Phytopl Count'!I$13/'Phytopl Count'!I$8)</f>
        <v/>
      </c>
      <c r="J160" s="31" t="str">
        <f>IF('Phytopl Count'!J160=0,"",'Phytopl Count'!J160*'Phytopl Count'!J$13/'Phytopl Count'!J$8)</f>
        <v/>
      </c>
      <c r="K160" s="31" t="str">
        <f>IF('Phytopl Count'!K160=0,"",'Phytopl Count'!K160*'Phytopl Count'!K$13/'Phytopl Count'!K$8)</f>
        <v/>
      </c>
      <c r="L160" s="31" t="str">
        <f>IF('Phytopl Count'!L160=0,"",'Phytopl Count'!L160*'Phytopl Count'!L$13/'Phytopl Count'!L$8)</f>
        <v/>
      </c>
      <c r="M160" s="31" t="str">
        <f>IF('Phytopl Count'!M160=0,"",'Phytopl Count'!M160*'Phytopl Count'!M$13/'Phytopl Count'!M$8)</f>
        <v/>
      </c>
      <c r="N160" s="31" t="str">
        <f>IF('Phytopl Count'!N160=0,"",'Phytopl Count'!N160*'Phytopl Count'!N$13/'Phytopl Count'!N$8)</f>
        <v/>
      </c>
      <c r="O160" s="31" t="str">
        <f>IF('Phytopl Count'!O160=0,"",'Phytopl Count'!O160*'Phytopl Count'!O$13/'Phytopl Count'!O$8)</f>
        <v/>
      </c>
      <c r="P160" s="31" t="str">
        <f>IF('Phytopl Count'!P160=0,"",'Phytopl Count'!P160*'Phytopl Count'!P$13/'Phytopl Count'!P$8)</f>
        <v/>
      </c>
      <c r="Q160" s="31" t="str">
        <f>IF('Phytopl Count'!Q160=0,"",'Phytopl Count'!Q160*'Phytopl Count'!Q$13/'Phytopl Count'!Q$8)</f>
        <v/>
      </c>
      <c r="R160" s="31" t="str">
        <f>IF('Phytopl Count'!R160=0,"",'Phytopl Count'!R160*'Phytopl Count'!R$13/'Phytopl Count'!R$8)</f>
        <v/>
      </c>
      <c r="S160" s="31" t="str">
        <f>IF('Phytopl Count'!S160=0,"",'Phytopl Count'!S160*'Phytopl Count'!S$13/'Phytopl Count'!S$8)</f>
        <v/>
      </c>
      <c r="T160" s="31" t="str">
        <f>IF('Phytopl Count'!T160=0,"",'Phytopl Count'!T160*'Phytopl Count'!T$13/'Phytopl Count'!T$8)</f>
        <v/>
      </c>
      <c r="U160" s="31" t="str">
        <f>IF('Phytopl Count'!U160=0,"",'Phytopl Count'!U160*'Phytopl Count'!U$13/'Phytopl Count'!U$8)</f>
        <v/>
      </c>
      <c r="V160" s="31" t="str">
        <f>IF('Phytopl Count'!V160=0,"",'Phytopl Count'!V160*'Phytopl Count'!V$13/'Phytopl Count'!V$8)</f>
        <v/>
      </c>
      <c r="W160" s="31" t="str">
        <f>IF('Phytopl Count'!W160=0,"",'Phytopl Count'!W160*'Phytopl Count'!W$13/'Phytopl Count'!W$8)</f>
        <v/>
      </c>
      <c r="X160" s="31" t="str">
        <f>IF('Phytopl Count'!X160=0,"",'Phytopl Count'!X160*'Phytopl Count'!X$13/'Phytopl Count'!X$8)</f>
        <v/>
      </c>
      <c r="Y160" s="31" t="str">
        <f>IF('Phytopl Count'!Y160=0,"",'Phytopl Count'!Y160*'Phytopl Count'!Y$13/'Phytopl Count'!Y$8)</f>
        <v/>
      </c>
      <c r="Z160" s="31" t="str">
        <f>IF('Phytopl Count'!Z160=0,"",'Phytopl Count'!Z160*'Phytopl Count'!Z$13/'Phytopl Count'!Z$8)</f>
        <v/>
      </c>
      <c r="AA160" s="31" t="str">
        <f>IF('Phytopl Count'!AA160=0,"",'Phytopl Count'!AA160*'Phytopl Count'!AA$13/'Phytopl Count'!AA$8)</f>
        <v/>
      </c>
      <c r="AB160" s="31" t="str">
        <f>IF('Phytopl Count'!AB160=0,"",'Phytopl Count'!AB160*'Phytopl Count'!AB$13/'Phytopl Count'!AB$8)</f>
        <v/>
      </c>
      <c r="AC160" s="31" t="str">
        <f>IF('Phytopl Count'!AC160=0,"",'Phytopl Count'!AC160*'Phytopl Count'!AC$13/'Phytopl Count'!AC$8)</f>
        <v/>
      </c>
      <c r="AD160" s="31" t="str">
        <f>IF('Phytopl Count'!AD160=0,"",'Phytopl Count'!AD160*'Phytopl Count'!AD$13/'Phytopl Count'!AD$8)</f>
        <v/>
      </c>
      <c r="AE160" s="31" t="str">
        <f>IF('Phytopl Count'!AE160=0,"",'Phytopl Count'!AE160*'Phytopl Count'!AE$13/'Phytopl Count'!AE$8)</f>
        <v/>
      </c>
      <c r="AF160" s="31" t="str">
        <f>IF('Phytopl Count'!AF160=0,"",'Phytopl Count'!AF160*'Phytopl Count'!AF$13/'Phytopl Count'!AF$8)</f>
        <v/>
      </c>
    </row>
    <row r="161" spans="1:32" hidden="1">
      <c r="A161" s="16"/>
      <c r="B161" s="16"/>
      <c r="C161" s="16" t="s">
        <v>73</v>
      </c>
      <c r="D161" s="4" t="s">
        <v>395</v>
      </c>
      <c r="F161" s="9"/>
      <c r="G161" s="31" t="str">
        <f>IF('Phytopl Count'!G161=0,"",'Phytopl Count'!G161*'Phytopl Count'!G$13/'Phytopl Count'!G$8)</f>
        <v/>
      </c>
      <c r="H161" s="31" t="str">
        <f>IF('Phytopl Count'!H161=0,"",'Phytopl Count'!H161*'Phytopl Count'!H$13/'Phytopl Count'!H$8)</f>
        <v/>
      </c>
      <c r="I161" s="31" t="str">
        <f>IF('Phytopl Count'!I161=0,"",'Phytopl Count'!I161*'Phytopl Count'!I$13/'Phytopl Count'!I$8)</f>
        <v/>
      </c>
      <c r="J161" s="31" t="str">
        <f>IF('Phytopl Count'!J161=0,"",'Phytopl Count'!J161*'Phytopl Count'!J$13/'Phytopl Count'!J$8)</f>
        <v/>
      </c>
      <c r="K161" s="31" t="str">
        <f>IF('Phytopl Count'!K161=0,"",'Phytopl Count'!K161*'Phytopl Count'!K$13/'Phytopl Count'!K$8)</f>
        <v/>
      </c>
      <c r="L161" s="31" t="str">
        <f>IF('Phytopl Count'!L161=0,"",'Phytopl Count'!L161*'Phytopl Count'!L$13/'Phytopl Count'!L$8)</f>
        <v/>
      </c>
      <c r="M161" s="31" t="str">
        <f>IF('Phytopl Count'!M161=0,"",'Phytopl Count'!M161*'Phytopl Count'!M$13/'Phytopl Count'!M$8)</f>
        <v/>
      </c>
      <c r="N161" s="31" t="str">
        <f>IF('Phytopl Count'!N161=0,"",'Phytopl Count'!N161*'Phytopl Count'!N$13/'Phytopl Count'!N$8)</f>
        <v/>
      </c>
      <c r="O161" s="31" t="str">
        <f>IF('Phytopl Count'!O161=0,"",'Phytopl Count'!O161*'Phytopl Count'!O$13/'Phytopl Count'!O$8)</f>
        <v/>
      </c>
      <c r="P161" s="31" t="str">
        <f>IF('Phytopl Count'!P161=0,"",'Phytopl Count'!P161*'Phytopl Count'!P$13/'Phytopl Count'!P$8)</f>
        <v/>
      </c>
      <c r="Q161" s="31" t="str">
        <f>IF('Phytopl Count'!Q161=0,"",'Phytopl Count'!Q161*'Phytopl Count'!Q$13/'Phytopl Count'!Q$8)</f>
        <v/>
      </c>
      <c r="R161" s="31" t="str">
        <f>IF('Phytopl Count'!R161=0,"",'Phytopl Count'!R161*'Phytopl Count'!R$13/'Phytopl Count'!R$8)</f>
        <v/>
      </c>
      <c r="S161" s="31" t="str">
        <f>IF('Phytopl Count'!S161=0,"",'Phytopl Count'!S161*'Phytopl Count'!S$13/'Phytopl Count'!S$8)</f>
        <v/>
      </c>
      <c r="T161" s="31" t="str">
        <f>IF('Phytopl Count'!T161=0,"",'Phytopl Count'!T161*'Phytopl Count'!T$13/'Phytopl Count'!T$8)</f>
        <v/>
      </c>
      <c r="U161" s="31" t="str">
        <f>IF('Phytopl Count'!U161=0,"",'Phytopl Count'!U161*'Phytopl Count'!U$13/'Phytopl Count'!U$8)</f>
        <v/>
      </c>
      <c r="V161" s="31" t="str">
        <f>IF('Phytopl Count'!V161=0,"",'Phytopl Count'!V161*'Phytopl Count'!V$13/'Phytopl Count'!V$8)</f>
        <v/>
      </c>
      <c r="W161" s="31" t="str">
        <f>IF('Phytopl Count'!W161=0,"",'Phytopl Count'!W161*'Phytopl Count'!W$13/'Phytopl Count'!W$8)</f>
        <v/>
      </c>
      <c r="X161" s="31" t="str">
        <f>IF('Phytopl Count'!X161=0,"",'Phytopl Count'!X161*'Phytopl Count'!X$13/'Phytopl Count'!X$8)</f>
        <v/>
      </c>
      <c r="Y161" s="31" t="str">
        <f>IF('Phytopl Count'!Y161=0,"",'Phytopl Count'!Y161*'Phytopl Count'!Y$13/'Phytopl Count'!Y$8)</f>
        <v/>
      </c>
      <c r="Z161" s="31" t="str">
        <f>IF('Phytopl Count'!Z161=0,"",'Phytopl Count'!Z161*'Phytopl Count'!Z$13/'Phytopl Count'!Z$8)</f>
        <v/>
      </c>
      <c r="AA161" s="31" t="str">
        <f>IF('Phytopl Count'!AA161=0,"",'Phytopl Count'!AA161*'Phytopl Count'!AA$13/'Phytopl Count'!AA$8)</f>
        <v/>
      </c>
      <c r="AB161" s="31" t="str">
        <f>IF('Phytopl Count'!AB161=0,"",'Phytopl Count'!AB161*'Phytopl Count'!AB$13/'Phytopl Count'!AB$8)</f>
        <v/>
      </c>
      <c r="AC161" s="31" t="str">
        <f>IF('Phytopl Count'!AC161=0,"",'Phytopl Count'!AC161*'Phytopl Count'!AC$13/'Phytopl Count'!AC$8)</f>
        <v/>
      </c>
      <c r="AD161" s="31" t="str">
        <f>IF('Phytopl Count'!AD161=0,"",'Phytopl Count'!AD161*'Phytopl Count'!AD$13/'Phytopl Count'!AD$8)</f>
        <v/>
      </c>
      <c r="AE161" s="31" t="str">
        <f>IF('Phytopl Count'!AE161=0,"",'Phytopl Count'!AE161*'Phytopl Count'!AE$13/'Phytopl Count'!AE$8)</f>
        <v/>
      </c>
      <c r="AF161" s="31" t="str">
        <f>IF('Phytopl Count'!AF161=0,"",'Phytopl Count'!AF161*'Phytopl Count'!AF$13/'Phytopl Count'!AF$8)</f>
        <v/>
      </c>
    </row>
    <row r="162" spans="1:32" hidden="1">
      <c r="A162" s="10"/>
      <c r="B162" s="10"/>
      <c r="C162" s="10"/>
      <c r="D162" s="10" t="s">
        <v>5</v>
      </c>
      <c r="E162" s="172" t="s">
        <v>396</v>
      </c>
      <c r="F162" s="9"/>
      <c r="G162" s="31" t="str">
        <f>IF('Phytopl Count'!G162=0,"",'Phytopl Count'!G162*'Phytopl Count'!G$13/'Phytopl Count'!G$8)</f>
        <v/>
      </c>
      <c r="H162" s="31" t="str">
        <f>IF('Phytopl Count'!H162=0,"",'Phytopl Count'!H162*'Phytopl Count'!H$13/'Phytopl Count'!H$8)</f>
        <v/>
      </c>
      <c r="I162" s="31" t="str">
        <f>IF('Phytopl Count'!I162=0,"",'Phytopl Count'!I162*'Phytopl Count'!I$13/'Phytopl Count'!I$8)</f>
        <v/>
      </c>
      <c r="J162" s="31" t="str">
        <f>IF('Phytopl Count'!J162=0,"",'Phytopl Count'!J162*'Phytopl Count'!J$13/'Phytopl Count'!J$8)</f>
        <v/>
      </c>
      <c r="K162" s="31" t="str">
        <f>IF('Phytopl Count'!K162=0,"",'Phytopl Count'!K162*'Phytopl Count'!K$13/'Phytopl Count'!K$8)</f>
        <v/>
      </c>
      <c r="L162" s="31" t="str">
        <f>IF('Phytopl Count'!L162=0,"",'Phytopl Count'!L162*'Phytopl Count'!L$13/'Phytopl Count'!L$8)</f>
        <v/>
      </c>
      <c r="M162" s="31" t="str">
        <f>IF('Phytopl Count'!M162=0,"",'Phytopl Count'!M162*'Phytopl Count'!M$13/'Phytopl Count'!M$8)</f>
        <v/>
      </c>
      <c r="N162" s="31" t="str">
        <f>IF('Phytopl Count'!N162=0,"",'Phytopl Count'!N162*'Phytopl Count'!N$13/'Phytopl Count'!N$8)</f>
        <v/>
      </c>
      <c r="O162" s="31" t="str">
        <f>IF('Phytopl Count'!O162=0,"",'Phytopl Count'!O162*'Phytopl Count'!O$13/'Phytopl Count'!O$8)</f>
        <v/>
      </c>
      <c r="P162" s="31" t="str">
        <f>IF('Phytopl Count'!P162=0,"",'Phytopl Count'!P162*'Phytopl Count'!P$13/'Phytopl Count'!P$8)</f>
        <v/>
      </c>
      <c r="Q162" s="31" t="str">
        <f>IF('Phytopl Count'!Q162=0,"",'Phytopl Count'!Q162*'Phytopl Count'!Q$13/'Phytopl Count'!Q$8)</f>
        <v/>
      </c>
      <c r="R162" s="31" t="str">
        <f>IF('Phytopl Count'!R162=0,"",'Phytopl Count'!R162*'Phytopl Count'!R$13/'Phytopl Count'!R$8)</f>
        <v/>
      </c>
      <c r="S162" s="31" t="str">
        <f>IF('Phytopl Count'!S162=0,"",'Phytopl Count'!S162*'Phytopl Count'!S$13/'Phytopl Count'!S$8)</f>
        <v/>
      </c>
      <c r="T162" s="31" t="str">
        <f>IF('Phytopl Count'!T162=0,"",'Phytopl Count'!T162*'Phytopl Count'!T$13/'Phytopl Count'!T$8)</f>
        <v/>
      </c>
      <c r="U162" s="31" t="str">
        <f>IF('Phytopl Count'!U162=0,"",'Phytopl Count'!U162*'Phytopl Count'!U$13/'Phytopl Count'!U$8)</f>
        <v/>
      </c>
      <c r="V162" s="31" t="str">
        <f>IF('Phytopl Count'!V162=0,"",'Phytopl Count'!V162*'Phytopl Count'!V$13/'Phytopl Count'!V$8)</f>
        <v/>
      </c>
      <c r="W162" s="31" t="str">
        <f>IF('Phytopl Count'!W162=0,"",'Phytopl Count'!W162*'Phytopl Count'!W$13/'Phytopl Count'!W$8)</f>
        <v/>
      </c>
      <c r="X162" s="31" t="str">
        <f>IF('Phytopl Count'!X162=0,"",'Phytopl Count'!X162*'Phytopl Count'!X$13/'Phytopl Count'!X$8)</f>
        <v/>
      </c>
      <c r="Y162" s="31" t="str">
        <f>IF('Phytopl Count'!Y162=0,"",'Phytopl Count'!Y162*'Phytopl Count'!Y$13/'Phytopl Count'!Y$8)</f>
        <v/>
      </c>
      <c r="Z162" s="31" t="str">
        <f>IF('Phytopl Count'!Z162=0,"",'Phytopl Count'!Z162*'Phytopl Count'!Z$13/'Phytopl Count'!Z$8)</f>
        <v/>
      </c>
      <c r="AA162" s="31" t="str">
        <f>IF('Phytopl Count'!AA162=0,"",'Phytopl Count'!AA162*'Phytopl Count'!AA$13/'Phytopl Count'!AA$8)</f>
        <v/>
      </c>
      <c r="AB162" s="31" t="str">
        <f>IF('Phytopl Count'!AB162=0,"",'Phytopl Count'!AB162*'Phytopl Count'!AB$13/'Phytopl Count'!AB$8)</f>
        <v/>
      </c>
      <c r="AC162" s="31" t="str">
        <f>IF('Phytopl Count'!AC162=0,"",'Phytopl Count'!AC162*'Phytopl Count'!AC$13/'Phytopl Count'!AC$8)</f>
        <v/>
      </c>
      <c r="AD162" s="31" t="str">
        <f>IF('Phytopl Count'!AD162=0,"",'Phytopl Count'!AD162*'Phytopl Count'!AD$13/'Phytopl Count'!AD$8)</f>
        <v/>
      </c>
      <c r="AE162" s="31" t="str">
        <f>IF('Phytopl Count'!AE162=0,"",'Phytopl Count'!AE162*'Phytopl Count'!AE$13/'Phytopl Count'!AE$8)</f>
        <v/>
      </c>
      <c r="AF162" s="31" t="str">
        <f>IF('Phytopl Count'!AF162=0,"",'Phytopl Count'!AF162*'Phytopl Count'!AF$13/'Phytopl Count'!AF$8)</f>
        <v/>
      </c>
    </row>
    <row r="163" spans="1:32" hidden="1">
      <c r="E163" s="10" t="s">
        <v>6</v>
      </c>
      <c r="F163" s="11" t="s">
        <v>397</v>
      </c>
      <c r="G163" s="31" t="str">
        <f>IF('Phytopl Count'!G163=0,"",'Phytopl Count'!G163*'Phytopl Count'!G$13/'Phytopl Count'!G$8)</f>
        <v/>
      </c>
      <c r="H163" s="31" t="str">
        <f>IF('Phytopl Count'!H163=0,"",'Phytopl Count'!H163*'Phytopl Count'!H$13/'Phytopl Count'!H$8)</f>
        <v/>
      </c>
      <c r="I163" s="31" t="str">
        <f>IF('Phytopl Count'!I163=0,"",'Phytopl Count'!I163*'Phytopl Count'!I$13/'Phytopl Count'!I$8)</f>
        <v/>
      </c>
      <c r="J163" s="31" t="str">
        <f>IF('Phytopl Count'!J163=0,"",'Phytopl Count'!J163*'Phytopl Count'!J$13/'Phytopl Count'!J$8)</f>
        <v/>
      </c>
      <c r="K163" s="31" t="str">
        <f>IF('Phytopl Count'!K163=0,"",'Phytopl Count'!K163*'Phytopl Count'!K$13/'Phytopl Count'!K$8)</f>
        <v/>
      </c>
      <c r="L163" s="31" t="str">
        <f>IF('Phytopl Count'!L163=0,"",'Phytopl Count'!L163*'Phytopl Count'!L$13/'Phytopl Count'!L$8)</f>
        <v/>
      </c>
      <c r="M163" s="31" t="str">
        <f>IF('Phytopl Count'!M163=0,"",'Phytopl Count'!M163*'Phytopl Count'!M$13/'Phytopl Count'!M$8)</f>
        <v/>
      </c>
      <c r="N163" s="31" t="str">
        <f>IF('Phytopl Count'!N163=0,"",'Phytopl Count'!N163*'Phytopl Count'!N$13/'Phytopl Count'!N$8)</f>
        <v/>
      </c>
      <c r="O163" s="31" t="str">
        <f>IF('Phytopl Count'!O163=0,"",'Phytopl Count'!O163*'Phytopl Count'!O$13/'Phytopl Count'!O$8)</f>
        <v/>
      </c>
      <c r="P163" s="31" t="str">
        <f>IF('Phytopl Count'!P163=0,"",'Phytopl Count'!P163*'Phytopl Count'!P$13/'Phytopl Count'!P$8)</f>
        <v/>
      </c>
      <c r="Q163" s="31" t="str">
        <f>IF('Phytopl Count'!Q163=0,"",'Phytopl Count'!Q163*'Phytopl Count'!Q$13/'Phytopl Count'!Q$8)</f>
        <v/>
      </c>
      <c r="R163" s="31" t="str">
        <f>IF('Phytopl Count'!R163=0,"",'Phytopl Count'!R163*'Phytopl Count'!R$13/'Phytopl Count'!R$8)</f>
        <v/>
      </c>
      <c r="S163" s="31" t="str">
        <f>IF('Phytopl Count'!S163=0,"",'Phytopl Count'!S163*'Phytopl Count'!S$13/'Phytopl Count'!S$8)</f>
        <v/>
      </c>
      <c r="T163" s="31" t="str">
        <f>IF('Phytopl Count'!T163=0,"",'Phytopl Count'!T163*'Phytopl Count'!T$13/'Phytopl Count'!T$8)</f>
        <v/>
      </c>
      <c r="U163" s="31" t="str">
        <f>IF('Phytopl Count'!U163=0,"",'Phytopl Count'!U163*'Phytopl Count'!U$13/'Phytopl Count'!U$8)</f>
        <v/>
      </c>
      <c r="V163" s="31" t="str">
        <f>IF('Phytopl Count'!V163=0,"",'Phytopl Count'!V163*'Phytopl Count'!V$13/'Phytopl Count'!V$8)</f>
        <v/>
      </c>
      <c r="W163" s="31" t="str">
        <f>IF('Phytopl Count'!W163=0,"",'Phytopl Count'!W163*'Phytopl Count'!W$13/'Phytopl Count'!W$8)</f>
        <v/>
      </c>
      <c r="X163" s="31" t="str">
        <f>IF('Phytopl Count'!X163=0,"",'Phytopl Count'!X163*'Phytopl Count'!X$13/'Phytopl Count'!X$8)</f>
        <v/>
      </c>
      <c r="Y163" s="31" t="str">
        <f>IF('Phytopl Count'!Y163=0,"",'Phytopl Count'!Y163*'Phytopl Count'!Y$13/'Phytopl Count'!Y$8)</f>
        <v/>
      </c>
      <c r="Z163" s="31" t="str">
        <f>IF('Phytopl Count'!Z163=0,"",'Phytopl Count'!Z163*'Phytopl Count'!Z$13/'Phytopl Count'!Z$8)</f>
        <v/>
      </c>
      <c r="AA163" s="31" t="str">
        <f>IF('Phytopl Count'!AA163=0,"",'Phytopl Count'!AA163*'Phytopl Count'!AA$13/'Phytopl Count'!AA$8)</f>
        <v/>
      </c>
      <c r="AB163" s="31" t="str">
        <f>IF('Phytopl Count'!AB163=0,"",'Phytopl Count'!AB163*'Phytopl Count'!AB$13/'Phytopl Count'!AB$8)</f>
        <v/>
      </c>
      <c r="AC163" s="31" t="str">
        <f>IF('Phytopl Count'!AC163=0,"",'Phytopl Count'!AC163*'Phytopl Count'!AC$13/'Phytopl Count'!AC$8)</f>
        <v/>
      </c>
      <c r="AD163" s="31" t="str">
        <f>IF('Phytopl Count'!AD163=0,"",'Phytopl Count'!AD163*'Phytopl Count'!AD$13/'Phytopl Count'!AD$8)</f>
        <v/>
      </c>
      <c r="AE163" s="31" t="str">
        <f>IF('Phytopl Count'!AE163=0,"",'Phytopl Count'!AE163*'Phytopl Count'!AE$13/'Phytopl Count'!AE$8)</f>
        <v/>
      </c>
      <c r="AF163" s="31" t="str">
        <f>IF('Phytopl Count'!AF163=0,"",'Phytopl Count'!AF163*'Phytopl Count'!AF$13/'Phytopl Count'!AF$8)</f>
        <v/>
      </c>
    </row>
    <row r="164" spans="1:32" hidden="1">
      <c r="E164" s="10"/>
      <c r="F164" s="11"/>
      <c r="G164" s="31" t="str">
        <f>IF('Phytopl Count'!G164=0,"",'Phytopl Count'!G164*'Phytopl Count'!G$13/'Phytopl Count'!G$8)</f>
        <v/>
      </c>
      <c r="H164" s="31" t="str">
        <f>IF('Phytopl Count'!H164=0,"",'Phytopl Count'!H164*'Phytopl Count'!H$13/'Phytopl Count'!H$8)</f>
        <v/>
      </c>
      <c r="I164" s="31" t="str">
        <f>IF('Phytopl Count'!I164=0,"",'Phytopl Count'!I164*'Phytopl Count'!I$13/'Phytopl Count'!I$8)</f>
        <v/>
      </c>
      <c r="J164" s="31" t="str">
        <f>IF('Phytopl Count'!J164=0,"",'Phytopl Count'!J164*'Phytopl Count'!J$13/'Phytopl Count'!J$8)</f>
        <v/>
      </c>
      <c r="K164" s="31" t="str">
        <f>IF('Phytopl Count'!K164=0,"",'Phytopl Count'!K164*'Phytopl Count'!K$13/'Phytopl Count'!K$8)</f>
        <v/>
      </c>
      <c r="L164" s="31" t="str">
        <f>IF('Phytopl Count'!L164=0,"",'Phytopl Count'!L164*'Phytopl Count'!L$13/'Phytopl Count'!L$8)</f>
        <v/>
      </c>
      <c r="M164" s="31" t="str">
        <f>IF('Phytopl Count'!M164=0,"",'Phytopl Count'!M164*'Phytopl Count'!M$13/'Phytopl Count'!M$8)</f>
        <v/>
      </c>
      <c r="N164" s="31" t="str">
        <f>IF('Phytopl Count'!N164=0,"",'Phytopl Count'!N164*'Phytopl Count'!N$13/'Phytopl Count'!N$8)</f>
        <v/>
      </c>
      <c r="O164" s="31" t="str">
        <f>IF('Phytopl Count'!O164=0,"",'Phytopl Count'!O164*'Phytopl Count'!O$13/'Phytopl Count'!O$8)</f>
        <v/>
      </c>
      <c r="P164" s="31" t="str">
        <f>IF('Phytopl Count'!P164=0,"",'Phytopl Count'!P164*'Phytopl Count'!P$13/'Phytopl Count'!P$8)</f>
        <v/>
      </c>
      <c r="Q164" s="31" t="str">
        <f>IF('Phytopl Count'!Q164=0,"",'Phytopl Count'!Q164*'Phytopl Count'!Q$13/'Phytopl Count'!Q$8)</f>
        <v/>
      </c>
      <c r="R164" s="31" t="str">
        <f>IF('Phytopl Count'!R164=0,"",'Phytopl Count'!R164*'Phytopl Count'!R$13/'Phytopl Count'!R$8)</f>
        <v/>
      </c>
      <c r="S164" s="31" t="str">
        <f>IF('Phytopl Count'!S164=0,"",'Phytopl Count'!S164*'Phytopl Count'!S$13/'Phytopl Count'!S$8)</f>
        <v/>
      </c>
      <c r="T164" s="31" t="str">
        <f>IF('Phytopl Count'!T164=0,"",'Phytopl Count'!T164*'Phytopl Count'!T$13/'Phytopl Count'!T$8)</f>
        <v/>
      </c>
      <c r="U164" s="31" t="str">
        <f>IF('Phytopl Count'!U164=0,"",'Phytopl Count'!U164*'Phytopl Count'!U$13/'Phytopl Count'!U$8)</f>
        <v/>
      </c>
      <c r="V164" s="31" t="str">
        <f>IF('Phytopl Count'!V164=0,"",'Phytopl Count'!V164*'Phytopl Count'!V$13/'Phytopl Count'!V$8)</f>
        <v/>
      </c>
      <c r="W164" s="31" t="str">
        <f>IF('Phytopl Count'!W164=0,"",'Phytopl Count'!W164*'Phytopl Count'!W$13/'Phytopl Count'!W$8)</f>
        <v/>
      </c>
      <c r="X164" s="31" t="str">
        <f>IF('Phytopl Count'!X164=0,"",'Phytopl Count'!X164*'Phytopl Count'!X$13/'Phytopl Count'!X$8)</f>
        <v/>
      </c>
      <c r="Y164" s="31" t="str">
        <f>IF('Phytopl Count'!Y164=0,"",'Phytopl Count'!Y164*'Phytopl Count'!Y$13/'Phytopl Count'!Y$8)</f>
        <v/>
      </c>
      <c r="Z164" s="31" t="str">
        <f>IF('Phytopl Count'!Z164=0,"",'Phytopl Count'!Z164*'Phytopl Count'!Z$13/'Phytopl Count'!Z$8)</f>
        <v/>
      </c>
      <c r="AA164" s="31" t="str">
        <f>IF('Phytopl Count'!AA164=0,"",'Phytopl Count'!AA164*'Phytopl Count'!AA$13/'Phytopl Count'!AA$8)</f>
        <v/>
      </c>
      <c r="AB164" s="31" t="str">
        <f>IF('Phytopl Count'!AB164=0,"",'Phytopl Count'!AB164*'Phytopl Count'!AB$13/'Phytopl Count'!AB$8)</f>
        <v/>
      </c>
      <c r="AC164" s="31" t="str">
        <f>IF('Phytopl Count'!AC164=0,"",'Phytopl Count'!AC164*'Phytopl Count'!AC$13/'Phytopl Count'!AC$8)</f>
        <v/>
      </c>
      <c r="AD164" s="31" t="str">
        <f>IF('Phytopl Count'!AD164=0,"",'Phytopl Count'!AD164*'Phytopl Count'!AD$13/'Phytopl Count'!AD$8)</f>
        <v/>
      </c>
      <c r="AE164" s="31" t="str">
        <f>IF('Phytopl Count'!AE164=0,"",'Phytopl Count'!AE164*'Phytopl Count'!AE$13/'Phytopl Count'!AE$8)</f>
        <v/>
      </c>
      <c r="AF164" s="31" t="str">
        <f>IF('Phytopl Count'!AF164=0,"",'Phytopl Count'!AF164*'Phytopl Count'!AF$13/'Phytopl Count'!AF$8)</f>
        <v/>
      </c>
    </row>
    <row r="165" spans="1:32" hidden="1">
      <c r="A165" s="16" t="s">
        <v>4</v>
      </c>
      <c r="B165" s="4" t="s">
        <v>294</v>
      </c>
      <c r="C165" s="10"/>
      <c r="D165" s="4"/>
      <c r="F165" s="9"/>
      <c r="G165" s="31" t="str">
        <f>IF('Phytopl Count'!G165=0,"",'Phytopl Count'!G165*'Phytopl Count'!G$13/'Phytopl Count'!G$8)</f>
        <v/>
      </c>
      <c r="H165" s="31" t="str">
        <f>IF('Phytopl Count'!H165=0,"",'Phytopl Count'!H165*'Phytopl Count'!H$13/'Phytopl Count'!H$8)</f>
        <v/>
      </c>
      <c r="I165" s="31" t="str">
        <f>IF('Phytopl Count'!I165=0,"",'Phytopl Count'!I165*'Phytopl Count'!I$13/'Phytopl Count'!I$8)</f>
        <v/>
      </c>
      <c r="J165" s="31" t="str">
        <f>IF('Phytopl Count'!J165=0,"",'Phytopl Count'!J165*'Phytopl Count'!J$13/'Phytopl Count'!J$8)</f>
        <v/>
      </c>
      <c r="K165" s="31" t="str">
        <f>IF('Phytopl Count'!K165=0,"",'Phytopl Count'!K165*'Phytopl Count'!K$13/'Phytopl Count'!K$8)</f>
        <v/>
      </c>
      <c r="L165" s="31" t="str">
        <f>IF('Phytopl Count'!L165=0,"",'Phytopl Count'!L165*'Phytopl Count'!L$13/'Phytopl Count'!L$8)</f>
        <v/>
      </c>
      <c r="M165" s="31" t="str">
        <f>IF('Phytopl Count'!M165=0,"",'Phytopl Count'!M165*'Phytopl Count'!M$13/'Phytopl Count'!M$8)</f>
        <v/>
      </c>
      <c r="N165" s="31" t="str">
        <f>IF('Phytopl Count'!N165=0,"",'Phytopl Count'!N165*'Phytopl Count'!N$13/'Phytopl Count'!N$8)</f>
        <v/>
      </c>
      <c r="O165" s="31" t="str">
        <f>IF('Phytopl Count'!O165=0,"",'Phytopl Count'!O165*'Phytopl Count'!O$13/'Phytopl Count'!O$8)</f>
        <v/>
      </c>
      <c r="P165" s="31" t="str">
        <f>IF('Phytopl Count'!P165=0,"",'Phytopl Count'!P165*'Phytopl Count'!P$13/'Phytopl Count'!P$8)</f>
        <v/>
      </c>
      <c r="Q165" s="31" t="str">
        <f>IF('Phytopl Count'!Q165=0,"",'Phytopl Count'!Q165*'Phytopl Count'!Q$13/'Phytopl Count'!Q$8)</f>
        <v/>
      </c>
      <c r="R165" s="31" t="str">
        <f>IF('Phytopl Count'!R165=0,"",'Phytopl Count'!R165*'Phytopl Count'!R$13/'Phytopl Count'!R$8)</f>
        <v/>
      </c>
      <c r="S165" s="31" t="str">
        <f>IF('Phytopl Count'!S165=0,"",'Phytopl Count'!S165*'Phytopl Count'!S$13/'Phytopl Count'!S$8)</f>
        <v/>
      </c>
      <c r="T165" s="31" t="str">
        <f>IF('Phytopl Count'!T165=0,"",'Phytopl Count'!T165*'Phytopl Count'!T$13/'Phytopl Count'!T$8)</f>
        <v/>
      </c>
      <c r="U165" s="31" t="str">
        <f>IF('Phytopl Count'!U165=0,"",'Phytopl Count'!U165*'Phytopl Count'!U$13/'Phytopl Count'!U$8)</f>
        <v/>
      </c>
      <c r="V165" s="31" t="str">
        <f>IF('Phytopl Count'!V165=0,"",'Phytopl Count'!V165*'Phytopl Count'!V$13/'Phytopl Count'!V$8)</f>
        <v/>
      </c>
      <c r="W165" s="31" t="str">
        <f>IF('Phytopl Count'!W165=0,"",'Phytopl Count'!W165*'Phytopl Count'!W$13/'Phytopl Count'!W$8)</f>
        <v/>
      </c>
      <c r="X165" s="31" t="str">
        <f>IF('Phytopl Count'!X165=0,"",'Phytopl Count'!X165*'Phytopl Count'!X$13/'Phytopl Count'!X$8)</f>
        <v/>
      </c>
      <c r="Y165" s="31" t="str">
        <f>IF('Phytopl Count'!Y165=0,"",'Phytopl Count'!Y165*'Phytopl Count'!Y$13/'Phytopl Count'!Y$8)</f>
        <v/>
      </c>
      <c r="Z165" s="31" t="str">
        <f>IF('Phytopl Count'!Z165=0,"",'Phytopl Count'!Z165*'Phytopl Count'!Z$13/'Phytopl Count'!Z$8)</f>
        <v/>
      </c>
      <c r="AA165" s="31" t="str">
        <f>IF('Phytopl Count'!AA165=0,"",'Phytopl Count'!AA165*'Phytopl Count'!AA$13/'Phytopl Count'!AA$8)</f>
        <v/>
      </c>
      <c r="AB165" s="31" t="str">
        <f>IF('Phytopl Count'!AB165=0,"",'Phytopl Count'!AB165*'Phytopl Count'!AB$13/'Phytopl Count'!AB$8)</f>
        <v/>
      </c>
      <c r="AC165" s="31" t="str">
        <f>IF('Phytopl Count'!AC165=0,"",'Phytopl Count'!AC165*'Phytopl Count'!AC$13/'Phytopl Count'!AC$8)</f>
        <v/>
      </c>
      <c r="AD165" s="31" t="str">
        <f>IF('Phytopl Count'!AD165=0,"",'Phytopl Count'!AD165*'Phytopl Count'!AD$13/'Phytopl Count'!AD$8)</f>
        <v/>
      </c>
      <c r="AE165" s="31" t="str">
        <f>IF('Phytopl Count'!AE165=0,"",'Phytopl Count'!AE165*'Phytopl Count'!AE$13/'Phytopl Count'!AE$8)</f>
        <v/>
      </c>
      <c r="AF165" s="31" t="str">
        <f>IF('Phytopl Count'!AF165=0,"",'Phytopl Count'!AF165*'Phytopl Count'!AF$13/'Phytopl Count'!AF$8)</f>
        <v/>
      </c>
    </row>
    <row r="166" spans="1:32" hidden="1">
      <c r="A166" s="16"/>
      <c r="B166" s="16" t="s">
        <v>72</v>
      </c>
      <c r="C166" s="28" t="s">
        <v>295</v>
      </c>
      <c r="D166" s="4"/>
      <c r="F166" s="9"/>
      <c r="G166" s="31" t="str">
        <f>IF('Phytopl Count'!G166=0,"",'Phytopl Count'!G166*'Phytopl Count'!G$13/'Phytopl Count'!G$8)</f>
        <v/>
      </c>
      <c r="H166" s="31" t="str">
        <f>IF('Phytopl Count'!H166=0,"",'Phytopl Count'!H166*'Phytopl Count'!H$13/'Phytopl Count'!H$8)</f>
        <v/>
      </c>
      <c r="I166" s="31" t="str">
        <f>IF('Phytopl Count'!I166=0,"",'Phytopl Count'!I166*'Phytopl Count'!I$13/'Phytopl Count'!I$8)</f>
        <v/>
      </c>
      <c r="J166" s="31" t="str">
        <f>IF('Phytopl Count'!J166=0,"",'Phytopl Count'!J166*'Phytopl Count'!J$13/'Phytopl Count'!J$8)</f>
        <v/>
      </c>
      <c r="K166" s="31" t="str">
        <f>IF('Phytopl Count'!K166=0,"",'Phytopl Count'!K166*'Phytopl Count'!K$13/'Phytopl Count'!K$8)</f>
        <v/>
      </c>
      <c r="L166" s="31" t="str">
        <f>IF('Phytopl Count'!L166=0,"",'Phytopl Count'!L166*'Phytopl Count'!L$13/'Phytopl Count'!L$8)</f>
        <v/>
      </c>
      <c r="M166" s="31" t="str">
        <f>IF('Phytopl Count'!M166=0,"",'Phytopl Count'!M166*'Phytopl Count'!M$13/'Phytopl Count'!M$8)</f>
        <v/>
      </c>
      <c r="N166" s="31" t="str">
        <f>IF('Phytopl Count'!N166=0,"",'Phytopl Count'!N166*'Phytopl Count'!N$13/'Phytopl Count'!N$8)</f>
        <v/>
      </c>
      <c r="O166" s="31" t="str">
        <f>IF('Phytopl Count'!O166=0,"",'Phytopl Count'!O166*'Phytopl Count'!O$13/'Phytopl Count'!O$8)</f>
        <v/>
      </c>
      <c r="P166" s="31" t="str">
        <f>IF('Phytopl Count'!P166=0,"",'Phytopl Count'!P166*'Phytopl Count'!P$13/'Phytopl Count'!P$8)</f>
        <v/>
      </c>
      <c r="Q166" s="31" t="str">
        <f>IF('Phytopl Count'!Q166=0,"",'Phytopl Count'!Q166*'Phytopl Count'!Q$13/'Phytopl Count'!Q$8)</f>
        <v/>
      </c>
      <c r="R166" s="31" t="str">
        <f>IF('Phytopl Count'!R166=0,"",'Phytopl Count'!R166*'Phytopl Count'!R$13/'Phytopl Count'!R$8)</f>
        <v/>
      </c>
      <c r="S166" s="31" t="str">
        <f>IF('Phytopl Count'!S166=0,"",'Phytopl Count'!S166*'Phytopl Count'!S$13/'Phytopl Count'!S$8)</f>
        <v/>
      </c>
      <c r="T166" s="31" t="str">
        <f>IF('Phytopl Count'!T166=0,"",'Phytopl Count'!T166*'Phytopl Count'!T$13/'Phytopl Count'!T$8)</f>
        <v/>
      </c>
      <c r="U166" s="31" t="str">
        <f>IF('Phytopl Count'!U166=0,"",'Phytopl Count'!U166*'Phytopl Count'!U$13/'Phytopl Count'!U$8)</f>
        <v/>
      </c>
      <c r="V166" s="31" t="str">
        <f>IF('Phytopl Count'!V166=0,"",'Phytopl Count'!V166*'Phytopl Count'!V$13/'Phytopl Count'!V$8)</f>
        <v/>
      </c>
      <c r="W166" s="31" t="str">
        <f>IF('Phytopl Count'!W166=0,"",'Phytopl Count'!W166*'Phytopl Count'!W$13/'Phytopl Count'!W$8)</f>
        <v/>
      </c>
      <c r="X166" s="31" t="str">
        <f>IF('Phytopl Count'!X166=0,"",'Phytopl Count'!X166*'Phytopl Count'!X$13/'Phytopl Count'!X$8)</f>
        <v/>
      </c>
      <c r="Y166" s="31" t="str">
        <f>IF('Phytopl Count'!Y166=0,"",'Phytopl Count'!Y166*'Phytopl Count'!Y$13/'Phytopl Count'!Y$8)</f>
        <v/>
      </c>
      <c r="Z166" s="31" t="str">
        <f>IF('Phytopl Count'!Z166=0,"",'Phytopl Count'!Z166*'Phytopl Count'!Z$13/'Phytopl Count'!Z$8)</f>
        <v/>
      </c>
      <c r="AA166" s="31" t="str">
        <f>IF('Phytopl Count'!AA166=0,"",'Phytopl Count'!AA166*'Phytopl Count'!AA$13/'Phytopl Count'!AA$8)</f>
        <v/>
      </c>
      <c r="AB166" s="31" t="str">
        <f>IF('Phytopl Count'!AB166=0,"",'Phytopl Count'!AB166*'Phytopl Count'!AB$13/'Phytopl Count'!AB$8)</f>
        <v/>
      </c>
      <c r="AC166" s="31" t="str">
        <f>IF('Phytopl Count'!AC166=0,"",'Phytopl Count'!AC166*'Phytopl Count'!AC$13/'Phytopl Count'!AC$8)</f>
        <v/>
      </c>
      <c r="AD166" s="31" t="str">
        <f>IF('Phytopl Count'!AD166=0,"",'Phytopl Count'!AD166*'Phytopl Count'!AD$13/'Phytopl Count'!AD$8)</f>
        <v/>
      </c>
      <c r="AE166" s="31" t="str">
        <f>IF('Phytopl Count'!AE166=0,"",'Phytopl Count'!AE166*'Phytopl Count'!AE$13/'Phytopl Count'!AE$8)</f>
        <v/>
      </c>
      <c r="AF166" s="31" t="str">
        <f>IF('Phytopl Count'!AF166=0,"",'Phytopl Count'!AF166*'Phytopl Count'!AF$13/'Phytopl Count'!AF$8)</f>
        <v/>
      </c>
    </row>
    <row r="167" spans="1:32" hidden="1">
      <c r="A167" s="16"/>
      <c r="B167" s="16"/>
      <c r="C167" s="16" t="s">
        <v>73</v>
      </c>
      <c r="D167" s="4" t="s">
        <v>296</v>
      </c>
      <c r="F167" s="9"/>
      <c r="G167" s="31" t="str">
        <f>IF('Phytopl Count'!G167=0,"",'Phytopl Count'!G167*'Phytopl Count'!G$13/'Phytopl Count'!G$8)</f>
        <v/>
      </c>
      <c r="H167" s="31" t="str">
        <f>IF('Phytopl Count'!H167=0,"",'Phytopl Count'!H167*'Phytopl Count'!H$13/'Phytopl Count'!H$8)</f>
        <v/>
      </c>
      <c r="I167" s="31" t="str">
        <f>IF('Phytopl Count'!I167=0,"",'Phytopl Count'!I167*'Phytopl Count'!I$13/'Phytopl Count'!I$8)</f>
        <v/>
      </c>
      <c r="J167" s="31" t="str">
        <f>IF('Phytopl Count'!J167=0,"",'Phytopl Count'!J167*'Phytopl Count'!J$13/'Phytopl Count'!J$8)</f>
        <v/>
      </c>
      <c r="K167" s="31" t="str">
        <f>IF('Phytopl Count'!K167=0,"",'Phytopl Count'!K167*'Phytopl Count'!K$13/'Phytopl Count'!K$8)</f>
        <v/>
      </c>
      <c r="L167" s="31" t="str">
        <f>IF('Phytopl Count'!L167=0,"",'Phytopl Count'!L167*'Phytopl Count'!L$13/'Phytopl Count'!L$8)</f>
        <v/>
      </c>
      <c r="M167" s="31" t="str">
        <f>IF('Phytopl Count'!M167=0,"",'Phytopl Count'!M167*'Phytopl Count'!M$13/'Phytopl Count'!M$8)</f>
        <v/>
      </c>
      <c r="N167" s="31" t="str">
        <f>IF('Phytopl Count'!N167=0,"",'Phytopl Count'!N167*'Phytopl Count'!N$13/'Phytopl Count'!N$8)</f>
        <v/>
      </c>
      <c r="O167" s="31" t="str">
        <f>IF('Phytopl Count'!O167=0,"",'Phytopl Count'!O167*'Phytopl Count'!O$13/'Phytopl Count'!O$8)</f>
        <v/>
      </c>
      <c r="P167" s="31" t="str">
        <f>IF('Phytopl Count'!P167=0,"",'Phytopl Count'!P167*'Phytopl Count'!P$13/'Phytopl Count'!P$8)</f>
        <v/>
      </c>
      <c r="Q167" s="31" t="str">
        <f>IF('Phytopl Count'!Q167=0,"",'Phytopl Count'!Q167*'Phytopl Count'!Q$13/'Phytopl Count'!Q$8)</f>
        <v/>
      </c>
      <c r="R167" s="31" t="str">
        <f>IF('Phytopl Count'!R167=0,"",'Phytopl Count'!R167*'Phytopl Count'!R$13/'Phytopl Count'!R$8)</f>
        <v/>
      </c>
      <c r="S167" s="31" t="str">
        <f>IF('Phytopl Count'!S167=0,"",'Phytopl Count'!S167*'Phytopl Count'!S$13/'Phytopl Count'!S$8)</f>
        <v/>
      </c>
      <c r="T167" s="31" t="str">
        <f>IF('Phytopl Count'!T167=0,"",'Phytopl Count'!T167*'Phytopl Count'!T$13/'Phytopl Count'!T$8)</f>
        <v/>
      </c>
      <c r="U167" s="31" t="str">
        <f>IF('Phytopl Count'!U167=0,"",'Phytopl Count'!U167*'Phytopl Count'!U$13/'Phytopl Count'!U$8)</f>
        <v/>
      </c>
      <c r="V167" s="31" t="str">
        <f>IF('Phytopl Count'!V167=0,"",'Phytopl Count'!V167*'Phytopl Count'!V$13/'Phytopl Count'!V$8)</f>
        <v/>
      </c>
      <c r="W167" s="31" t="str">
        <f>IF('Phytopl Count'!W167=0,"",'Phytopl Count'!W167*'Phytopl Count'!W$13/'Phytopl Count'!W$8)</f>
        <v/>
      </c>
      <c r="X167" s="31" t="str">
        <f>IF('Phytopl Count'!X167=0,"",'Phytopl Count'!X167*'Phytopl Count'!X$13/'Phytopl Count'!X$8)</f>
        <v/>
      </c>
      <c r="Y167" s="31" t="str">
        <f>IF('Phytopl Count'!Y167=0,"",'Phytopl Count'!Y167*'Phytopl Count'!Y$13/'Phytopl Count'!Y$8)</f>
        <v/>
      </c>
      <c r="Z167" s="31" t="str">
        <f>IF('Phytopl Count'!Z167=0,"",'Phytopl Count'!Z167*'Phytopl Count'!Z$13/'Phytopl Count'!Z$8)</f>
        <v/>
      </c>
      <c r="AA167" s="31" t="str">
        <f>IF('Phytopl Count'!AA167=0,"",'Phytopl Count'!AA167*'Phytopl Count'!AA$13/'Phytopl Count'!AA$8)</f>
        <v/>
      </c>
      <c r="AB167" s="31" t="str">
        <f>IF('Phytopl Count'!AB167=0,"",'Phytopl Count'!AB167*'Phytopl Count'!AB$13/'Phytopl Count'!AB$8)</f>
        <v/>
      </c>
      <c r="AC167" s="31" t="str">
        <f>IF('Phytopl Count'!AC167=0,"",'Phytopl Count'!AC167*'Phytopl Count'!AC$13/'Phytopl Count'!AC$8)</f>
        <v/>
      </c>
      <c r="AD167" s="31" t="str">
        <f>IF('Phytopl Count'!AD167=0,"",'Phytopl Count'!AD167*'Phytopl Count'!AD$13/'Phytopl Count'!AD$8)</f>
        <v/>
      </c>
      <c r="AE167" s="31" t="str">
        <f>IF('Phytopl Count'!AE167=0,"",'Phytopl Count'!AE167*'Phytopl Count'!AE$13/'Phytopl Count'!AE$8)</f>
        <v/>
      </c>
      <c r="AF167" s="31" t="str">
        <f>IF('Phytopl Count'!AF167=0,"",'Phytopl Count'!AF167*'Phytopl Count'!AF$13/'Phytopl Count'!AF$8)</f>
        <v/>
      </c>
    </row>
    <row r="168" spans="1:32" hidden="1">
      <c r="A168" s="10"/>
      <c r="B168" s="10"/>
      <c r="C168" s="10"/>
      <c r="D168" s="10" t="s">
        <v>5</v>
      </c>
      <c r="E168" s="87" t="s">
        <v>297</v>
      </c>
      <c r="F168" s="9"/>
      <c r="G168" s="31" t="str">
        <f>IF('Phytopl Count'!G168=0,"",'Phytopl Count'!G168*'Phytopl Count'!G$13/'Phytopl Count'!G$8)</f>
        <v/>
      </c>
      <c r="H168" s="31" t="str">
        <f>IF('Phytopl Count'!H168=0,"",'Phytopl Count'!H168*'Phytopl Count'!H$13/'Phytopl Count'!H$8)</f>
        <v/>
      </c>
      <c r="I168" s="31" t="str">
        <f>IF('Phytopl Count'!I168=0,"",'Phytopl Count'!I168*'Phytopl Count'!I$13/'Phytopl Count'!I$8)</f>
        <v/>
      </c>
      <c r="J168" s="31" t="str">
        <f>IF('Phytopl Count'!J168=0,"",'Phytopl Count'!J168*'Phytopl Count'!J$13/'Phytopl Count'!J$8)</f>
        <v/>
      </c>
      <c r="K168" s="31" t="str">
        <f>IF('Phytopl Count'!K168=0,"",'Phytopl Count'!K168*'Phytopl Count'!K$13/'Phytopl Count'!K$8)</f>
        <v/>
      </c>
      <c r="L168" s="31" t="str">
        <f>IF('Phytopl Count'!L168=0,"",'Phytopl Count'!L168*'Phytopl Count'!L$13/'Phytopl Count'!L$8)</f>
        <v/>
      </c>
      <c r="M168" s="31" t="str">
        <f>IF('Phytopl Count'!M168=0,"",'Phytopl Count'!M168*'Phytopl Count'!M$13/'Phytopl Count'!M$8)</f>
        <v/>
      </c>
      <c r="N168" s="31" t="str">
        <f>IF('Phytopl Count'!N168=0,"",'Phytopl Count'!N168*'Phytopl Count'!N$13/'Phytopl Count'!N$8)</f>
        <v/>
      </c>
      <c r="O168" s="31" t="str">
        <f>IF('Phytopl Count'!O168=0,"",'Phytopl Count'!O168*'Phytopl Count'!O$13/'Phytopl Count'!O$8)</f>
        <v/>
      </c>
      <c r="P168" s="31" t="str">
        <f>IF('Phytopl Count'!P168=0,"",'Phytopl Count'!P168*'Phytopl Count'!P$13/'Phytopl Count'!P$8)</f>
        <v/>
      </c>
      <c r="Q168" s="31" t="str">
        <f>IF('Phytopl Count'!Q168=0,"",'Phytopl Count'!Q168*'Phytopl Count'!Q$13/'Phytopl Count'!Q$8)</f>
        <v/>
      </c>
      <c r="R168" s="31" t="str">
        <f>IF('Phytopl Count'!R168=0,"",'Phytopl Count'!R168*'Phytopl Count'!R$13/'Phytopl Count'!R$8)</f>
        <v/>
      </c>
      <c r="S168" s="31" t="str">
        <f>IF('Phytopl Count'!S168=0,"",'Phytopl Count'!S168*'Phytopl Count'!S$13/'Phytopl Count'!S$8)</f>
        <v/>
      </c>
      <c r="T168" s="31" t="str">
        <f>IF('Phytopl Count'!T168=0,"",'Phytopl Count'!T168*'Phytopl Count'!T$13/'Phytopl Count'!T$8)</f>
        <v/>
      </c>
      <c r="U168" s="31" t="str">
        <f>IF('Phytopl Count'!U168=0,"",'Phytopl Count'!U168*'Phytopl Count'!U$13/'Phytopl Count'!U$8)</f>
        <v/>
      </c>
      <c r="V168" s="31" t="str">
        <f>IF('Phytopl Count'!V168=0,"",'Phytopl Count'!V168*'Phytopl Count'!V$13/'Phytopl Count'!V$8)</f>
        <v/>
      </c>
      <c r="W168" s="31" t="str">
        <f>IF('Phytopl Count'!W168=0,"",'Phytopl Count'!W168*'Phytopl Count'!W$13/'Phytopl Count'!W$8)</f>
        <v/>
      </c>
      <c r="X168" s="31" t="str">
        <f>IF('Phytopl Count'!X168=0,"",'Phytopl Count'!X168*'Phytopl Count'!X$13/'Phytopl Count'!X$8)</f>
        <v/>
      </c>
      <c r="Y168" s="31" t="str">
        <f>IF('Phytopl Count'!Y168=0,"",'Phytopl Count'!Y168*'Phytopl Count'!Y$13/'Phytopl Count'!Y$8)</f>
        <v/>
      </c>
      <c r="Z168" s="31" t="str">
        <f>IF('Phytopl Count'!Z168=0,"",'Phytopl Count'!Z168*'Phytopl Count'!Z$13/'Phytopl Count'!Z$8)</f>
        <v/>
      </c>
      <c r="AA168" s="31" t="str">
        <f>IF('Phytopl Count'!AA168=0,"",'Phytopl Count'!AA168*'Phytopl Count'!AA$13/'Phytopl Count'!AA$8)</f>
        <v/>
      </c>
      <c r="AB168" s="31" t="str">
        <f>IF('Phytopl Count'!AB168=0,"",'Phytopl Count'!AB168*'Phytopl Count'!AB$13/'Phytopl Count'!AB$8)</f>
        <v/>
      </c>
      <c r="AC168" s="31" t="str">
        <f>IF('Phytopl Count'!AC168=0,"",'Phytopl Count'!AC168*'Phytopl Count'!AC$13/'Phytopl Count'!AC$8)</f>
        <v/>
      </c>
      <c r="AD168" s="31" t="str">
        <f>IF('Phytopl Count'!AD168=0,"",'Phytopl Count'!AD168*'Phytopl Count'!AD$13/'Phytopl Count'!AD$8)</f>
        <v/>
      </c>
      <c r="AE168" s="31" t="str">
        <f>IF('Phytopl Count'!AE168=0,"",'Phytopl Count'!AE168*'Phytopl Count'!AE$13/'Phytopl Count'!AE$8)</f>
        <v/>
      </c>
      <c r="AF168" s="31" t="str">
        <f>IF('Phytopl Count'!AF168=0,"",'Phytopl Count'!AF168*'Phytopl Count'!AF$13/'Phytopl Count'!AF$8)</f>
        <v/>
      </c>
    </row>
    <row r="169" spans="1:32" hidden="1">
      <c r="E169" s="10" t="s">
        <v>6</v>
      </c>
      <c r="F169" s="11" t="s">
        <v>298</v>
      </c>
      <c r="G169" s="31" t="str">
        <f>IF('Phytopl Count'!G169=0,"",'Phytopl Count'!G169*'Phytopl Count'!G$13/'Phytopl Count'!G$8)</f>
        <v/>
      </c>
      <c r="H169" s="31" t="str">
        <f>IF('Phytopl Count'!H169=0,"",'Phytopl Count'!H169*'Phytopl Count'!H$13/'Phytopl Count'!H$8)</f>
        <v/>
      </c>
      <c r="I169" s="31" t="str">
        <f>IF('Phytopl Count'!I169=0,"",'Phytopl Count'!I169*'Phytopl Count'!I$13/'Phytopl Count'!I$8)</f>
        <v/>
      </c>
      <c r="J169" s="31" t="str">
        <f>IF('Phytopl Count'!J169=0,"",'Phytopl Count'!J169*'Phytopl Count'!J$13/'Phytopl Count'!J$8)</f>
        <v/>
      </c>
      <c r="K169" s="31" t="str">
        <f>IF('Phytopl Count'!K169=0,"",'Phytopl Count'!K169*'Phytopl Count'!K$13/'Phytopl Count'!K$8)</f>
        <v/>
      </c>
      <c r="L169" s="31" t="str">
        <f>IF('Phytopl Count'!L169=0,"",'Phytopl Count'!L169*'Phytopl Count'!L$13/'Phytopl Count'!L$8)</f>
        <v/>
      </c>
      <c r="M169" s="31" t="str">
        <f>IF('Phytopl Count'!M169=0,"",'Phytopl Count'!M169*'Phytopl Count'!M$13/'Phytopl Count'!M$8)</f>
        <v/>
      </c>
      <c r="N169" s="31" t="str">
        <f>IF('Phytopl Count'!N169=0,"",'Phytopl Count'!N169*'Phytopl Count'!N$13/'Phytopl Count'!N$8)</f>
        <v/>
      </c>
      <c r="O169" s="31" t="str">
        <f>IF('Phytopl Count'!O169=0,"",'Phytopl Count'!O169*'Phytopl Count'!O$13/'Phytopl Count'!O$8)</f>
        <v/>
      </c>
      <c r="P169" s="31" t="str">
        <f>IF('Phytopl Count'!P169=0,"",'Phytopl Count'!P169*'Phytopl Count'!P$13/'Phytopl Count'!P$8)</f>
        <v/>
      </c>
      <c r="Q169" s="31" t="str">
        <f>IF('Phytopl Count'!Q169=0,"",'Phytopl Count'!Q169*'Phytopl Count'!Q$13/'Phytopl Count'!Q$8)</f>
        <v/>
      </c>
      <c r="R169" s="31" t="str">
        <f>IF('Phytopl Count'!R169=0,"",'Phytopl Count'!R169*'Phytopl Count'!R$13/'Phytopl Count'!R$8)</f>
        <v/>
      </c>
      <c r="S169" s="31" t="str">
        <f>IF('Phytopl Count'!S169=0,"",'Phytopl Count'!S169*'Phytopl Count'!S$13/'Phytopl Count'!S$8)</f>
        <v/>
      </c>
      <c r="T169" s="31" t="str">
        <f>IF('Phytopl Count'!T169=0,"",'Phytopl Count'!T169*'Phytopl Count'!T$13/'Phytopl Count'!T$8)</f>
        <v/>
      </c>
      <c r="U169" s="31" t="str">
        <f>IF('Phytopl Count'!U169=0,"",'Phytopl Count'!U169*'Phytopl Count'!U$13/'Phytopl Count'!U$8)</f>
        <v/>
      </c>
      <c r="V169" s="31" t="str">
        <f>IF('Phytopl Count'!V169=0,"",'Phytopl Count'!V169*'Phytopl Count'!V$13/'Phytopl Count'!V$8)</f>
        <v/>
      </c>
      <c r="W169" s="31" t="str">
        <f>IF('Phytopl Count'!W169=0,"",'Phytopl Count'!W169*'Phytopl Count'!W$13/'Phytopl Count'!W$8)</f>
        <v/>
      </c>
      <c r="X169" s="31" t="str">
        <f>IF('Phytopl Count'!X169=0,"",'Phytopl Count'!X169*'Phytopl Count'!X$13/'Phytopl Count'!X$8)</f>
        <v/>
      </c>
      <c r="Y169" s="31" t="str">
        <f>IF('Phytopl Count'!Y169=0,"",'Phytopl Count'!Y169*'Phytopl Count'!Y$13/'Phytopl Count'!Y$8)</f>
        <v/>
      </c>
      <c r="Z169" s="31" t="str">
        <f>IF('Phytopl Count'!Z169=0,"",'Phytopl Count'!Z169*'Phytopl Count'!Z$13/'Phytopl Count'!Z$8)</f>
        <v/>
      </c>
      <c r="AA169" s="31" t="str">
        <f>IF('Phytopl Count'!AA169=0,"",'Phytopl Count'!AA169*'Phytopl Count'!AA$13/'Phytopl Count'!AA$8)</f>
        <v/>
      </c>
      <c r="AB169" s="31" t="str">
        <f>IF('Phytopl Count'!AB169=0,"",'Phytopl Count'!AB169*'Phytopl Count'!AB$13/'Phytopl Count'!AB$8)</f>
        <v/>
      </c>
      <c r="AC169" s="31" t="str">
        <f>IF('Phytopl Count'!AC169=0,"",'Phytopl Count'!AC169*'Phytopl Count'!AC$13/'Phytopl Count'!AC$8)</f>
        <v/>
      </c>
      <c r="AD169" s="31" t="str">
        <f>IF('Phytopl Count'!AD169=0,"",'Phytopl Count'!AD169*'Phytopl Count'!AD$13/'Phytopl Count'!AD$8)</f>
        <v/>
      </c>
      <c r="AE169" s="31" t="str">
        <f>IF('Phytopl Count'!AE169=0,"",'Phytopl Count'!AE169*'Phytopl Count'!AE$13/'Phytopl Count'!AE$8)</f>
        <v/>
      </c>
      <c r="AF169" s="31" t="str">
        <f>IF('Phytopl Count'!AF169=0,"",'Phytopl Count'!AF169*'Phytopl Count'!AF$13/'Phytopl Count'!AF$8)</f>
        <v/>
      </c>
    </row>
    <row r="170" spans="1:32" hidden="1">
      <c r="A170" s="10"/>
      <c r="B170" s="10"/>
      <c r="C170" s="10"/>
      <c r="D170" s="10" t="s">
        <v>5</v>
      </c>
      <c r="E170" s="164" t="s">
        <v>356</v>
      </c>
      <c r="F170" s="9"/>
      <c r="G170" s="31" t="str">
        <f>IF('Phytopl Count'!G170=0,"",'Phytopl Count'!G170*'Phytopl Count'!G$13/'Phytopl Count'!G$8)</f>
        <v/>
      </c>
      <c r="H170" s="31" t="str">
        <f>IF('Phytopl Count'!H170=0,"",'Phytopl Count'!H170*'Phytopl Count'!H$13/'Phytopl Count'!H$8)</f>
        <v/>
      </c>
      <c r="I170" s="31" t="str">
        <f>IF('Phytopl Count'!I170=0,"",'Phytopl Count'!I170*'Phytopl Count'!I$13/'Phytopl Count'!I$8)</f>
        <v/>
      </c>
      <c r="J170" s="31" t="str">
        <f>IF('Phytopl Count'!J170=0,"",'Phytopl Count'!J170*'Phytopl Count'!J$13/'Phytopl Count'!J$8)</f>
        <v/>
      </c>
      <c r="K170" s="31" t="str">
        <f>IF('Phytopl Count'!K170=0,"",'Phytopl Count'!K170*'Phytopl Count'!K$13/'Phytopl Count'!K$8)</f>
        <v/>
      </c>
      <c r="L170" s="31" t="str">
        <f>IF('Phytopl Count'!L170=0,"",'Phytopl Count'!L170*'Phytopl Count'!L$13/'Phytopl Count'!L$8)</f>
        <v/>
      </c>
      <c r="M170" s="31" t="str">
        <f>IF('Phytopl Count'!M170=0,"",'Phytopl Count'!M170*'Phytopl Count'!M$13/'Phytopl Count'!M$8)</f>
        <v/>
      </c>
      <c r="N170" s="31" t="str">
        <f>IF('Phytopl Count'!N170=0,"",'Phytopl Count'!N170*'Phytopl Count'!N$13/'Phytopl Count'!N$8)</f>
        <v/>
      </c>
      <c r="O170" s="31" t="str">
        <f>IF('Phytopl Count'!O170=0,"",'Phytopl Count'!O170*'Phytopl Count'!O$13/'Phytopl Count'!O$8)</f>
        <v/>
      </c>
      <c r="P170" s="31" t="str">
        <f>IF('Phytopl Count'!P170=0,"",'Phytopl Count'!P170*'Phytopl Count'!P$13/'Phytopl Count'!P$8)</f>
        <v/>
      </c>
      <c r="Q170" s="31" t="str">
        <f>IF('Phytopl Count'!Q170=0,"",'Phytopl Count'!Q170*'Phytopl Count'!Q$13/'Phytopl Count'!Q$8)</f>
        <v/>
      </c>
      <c r="R170" s="31" t="str">
        <f>IF('Phytopl Count'!R170=0,"",'Phytopl Count'!R170*'Phytopl Count'!R$13/'Phytopl Count'!R$8)</f>
        <v/>
      </c>
      <c r="S170" s="31" t="str">
        <f>IF('Phytopl Count'!S170=0,"",'Phytopl Count'!S170*'Phytopl Count'!S$13/'Phytopl Count'!S$8)</f>
        <v/>
      </c>
      <c r="T170" s="31" t="str">
        <f>IF('Phytopl Count'!T170=0,"",'Phytopl Count'!T170*'Phytopl Count'!T$13/'Phytopl Count'!T$8)</f>
        <v/>
      </c>
      <c r="U170" s="31" t="str">
        <f>IF('Phytopl Count'!U170=0,"",'Phytopl Count'!U170*'Phytopl Count'!U$13/'Phytopl Count'!U$8)</f>
        <v/>
      </c>
      <c r="V170" s="31" t="str">
        <f>IF('Phytopl Count'!V170=0,"",'Phytopl Count'!V170*'Phytopl Count'!V$13/'Phytopl Count'!V$8)</f>
        <v/>
      </c>
      <c r="W170" s="31" t="str">
        <f>IF('Phytopl Count'!W170=0,"",'Phytopl Count'!W170*'Phytopl Count'!W$13/'Phytopl Count'!W$8)</f>
        <v/>
      </c>
      <c r="X170" s="31" t="str">
        <f>IF('Phytopl Count'!X170=0,"",'Phytopl Count'!X170*'Phytopl Count'!X$13/'Phytopl Count'!X$8)</f>
        <v/>
      </c>
      <c r="Y170" s="31" t="str">
        <f>IF('Phytopl Count'!Y170=0,"",'Phytopl Count'!Y170*'Phytopl Count'!Y$13/'Phytopl Count'!Y$8)</f>
        <v/>
      </c>
      <c r="Z170" s="31" t="str">
        <f>IF('Phytopl Count'!Z170=0,"",'Phytopl Count'!Z170*'Phytopl Count'!Z$13/'Phytopl Count'!Z$8)</f>
        <v/>
      </c>
      <c r="AA170" s="31" t="str">
        <f>IF('Phytopl Count'!AA170=0,"",'Phytopl Count'!AA170*'Phytopl Count'!AA$13/'Phytopl Count'!AA$8)</f>
        <v/>
      </c>
      <c r="AB170" s="31" t="str">
        <f>IF('Phytopl Count'!AB170=0,"",'Phytopl Count'!AB170*'Phytopl Count'!AB$13/'Phytopl Count'!AB$8)</f>
        <v/>
      </c>
      <c r="AC170" s="31" t="str">
        <f>IF('Phytopl Count'!AC170=0,"",'Phytopl Count'!AC170*'Phytopl Count'!AC$13/'Phytopl Count'!AC$8)</f>
        <v/>
      </c>
      <c r="AD170" s="31" t="str">
        <f>IF('Phytopl Count'!AD170=0,"",'Phytopl Count'!AD170*'Phytopl Count'!AD$13/'Phytopl Count'!AD$8)</f>
        <v/>
      </c>
      <c r="AE170" s="31" t="str">
        <f>IF('Phytopl Count'!AE170=0,"",'Phytopl Count'!AE170*'Phytopl Count'!AE$13/'Phytopl Count'!AE$8)</f>
        <v/>
      </c>
      <c r="AF170" s="31" t="str">
        <f>IF('Phytopl Count'!AF170=0,"",'Phytopl Count'!AF170*'Phytopl Count'!AF$13/'Phytopl Count'!AF$8)</f>
        <v/>
      </c>
    </row>
    <row r="171" spans="1:32" hidden="1">
      <c r="E171" s="10" t="s">
        <v>6</v>
      </c>
      <c r="F171" s="11" t="s">
        <v>358</v>
      </c>
      <c r="G171" s="31" t="str">
        <f>IF('Phytopl Count'!G171=0,"",'Phytopl Count'!G171*'Phytopl Count'!G$13/'Phytopl Count'!G$8)</f>
        <v/>
      </c>
      <c r="H171" s="31" t="str">
        <f>IF('Phytopl Count'!H171=0,"",'Phytopl Count'!H171*'Phytopl Count'!H$13/'Phytopl Count'!H$8)</f>
        <v/>
      </c>
      <c r="I171" s="31" t="str">
        <f>IF('Phytopl Count'!I171=0,"",'Phytopl Count'!I171*'Phytopl Count'!I$13/'Phytopl Count'!I$8)</f>
        <v/>
      </c>
      <c r="J171" s="31" t="str">
        <f>IF('Phytopl Count'!J171=0,"",'Phytopl Count'!J171*'Phytopl Count'!J$13/'Phytopl Count'!J$8)</f>
        <v/>
      </c>
      <c r="K171" s="31" t="str">
        <f>IF('Phytopl Count'!K171=0,"",'Phytopl Count'!K171*'Phytopl Count'!K$13/'Phytopl Count'!K$8)</f>
        <v/>
      </c>
      <c r="L171" s="31" t="str">
        <f>IF('Phytopl Count'!L171=0,"",'Phytopl Count'!L171*'Phytopl Count'!L$13/'Phytopl Count'!L$8)</f>
        <v/>
      </c>
      <c r="M171" s="31" t="str">
        <f>IF('Phytopl Count'!M171=0,"",'Phytopl Count'!M171*'Phytopl Count'!M$13/'Phytopl Count'!M$8)</f>
        <v/>
      </c>
      <c r="N171" s="31" t="str">
        <f>IF('Phytopl Count'!N171=0,"",'Phytopl Count'!N171*'Phytopl Count'!N$13/'Phytopl Count'!N$8)</f>
        <v/>
      </c>
      <c r="O171" s="31" t="str">
        <f>IF('Phytopl Count'!O171=0,"",'Phytopl Count'!O171*'Phytopl Count'!O$13/'Phytopl Count'!O$8)</f>
        <v/>
      </c>
      <c r="P171" s="31" t="str">
        <f>IF('Phytopl Count'!P171=0,"",'Phytopl Count'!P171*'Phytopl Count'!P$13/'Phytopl Count'!P$8)</f>
        <v/>
      </c>
      <c r="Q171" s="31" t="str">
        <f>IF('Phytopl Count'!Q171=0,"",'Phytopl Count'!Q171*'Phytopl Count'!Q$13/'Phytopl Count'!Q$8)</f>
        <v/>
      </c>
      <c r="R171" s="31" t="str">
        <f>IF('Phytopl Count'!R171=0,"",'Phytopl Count'!R171*'Phytopl Count'!R$13/'Phytopl Count'!R$8)</f>
        <v/>
      </c>
      <c r="S171" s="31" t="str">
        <f>IF('Phytopl Count'!S171=0,"",'Phytopl Count'!S171*'Phytopl Count'!S$13/'Phytopl Count'!S$8)</f>
        <v/>
      </c>
      <c r="T171" s="31" t="str">
        <f>IF('Phytopl Count'!T171=0,"",'Phytopl Count'!T171*'Phytopl Count'!T$13/'Phytopl Count'!T$8)</f>
        <v/>
      </c>
      <c r="U171" s="31" t="str">
        <f>IF('Phytopl Count'!U171=0,"",'Phytopl Count'!U171*'Phytopl Count'!U$13/'Phytopl Count'!U$8)</f>
        <v/>
      </c>
      <c r="V171" s="31" t="str">
        <f>IF('Phytopl Count'!V171=0,"",'Phytopl Count'!V171*'Phytopl Count'!V$13/'Phytopl Count'!V$8)</f>
        <v/>
      </c>
      <c r="W171" s="31" t="str">
        <f>IF('Phytopl Count'!W171=0,"",'Phytopl Count'!W171*'Phytopl Count'!W$13/'Phytopl Count'!W$8)</f>
        <v/>
      </c>
      <c r="X171" s="31" t="str">
        <f>IF('Phytopl Count'!X171=0,"",'Phytopl Count'!X171*'Phytopl Count'!X$13/'Phytopl Count'!X$8)</f>
        <v/>
      </c>
      <c r="Y171" s="31" t="str">
        <f>IF('Phytopl Count'!Y171=0,"",'Phytopl Count'!Y171*'Phytopl Count'!Y$13/'Phytopl Count'!Y$8)</f>
        <v/>
      </c>
      <c r="Z171" s="31" t="str">
        <f>IF('Phytopl Count'!Z171=0,"",'Phytopl Count'!Z171*'Phytopl Count'!Z$13/'Phytopl Count'!Z$8)</f>
        <v/>
      </c>
      <c r="AA171" s="31" t="str">
        <f>IF('Phytopl Count'!AA171=0,"",'Phytopl Count'!AA171*'Phytopl Count'!AA$13/'Phytopl Count'!AA$8)</f>
        <v/>
      </c>
      <c r="AB171" s="31" t="str">
        <f>IF('Phytopl Count'!AB171=0,"",'Phytopl Count'!AB171*'Phytopl Count'!AB$13/'Phytopl Count'!AB$8)</f>
        <v/>
      </c>
      <c r="AC171" s="31" t="str">
        <f>IF('Phytopl Count'!AC171=0,"",'Phytopl Count'!AC171*'Phytopl Count'!AC$13/'Phytopl Count'!AC$8)</f>
        <v/>
      </c>
      <c r="AD171" s="31" t="str">
        <f>IF('Phytopl Count'!AD171=0,"",'Phytopl Count'!AD171*'Phytopl Count'!AD$13/'Phytopl Count'!AD$8)</f>
        <v/>
      </c>
      <c r="AE171" s="31" t="str">
        <f>IF('Phytopl Count'!AE171=0,"",'Phytopl Count'!AE171*'Phytopl Count'!AE$13/'Phytopl Count'!AE$8)</f>
        <v/>
      </c>
      <c r="AF171" s="31" t="str">
        <f>IF('Phytopl Count'!AF171=0,"",'Phytopl Count'!AF171*'Phytopl Count'!AF$13/'Phytopl Count'!AF$8)</f>
        <v/>
      </c>
    </row>
    <row r="172" spans="1:32" hidden="1">
      <c r="E172" s="10"/>
      <c r="F172" s="11" t="s">
        <v>368</v>
      </c>
      <c r="G172" s="31" t="str">
        <f>IF('Phytopl Count'!G172=0,"",'Phytopl Count'!G172*'Phytopl Count'!G$13/'Phytopl Count'!G$8)</f>
        <v/>
      </c>
      <c r="H172" s="31" t="str">
        <f>IF('Phytopl Count'!H172=0,"",'Phytopl Count'!H172*'Phytopl Count'!H$13/'Phytopl Count'!H$8)</f>
        <v/>
      </c>
      <c r="I172" s="31" t="str">
        <f>IF('Phytopl Count'!I172=0,"",'Phytopl Count'!I172*'Phytopl Count'!I$13/'Phytopl Count'!I$8)</f>
        <v/>
      </c>
      <c r="J172" s="31" t="str">
        <f>IF('Phytopl Count'!J172=0,"",'Phytopl Count'!J172*'Phytopl Count'!J$13/'Phytopl Count'!J$8)</f>
        <v/>
      </c>
      <c r="K172" s="31" t="str">
        <f>IF('Phytopl Count'!K172=0,"",'Phytopl Count'!K172*'Phytopl Count'!K$13/'Phytopl Count'!K$8)</f>
        <v/>
      </c>
      <c r="L172" s="31" t="str">
        <f>IF('Phytopl Count'!L172=0,"",'Phytopl Count'!L172*'Phytopl Count'!L$13/'Phytopl Count'!L$8)</f>
        <v/>
      </c>
      <c r="M172" s="31" t="str">
        <f>IF('Phytopl Count'!M172=0,"",'Phytopl Count'!M172*'Phytopl Count'!M$13/'Phytopl Count'!M$8)</f>
        <v/>
      </c>
      <c r="N172" s="31" t="str">
        <f>IF('Phytopl Count'!N172=0,"",'Phytopl Count'!N172*'Phytopl Count'!N$13/'Phytopl Count'!N$8)</f>
        <v/>
      </c>
      <c r="O172" s="31" t="str">
        <f>IF('Phytopl Count'!O172=0,"",'Phytopl Count'!O172*'Phytopl Count'!O$13/'Phytopl Count'!O$8)</f>
        <v/>
      </c>
      <c r="P172" s="31" t="str">
        <f>IF('Phytopl Count'!P172=0,"",'Phytopl Count'!P172*'Phytopl Count'!P$13/'Phytopl Count'!P$8)</f>
        <v/>
      </c>
      <c r="Q172" s="31" t="str">
        <f>IF('Phytopl Count'!Q172=0,"",'Phytopl Count'!Q172*'Phytopl Count'!Q$13/'Phytopl Count'!Q$8)</f>
        <v/>
      </c>
      <c r="R172" s="31" t="str">
        <f>IF('Phytopl Count'!R172=0,"",'Phytopl Count'!R172*'Phytopl Count'!R$13/'Phytopl Count'!R$8)</f>
        <v/>
      </c>
      <c r="S172" s="31" t="str">
        <f>IF('Phytopl Count'!S172=0,"",'Phytopl Count'!S172*'Phytopl Count'!S$13/'Phytopl Count'!S$8)</f>
        <v/>
      </c>
      <c r="T172" s="31" t="str">
        <f>IF('Phytopl Count'!T172=0,"",'Phytopl Count'!T172*'Phytopl Count'!T$13/'Phytopl Count'!T$8)</f>
        <v/>
      </c>
      <c r="U172" s="31" t="str">
        <f>IF('Phytopl Count'!U172=0,"",'Phytopl Count'!U172*'Phytopl Count'!U$13/'Phytopl Count'!U$8)</f>
        <v/>
      </c>
      <c r="V172" s="31" t="str">
        <f>IF('Phytopl Count'!V172=0,"",'Phytopl Count'!V172*'Phytopl Count'!V$13/'Phytopl Count'!V$8)</f>
        <v/>
      </c>
      <c r="W172" s="31" t="str">
        <f>IF('Phytopl Count'!W172=0,"",'Phytopl Count'!W172*'Phytopl Count'!W$13/'Phytopl Count'!W$8)</f>
        <v/>
      </c>
      <c r="X172" s="31" t="str">
        <f>IF('Phytopl Count'!X172=0,"",'Phytopl Count'!X172*'Phytopl Count'!X$13/'Phytopl Count'!X$8)</f>
        <v/>
      </c>
      <c r="Y172" s="31" t="str">
        <f>IF('Phytopl Count'!Y172=0,"",'Phytopl Count'!Y172*'Phytopl Count'!Y$13/'Phytopl Count'!Y$8)</f>
        <v/>
      </c>
      <c r="Z172" s="31" t="str">
        <f>IF('Phytopl Count'!Z172=0,"",'Phytopl Count'!Z172*'Phytopl Count'!Z$13/'Phytopl Count'!Z$8)</f>
        <v/>
      </c>
      <c r="AA172" s="31" t="str">
        <f>IF('Phytopl Count'!AA172=0,"",'Phytopl Count'!AA172*'Phytopl Count'!AA$13/'Phytopl Count'!AA$8)</f>
        <v/>
      </c>
      <c r="AB172" s="31" t="str">
        <f>IF('Phytopl Count'!AB172=0,"",'Phytopl Count'!AB172*'Phytopl Count'!AB$13/'Phytopl Count'!AB$8)</f>
        <v/>
      </c>
      <c r="AC172" s="31" t="str">
        <f>IF('Phytopl Count'!AC172=0,"",'Phytopl Count'!AC172*'Phytopl Count'!AC$13/'Phytopl Count'!AC$8)</f>
        <v/>
      </c>
      <c r="AD172" s="31" t="str">
        <f>IF('Phytopl Count'!AD172=0,"",'Phytopl Count'!AD172*'Phytopl Count'!AD$13/'Phytopl Count'!AD$8)</f>
        <v/>
      </c>
      <c r="AE172" s="31" t="str">
        <f>IF('Phytopl Count'!AE172=0,"",'Phytopl Count'!AE172*'Phytopl Count'!AE$13/'Phytopl Count'!AE$8)</f>
        <v/>
      </c>
      <c r="AF172" s="31" t="str">
        <f>IF('Phytopl Count'!AF172=0,"",'Phytopl Count'!AF172*'Phytopl Count'!AF$13/'Phytopl Count'!AF$8)</f>
        <v/>
      </c>
    </row>
    <row r="173" spans="1:32" hidden="1">
      <c r="E173" s="10"/>
      <c r="F173" s="11" t="s">
        <v>357</v>
      </c>
      <c r="G173" s="31" t="str">
        <f>IF('Phytopl Count'!G173=0,"",'Phytopl Count'!G173*'Phytopl Count'!G$13/'Phytopl Count'!G$8)</f>
        <v/>
      </c>
      <c r="H173" s="31" t="str">
        <f>IF('Phytopl Count'!H173=0,"",'Phytopl Count'!H173*'Phytopl Count'!H$13/'Phytopl Count'!H$8)</f>
        <v/>
      </c>
      <c r="I173" s="31" t="str">
        <f>IF('Phytopl Count'!I173=0,"",'Phytopl Count'!I173*'Phytopl Count'!I$13/'Phytopl Count'!I$8)</f>
        <v/>
      </c>
      <c r="J173" s="31" t="str">
        <f>IF('Phytopl Count'!J173=0,"",'Phytopl Count'!J173*'Phytopl Count'!J$13/'Phytopl Count'!J$8)</f>
        <v/>
      </c>
      <c r="K173" s="31" t="str">
        <f>IF('Phytopl Count'!K173=0,"",'Phytopl Count'!K173*'Phytopl Count'!K$13/'Phytopl Count'!K$8)</f>
        <v/>
      </c>
      <c r="L173" s="31" t="str">
        <f>IF('Phytopl Count'!L173=0,"",'Phytopl Count'!L173*'Phytopl Count'!L$13/'Phytopl Count'!L$8)</f>
        <v/>
      </c>
      <c r="M173" s="31" t="str">
        <f>IF('Phytopl Count'!M173=0,"",'Phytopl Count'!M173*'Phytopl Count'!M$13/'Phytopl Count'!M$8)</f>
        <v/>
      </c>
      <c r="N173" s="31" t="str">
        <f>IF('Phytopl Count'!N173=0,"",'Phytopl Count'!N173*'Phytopl Count'!N$13/'Phytopl Count'!N$8)</f>
        <v/>
      </c>
      <c r="O173" s="31" t="str">
        <f>IF('Phytopl Count'!O173=0,"",'Phytopl Count'!O173*'Phytopl Count'!O$13/'Phytopl Count'!O$8)</f>
        <v/>
      </c>
      <c r="P173" s="31" t="str">
        <f>IF('Phytopl Count'!P173=0,"",'Phytopl Count'!P173*'Phytopl Count'!P$13/'Phytopl Count'!P$8)</f>
        <v/>
      </c>
      <c r="Q173" s="31" t="str">
        <f>IF('Phytopl Count'!Q173=0,"",'Phytopl Count'!Q173*'Phytopl Count'!Q$13/'Phytopl Count'!Q$8)</f>
        <v/>
      </c>
      <c r="R173" s="31" t="str">
        <f>IF('Phytopl Count'!R173=0,"",'Phytopl Count'!R173*'Phytopl Count'!R$13/'Phytopl Count'!R$8)</f>
        <v/>
      </c>
      <c r="S173" s="31" t="str">
        <f>IF('Phytopl Count'!S173=0,"",'Phytopl Count'!S173*'Phytopl Count'!S$13/'Phytopl Count'!S$8)</f>
        <v/>
      </c>
      <c r="T173" s="31" t="str">
        <f>IF('Phytopl Count'!T173=0,"",'Phytopl Count'!T173*'Phytopl Count'!T$13/'Phytopl Count'!T$8)</f>
        <v/>
      </c>
      <c r="U173" s="31" t="str">
        <f>IF('Phytopl Count'!U173=0,"",'Phytopl Count'!U173*'Phytopl Count'!U$13/'Phytopl Count'!U$8)</f>
        <v/>
      </c>
      <c r="V173" s="31" t="str">
        <f>IF('Phytopl Count'!V173=0,"",'Phytopl Count'!V173*'Phytopl Count'!V$13/'Phytopl Count'!V$8)</f>
        <v/>
      </c>
      <c r="W173" s="31" t="str">
        <f>IF('Phytopl Count'!W173=0,"",'Phytopl Count'!W173*'Phytopl Count'!W$13/'Phytopl Count'!W$8)</f>
        <v/>
      </c>
      <c r="X173" s="31" t="str">
        <f>IF('Phytopl Count'!X173=0,"",'Phytopl Count'!X173*'Phytopl Count'!X$13/'Phytopl Count'!X$8)</f>
        <v/>
      </c>
      <c r="Y173" s="31" t="str">
        <f>IF('Phytopl Count'!Y173=0,"",'Phytopl Count'!Y173*'Phytopl Count'!Y$13/'Phytopl Count'!Y$8)</f>
        <v/>
      </c>
      <c r="Z173" s="31" t="str">
        <f>IF('Phytopl Count'!Z173=0,"",'Phytopl Count'!Z173*'Phytopl Count'!Z$13/'Phytopl Count'!Z$8)</f>
        <v/>
      </c>
      <c r="AA173" s="31" t="str">
        <f>IF('Phytopl Count'!AA173=0,"",'Phytopl Count'!AA173*'Phytopl Count'!AA$13/'Phytopl Count'!AA$8)</f>
        <v/>
      </c>
      <c r="AB173" s="31" t="str">
        <f>IF('Phytopl Count'!AB173=0,"",'Phytopl Count'!AB173*'Phytopl Count'!AB$13/'Phytopl Count'!AB$8)</f>
        <v/>
      </c>
      <c r="AC173" s="31" t="str">
        <f>IF('Phytopl Count'!AC173=0,"",'Phytopl Count'!AC173*'Phytopl Count'!AC$13/'Phytopl Count'!AC$8)</f>
        <v/>
      </c>
      <c r="AD173" s="31" t="str">
        <f>IF('Phytopl Count'!AD173=0,"",'Phytopl Count'!AD173*'Phytopl Count'!AD$13/'Phytopl Count'!AD$8)</f>
        <v/>
      </c>
      <c r="AE173" s="31" t="str">
        <f>IF('Phytopl Count'!AE173=0,"",'Phytopl Count'!AE173*'Phytopl Count'!AE$13/'Phytopl Count'!AE$8)</f>
        <v/>
      </c>
      <c r="AF173" s="31" t="str">
        <f>IF('Phytopl Count'!AF173=0,"",'Phytopl Count'!AF173*'Phytopl Count'!AF$13/'Phytopl Count'!AF$8)</f>
        <v/>
      </c>
    </row>
    <row r="174" spans="1:32" hidden="1">
      <c r="E174" s="10"/>
      <c r="F174" s="11" t="s">
        <v>359</v>
      </c>
      <c r="G174" s="31" t="str">
        <f>IF('Phytopl Count'!G174=0,"",'Phytopl Count'!G174*'Phytopl Count'!G$13/'Phytopl Count'!G$8)</f>
        <v/>
      </c>
      <c r="H174" s="31" t="str">
        <f>IF('Phytopl Count'!H174=0,"",'Phytopl Count'!H174*'Phytopl Count'!H$13/'Phytopl Count'!H$8)</f>
        <v/>
      </c>
      <c r="I174" s="31" t="str">
        <f>IF('Phytopl Count'!I174=0,"",'Phytopl Count'!I174*'Phytopl Count'!I$13/'Phytopl Count'!I$8)</f>
        <v/>
      </c>
      <c r="J174" s="31" t="str">
        <f>IF('Phytopl Count'!J174=0,"",'Phytopl Count'!J174*'Phytopl Count'!J$13/'Phytopl Count'!J$8)</f>
        <v/>
      </c>
      <c r="K174" s="31" t="str">
        <f>IF('Phytopl Count'!K174=0,"",'Phytopl Count'!K174*'Phytopl Count'!K$13/'Phytopl Count'!K$8)</f>
        <v/>
      </c>
      <c r="L174" s="31" t="str">
        <f>IF('Phytopl Count'!L174=0,"",'Phytopl Count'!L174*'Phytopl Count'!L$13/'Phytopl Count'!L$8)</f>
        <v/>
      </c>
      <c r="M174" s="31" t="str">
        <f>IF('Phytopl Count'!M174=0,"",'Phytopl Count'!M174*'Phytopl Count'!M$13/'Phytopl Count'!M$8)</f>
        <v/>
      </c>
      <c r="N174" s="31" t="str">
        <f>IF('Phytopl Count'!N174=0,"",'Phytopl Count'!N174*'Phytopl Count'!N$13/'Phytopl Count'!N$8)</f>
        <v/>
      </c>
      <c r="O174" s="31" t="str">
        <f>IF('Phytopl Count'!O174=0,"",'Phytopl Count'!O174*'Phytopl Count'!O$13/'Phytopl Count'!O$8)</f>
        <v/>
      </c>
      <c r="P174" s="31" t="str">
        <f>IF('Phytopl Count'!P174=0,"",'Phytopl Count'!P174*'Phytopl Count'!P$13/'Phytopl Count'!P$8)</f>
        <v/>
      </c>
      <c r="Q174" s="31" t="str">
        <f>IF('Phytopl Count'!Q174=0,"",'Phytopl Count'!Q174*'Phytopl Count'!Q$13/'Phytopl Count'!Q$8)</f>
        <v/>
      </c>
      <c r="R174" s="31" t="str">
        <f>IF('Phytopl Count'!R174=0,"",'Phytopl Count'!R174*'Phytopl Count'!R$13/'Phytopl Count'!R$8)</f>
        <v/>
      </c>
      <c r="S174" s="31" t="str">
        <f>IF('Phytopl Count'!S174=0,"",'Phytopl Count'!S174*'Phytopl Count'!S$13/'Phytopl Count'!S$8)</f>
        <v/>
      </c>
      <c r="T174" s="31" t="str">
        <f>IF('Phytopl Count'!T174=0,"",'Phytopl Count'!T174*'Phytopl Count'!T$13/'Phytopl Count'!T$8)</f>
        <v/>
      </c>
      <c r="U174" s="31" t="str">
        <f>IF('Phytopl Count'!U174=0,"",'Phytopl Count'!U174*'Phytopl Count'!U$13/'Phytopl Count'!U$8)</f>
        <v/>
      </c>
      <c r="V174" s="31" t="str">
        <f>IF('Phytopl Count'!V174=0,"",'Phytopl Count'!V174*'Phytopl Count'!V$13/'Phytopl Count'!V$8)</f>
        <v/>
      </c>
      <c r="W174" s="31" t="str">
        <f>IF('Phytopl Count'!W174=0,"",'Phytopl Count'!W174*'Phytopl Count'!W$13/'Phytopl Count'!W$8)</f>
        <v/>
      </c>
      <c r="X174" s="31" t="str">
        <f>IF('Phytopl Count'!X174=0,"",'Phytopl Count'!X174*'Phytopl Count'!X$13/'Phytopl Count'!X$8)</f>
        <v/>
      </c>
      <c r="Y174" s="31" t="str">
        <f>IF('Phytopl Count'!Y174=0,"",'Phytopl Count'!Y174*'Phytopl Count'!Y$13/'Phytopl Count'!Y$8)</f>
        <v/>
      </c>
      <c r="Z174" s="31" t="str">
        <f>IF('Phytopl Count'!Z174=0,"",'Phytopl Count'!Z174*'Phytopl Count'!Z$13/'Phytopl Count'!Z$8)</f>
        <v/>
      </c>
      <c r="AA174" s="31" t="str">
        <f>IF('Phytopl Count'!AA174=0,"",'Phytopl Count'!AA174*'Phytopl Count'!AA$13/'Phytopl Count'!AA$8)</f>
        <v/>
      </c>
      <c r="AB174" s="31" t="str">
        <f>IF('Phytopl Count'!AB174=0,"",'Phytopl Count'!AB174*'Phytopl Count'!AB$13/'Phytopl Count'!AB$8)</f>
        <v/>
      </c>
      <c r="AC174" s="31" t="str">
        <f>IF('Phytopl Count'!AC174=0,"",'Phytopl Count'!AC174*'Phytopl Count'!AC$13/'Phytopl Count'!AC$8)</f>
        <v/>
      </c>
      <c r="AD174" s="31" t="str">
        <f>IF('Phytopl Count'!AD174=0,"",'Phytopl Count'!AD174*'Phytopl Count'!AD$13/'Phytopl Count'!AD$8)</f>
        <v/>
      </c>
      <c r="AE174" s="31" t="str">
        <f>IF('Phytopl Count'!AE174=0,"",'Phytopl Count'!AE174*'Phytopl Count'!AE$13/'Phytopl Count'!AE$8)</f>
        <v/>
      </c>
      <c r="AF174" s="31" t="str">
        <f>IF('Phytopl Count'!AF174=0,"",'Phytopl Count'!AF174*'Phytopl Count'!AF$13/'Phytopl Count'!AF$8)</f>
        <v/>
      </c>
    </row>
    <row r="175" spans="1:32" hidden="1">
      <c r="A175" s="16"/>
      <c r="B175" s="16"/>
      <c r="C175" s="16" t="s">
        <v>73</v>
      </c>
      <c r="D175" s="4" t="s">
        <v>369</v>
      </c>
      <c r="F175" s="9"/>
      <c r="G175" s="31" t="str">
        <f>IF('Phytopl Count'!G175=0,"",'Phytopl Count'!G175*'Phytopl Count'!G$13/'Phytopl Count'!G$8)</f>
        <v/>
      </c>
      <c r="H175" s="31" t="str">
        <f>IF('Phytopl Count'!H175=0,"",'Phytopl Count'!H175*'Phytopl Count'!H$13/'Phytopl Count'!H$8)</f>
        <v/>
      </c>
      <c r="I175" s="31" t="str">
        <f>IF('Phytopl Count'!I175=0,"",'Phytopl Count'!I175*'Phytopl Count'!I$13/'Phytopl Count'!I$8)</f>
        <v/>
      </c>
      <c r="J175" s="31" t="str">
        <f>IF('Phytopl Count'!J175=0,"",'Phytopl Count'!J175*'Phytopl Count'!J$13/'Phytopl Count'!J$8)</f>
        <v/>
      </c>
      <c r="K175" s="31" t="str">
        <f>IF('Phytopl Count'!K175=0,"",'Phytopl Count'!K175*'Phytopl Count'!K$13/'Phytopl Count'!K$8)</f>
        <v/>
      </c>
      <c r="L175" s="31" t="str">
        <f>IF('Phytopl Count'!L175=0,"",'Phytopl Count'!L175*'Phytopl Count'!L$13/'Phytopl Count'!L$8)</f>
        <v/>
      </c>
      <c r="M175" s="31" t="str">
        <f>IF('Phytopl Count'!M175=0,"",'Phytopl Count'!M175*'Phytopl Count'!M$13/'Phytopl Count'!M$8)</f>
        <v/>
      </c>
      <c r="N175" s="31" t="str">
        <f>IF('Phytopl Count'!N175=0,"",'Phytopl Count'!N175*'Phytopl Count'!N$13/'Phytopl Count'!N$8)</f>
        <v/>
      </c>
      <c r="O175" s="31" t="str">
        <f>IF('Phytopl Count'!O175=0,"",'Phytopl Count'!O175*'Phytopl Count'!O$13/'Phytopl Count'!O$8)</f>
        <v/>
      </c>
      <c r="P175" s="31" t="str">
        <f>IF('Phytopl Count'!P175=0,"",'Phytopl Count'!P175*'Phytopl Count'!P$13/'Phytopl Count'!P$8)</f>
        <v/>
      </c>
      <c r="Q175" s="31" t="str">
        <f>IF('Phytopl Count'!Q175=0,"",'Phytopl Count'!Q175*'Phytopl Count'!Q$13/'Phytopl Count'!Q$8)</f>
        <v/>
      </c>
      <c r="R175" s="31" t="str">
        <f>IF('Phytopl Count'!R175=0,"",'Phytopl Count'!R175*'Phytopl Count'!R$13/'Phytopl Count'!R$8)</f>
        <v/>
      </c>
      <c r="S175" s="31" t="str">
        <f>IF('Phytopl Count'!S175=0,"",'Phytopl Count'!S175*'Phytopl Count'!S$13/'Phytopl Count'!S$8)</f>
        <v/>
      </c>
      <c r="T175" s="31" t="str">
        <f>IF('Phytopl Count'!T175=0,"",'Phytopl Count'!T175*'Phytopl Count'!T$13/'Phytopl Count'!T$8)</f>
        <v/>
      </c>
      <c r="U175" s="31" t="str">
        <f>IF('Phytopl Count'!U175=0,"",'Phytopl Count'!U175*'Phytopl Count'!U$13/'Phytopl Count'!U$8)</f>
        <v/>
      </c>
      <c r="V175" s="31" t="str">
        <f>IF('Phytopl Count'!V175=0,"",'Phytopl Count'!V175*'Phytopl Count'!V$13/'Phytopl Count'!V$8)</f>
        <v/>
      </c>
      <c r="W175" s="31" t="str">
        <f>IF('Phytopl Count'!W175=0,"",'Phytopl Count'!W175*'Phytopl Count'!W$13/'Phytopl Count'!W$8)</f>
        <v/>
      </c>
      <c r="X175" s="31" t="str">
        <f>IF('Phytopl Count'!X175=0,"",'Phytopl Count'!X175*'Phytopl Count'!X$13/'Phytopl Count'!X$8)</f>
        <v/>
      </c>
      <c r="Y175" s="31" t="str">
        <f>IF('Phytopl Count'!Y175=0,"",'Phytopl Count'!Y175*'Phytopl Count'!Y$13/'Phytopl Count'!Y$8)</f>
        <v/>
      </c>
      <c r="Z175" s="31" t="str">
        <f>IF('Phytopl Count'!Z175=0,"",'Phytopl Count'!Z175*'Phytopl Count'!Z$13/'Phytopl Count'!Z$8)</f>
        <v/>
      </c>
      <c r="AA175" s="31" t="str">
        <f>IF('Phytopl Count'!AA175=0,"",'Phytopl Count'!AA175*'Phytopl Count'!AA$13/'Phytopl Count'!AA$8)</f>
        <v/>
      </c>
      <c r="AB175" s="31" t="str">
        <f>IF('Phytopl Count'!AB175=0,"",'Phytopl Count'!AB175*'Phytopl Count'!AB$13/'Phytopl Count'!AB$8)</f>
        <v/>
      </c>
      <c r="AC175" s="31" t="str">
        <f>IF('Phytopl Count'!AC175=0,"",'Phytopl Count'!AC175*'Phytopl Count'!AC$13/'Phytopl Count'!AC$8)</f>
        <v/>
      </c>
      <c r="AD175" s="31" t="str">
        <f>IF('Phytopl Count'!AD175=0,"",'Phytopl Count'!AD175*'Phytopl Count'!AD$13/'Phytopl Count'!AD$8)</f>
        <v/>
      </c>
      <c r="AE175" s="31" t="str">
        <f>IF('Phytopl Count'!AE175=0,"",'Phytopl Count'!AE175*'Phytopl Count'!AE$13/'Phytopl Count'!AE$8)</f>
        <v/>
      </c>
      <c r="AF175" s="31" t="str">
        <f>IF('Phytopl Count'!AF175=0,"",'Phytopl Count'!AF175*'Phytopl Count'!AF$13/'Phytopl Count'!AF$8)</f>
        <v/>
      </c>
    </row>
    <row r="176" spans="1:32" hidden="1">
      <c r="A176" s="10"/>
      <c r="B176" s="10"/>
      <c r="C176" s="10"/>
      <c r="D176" s="10" t="s">
        <v>5</v>
      </c>
      <c r="E176" s="164" t="s">
        <v>370</v>
      </c>
      <c r="F176" s="9"/>
      <c r="G176" s="31" t="str">
        <f>IF('Phytopl Count'!G176=0,"",'Phytopl Count'!G176*'Phytopl Count'!G$13/'Phytopl Count'!G$8)</f>
        <v/>
      </c>
      <c r="H176" s="31" t="str">
        <f>IF('Phytopl Count'!H176=0,"",'Phytopl Count'!H176*'Phytopl Count'!H$13/'Phytopl Count'!H$8)</f>
        <v/>
      </c>
      <c r="I176" s="31" t="str">
        <f>IF('Phytopl Count'!I176=0,"",'Phytopl Count'!I176*'Phytopl Count'!I$13/'Phytopl Count'!I$8)</f>
        <v/>
      </c>
      <c r="J176" s="31" t="str">
        <f>IF('Phytopl Count'!J176=0,"",'Phytopl Count'!J176*'Phytopl Count'!J$13/'Phytopl Count'!J$8)</f>
        <v/>
      </c>
      <c r="K176" s="31" t="str">
        <f>IF('Phytopl Count'!K176=0,"",'Phytopl Count'!K176*'Phytopl Count'!K$13/'Phytopl Count'!K$8)</f>
        <v/>
      </c>
      <c r="L176" s="31" t="str">
        <f>IF('Phytopl Count'!L176=0,"",'Phytopl Count'!L176*'Phytopl Count'!L$13/'Phytopl Count'!L$8)</f>
        <v/>
      </c>
      <c r="M176" s="31" t="str">
        <f>IF('Phytopl Count'!M176=0,"",'Phytopl Count'!M176*'Phytopl Count'!M$13/'Phytopl Count'!M$8)</f>
        <v/>
      </c>
      <c r="N176" s="31" t="str">
        <f>IF('Phytopl Count'!N176=0,"",'Phytopl Count'!N176*'Phytopl Count'!N$13/'Phytopl Count'!N$8)</f>
        <v/>
      </c>
      <c r="O176" s="31" t="str">
        <f>IF('Phytopl Count'!O176=0,"",'Phytopl Count'!O176*'Phytopl Count'!O$13/'Phytopl Count'!O$8)</f>
        <v/>
      </c>
      <c r="P176" s="31" t="str">
        <f>IF('Phytopl Count'!P176=0,"",'Phytopl Count'!P176*'Phytopl Count'!P$13/'Phytopl Count'!P$8)</f>
        <v/>
      </c>
      <c r="Q176" s="31" t="str">
        <f>IF('Phytopl Count'!Q176=0,"",'Phytopl Count'!Q176*'Phytopl Count'!Q$13/'Phytopl Count'!Q$8)</f>
        <v/>
      </c>
      <c r="R176" s="31" t="str">
        <f>IF('Phytopl Count'!R176=0,"",'Phytopl Count'!R176*'Phytopl Count'!R$13/'Phytopl Count'!R$8)</f>
        <v/>
      </c>
      <c r="S176" s="31" t="str">
        <f>IF('Phytopl Count'!S176=0,"",'Phytopl Count'!S176*'Phytopl Count'!S$13/'Phytopl Count'!S$8)</f>
        <v/>
      </c>
      <c r="T176" s="31" t="str">
        <f>IF('Phytopl Count'!T176=0,"",'Phytopl Count'!T176*'Phytopl Count'!T$13/'Phytopl Count'!T$8)</f>
        <v/>
      </c>
      <c r="U176" s="31" t="str">
        <f>IF('Phytopl Count'!U176=0,"",'Phytopl Count'!U176*'Phytopl Count'!U$13/'Phytopl Count'!U$8)</f>
        <v/>
      </c>
      <c r="V176" s="31" t="str">
        <f>IF('Phytopl Count'!V176=0,"",'Phytopl Count'!V176*'Phytopl Count'!V$13/'Phytopl Count'!V$8)</f>
        <v/>
      </c>
      <c r="W176" s="31" t="str">
        <f>IF('Phytopl Count'!W176=0,"",'Phytopl Count'!W176*'Phytopl Count'!W$13/'Phytopl Count'!W$8)</f>
        <v/>
      </c>
      <c r="X176" s="31" t="str">
        <f>IF('Phytopl Count'!X176=0,"",'Phytopl Count'!X176*'Phytopl Count'!X$13/'Phytopl Count'!X$8)</f>
        <v/>
      </c>
      <c r="Y176" s="31" t="str">
        <f>IF('Phytopl Count'!Y176=0,"",'Phytopl Count'!Y176*'Phytopl Count'!Y$13/'Phytopl Count'!Y$8)</f>
        <v/>
      </c>
      <c r="Z176" s="31" t="str">
        <f>IF('Phytopl Count'!Z176=0,"",'Phytopl Count'!Z176*'Phytopl Count'!Z$13/'Phytopl Count'!Z$8)</f>
        <v/>
      </c>
      <c r="AA176" s="31" t="str">
        <f>IF('Phytopl Count'!AA176=0,"",'Phytopl Count'!AA176*'Phytopl Count'!AA$13/'Phytopl Count'!AA$8)</f>
        <v/>
      </c>
      <c r="AB176" s="31" t="str">
        <f>IF('Phytopl Count'!AB176=0,"",'Phytopl Count'!AB176*'Phytopl Count'!AB$13/'Phytopl Count'!AB$8)</f>
        <v/>
      </c>
      <c r="AC176" s="31" t="str">
        <f>IF('Phytopl Count'!AC176=0,"",'Phytopl Count'!AC176*'Phytopl Count'!AC$13/'Phytopl Count'!AC$8)</f>
        <v/>
      </c>
      <c r="AD176" s="31" t="str">
        <f>IF('Phytopl Count'!AD176=0,"",'Phytopl Count'!AD176*'Phytopl Count'!AD$13/'Phytopl Count'!AD$8)</f>
        <v/>
      </c>
      <c r="AE176" s="31" t="str">
        <f>IF('Phytopl Count'!AE176=0,"",'Phytopl Count'!AE176*'Phytopl Count'!AE$13/'Phytopl Count'!AE$8)</f>
        <v/>
      </c>
      <c r="AF176" s="31" t="str">
        <f>IF('Phytopl Count'!AF176=0,"",'Phytopl Count'!AF176*'Phytopl Count'!AF$13/'Phytopl Count'!AF$8)</f>
        <v/>
      </c>
    </row>
    <row r="177" spans="1:32" hidden="1">
      <c r="E177" s="10" t="s">
        <v>6</v>
      </c>
      <c r="F177" s="11" t="s">
        <v>371</v>
      </c>
      <c r="G177" s="31" t="str">
        <f>IF('Phytopl Count'!G177=0,"",'Phytopl Count'!G177*'Phytopl Count'!G$13/'Phytopl Count'!G$8)</f>
        <v/>
      </c>
      <c r="H177" s="31" t="str">
        <f>IF('Phytopl Count'!H177=0,"",'Phytopl Count'!H177*'Phytopl Count'!H$13/'Phytopl Count'!H$8)</f>
        <v/>
      </c>
      <c r="I177" s="31" t="str">
        <f>IF('Phytopl Count'!I177=0,"",'Phytopl Count'!I177*'Phytopl Count'!I$13/'Phytopl Count'!I$8)</f>
        <v/>
      </c>
      <c r="J177" s="31" t="str">
        <f>IF('Phytopl Count'!J177=0,"",'Phytopl Count'!J177*'Phytopl Count'!J$13/'Phytopl Count'!J$8)</f>
        <v/>
      </c>
      <c r="K177" s="31" t="str">
        <f>IF('Phytopl Count'!K177=0,"",'Phytopl Count'!K177*'Phytopl Count'!K$13/'Phytopl Count'!K$8)</f>
        <v/>
      </c>
      <c r="L177" s="31" t="str">
        <f>IF('Phytopl Count'!L177=0,"",'Phytopl Count'!L177*'Phytopl Count'!L$13/'Phytopl Count'!L$8)</f>
        <v/>
      </c>
      <c r="M177" s="31" t="str">
        <f>IF('Phytopl Count'!M177=0,"",'Phytopl Count'!M177*'Phytopl Count'!M$13/'Phytopl Count'!M$8)</f>
        <v/>
      </c>
      <c r="N177" s="31" t="str">
        <f>IF('Phytopl Count'!N177=0,"",'Phytopl Count'!N177*'Phytopl Count'!N$13/'Phytopl Count'!N$8)</f>
        <v/>
      </c>
      <c r="O177" s="31" t="str">
        <f>IF('Phytopl Count'!O177=0,"",'Phytopl Count'!O177*'Phytopl Count'!O$13/'Phytopl Count'!O$8)</f>
        <v/>
      </c>
      <c r="P177" s="31" t="str">
        <f>IF('Phytopl Count'!P177=0,"",'Phytopl Count'!P177*'Phytopl Count'!P$13/'Phytopl Count'!P$8)</f>
        <v/>
      </c>
      <c r="Q177" s="31" t="str">
        <f>IF('Phytopl Count'!Q177=0,"",'Phytopl Count'!Q177*'Phytopl Count'!Q$13/'Phytopl Count'!Q$8)</f>
        <v/>
      </c>
      <c r="R177" s="31" t="str">
        <f>IF('Phytopl Count'!R177=0,"",'Phytopl Count'!R177*'Phytopl Count'!R$13/'Phytopl Count'!R$8)</f>
        <v/>
      </c>
      <c r="S177" s="31" t="str">
        <f>IF('Phytopl Count'!S177=0,"",'Phytopl Count'!S177*'Phytopl Count'!S$13/'Phytopl Count'!S$8)</f>
        <v/>
      </c>
      <c r="T177" s="31" t="str">
        <f>IF('Phytopl Count'!T177=0,"",'Phytopl Count'!T177*'Phytopl Count'!T$13/'Phytopl Count'!T$8)</f>
        <v/>
      </c>
      <c r="U177" s="31" t="str">
        <f>IF('Phytopl Count'!U177=0,"",'Phytopl Count'!U177*'Phytopl Count'!U$13/'Phytopl Count'!U$8)</f>
        <v/>
      </c>
      <c r="V177" s="31" t="str">
        <f>IF('Phytopl Count'!V177=0,"",'Phytopl Count'!V177*'Phytopl Count'!V$13/'Phytopl Count'!V$8)</f>
        <v/>
      </c>
      <c r="W177" s="31" t="str">
        <f>IF('Phytopl Count'!W177=0,"",'Phytopl Count'!W177*'Phytopl Count'!W$13/'Phytopl Count'!W$8)</f>
        <v/>
      </c>
      <c r="X177" s="31" t="str">
        <f>IF('Phytopl Count'!X177=0,"",'Phytopl Count'!X177*'Phytopl Count'!X$13/'Phytopl Count'!X$8)</f>
        <v/>
      </c>
      <c r="Y177" s="31" t="str">
        <f>IF('Phytopl Count'!Y177=0,"",'Phytopl Count'!Y177*'Phytopl Count'!Y$13/'Phytopl Count'!Y$8)</f>
        <v/>
      </c>
      <c r="Z177" s="31" t="str">
        <f>IF('Phytopl Count'!Z177=0,"",'Phytopl Count'!Z177*'Phytopl Count'!Z$13/'Phytopl Count'!Z$8)</f>
        <v/>
      </c>
      <c r="AA177" s="31" t="str">
        <f>IF('Phytopl Count'!AA177=0,"",'Phytopl Count'!AA177*'Phytopl Count'!AA$13/'Phytopl Count'!AA$8)</f>
        <v/>
      </c>
      <c r="AB177" s="31" t="str">
        <f>IF('Phytopl Count'!AB177=0,"",'Phytopl Count'!AB177*'Phytopl Count'!AB$13/'Phytopl Count'!AB$8)</f>
        <v/>
      </c>
      <c r="AC177" s="31" t="str">
        <f>IF('Phytopl Count'!AC177=0,"",'Phytopl Count'!AC177*'Phytopl Count'!AC$13/'Phytopl Count'!AC$8)</f>
        <v/>
      </c>
      <c r="AD177" s="31" t="str">
        <f>IF('Phytopl Count'!AD177=0,"",'Phytopl Count'!AD177*'Phytopl Count'!AD$13/'Phytopl Count'!AD$8)</f>
        <v/>
      </c>
      <c r="AE177" s="31" t="str">
        <f>IF('Phytopl Count'!AE177=0,"",'Phytopl Count'!AE177*'Phytopl Count'!AE$13/'Phytopl Count'!AE$8)</f>
        <v/>
      </c>
      <c r="AF177" s="31" t="str">
        <f>IF('Phytopl Count'!AF177=0,"",'Phytopl Count'!AF177*'Phytopl Count'!AF$13/'Phytopl Count'!AF$8)</f>
        <v/>
      </c>
    </row>
    <row r="178" spans="1:32" hidden="1">
      <c r="A178" s="16"/>
      <c r="B178" s="16"/>
      <c r="C178" s="16" t="s">
        <v>73</v>
      </c>
      <c r="D178" s="4" t="s">
        <v>324</v>
      </c>
      <c r="F178" s="9"/>
      <c r="G178" s="31" t="str">
        <f>IF('Phytopl Count'!G178=0,"",'Phytopl Count'!G178*'Phytopl Count'!G$13/'Phytopl Count'!G$8)</f>
        <v/>
      </c>
      <c r="H178" s="31" t="str">
        <f>IF('Phytopl Count'!H178=0,"",'Phytopl Count'!H178*'Phytopl Count'!H$13/'Phytopl Count'!H$8)</f>
        <v/>
      </c>
      <c r="I178" s="31" t="str">
        <f>IF('Phytopl Count'!I178=0,"",'Phytopl Count'!I178*'Phytopl Count'!I$13/'Phytopl Count'!I$8)</f>
        <v/>
      </c>
      <c r="J178" s="31" t="str">
        <f>IF('Phytopl Count'!J178=0,"",'Phytopl Count'!J178*'Phytopl Count'!J$13/'Phytopl Count'!J$8)</f>
        <v/>
      </c>
      <c r="K178" s="31" t="str">
        <f>IF('Phytopl Count'!K178=0,"",'Phytopl Count'!K178*'Phytopl Count'!K$13/'Phytopl Count'!K$8)</f>
        <v/>
      </c>
      <c r="L178" s="31" t="str">
        <f>IF('Phytopl Count'!L178=0,"",'Phytopl Count'!L178*'Phytopl Count'!L$13/'Phytopl Count'!L$8)</f>
        <v/>
      </c>
      <c r="M178" s="31" t="str">
        <f>IF('Phytopl Count'!M178=0,"",'Phytopl Count'!M178*'Phytopl Count'!M$13/'Phytopl Count'!M$8)</f>
        <v/>
      </c>
      <c r="N178" s="31" t="str">
        <f>IF('Phytopl Count'!N178=0,"",'Phytopl Count'!N178*'Phytopl Count'!N$13/'Phytopl Count'!N$8)</f>
        <v/>
      </c>
      <c r="O178" s="31" t="str">
        <f>IF('Phytopl Count'!O178=0,"",'Phytopl Count'!O178*'Phytopl Count'!O$13/'Phytopl Count'!O$8)</f>
        <v/>
      </c>
      <c r="P178" s="31" t="str">
        <f>IF('Phytopl Count'!P178=0,"",'Phytopl Count'!P178*'Phytopl Count'!P$13/'Phytopl Count'!P$8)</f>
        <v/>
      </c>
      <c r="Q178" s="31" t="str">
        <f>IF('Phytopl Count'!Q178=0,"",'Phytopl Count'!Q178*'Phytopl Count'!Q$13/'Phytopl Count'!Q$8)</f>
        <v/>
      </c>
      <c r="R178" s="31" t="str">
        <f>IF('Phytopl Count'!R178=0,"",'Phytopl Count'!R178*'Phytopl Count'!R$13/'Phytopl Count'!R$8)</f>
        <v/>
      </c>
      <c r="S178" s="31" t="str">
        <f>IF('Phytopl Count'!S178=0,"",'Phytopl Count'!S178*'Phytopl Count'!S$13/'Phytopl Count'!S$8)</f>
        <v/>
      </c>
      <c r="T178" s="31" t="str">
        <f>IF('Phytopl Count'!T178=0,"",'Phytopl Count'!T178*'Phytopl Count'!T$13/'Phytopl Count'!T$8)</f>
        <v/>
      </c>
      <c r="U178" s="31" t="str">
        <f>IF('Phytopl Count'!U178=0,"",'Phytopl Count'!U178*'Phytopl Count'!U$13/'Phytopl Count'!U$8)</f>
        <v/>
      </c>
      <c r="V178" s="31" t="str">
        <f>IF('Phytopl Count'!V178=0,"",'Phytopl Count'!V178*'Phytopl Count'!V$13/'Phytopl Count'!V$8)</f>
        <v/>
      </c>
      <c r="W178" s="31" t="str">
        <f>IF('Phytopl Count'!W178=0,"",'Phytopl Count'!W178*'Phytopl Count'!W$13/'Phytopl Count'!W$8)</f>
        <v/>
      </c>
      <c r="X178" s="31" t="str">
        <f>IF('Phytopl Count'!X178=0,"",'Phytopl Count'!X178*'Phytopl Count'!X$13/'Phytopl Count'!X$8)</f>
        <v/>
      </c>
      <c r="Y178" s="31" t="str">
        <f>IF('Phytopl Count'!Y178=0,"",'Phytopl Count'!Y178*'Phytopl Count'!Y$13/'Phytopl Count'!Y$8)</f>
        <v/>
      </c>
      <c r="Z178" s="31" t="str">
        <f>IF('Phytopl Count'!Z178=0,"",'Phytopl Count'!Z178*'Phytopl Count'!Z$13/'Phytopl Count'!Z$8)</f>
        <v/>
      </c>
      <c r="AA178" s="31" t="str">
        <f>IF('Phytopl Count'!AA178=0,"",'Phytopl Count'!AA178*'Phytopl Count'!AA$13/'Phytopl Count'!AA$8)</f>
        <v/>
      </c>
      <c r="AB178" s="31" t="str">
        <f>IF('Phytopl Count'!AB178=0,"",'Phytopl Count'!AB178*'Phytopl Count'!AB$13/'Phytopl Count'!AB$8)</f>
        <v/>
      </c>
      <c r="AC178" s="31" t="str">
        <f>IF('Phytopl Count'!AC178=0,"",'Phytopl Count'!AC178*'Phytopl Count'!AC$13/'Phytopl Count'!AC$8)</f>
        <v/>
      </c>
      <c r="AD178" s="31" t="str">
        <f>IF('Phytopl Count'!AD178=0,"",'Phytopl Count'!AD178*'Phytopl Count'!AD$13/'Phytopl Count'!AD$8)</f>
        <v/>
      </c>
      <c r="AE178" s="31" t="str">
        <f>IF('Phytopl Count'!AE178=0,"",'Phytopl Count'!AE178*'Phytopl Count'!AE$13/'Phytopl Count'!AE$8)</f>
        <v/>
      </c>
      <c r="AF178" s="31" t="str">
        <f>IF('Phytopl Count'!AF178=0,"",'Phytopl Count'!AF178*'Phytopl Count'!AF$13/'Phytopl Count'!AF$8)</f>
        <v/>
      </c>
    </row>
    <row r="179" spans="1:32" hidden="1">
      <c r="A179" s="10"/>
      <c r="B179" s="10"/>
      <c r="C179" s="10"/>
      <c r="D179" s="10" t="s">
        <v>5</v>
      </c>
      <c r="E179" s="164" t="s">
        <v>374</v>
      </c>
      <c r="F179" s="9"/>
      <c r="G179" s="31" t="str">
        <f>IF('Phytopl Count'!G179=0,"",'Phytopl Count'!G179*'Phytopl Count'!G$13/'Phytopl Count'!G$8)</f>
        <v/>
      </c>
      <c r="H179" s="31" t="str">
        <f>IF('Phytopl Count'!H179=0,"",'Phytopl Count'!H179*'Phytopl Count'!H$13/'Phytopl Count'!H$8)</f>
        <v/>
      </c>
      <c r="I179" s="31" t="str">
        <f>IF('Phytopl Count'!I179=0,"",'Phytopl Count'!I179*'Phytopl Count'!I$13/'Phytopl Count'!I$8)</f>
        <v/>
      </c>
      <c r="J179" s="31" t="str">
        <f>IF('Phytopl Count'!J179=0,"",'Phytopl Count'!J179*'Phytopl Count'!J$13/'Phytopl Count'!J$8)</f>
        <v/>
      </c>
      <c r="K179" s="31" t="str">
        <f>IF('Phytopl Count'!K179=0,"",'Phytopl Count'!K179*'Phytopl Count'!K$13/'Phytopl Count'!K$8)</f>
        <v/>
      </c>
      <c r="L179" s="31" t="str">
        <f>IF('Phytopl Count'!L179=0,"",'Phytopl Count'!L179*'Phytopl Count'!L$13/'Phytopl Count'!L$8)</f>
        <v/>
      </c>
      <c r="M179" s="31" t="str">
        <f>IF('Phytopl Count'!M179=0,"",'Phytopl Count'!M179*'Phytopl Count'!M$13/'Phytopl Count'!M$8)</f>
        <v/>
      </c>
      <c r="N179" s="31" t="str">
        <f>IF('Phytopl Count'!N179=0,"",'Phytopl Count'!N179*'Phytopl Count'!N$13/'Phytopl Count'!N$8)</f>
        <v/>
      </c>
      <c r="O179" s="31" t="str">
        <f>IF('Phytopl Count'!O179=0,"",'Phytopl Count'!O179*'Phytopl Count'!O$13/'Phytopl Count'!O$8)</f>
        <v/>
      </c>
      <c r="P179" s="31" t="str">
        <f>IF('Phytopl Count'!P179=0,"",'Phytopl Count'!P179*'Phytopl Count'!P$13/'Phytopl Count'!P$8)</f>
        <v/>
      </c>
      <c r="Q179" s="31" t="str">
        <f>IF('Phytopl Count'!Q179=0,"",'Phytopl Count'!Q179*'Phytopl Count'!Q$13/'Phytopl Count'!Q$8)</f>
        <v/>
      </c>
      <c r="R179" s="31" t="str">
        <f>IF('Phytopl Count'!R179=0,"",'Phytopl Count'!R179*'Phytopl Count'!R$13/'Phytopl Count'!R$8)</f>
        <v/>
      </c>
      <c r="S179" s="31" t="str">
        <f>IF('Phytopl Count'!S179=0,"",'Phytopl Count'!S179*'Phytopl Count'!S$13/'Phytopl Count'!S$8)</f>
        <v/>
      </c>
      <c r="T179" s="31" t="str">
        <f>IF('Phytopl Count'!T179=0,"",'Phytopl Count'!T179*'Phytopl Count'!T$13/'Phytopl Count'!T$8)</f>
        <v/>
      </c>
      <c r="U179" s="31" t="str">
        <f>IF('Phytopl Count'!U179=0,"",'Phytopl Count'!U179*'Phytopl Count'!U$13/'Phytopl Count'!U$8)</f>
        <v/>
      </c>
      <c r="V179" s="31" t="str">
        <f>IF('Phytopl Count'!V179=0,"",'Phytopl Count'!V179*'Phytopl Count'!V$13/'Phytopl Count'!V$8)</f>
        <v/>
      </c>
      <c r="W179" s="31" t="str">
        <f>IF('Phytopl Count'!W179=0,"",'Phytopl Count'!W179*'Phytopl Count'!W$13/'Phytopl Count'!W$8)</f>
        <v/>
      </c>
      <c r="X179" s="31" t="str">
        <f>IF('Phytopl Count'!X179=0,"",'Phytopl Count'!X179*'Phytopl Count'!X$13/'Phytopl Count'!X$8)</f>
        <v/>
      </c>
      <c r="Y179" s="31" t="str">
        <f>IF('Phytopl Count'!Y179=0,"",'Phytopl Count'!Y179*'Phytopl Count'!Y$13/'Phytopl Count'!Y$8)</f>
        <v/>
      </c>
      <c r="Z179" s="31" t="str">
        <f>IF('Phytopl Count'!Z179=0,"",'Phytopl Count'!Z179*'Phytopl Count'!Z$13/'Phytopl Count'!Z$8)</f>
        <v/>
      </c>
      <c r="AA179" s="31" t="str">
        <f>IF('Phytopl Count'!AA179=0,"",'Phytopl Count'!AA179*'Phytopl Count'!AA$13/'Phytopl Count'!AA$8)</f>
        <v/>
      </c>
      <c r="AB179" s="31" t="str">
        <f>IF('Phytopl Count'!AB179=0,"",'Phytopl Count'!AB179*'Phytopl Count'!AB$13/'Phytopl Count'!AB$8)</f>
        <v/>
      </c>
      <c r="AC179" s="31" t="str">
        <f>IF('Phytopl Count'!AC179=0,"",'Phytopl Count'!AC179*'Phytopl Count'!AC$13/'Phytopl Count'!AC$8)</f>
        <v/>
      </c>
      <c r="AD179" s="31" t="str">
        <f>IF('Phytopl Count'!AD179=0,"",'Phytopl Count'!AD179*'Phytopl Count'!AD$13/'Phytopl Count'!AD$8)</f>
        <v/>
      </c>
      <c r="AE179" s="31" t="str">
        <f>IF('Phytopl Count'!AE179=0,"",'Phytopl Count'!AE179*'Phytopl Count'!AE$13/'Phytopl Count'!AE$8)</f>
        <v/>
      </c>
      <c r="AF179" s="31" t="str">
        <f>IF('Phytopl Count'!AF179=0,"",'Phytopl Count'!AF179*'Phytopl Count'!AF$13/'Phytopl Count'!AF$8)</f>
        <v/>
      </c>
    </row>
    <row r="180" spans="1:32" hidden="1">
      <c r="E180" s="10" t="s">
        <v>6</v>
      </c>
      <c r="F180" s="11" t="s">
        <v>375</v>
      </c>
      <c r="G180" s="31" t="str">
        <f>IF('Phytopl Count'!G180=0,"",'Phytopl Count'!G180*'Phytopl Count'!G$13/'Phytopl Count'!G$8)</f>
        <v/>
      </c>
      <c r="H180" s="31" t="str">
        <f>IF('Phytopl Count'!H180=0,"",'Phytopl Count'!H180*'Phytopl Count'!H$13/'Phytopl Count'!H$8)</f>
        <v/>
      </c>
      <c r="I180" s="31" t="str">
        <f>IF('Phytopl Count'!I180=0,"",'Phytopl Count'!I180*'Phytopl Count'!I$13/'Phytopl Count'!I$8)</f>
        <v/>
      </c>
      <c r="J180" s="31" t="str">
        <f>IF('Phytopl Count'!J180=0,"",'Phytopl Count'!J180*'Phytopl Count'!J$13/'Phytopl Count'!J$8)</f>
        <v/>
      </c>
      <c r="K180" s="31" t="str">
        <f>IF('Phytopl Count'!K180=0,"",'Phytopl Count'!K180*'Phytopl Count'!K$13/'Phytopl Count'!K$8)</f>
        <v/>
      </c>
      <c r="L180" s="31" t="str">
        <f>IF('Phytopl Count'!L180=0,"",'Phytopl Count'!L180*'Phytopl Count'!L$13/'Phytopl Count'!L$8)</f>
        <v/>
      </c>
      <c r="M180" s="31" t="str">
        <f>IF('Phytopl Count'!M180=0,"",'Phytopl Count'!M180*'Phytopl Count'!M$13/'Phytopl Count'!M$8)</f>
        <v/>
      </c>
      <c r="N180" s="31" t="str">
        <f>IF('Phytopl Count'!N180=0,"",'Phytopl Count'!N180*'Phytopl Count'!N$13/'Phytopl Count'!N$8)</f>
        <v/>
      </c>
      <c r="O180" s="31" t="str">
        <f>IF('Phytopl Count'!O180=0,"",'Phytopl Count'!O180*'Phytopl Count'!O$13/'Phytopl Count'!O$8)</f>
        <v/>
      </c>
      <c r="P180" s="31" t="str">
        <f>IF('Phytopl Count'!P180=0,"",'Phytopl Count'!P180*'Phytopl Count'!P$13/'Phytopl Count'!P$8)</f>
        <v/>
      </c>
      <c r="Q180" s="31" t="str">
        <f>IF('Phytopl Count'!Q180=0,"",'Phytopl Count'!Q180*'Phytopl Count'!Q$13/'Phytopl Count'!Q$8)</f>
        <v/>
      </c>
      <c r="R180" s="31" t="str">
        <f>IF('Phytopl Count'!R180=0,"",'Phytopl Count'!R180*'Phytopl Count'!R$13/'Phytopl Count'!R$8)</f>
        <v/>
      </c>
      <c r="S180" s="31" t="str">
        <f>IF('Phytopl Count'!S180=0,"",'Phytopl Count'!S180*'Phytopl Count'!S$13/'Phytopl Count'!S$8)</f>
        <v/>
      </c>
      <c r="T180" s="31" t="str">
        <f>IF('Phytopl Count'!T180=0,"",'Phytopl Count'!T180*'Phytopl Count'!T$13/'Phytopl Count'!T$8)</f>
        <v/>
      </c>
      <c r="U180" s="31" t="str">
        <f>IF('Phytopl Count'!U180=0,"",'Phytopl Count'!U180*'Phytopl Count'!U$13/'Phytopl Count'!U$8)</f>
        <v/>
      </c>
      <c r="V180" s="31" t="str">
        <f>IF('Phytopl Count'!V180=0,"",'Phytopl Count'!V180*'Phytopl Count'!V$13/'Phytopl Count'!V$8)</f>
        <v/>
      </c>
      <c r="W180" s="31" t="str">
        <f>IF('Phytopl Count'!W180=0,"",'Phytopl Count'!W180*'Phytopl Count'!W$13/'Phytopl Count'!W$8)</f>
        <v/>
      </c>
      <c r="X180" s="31" t="str">
        <f>IF('Phytopl Count'!X180=0,"",'Phytopl Count'!X180*'Phytopl Count'!X$13/'Phytopl Count'!X$8)</f>
        <v/>
      </c>
      <c r="Y180" s="31" t="str">
        <f>IF('Phytopl Count'!Y180=0,"",'Phytopl Count'!Y180*'Phytopl Count'!Y$13/'Phytopl Count'!Y$8)</f>
        <v/>
      </c>
      <c r="Z180" s="31" t="str">
        <f>IF('Phytopl Count'!Z180=0,"",'Phytopl Count'!Z180*'Phytopl Count'!Z$13/'Phytopl Count'!Z$8)</f>
        <v/>
      </c>
      <c r="AA180" s="31" t="str">
        <f>IF('Phytopl Count'!AA180=0,"",'Phytopl Count'!AA180*'Phytopl Count'!AA$13/'Phytopl Count'!AA$8)</f>
        <v/>
      </c>
      <c r="AB180" s="31" t="str">
        <f>IF('Phytopl Count'!AB180=0,"",'Phytopl Count'!AB180*'Phytopl Count'!AB$13/'Phytopl Count'!AB$8)</f>
        <v/>
      </c>
      <c r="AC180" s="31" t="str">
        <f>IF('Phytopl Count'!AC180=0,"",'Phytopl Count'!AC180*'Phytopl Count'!AC$13/'Phytopl Count'!AC$8)</f>
        <v/>
      </c>
      <c r="AD180" s="31" t="str">
        <f>IF('Phytopl Count'!AD180=0,"",'Phytopl Count'!AD180*'Phytopl Count'!AD$13/'Phytopl Count'!AD$8)</f>
        <v/>
      </c>
      <c r="AE180" s="31" t="str">
        <f>IF('Phytopl Count'!AE180=0,"",'Phytopl Count'!AE180*'Phytopl Count'!AE$13/'Phytopl Count'!AE$8)</f>
        <v/>
      </c>
      <c r="AF180" s="31" t="str">
        <f>IF('Phytopl Count'!AF180=0,"",'Phytopl Count'!AF180*'Phytopl Count'!AF$13/'Phytopl Count'!AF$8)</f>
        <v/>
      </c>
    </row>
    <row r="181" spans="1:32" hidden="1">
      <c r="A181" s="10"/>
      <c r="B181" s="10"/>
      <c r="C181" s="10"/>
      <c r="D181" s="10" t="s">
        <v>5</v>
      </c>
      <c r="E181" s="144" t="s">
        <v>325</v>
      </c>
      <c r="F181" s="9"/>
      <c r="G181" s="31" t="str">
        <f>IF('Phytopl Count'!G181=0,"",'Phytopl Count'!G181*'Phytopl Count'!G$13/'Phytopl Count'!G$8)</f>
        <v/>
      </c>
      <c r="H181" s="31" t="str">
        <f>IF('Phytopl Count'!H181=0,"",'Phytopl Count'!H181*'Phytopl Count'!H$13/'Phytopl Count'!H$8)</f>
        <v/>
      </c>
      <c r="I181" s="31" t="str">
        <f>IF('Phytopl Count'!I181=0,"",'Phytopl Count'!I181*'Phytopl Count'!I$13/'Phytopl Count'!I$8)</f>
        <v/>
      </c>
      <c r="J181" s="31" t="str">
        <f>IF('Phytopl Count'!J181=0,"",'Phytopl Count'!J181*'Phytopl Count'!J$13/'Phytopl Count'!J$8)</f>
        <v/>
      </c>
      <c r="K181" s="31" t="str">
        <f>IF('Phytopl Count'!K181=0,"",'Phytopl Count'!K181*'Phytopl Count'!K$13/'Phytopl Count'!K$8)</f>
        <v/>
      </c>
      <c r="L181" s="31" t="str">
        <f>IF('Phytopl Count'!L181=0,"",'Phytopl Count'!L181*'Phytopl Count'!L$13/'Phytopl Count'!L$8)</f>
        <v/>
      </c>
      <c r="M181" s="31" t="str">
        <f>IF('Phytopl Count'!M181=0,"",'Phytopl Count'!M181*'Phytopl Count'!M$13/'Phytopl Count'!M$8)</f>
        <v/>
      </c>
      <c r="N181" s="31" t="str">
        <f>IF('Phytopl Count'!N181=0,"",'Phytopl Count'!N181*'Phytopl Count'!N$13/'Phytopl Count'!N$8)</f>
        <v/>
      </c>
      <c r="O181" s="31" t="str">
        <f>IF('Phytopl Count'!O181=0,"",'Phytopl Count'!O181*'Phytopl Count'!O$13/'Phytopl Count'!O$8)</f>
        <v/>
      </c>
      <c r="P181" s="31" t="str">
        <f>IF('Phytopl Count'!P181=0,"",'Phytopl Count'!P181*'Phytopl Count'!P$13/'Phytopl Count'!P$8)</f>
        <v/>
      </c>
      <c r="Q181" s="31" t="str">
        <f>IF('Phytopl Count'!Q181=0,"",'Phytopl Count'!Q181*'Phytopl Count'!Q$13/'Phytopl Count'!Q$8)</f>
        <v/>
      </c>
      <c r="R181" s="31" t="str">
        <f>IF('Phytopl Count'!R181=0,"",'Phytopl Count'!R181*'Phytopl Count'!R$13/'Phytopl Count'!R$8)</f>
        <v/>
      </c>
      <c r="S181" s="31" t="str">
        <f>IF('Phytopl Count'!S181=0,"",'Phytopl Count'!S181*'Phytopl Count'!S$13/'Phytopl Count'!S$8)</f>
        <v/>
      </c>
      <c r="T181" s="31" t="str">
        <f>IF('Phytopl Count'!T181=0,"",'Phytopl Count'!T181*'Phytopl Count'!T$13/'Phytopl Count'!T$8)</f>
        <v/>
      </c>
      <c r="U181" s="31" t="str">
        <f>IF('Phytopl Count'!U181=0,"",'Phytopl Count'!U181*'Phytopl Count'!U$13/'Phytopl Count'!U$8)</f>
        <v/>
      </c>
      <c r="V181" s="31" t="str">
        <f>IF('Phytopl Count'!V181=0,"",'Phytopl Count'!V181*'Phytopl Count'!V$13/'Phytopl Count'!V$8)</f>
        <v/>
      </c>
      <c r="W181" s="31" t="str">
        <f>IF('Phytopl Count'!W181=0,"",'Phytopl Count'!W181*'Phytopl Count'!W$13/'Phytopl Count'!W$8)</f>
        <v/>
      </c>
      <c r="X181" s="31" t="str">
        <f>IF('Phytopl Count'!X181=0,"",'Phytopl Count'!X181*'Phytopl Count'!X$13/'Phytopl Count'!X$8)</f>
        <v/>
      </c>
      <c r="Y181" s="31" t="str">
        <f>IF('Phytopl Count'!Y181=0,"",'Phytopl Count'!Y181*'Phytopl Count'!Y$13/'Phytopl Count'!Y$8)</f>
        <v/>
      </c>
      <c r="Z181" s="31" t="str">
        <f>IF('Phytopl Count'!Z181=0,"",'Phytopl Count'!Z181*'Phytopl Count'!Z$13/'Phytopl Count'!Z$8)</f>
        <v/>
      </c>
      <c r="AA181" s="31" t="str">
        <f>IF('Phytopl Count'!AA181=0,"",'Phytopl Count'!AA181*'Phytopl Count'!AA$13/'Phytopl Count'!AA$8)</f>
        <v/>
      </c>
      <c r="AB181" s="31" t="str">
        <f>IF('Phytopl Count'!AB181=0,"",'Phytopl Count'!AB181*'Phytopl Count'!AB$13/'Phytopl Count'!AB$8)</f>
        <v/>
      </c>
      <c r="AC181" s="31" t="str">
        <f>IF('Phytopl Count'!AC181=0,"",'Phytopl Count'!AC181*'Phytopl Count'!AC$13/'Phytopl Count'!AC$8)</f>
        <v/>
      </c>
      <c r="AD181" s="31" t="str">
        <f>IF('Phytopl Count'!AD181=0,"",'Phytopl Count'!AD181*'Phytopl Count'!AD$13/'Phytopl Count'!AD$8)</f>
        <v/>
      </c>
      <c r="AE181" s="31" t="str">
        <f>IF('Phytopl Count'!AE181=0,"",'Phytopl Count'!AE181*'Phytopl Count'!AE$13/'Phytopl Count'!AE$8)</f>
        <v/>
      </c>
      <c r="AF181" s="31" t="str">
        <f>IF('Phytopl Count'!AF181=0,"",'Phytopl Count'!AF181*'Phytopl Count'!AF$13/'Phytopl Count'!AF$8)</f>
        <v/>
      </c>
    </row>
    <row r="182" spans="1:32" hidden="1">
      <c r="E182" s="10" t="s">
        <v>6</v>
      </c>
      <c r="F182" s="11" t="s">
        <v>326</v>
      </c>
      <c r="G182" s="31" t="str">
        <f>IF('Phytopl Count'!G182=0,"",'Phytopl Count'!G182*'Phytopl Count'!G$13/'Phytopl Count'!G$8)</f>
        <v/>
      </c>
      <c r="H182" s="31" t="str">
        <f>IF('Phytopl Count'!H182=0,"",'Phytopl Count'!H182*'Phytopl Count'!H$13/'Phytopl Count'!H$8)</f>
        <v/>
      </c>
      <c r="I182" s="31" t="str">
        <f>IF('Phytopl Count'!I182=0,"",'Phytopl Count'!I182*'Phytopl Count'!I$13/'Phytopl Count'!I$8)</f>
        <v/>
      </c>
      <c r="J182" s="31" t="str">
        <f>IF('Phytopl Count'!J182=0,"",'Phytopl Count'!J182*'Phytopl Count'!J$13/'Phytopl Count'!J$8)</f>
        <v/>
      </c>
      <c r="K182" s="31" t="str">
        <f>IF('Phytopl Count'!K182=0,"",'Phytopl Count'!K182*'Phytopl Count'!K$13/'Phytopl Count'!K$8)</f>
        <v/>
      </c>
      <c r="L182" s="31" t="str">
        <f>IF('Phytopl Count'!L182=0,"",'Phytopl Count'!L182*'Phytopl Count'!L$13/'Phytopl Count'!L$8)</f>
        <v/>
      </c>
      <c r="M182" s="31" t="str">
        <f>IF('Phytopl Count'!M182=0,"",'Phytopl Count'!M182*'Phytopl Count'!M$13/'Phytopl Count'!M$8)</f>
        <v/>
      </c>
      <c r="N182" s="31" t="str">
        <f>IF('Phytopl Count'!N182=0,"",'Phytopl Count'!N182*'Phytopl Count'!N$13/'Phytopl Count'!N$8)</f>
        <v/>
      </c>
      <c r="O182" s="31" t="str">
        <f>IF('Phytopl Count'!O182=0,"",'Phytopl Count'!O182*'Phytopl Count'!O$13/'Phytopl Count'!O$8)</f>
        <v/>
      </c>
      <c r="P182" s="31" t="str">
        <f>IF('Phytopl Count'!P182=0,"",'Phytopl Count'!P182*'Phytopl Count'!P$13/'Phytopl Count'!P$8)</f>
        <v/>
      </c>
      <c r="Q182" s="31" t="str">
        <f>IF('Phytopl Count'!Q182=0,"",'Phytopl Count'!Q182*'Phytopl Count'!Q$13/'Phytopl Count'!Q$8)</f>
        <v/>
      </c>
      <c r="R182" s="31" t="str">
        <f>IF('Phytopl Count'!R182=0,"",'Phytopl Count'!R182*'Phytopl Count'!R$13/'Phytopl Count'!R$8)</f>
        <v/>
      </c>
      <c r="S182" s="31" t="str">
        <f>IF('Phytopl Count'!S182=0,"",'Phytopl Count'!S182*'Phytopl Count'!S$13/'Phytopl Count'!S$8)</f>
        <v/>
      </c>
      <c r="T182" s="31" t="str">
        <f>IF('Phytopl Count'!T182=0,"",'Phytopl Count'!T182*'Phytopl Count'!T$13/'Phytopl Count'!T$8)</f>
        <v/>
      </c>
      <c r="U182" s="31" t="str">
        <f>IF('Phytopl Count'!U182=0,"",'Phytopl Count'!U182*'Phytopl Count'!U$13/'Phytopl Count'!U$8)</f>
        <v/>
      </c>
      <c r="V182" s="31" t="str">
        <f>IF('Phytopl Count'!V182=0,"",'Phytopl Count'!V182*'Phytopl Count'!V$13/'Phytopl Count'!V$8)</f>
        <v/>
      </c>
      <c r="W182" s="31" t="str">
        <f>IF('Phytopl Count'!W182=0,"",'Phytopl Count'!W182*'Phytopl Count'!W$13/'Phytopl Count'!W$8)</f>
        <v/>
      </c>
      <c r="X182" s="31" t="str">
        <f>IF('Phytopl Count'!X182=0,"",'Phytopl Count'!X182*'Phytopl Count'!X$13/'Phytopl Count'!X$8)</f>
        <v/>
      </c>
      <c r="Y182" s="31" t="str">
        <f>IF('Phytopl Count'!Y182=0,"",'Phytopl Count'!Y182*'Phytopl Count'!Y$13/'Phytopl Count'!Y$8)</f>
        <v/>
      </c>
      <c r="Z182" s="31" t="str">
        <f>IF('Phytopl Count'!Z182=0,"",'Phytopl Count'!Z182*'Phytopl Count'!Z$13/'Phytopl Count'!Z$8)</f>
        <v/>
      </c>
      <c r="AA182" s="31" t="str">
        <f>IF('Phytopl Count'!AA182=0,"",'Phytopl Count'!AA182*'Phytopl Count'!AA$13/'Phytopl Count'!AA$8)</f>
        <v/>
      </c>
      <c r="AB182" s="31" t="str">
        <f>IF('Phytopl Count'!AB182=0,"",'Phytopl Count'!AB182*'Phytopl Count'!AB$13/'Phytopl Count'!AB$8)</f>
        <v/>
      </c>
      <c r="AC182" s="31" t="str">
        <f>IF('Phytopl Count'!AC182=0,"",'Phytopl Count'!AC182*'Phytopl Count'!AC$13/'Phytopl Count'!AC$8)</f>
        <v/>
      </c>
      <c r="AD182" s="31" t="str">
        <f>IF('Phytopl Count'!AD182=0,"",'Phytopl Count'!AD182*'Phytopl Count'!AD$13/'Phytopl Count'!AD$8)</f>
        <v/>
      </c>
      <c r="AE182" s="31" t="str">
        <f>IF('Phytopl Count'!AE182=0,"",'Phytopl Count'!AE182*'Phytopl Count'!AE$13/'Phytopl Count'!AE$8)</f>
        <v/>
      </c>
      <c r="AF182" s="31" t="str">
        <f>IF('Phytopl Count'!AF182=0,"",'Phytopl Count'!AF182*'Phytopl Count'!AF$13/'Phytopl Count'!AF$8)</f>
        <v/>
      </c>
    </row>
    <row r="183" spans="1:32" hidden="1">
      <c r="A183" s="4"/>
      <c r="B183" s="4"/>
      <c r="C183" s="4"/>
      <c r="D183" s="4"/>
      <c r="E183" s="4"/>
      <c r="F183" s="6"/>
      <c r="G183" s="31" t="str">
        <f>IF('Phytopl Count'!G183=0,"",'Phytopl Count'!G183*'Phytopl Count'!G$13/'Phytopl Count'!G$8)</f>
        <v/>
      </c>
      <c r="H183" s="31" t="str">
        <f>IF('Phytopl Count'!H183=0,"",'Phytopl Count'!H183*'Phytopl Count'!H$13/'Phytopl Count'!H$8)</f>
        <v/>
      </c>
      <c r="I183" s="31" t="str">
        <f>IF('Phytopl Count'!I183=0,"",'Phytopl Count'!I183*'Phytopl Count'!I$13/'Phytopl Count'!I$8)</f>
        <v/>
      </c>
      <c r="J183" s="31" t="str">
        <f>IF('Phytopl Count'!J183=0,"",'Phytopl Count'!J183*'Phytopl Count'!J$13/'Phytopl Count'!J$8)</f>
        <v/>
      </c>
      <c r="K183" s="31" t="str">
        <f>IF('Phytopl Count'!K183=0,"",'Phytopl Count'!K183*'Phytopl Count'!K$13/'Phytopl Count'!K$8)</f>
        <v/>
      </c>
      <c r="L183" s="31" t="str">
        <f>IF('Phytopl Count'!L183=0,"",'Phytopl Count'!L183*'Phytopl Count'!L$13/'Phytopl Count'!L$8)</f>
        <v/>
      </c>
      <c r="M183" s="31" t="str">
        <f>IF('Phytopl Count'!M183=0,"",'Phytopl Count'!M183*'Phytopl Count'!M$13/'Phytopl Count'!M$8)</f>
        <v/>
      </c>
      <c r="N183" s="31" t="str">
        <f>IF('Phytopl Count'!N183=0,"",'Phytopl Count'!N183*'Phytopl Count'!N$13/'Phytopl Count'!N$8)</f>
        <v/>
      </c>
      <c r="O183" s="31" t="str">
        <f>IF('Phytopl Count'!O183=0,"",'Phytopl Count'!O183*'Phytopl Count'!O$13/'Phytopl Count'!O$8)</f>
        <v/>
      </c>
      <c r="P183" s="31" t="str">
        <f>IF('Phytopl Count'!P183=0,"",'Phytopl Count'!P183*'Phytopl Count'!P$13/'Phytopl Count'!P$8)</f>
        <v/>
      </c>
      <c r="Q183" s="31" t="str">
        <f>IF('Phytopl Count'!Q183=0,"",'Phytopl Count'!Q183*'Phytopl Count'!Q$13/'Phytopl Count'!Q$8)</f>
        <v/>
      </c>
      <c r="R183" s="31" t="str">
        <f>IF('Phytopl Count'!R183=0,"",'Phytopl Count'!R183*'Phytopl Count'!R$13/'Phytopl Count'!R$8)</f>
        <v/>
      </c>
      <c r="S183" s="31" t="str">
        <f>IF('Phytopl Count'!S183=0,"",'Phytopl Count'!S183*'Phytopl Count'!S$13/'Phytopl Count'!S$8)</f>
        <v/>
      </c>
      <c r="T183" s="31" t="str">
        <f>IF('Phytopl Count'!T183=0,"",'Phytopl Count'!T183*'Phytopl Count'!T$13/'Phytopl Count'!T$8)</f>
        <v/>
      </c>
      <c r="U183" s="31" t="str">
        <f>IF('Phytopl Count'!U183=0,"",'Phytopl Count'!U183*'Phytopl Count'!U$13/'Phytopl Count'!U$8)</f>
        <v/>
      </c>
      <c r="V183" s="31" t="str">
        <f>IF('Phytopl Count'!V183=0,"",'Phytopl Count'!V183*'Phytopl Count'!V$13/'Phytopl Count'!V$8)</f>
        <v/>
      </c>
      <c r="W183" s="31" t="str">
        <f>IF('Phytopl Count'!W183=0,"",'Phytopl Count'!W183*'Phytopl Count'!W$13/'Phytopl Count'!W$8)</f>
        <v/>
      </c>
      <c r="X183" s="31" t="str">
        <f>IF('Phytopl Count'!X183=0,"",'Phytopl Count'!X183*'Phytopl Count'!X$13/'Phytopl Count'!X$8)</f>
        <v/>
      </c>
      <c r="Y183" s="31" t="str">
        <f>IF('Phytopl Count'!Y183=0,"",'Phytopl Count'!Y183*'Phytopl Count'!Y$13/'Phytopl Count'!Y$8)</f>
        <v/>
      </c>
      <c r="Z183" s="31" t="str">
        <f>IF('Phytopl Count'!Z183=0,"",'Phytopl Count'!Z183*'Phytopl Count'!Z$13/'Phytopl Count'!Z$8)</f>
        <v/>
      </c>
      <c r="AA183" s="31" t="str">
        <f>IF('Phytopl Count'!AA183=0,"",'Phytopl Count'!AA183*'Phytopl Count'!AA$13/'Phytopl Count'!AA$8)</f>
        <v/>
      </c>
      <c r="AB183" s="31" t="str">
        <f>IF('Phytopl Count'!AB183=0,"",'Phytopl Count'!AB183*'Phytopl Count'!AB$13/'Phytopl Count'!AB$8)</f>
        <v/>
      </c>
      <c r="AC183" s="31" t="str">
        <f>IF('Phytopl Count'!AC183=0,"",'Phytopl Count'!AC183*'Phytopl Count'!AC$13/'Phytopl Count'!AC$8)</f>
        <v/>
      </c>
      <c r="AD183" s="31" t="str">
        <f>IF('Phytopl Count'!AD183=0,"",'Phytopl Count'!AD183*'Phytopl Count'!AD$13/'Phytopl Count'!AD$8)</f>
        <v/>
      </c>
      <c r="AE183" s="31" t="str">
        <f>IF('Phytopl Count'!AE183=0,"",'Phytopl Count'!AE183*'Phytopl Count'!AE$13/'Phytopl Count'!AE$8)</f>
        <v/>
      </c>
      <c r="AF183" s="31" t="str">
        <f>IF('Phytopl Count'!AF183=0,"",'Phytopl Count'!AF183*'Phytopl Count'!AF$13/'Phytopl Count'!AF$8)</f>
        <v/>
      </c>
    </row>
    <row r="184" spans="1:32" hidden="1">
      <c r="A184" s="16" t="s">
        <v>4</v>
      </c>
      <c r="B184" s="4" t="s">
        <v>383</v>
      </c>
      <c r="C184" s="10"/>
      <c r="D184" s="4"/>
      <c r="F184" s="9"/>
      <c r="G184" s="31" t="str">
        <f>IF('Phytopl Count'!G184=0,"",'Phytopl Count'!G184*'Phytopl Count'!G$13/'Phytopl Count'!G$8)</f>
        <v/>
      </c>
      <c r="H184" s="31" t="str">
        <f>IF('Phytopl Count'!H184=0,"",'Phytopl Count'!H184*'Phytopl Count'!H$13/'Phytopl Count'!H$8)</f>
        <v/>
      </c>
      <c r="I184" s="31" t="str">
        <f>IF('Phytopl Count'!I184=0,"",'Phytopl Count'!I184*'Phytopl Count'!I$13/'Phytopl Count'!I$8)</f>
        <v/>
      </c>
      <c r="J184" s="31" t="str">
        <f>IF('Phytopl Count'!J184=0,"",'Phytopl Count'!J184*'Phytopl Count'!J$13/'Phytopl Count'!J$8)</f>
        <v/>
      </c>
      <c r="K184" s="31" t="str">
        <f>IF('Phytopl Count'!K184=0,"",'Phytopl Count'!K184*'Phytopl Count'!K$13/'Phytopl Count'!K$8)</f>
        <v/>
      </c>
      <c r="L184" s="31" t="str">
        <f>IF('Phytopl Count'!L184=0,"",'Phytopl Count'!L184*'Phytopl Count'!L$13/'Phytopl Count'!L$8)</f>
        <v/>
      </c>
      <c r="M184" s="31" t="str">
        <f>IF('Phytopl Count'!M184=0,"",'Phytopl Count'!M184*'Phytopl Count'!M$13/'Phytopl Count'!M$8)</f>
        <v/>
      </c>
      <c r="N184" s="31" t="str">
        <f>IF('Phytopl Count'!N184=0,"",'Phytopl Count'!N184*'Phytopl Count'!N$13/'Phytopl Count'!N$8)</f>
        <v/>
      </c>
      <c r="O184" s="31" t="str">
        <f>IF('Phytopl Count'!O184=0,"",'Phytopl Count'!O184*'Phytopl Count'!O$13/'Phytopl Count'!O$8)</f>
        <v/>
      </c>
      <c r="P184" s="31" t="str">
        <f>IF('Phytopl Count'!P184=0,"",'Phytopl Count'!P184*'Phytopl Count'!P$13/'Phytopl Count'!P$8)</f>
        <v/>
      </c>
      <c r="Q184" s="31" t="str">
        <f>IF('Phytopl Count'!Q184=0,"",'Phytopl Count'!Q184*'Phytopl Count'!Q$13/'Phytopl Count'!Q$8)</f>
        <v/>
      </c>
      <c r="R184" s="31" t="str">
        <f>IF('Phytopl Count'!R184=0,"",'Phytopl Count'!R184*'Phytopl Count'!R$13/'Phytopl Count'!R$8)</f>
        <v/>
      </c>
      <c r="S184" s="31" t="str">
        <f>IF('Phytopl Count'!S184=0,"",'Phytopl Count'!S184*'Phytopl Count'!S$13/'Phytopl Count'!S$8)</f>
        <v/>
      </c>
      <c r="T184" s="31" t="str">
        <f>IF('Phytopl Count'!T184=0,"",'Phytopl Count'!T184*'Phytopl Count'!T$13/'Phytopl Count'!T$8)</f>
        <v/>
      </c>
      <c r="U184" s="31" t="str">
        <f>IF('Phytopl Count'!U184=0,"",'Phytopl Count'!U184*'Phytopl Count'!U$13/'Phytopl Count'!U$8)</f>
        <v/>
      </c>
      <c r="V184" s="31" t="str">
        <f>IF('Phytopl Count'!V184=0,"",'Phytopl Count'!V184*'Phytopl Count'!V$13/'Phytopl Count'!V$8)</f>
        <v/>
      </c>
      <c r="W184" s="31" t="str">
        <f>IF('Phytopl Count'!W184=0,"",'Phytopl Count'!W184*'Phytopl Count'!W$13/'Phytopl Count'!W$8)</f>
        <v/>
      </c>
      <c r="X184" s="31" t="str">
        <f>IF('Phytopl Count'!X184=0,"",'Phytopl Count'!X184*'Phytopl Count'!X$13/'Phytopl Count'!X$8)</f>
        <v/>
      </c>
      <c r="Y184" s="31" t="str">
        <f>IF('Phytopl Count'!Y184=0,"",'Phytopl Count'!Y184*'Phytopl Count'!Y$13/'Phytopl Count'!Y$8)</f>
        <v/>
      </c>
      <c r="Z184" s="31" t="str">
        <f>IF('Phytopl Count'!Z184=0,"",'Phytopl Count'!Z184*'Phytopl Count'!Z$13/'Phytopl Count'!Z$8)</f>
        <v/>
      </c>
      <c r="AA184" s="31" t="str">
        <f>IF('Phytopl Count'!AA184=0,"",'Phytopl Count'!AA184*'Phytopl Count'!AA$13/'Phytopl Count'!AA$8)</f>
        <v/>
      </c>
      <c r="AB184" s="31" t="str">
        <f>IF('Phytopl Count'!AB184=0,"",'Phytopl Count'!AB184*'Phytopl Count'!AB$13/'Phytopl Count'!AB$8)</f>
        <v/>
      </c>
      <c r="AC184" s="31" t="str">
        <f>IF('Phytopl Count'!AC184=0,"",'Phytopl Count'!AC184*'Phytopl Count'!AC$13/'Phytopl Count'!AC$8)</f>
        <v/>
      </c>
      <c r="AD184" s="31" t="str">
        <f>IF('Phytopl Count'!AD184=0,"",'Phytopl Count'!AD184*'Phytopl Count'!AD$13/'Phytopl Count'!AD$8)</f>
        <v/>
      </c>
      <c r="AE184" s="31" t="str">
        <f>IF('Phytopl Count'!AE184=0,"",'Phytopl Count'!AE184*'Phytopl Count'!AE$13/'Phytopl Count'!AE$8)</f>
        <v/>
      </c>
      <c r="AF184" s="31" t="str">
        <f>IF('Phytopl Count'!AF184=0,"",'Phytopl Count'!AF184*'Phytopl Count'!AF$13/'Phytopl Count'!AF$8)</f>
        <v/>
      </c>
    </row>
    <row r="185" spans="1:32" hidden="1">
      <c r="A185" s="16"/>
      <c r="B185" s="16" t="s">
        <v>72</v>
      </c>
      <c r="C185" s="28" t="s">
        <v>384</v>
      </c>
      <c r="D185" s="4"/>
      <c r="F185" s="9"/>
      <c r="G185" s="31" t="str">
        <f>IF('Phytopl Count'!G185=0,"",'Phytopl Count'!G185*'Phytopl Count'!G$13/'Phytopl Count'!G$8)</f>
        <v/>
      </c>
      <c r="H185" s="31" t="str">
        <f>IF('Phytopl Count'!H185=0,"",'Phytopl Count'!H185*'Phytopl Count'!H$13/'Phytopl Count'!H$8)</f>
        <v/>
      </c>
      <c r="I185" s="31" t="str">
        <f>IF('Phytopl Count'!I185=0,"",'Phytopl Count'!I185*'Phytopl Count'!I$13/'Phytopl Count'!I$8)</f>
        <v/>
      </c>
      <c r="J185" s="31" t="str">
        <f>IF('Phytopl Count'!J185=0,"",'Phytopl Count'!J185*'Phytopl Count'!J$13/'Phytopl Count'!J$8)</f>
        <v/>
      </c>
      <c r="K185" s="31" t="str">
        <f>IF('Phytopl Count'!K185=0,"",'Phytopl Count'!K185*'Phytopl Count'!K$13/'Phytopl Count'!K$8)</f>
        <v/>
      </c>
      <c r="L185" s="31" t="str">
        <f>IF('Phytopl Count'!L185=0,"",'Phytopl Count'!L185*'Phytopl Count'!L$13/'Phytopl Count'!L$8)</f>
        <v/>
      </c>
      <c r="M185" s="31" t="str">
        <f>IF('Phytopl Count'!M185=0,"",'Phytopl Count'!M185*'Phytopl Count'!M$13/'Phytopl Count'!M$8)</f>
        <v/>
      </c>
      <c r="N185" s="31" t="str">
        <f>IF('Phytopl Count'!N185=0,"",'Phytopl Count'!N185*'Phytopl Count'!N$13/'Phytopl Count'!N$8)</f>
        <v/>
      </c>
      <c r="O185" s="31" t="str">
        <f>IF('Phytopl Count'!O185=0,"",'Phytopl Count'!O185*'Phytopl Count'!O$13/'Phytopl Count'!O$8)</f>
        <v/>
      </c>
      <c r="P185" s="31" t="str">
        <f>IF('Phytopl Count'!P185=0,"",'Phytopl Count'!P185*'Phytopl Count'!P$13/'Phytopl Count'!P$8)</f>
        <v/>
      </c>
      <c r="Q185" s="31" t="str">
        <f>IF('Phytopl Count'!Q185=0,"",'Phytopl Count'!Q185*'Phytopl Count'!Q$13/'Phytopl Count'!Q$8)</f>
        <v/>
      </c>
      <c r="R185" s="31" t="str">
        <f>IF('Phytopl Count'!R185=0,"",'Phytopl Count'!R185*'Phytopl Count'!R$13/'Phytopl Count'!R$8)</f>
        <v/>
      </c>
      <c r="S185" s="31" t="str">
        <f>IF('Phytopl Count'!S185=0,"",'Phytopl Count'!S185*'Phytopl Count'!S$13/'Phytopl Count'!S$8)</f>
        <v/>
      </c>
      <c r="T185" s="31" t="str">
        <f>IF('Phytopl Count'!T185=0,"",'Phytopl Count'!T185*'Phytopl Count'!T$13/'Phytopl Count'!T$8)</f>
        <v/>
      </c>
      <c r="U185" s="31" t="str">
        <f>IF('Phytopl Count'!U185=0,"",'Phytopl Count'!U185*'Phytopl Count'!U$13/'Phytopl Count'!U$8)</f>
        <v/>
      </c>
      <c r="V185" s="31" t="str">
        <f>IF('Phytopl Count'!V185=0,"",'Phytopl Count'!V185*'Phytopl Count'!V$13/'Phytopl Count'!V$8)</f>
        <v/>
      </c>
      <c r="W185" s="31" t="str">
        <f>IF('Phytopl Count'!W185=0,"",'Phytopl Count'!W185*'Phytopl Count'!W$13/'Phytopl Count'!W$8)</f>
        <v/>
      </c>
      <c r="X185" s="31" t="str">
        <f>IF('Phytopl Count'!X185=0,"",'Phytopl Count'!X185*'Phytopl Count'!X$13/'Phytopl Count'!X$8)</f>
        <v/>
      </c>
      <c r="Y185" s="31" t="str">
        <f>IF('Phytopl Count'!Y185=0,"",'Phytopl Count'!Y185*'Phytopl Count'!Y$13/'Phytopl Count'!Y$8)</f>
        <v/>
      </c>
      <c r="Z185" s="31" t="str">
        <f>IF('Phytopl Count'!Z185=0,"",'Phytopl Count'!Z185*'Phytopl Count'!Z$13/'Phytopl Count'!Z$8)</f>
        <v/>
      </c>
      <c r="AA185" s="31" t="str">
        <f>IF('Phytopl Count'!AA185=0,"",'Phytopl Count'!AA185*'Phytopl Count'!AA$13/'Phytopl Count'!AA$8)</f>
        <v/>
      </c>
      <c r="AB185" s="31" t="str">
        <f>IF('Phytopl Count'!AB185=0,"",'Phytopl Count'!AB185*'Phytopl Count'!AB$13/'Phytopl Count'!AB$8)</f>
        <v/>
      </c>
      <c r="AC185" s="31" t="str">
        <f>IF('Phytopl Count'!AC185=0,"",'Phytopl Count'!AC185*'Phytopl Count'!AC$13/'Phytopl Count'!AC$8)</f>
        <v/>
      </c>
      <c r="AD185" s="31" t="str">
        <f>IF('Phytopl Count'!AD185=0,"",'Phytopl Count'!AD185*'Phytopl Count'!AD$13/'Phytopl Count'!AD$8)</f>
        <v/>
      </c>
      <c r="AE185" s="31" t="str">
        <f>IF('Phytopl Count'!AE185=0,"",'Phytopl Count'!AE185*'Phytopl Count'!AE$13/'Phytopl Count'!AE$8)</f>
        <v/>
      </c>
      <c r="AF185" s="31" t="str">
        <f>IF('Phytopl Count'!AF185=0,"",'Phytopl Count'!AF185*'Phytopl Count'!AF$13/'Phytopl Count'!AF$8)</f>
        <v/>
      </c>
    </row>
    <row r="186" spans="1:32" hidden="1">
      <c r="A186" s="16"/>
      <c r="B186" s="16"/>
      <c r="C186" s="16" t="s">
        <v>73</v>
      </c>
      <c r="D186" s="4" t="s">
        <v>385</v>
      </c>
      <c r="F186" s="9"/>
      <c r="G186" s="31" t="str">
        <f>IF('Phytopl Count'!G186=0,"",'Phytopl Count'!G186*'Phytopl Count'!G$13/'Phytopl Count'!G$8)</f>
        <v/>
      </c>
      <c r="H186" s="31" t="str">
        <f>IF('Phytopl Count'!H186=0,"",'Phytopl Count'!H186*'Phytopl Count'!H$13/'Phytopl Count'!H$8)</f>
        <v/>
      </c>
      <c r="I186" s="31" t="str">
        <f>IF('Phytopl Count'!I186=0,"",'Phytopl Count'!I186*'Phytopl Count'!I$13/'Phytopl Count'!I$8)</f>
        <v/>
      </c>
      <c r="J186" s="31" t="str">
        <f>IF('Phytopl Count'!J186=0,"",'Phytopl Count'!J186*'Phytopl Count'!J$13/'Phytopl Count'!J$8)</f>
        <v/>
      </c>
      <c r="K186" s="31" t="str">
        <f>IF('Phytopl Count'!K186=0,"",'Phytopl Count'!K186*'Phytopl Count'!K$13/'Phytopl Count'!K$8)</f>
        <v/>
      </c>
      <c r="L186" s="31" t="str">
        <f>IF('Phytopl Count'!L186=0,"",'Phytopl Count'!L186*'Phytopl Count'!L$13/'Phytopl Count'!L$8)</f>
        <v/>
      </c>
      <c r="M186" s="31" t="str">
        <f>IF('Phytopl Count'!M186=0,"",'Phytopl Count'!M186*'Phytopl Count'!M$13/'Phytopl Count'!M$8)</f>
        <v/>
      </c>
      <c r="N186" s="31" t="str">
        <f>IF('Phytopl Count'!N186=0,"",'Phytopl Count'!N186*'Phytopl Count'!N$13/'Phytopl Count'!N$8)</f>
        <v/>
      </c>
      <c r="O186" s="31" t="str">
        <f>IF('Phytopl Count'!O186=0,"",'Phytopl Count'!O186*'Phytopl Count'!O$13/'Phytopl Count'!O$8)</f>
        <v/>
      </c>
      <c r="P186" s="31" t="str">
        <f>IF('Phytopl Count'!P186=0,"",'Phytopl Count'!P186*'Phytopl Count'!P$13/'Phytopl Count'!P$8)</f>
        <v/>
      </c>
      <c r="Q186" s="31" t="str">
        <f>IF('Phytopl Count'!Q186=0,"",'Phytopl Count'!Q186*'Phytopl Count'!Q$13/'Phytopl Count'!Q$8)</f>
        <v/>
      </c>
      <c r="R186" s="31" t="str">
        <f>IF('Phytopl Count'!R186=0,"",'Phytopl Count'!R186*'Phytopl Count'!R$13/'Phytopl Count'!R$8)</f>
        <v/>
      </c>
      <c r="S186" s="31" t="str">
        <f>IF('Phytopl Count'!S186=0,"",'Phytopl Count'!S186*'Phytopl Count'!S$13/'Phytopl Count'!S$8)</f>
        <v/>
      </c>
      <c r="T186" s="31" t="str">
        <f>IF('Phytopl Count'!T186=0,"",'Phytopl Count'!T186*'Phytopl Count'!T$13/'Phytopl Count'!T$8)</f>
        <v/>
      </c>
      <c r="U186" s="31" t="str">
        <f>IF('Phytopl Count'!U186=0,"",'Phytopl Count'!U186*'Phytopl Count'!U$13/'Phytopl Count'!U$8)</f>
        <v/>
      </c>
      <c r="V186" s="31" t="str">
        <f>IF('Phytopl Count'!V186=0,"",'Phytopl Count'!V186*'Phytopl Count'!V$13/'Phytopl Count'!V$8)</f>
        <v/>
      </c>
      <c r="W186" s="31" t="str">
        <f>IF('Phytopl Count'!W186=0,"",'Phytopl Count'!W186*'Phytopl Count'!W$13/'Phytopl Count'!W$8)</f>
        <v/>
      </c>
      <c r="X186" s="31" t="str">
        <f>IF('Phytopl Count'!X186=0,"",'Phytopl Count'!X186*'Phytopl Count'!X$13/'Phytopl Count'!X$8)</f>
        <v/>
      </c>
      <c r="Y186" s="31" t="str">
        <f>IF('Phytopl Count'!Y186=0,"",'Phytopl Count'!Y186*'Phytopl Count'!Y$13/'Phytopl Count'!Y$8)</f>
        <v/>
      </c>
      <c r="Z186" s="31" t="str">
        <f>IF('Phytopl Count'!Z186=0,"",'Phytopl Count'!Z186*'Phytopl Count'!Z$13/'Phytopl Count'!Z$8)</f>
        <v/>
      </c>
      <c r="AA186" s="31" t="str">
        <f>IF('Phytopl Count'!AA186=0,"",'Phytopl Count'!AA186*'Phytopl Count'!AA$13/'Phytopl Count'!AA$8)</f>
        <v/>
      </c>
      <c r="AB186" s="31" t="str">
        <f>IF('Phytopl Count'!AB186=0,"",'Phytopl Count'!AB186*'Phytopl Count'!AB$13/'Phytopl Count'!AB$8)</f>
        <v/>
      </c>
      <c r="AC186" s="31" t="str">
        <f>IF('Phytopl Count'!AC186=0,"",'Phytopl Count'!AC186*'Phytopl Count'!AC$13/'Phytopl Count'!AC$8)</f>
        <v/>
      </c>
      <c r="AD186" s="31" t="str">
        <f>IF('Phytopl Count'!AD186=0,"",'Phytopl Count'!AD186*'Phytopl Count'!AD$13/'Phytopl Count'!AD$8)</f>
        <v/>
      </c>
      <c r="AE186" s="31" t="str">
        <f>IF('Phytopl Count'!AE186=0,"",'Phytopl Count'!AE186*'Phytopl Count'!AE$13/'Phytopl Count'!AE$8)</f>
        <v/>
      </c>
      <c r="AF186" s="31" t="str">
        <f>IF('Phytopl Count'!AF186=0,"",'Phytopl Count'!AF186*'Phytopl Count'!AF$13/'Phytopl Count'!AF$8)</f>
        <v/>
      </c>
    </row>
    <row r="187" spans="1:32" hidden="1">
      <c r="A187" s="10"/>
      <c r="B187" s="10"/>
      <c r="C187" s="10"/>
      <c r="D187" s="10" t="s">
        <v>5</v>
      </c>
      <c r="E187" s="169" t="s">
        <v>386</v>
      </c>
      <c r="F187" s="9"/>
      <c r="G187" s="31" t="str">
        <f>IF('Phytopl Count'!G187=0,"",'Phytopl Count'!G187*'Phytopl Count'!G$13/'Phytopl Count'!G$8)</f>
        <v/>
      </c>
      <c r="H187" s="31" t="str">
        <f>IF('Phytopl Count'!H187=0,"",'Phytopl Count'!H187*'Phytopl Count'!H$13/'Phytopl Count'!H$8)</f>
        <v/>
      </c>
      <c r="I187" s="31" t="str">
        <f>IF('Phytopl Count'!I187=0,"",'Phytopl Count'!I187*'Phytopl Count'!I$13/'Phytopl Count'!I$8)</f>
        <v/>
      </c>
      <c r="J187" s="31" t="str">
        <f>IF('Phytopl Count'!J187=0,"",'Phytopl Count'!J187*'Phytopl Count'!J$13/'Phytopl Count'!J$8)</f>
        <v/>
      </c>
      <c r="K187" s="31" t="str">
        <f>IF('Phytopl Count'!K187=0,"",'Phytopl Count'!K187*'Phytopl Count'!K$13/'Phytopl Count'!K$8)</f>
        <v/>
      </c>
      <c r="L187" s="31" t="str">
        <f>IF('Phytopl Count'!L187=0,"",'Phytopl Count'!L187*'Phytopl Count'!L$13/'Phytopl Count'!L$8)</f>
        <v/>
      </c>
      <c r="M187" s="31" t="str">
        <f>IF('Phytopl Count'!M187=0,"",'Phytopl Count'!M187*'Phytopl Count'!M$13/'Phytopl Count'!M$8)</f>
        <v/>
      </c>
      <c r="N187" s="31" t="str">
        <f>IF('Phytopl Count'!N187=0,"",'Phytopl Count'!N187*'Phytopl Count'!N$13/'Phytopl Count'!N$8)</f>
        <v/>
      </c>
      <c r="O187" s="31" t="str">
        <f>IF('Phytopl Count'!O187=0,"",'Phytopl Count'!O187*'Phytopl Count'!O$13/'Phytopl Count'!O$8)</f>
        <v/>
      </c>
      <c r="P187" s="31" t="str">
        <f>IF('Phytopl Count'!P187=0,"",'Phytopl Count'!P187*'Phytopl Count'!P$13/'Phytopl Count'!P$8)</f>
        <v/>
      </c>
      <c r="Q187" s="31" t="str">
        <f>IF('Phytopl Count'!Q187=0,"",'Phytopl Count'!Q187*'Phytopl Count'!Q$13/'Phytopl Count'!Q$8)</f>
        <v/>
      </c>
      <c r="R187" s="31" t="str">
        <f>IF('Phytopl Count'!R187=0,"",'Phytopl Count'!R187*'Phytopl Count'!R$13/'Phytopl Count'!R$8)</f>
        <v/>
      </c>
      <c r="S187" s="31" t="str">
        <f>IF('Phytopl Count'!S187=0,"",'Phytopl Count'!S187*'Phytopl Count'!S$13/'Phytopl Count'!S$8)</f>
        <v/>
      </c>
      <c r="T187" s="31" t="str">
        <f>IF('Phytopl Count'!T187=0,"",'Phytopl Count'!T187*'Phytopl Count'!T$13/'Phytopl Count'!T$8)</f>
        <v/>
      </c>
      <c r="U187" s="31" t="str">
        <f>IF('Phytopl Count'!U187=0,"",'Phytopl Count'!U187*'Phytopl Count'!U$13/'Phytopl Count'!U$8)</f>
        <v/>
      </c>
      <c r="V187" s="31" t="str">
        <f>IF('Phytopl Count'!V187=0,"",'Phytopl Count'!V187*'Phytopl Count'!V$13/'Phytopl Count'!V$8)</f>
        <v/>
      </c>
      <c r="W187" s="31" t="str">
        <f>IF('Phytopl Count'!W187=0,"",'Phytopl Count'!W187*'Phytopl Count'!W$13/'Phytopl Count'!W$8)</f>
        <v/>
      </c>
      <c r="X187" s="31" t="str">
        <f>IF('Phytopl Count'!X187=0,"",'Phytopl Count'!X187*'Phytopl Count'!X$13/'Phytopl Count'!X$8)</f>
        <v/>
      </c>
      <c r="Y187" s="31" t="str">
        <f>IF('Phytopl Count'!Y187=0,"",'Phytopl Count'!Y187*'Phytopl Count'!Y$13/'Phytopl Count'!Y$8)</f>
        <v/>
      </c>
      <c r="Z187" s="31" t="str">
        <f>IF('Phytopl Count'!Z187=0,"",'Phytopl Count'!Z187*'Phytopl Count'!Z$13/'Phytopl Count'!Z$8)</f>
        <v/>
      </c>
      <c r="AA187" s="31" t="str">
        <f>IF('Phytopl Count'!AA187=0,"",'Phytopl Count'!AA187*'Phytopl Count'!AA$13/'Phytopl Count'!AA$8)</f>
        <v/>
      </c>
      <c r="AB187" s="31" t="str">
        <f>IF('Phytopl Count'!AB187=0,"",'Phytopl Count'!AB187*'Phytopl Count'!AB$13/'Phytopl Count'!AB$8)</f>
        <v/>
      </c>
      <c r="AC187" s="31" t="str">
        <f>IF('Phytopl Count'!AC187=0,"",'Phytopl Count'!AC187*'Phytopl Count'!AC$13/'Phytopl Count'!AC$8)</f>
        <v/>
      </c>
      <c r="AD187" s="31" t="str">
        <f>IF('Phytopl Count'!AD187=0,"",'Phytopl Count'!AD187*'Phytopl Count'!AD$13/'Phytopl Count'!AD$8)</f>
        <v/>
      </c>
      <c r="AE187" s="31" t="str">
        <f>IF('Phytopl Count'!AE187=0,"",'Phytopl Count'!AE187*'Phytopl Count'!AE$13/'Phytopl Count'!AE$8)</f>
        <v/>
      </c>
      <c r="AF187" s="31" t="str">
        <f>IF('Phytopl Count'!AF187=0,"",'Phytopl Count'!AF187*'Phytopl Count'!AF$13/'Phytopl Count'!AF$8)</f>
        <v/>
      </c>
    </row>
    <row r="188" spans="1:32" hidden="1">
      <c r="E188" s="10" t="s">
        <v>6</v>
      </c>
      <c r="F188" s="11" t="s">
        <v>387</v>
      </c>
      <c r="G188" s="31" t="str">
        <f>IF('Phytopl Count'!G188=0,"",'Phytopl Count'!G188*'Phytopl Count'!G$13/'Phytopl Count'!G$8)</f>
        <v/>
      </c>
      <c r="H188" s="31" t="str">
        <f>IF('Phytopl Count'!H188=0,"",'Phytopl Count'!H188*'Phytopl Count'!H$13/'Phytopl Count'!H$8)</f>
        <v/>
      </c>
      <c r="I188" s="31" t="str">
        <f>IF('Phytopl Count'!I188=0,"",'Phytopl Count'!I188*'Phytopl Count'!I$13/'Phytopl Count'!I$8)</f>
        <v/>
      </c>
      <c r="J188" s="31" t="str">
        <f>IF('Phytopl Count'!J188=0,"",'Phytopl Count'!J188*'Phytopl Count'!J$13/'Phytopl Count'!J$8)</f>
        <v/>
      </c>
      <c r="K188" s="31" t="str">
        <f>IF('Phytopl Count'!K188=0,"",'Phytopl Count'!K188*'Phytopl Count'!K$13/'Phytopl Count'!K$8)</f>
        <v/>
      </c>
      <c r="L188" s="31" t="str">
        <f>IF('Phytopl Count'!L188=0,"",'Phytopl Count'!L188*'Phytopl Count'!L$13/'Phytopl Count'!L$8)</f>
        <v/>
      </c>
      <c r="M188" s="31" t="str">
        <f>IF('Phytopl Count'!M188=0,"",'Phytopl Count'!M188*'Phytopl Count'!M$13/'Phytopl Count'!M$8)</f>
        <v/>
      </c>
      <c r="N188" s="31" t="str">
        <f>IF('Phytopl Count'!N188=0,"",'Phytopl Count'!N188*'Phytopl Count'!N$13/'Phytopl Count'!N$8)</f>
        <v/>
      </c>
      <c r="O188" s="31" t="str">
        <f>IF('Phytopl Count'!O188=0,"",'Phytopl Count'!O188*'Phytopl Count'!O$13/'Phytopl Count'!O$8)</f>
        <v/>
      </c>
      <c r="P188" s="31" t="str">
        <f>IF('Phytopl Count'!P188=0,"",'Phytopl Count'!P188*'Phytopl Count'!P$13/'Phytopl Count'!P$8)</f>
        <v/>
      </c>
      <c r="Q188" s="31" t="str">
        <f>IF('Phytopl Count'!Q188=0,"",'Phytopl Count'!Q188*'Phytopl Count'!Q$13/'Phytopl Count'!Q$8)</f>
        <v/>
      </c>
      <c r="R188" s="31" t="str">
        <f>IF('Phytopl Count'!R188=0,"",'Phytopl Count'!R188*'Phytopl Count'!R$13/'Phytopl Count'!R$8)</f>
        <v/>
      </c>
      <c r="S188" s="31" t="str">
        <f>IF('Phytopl Count'!S188=0,"",'Phytopl Count'!S188*'Phytopl Count'!S$13/'Phytopl Count'!S$8)</f>
        <v/>
      </c>
      <c r="T188" s="31" t="str">
        <f>IF('Phytopl Count'!T188=0,"",'Phytopl Count'!T188*'Phytopl Count'!T$13/'Phytopl Count'!T$8)</f>
        <v/>
      </c>
      <c r="U188" s="31" t="str">
        <f>IF('Phytopl Count'!U188=0,"",'Phytopl Count'!U188*'Phytopl Count'!U$13/'Phytopl Count'!U$8)</f>
        <v/>
      </c>
      <c r="V188" s="31" t="str">
        <f>IF('Phytopl Count'!V188=0,"",'Phytopl Count'!V188*'Phytopl Count'!V$13/'Phytopl Count'!V$8)</f>
        <v/>
      </c>
      <c r="W188" s="31" t="str">
        <f>IF('Phytopl Count'!W188=0,"",'Phytopl Count'!W188*'Phytopl Count'!W$13/'Phytopl Count'!W$8)</f>
        <v/>
      </c>
      <c r="X188" s="31" t="str">
        <f>IF('Phytopl Count'!X188=0,"",'Phytopl Count'!X188*'Phytopl Count'!X$13/'Phytopl Count'!X$8)</f>
        <v/>
      </c>
      <c r="Y188" s="31" t="str">
        <f>IF('Phytopl Count'!Y188=0,"",'Phytopl Count'!Y188*'Phytopl Count'!Y$13/'Phytopl Count'!Y$8)</f>
        <v/>
      </c>
      <c r="Z188" s="31" t="str">
        <f>IF('Phytopl Count'!Z188=0,"",'Phytopl Count'!Z188*'Phytopl Count'!Z$13/'Phytopl Count'!Z$8)</f>
        <v/>
      </c>
      <c r="AA188" s="31" t="str">
        <f>IF('Phytopl Count'!AA188=0,"",'Phytopl Count'!AA188*'Phytopl Count'!AA$13/'Phytopl Count'!AA$8)</f>
        <v/>
      </c>
      <c r="AB188" s="31" t="str">
        <f>IF('Phytopl Count'!AB188=0,"",'Phytopl Count'!AB188*'Phytopl Count'!AB$13/'Phytopl Count'!AB$8)</f>
        <v/>
      </c>
      <c r="AC188" s="31" t="str">
        <f>IF('Phytopl Count'!AC188=0,"",'Phytopl Count'!AC188*'Phytopl Count'!AC$13/'Phytopl Count'!AC$8)</f>
        <v/>
      </c>
      <c r="AD188" s="31" t="str">
        <f>IF('Phytopl Count'!AD188=0,"",'Phytopl Count'!AD188*'Phytopl Count'!AD$13/'Phytopl Count'!AD$8)</f>
        <v/>
      </c>
      <c r="AE188" s="31" t="str">
        <f>IF('Phytopl Count'!AE188=0,"",'Phytopl Count'!AE188*'Phytopl Count'!AE$13/'Phytopl Count'!AE$8)</f>
        <v/>
      </c>
      <c r="AF188" s="31" t="str">
        <f>IF('Phytopl Count'!AF188=0,"",'Phytopl Count'!AF188*'Phytopl Count'!AF$13/'Phytopl Count'!AF$8)</f>
        <v/>
      </c>
    </row>
    <row r="189" spans="1:32">
      <c r="E189" s="10"/>
      <c r="F189" s="1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>
      <c r="A190" s="16" t="s">
        <v>4</v>
      </c>
      <c r="B190" s="4" t="s">
        <v>304</v>
      </c>
      <c r="C190" s="16"/>
      <c r="D190" s="4"/>
      <c r="E190" s="4"/>
      <c r="F190" s="59"/>
      <c r="G190" s="31" t="str">
        <f>IF('Phytopl Count'!G190=0,"",'Phytopl Count'!G190*'Phytopl Count'!G$13/'Phytopl Count'!G$8)</f>
        <v/>
      </c>
      <c r="H190" s="31" t="str">
        <f>IF('Phytopl Count'!H190=0,"",'Phytopl Count'!H190*'Phytopl Count'!H$13/'Phytopl Count'!H$8)</f>
        <v/>
      </c>
      <c r="I190" s="31" t="str">
        <f>IF('Phytopl Count'!I190=0,"",'Phytopl Count'!I190*'Phytopl Count'!I$13/'Phytopl Count'!I$8)</f>
        <v/>
      </c>
      <c r="J190" s="31" t="str">
        <f>IF('Phytopl Count'!J190=0,"",'Phytopl Count'!J190*'Phytopl Count'!J$13/'Phytopl Count'!J$8)</f>
        <v/>
      </c>
      <c r="K190" s="31" t="str">
        <f>IF('Phytopl Count'!K190=0,"",'Phytopl Count'!K190*'Phytopl Count'!K$13/'Phytopl Count'!K$8)</f>
        <v/>
      </c>
      <c r="L190" s="31" t="str">
        <f>IF('Phytopl Count'!L190=0,"",'Phytopl Count'!L190*'Phytopl Count'!L$13/'Phytopl Count'!L$8)</f>
        <v/>
      </c>
      <c r="M190" s="31" t="str">
        <f>IF('Phytopl Count'!M190=0,"",'Phytopl Count'!M190*'Phytopl Count'!M$13/'Phytopl Count'!M$8)</f>
        <v/>
      </c>
      <c r="N190" s="31" t="str">
        <f>IF('Phytopl Count'!N190=0,"",'Phytopl Count'!N190*'Phytopl Count'!N$13/'Phytopl Count'!N$8)</f>
        <v/>
      </c>
      <c r="O190" s="31" t="str">
        <f>IF('Phytopl Count'!O190=0,"",'Phytopl Count'!O190*'Phytopl Count'!O$13/'Phytopl Count'!O$8)</f>
        <v/>
      </c>
      <c r="P190" s="31" t="str">
        <f>IF('Phytopl Count'!P190=0,"",'Phytopl Count'!P190*'Phytopl Count'!P$13/'Phytopl Count'!P$8)</f>
        <v/>
      </c>
      <c r="Q190" s="31" t="str">
        <f>IF('Phytopl Count'!Q190=0,"",'Phytopl Count'!Q190*'Phytopl Count'!Q$13/'Phytopl Count'!Q$8)</f>
        <v/>
      </c>
      <c r="R190" s="31" t="str">
        <f>IF('Phytopl Count'!R190=0,"",'Phytopl Count'!R190*'Phytopl Count'!R$13/'Phytopl Count'!R$8)</f>
        <v/>
      </c>
      <c r="S190" s="31" t="str">
        <f>IF('Phytopl Count'!S190=0,"",'Phytopl Count'!S190*'Phytopl Count'!S$13/'Phytopl Count'!S$8)</f>
        <v/>
      </c>
      <c r="T190" s="31" t="str">
        <f>IF('Phytopl Count'!T190=0,"",'Phytopl Count'!T190*'Phytopl Count'!T$13/'Phytopl Count'!T$8)</f>
        <v/>
      </c>
      <c r="U190" s="31" t="str">
        <f>IF('Phytopl Count'!U190=0,"",'Phytopl Count'!U190*'Phytopl Count'!U$13/'Phytopl Count'!U$8)</f>
        <v/>
      </c>
      <c r="V190" s="31" t="str">
        <f>IF('Phytopl Count'!V190=0,"",'Phytopl Count'!V190*'Phytopl Count'!V$13/'Phytopl Count'!V$8)</f>
        <v/>
      </c>
      <c r="W190" s="31" t="str">
        <f>IF('Phytopl Count'!W190=0,"",'Phytopl Count'!W190*'Phytopl Count'!W$13/'Phytopl Count'!W$8)</f>
        <v/>
      </c>
      <c r="X190" s="31" t="str">
        <f>IF('Phytopl Count'!X190=0,"",'Phytopl Count'!X190*'Phytopl Count'!X$13/'Phytopl Count'!X$8)</f>
        <v/>
      </c>
      <c r="Y190" s="31" t="str">
        <f>IF('Phytopl Count'!Y190=0,"",'Phytopl Count'!Y190*'Phytopl Count'!Y$13/'Phytopl Count'!Y$8)</f>
        <v/>
      </c>
      <c r="Z190" s="31" t="str">
        <f>IF('Phytopl Count'!Z190=0,"",'Phytopl Count'!Z190*'Phytopl Count'!Z$13/'Phytopl Count'!Z$8)</f>
        <v/>
      </c>
      <c r="AA190" s="31" t="str">
        <f>IF('Phytopl Count'!AA190=0,"",'Phytopl Count'!AA190*'Phytopl Count'!AA$13/'Phytopl Count'!AA$8)</f>
        <v/>
      </c>
      <c r="AB190" s="31" t="str">
        <f>IF('Phytopl Count'!AB190=0,"",'Phytopl Count'!AB190*'Phytopl Count'!AB$13/'Phytopl Count'!AB$8)</f>
        <v/>
      </c>
      <c r="AC190" s="31" t="str">
        <f>IF('Phytopl Count'!AC190=0,"",'Phytopl Count'!AC190*'Phytopl Count'!AC$13/'Phytopl Count'!AC$8)</f>
        <v/>
      </c>
      <c r="AD190" s="31" t="str">
        <f>IF('Phytopl Count'!AD190=0,"",'Phytopl Count'!AD190*'Phytopl Count'!AD$13/'Phytopl Count'!AD$8)</f>
        <v/>
      </c>
      <c r="AE190" s="31" t="str">
        <f>IF('Phytopl Count'!AE190=0,"",'Phytopl Count'!AE190*'Phytopl Count'!AE$13/'Phytopl Count'!AE$8)</f>
        <v/>
      </c>
      <c r="AF190" s="31" t="str">
        <f>IF('Phytopl Count'!AF190=0,"",'Phytopl Count'!AF190*'Phytopl Count'!AF$13/'Phytopl Count'!AF$8)</f>
        <v/>
      </c>
    </row>
    <row r="191" spans="1:32">
      <c r="A191" s="10"/>
      <c r="B191" s="16" t="s">
        <v>72</v>
      </c>
      <c r="C191" s="53" t="s">
        <v>92</v>
      </c>
      <c r="D191" s="4"/>
      <c r="F191" s="9"/>
      <c r="G191" s="31" t="str">
        <f>IF('Phytopl Count'!G191=0,"",'Phytopl Count'!G191*'Phytopl Count'!G$13/'Phytopl Count'!G$8)</f>
        <v/>
      </c>
      <c r="H191" s="31" t="str">
        <f>IF('Phytopl Count'!H191=0,"",'Phytopl Count'!H191*'Phytopl Count'!H$13/'Phytopl Count'!H$8)</f>
        <v/>
      </c>
      <c r="I191" s="31" t="str">
        <f>IF('Phytopl Count'!I191=0,"",'Phytopl Count'!I191*'Phytopl Count'!I$13/'Phytopl Count'!I$8)</f>
        <v/>
      </c>
      <c r="J191" s="31" t="str">
        <f>IF('Phytopl Count'!J191=0,"",'Phytopl Count'!J191*'Phytopl Count'!J$13/'Phytopl Count'!J$8)</f>
        <v/>
      </c>
      <c r="K191" s="31" t="str">
        <f>IF('Phytopl Count'!K191=0,"",'Phytopl Count'!K191*'Phytopl Count'!K$13/'Phytopl Count'!K$8)</f>
        <v/>
      </c>
      <c r="L191" s="31" t="str">
        <f>IF('Phytopl Count'!L191=0,"",'Phytopl Count'!L191*'Phytopl Count'!L$13/'Phytopl Count'!L$8)</f>
        <v/>
      </c>
      <c r="M191" s="31" t="str">
        <f>IF('Phytopl Count'!M191=0,"",'Phytopl Count'!M191*'Phytopl Count'!M$13/'Phytopl Count'!M$8)</f>
        <v/>
      </c>
      <c r="N191" s="31" t="str">
        <f>IF('Phytopl Count'!N191=0,"",'Phytopl Count'!N191*'Phytopl Count'!N$13/'Phytopl Count'!N$8)</f>
        <v/>
      </c>
      <c r="O191" s="31" t="str">
        <f>IF('Phytopl Count'!O191=0,"",'Phytopl Count'!O191*'Phytopl Count'!O$13/'Phytopl Count'!O$8)</f>
        <v/>
      </c>
      <c r="P191" s="31" t="str">
        <f>IF('Phytopl Count'!P191=0,"",'Phytopl Count'!P191*'Phytopl Count'!P$13/'Phytopl Count'!P$8)</f>
        <v/>
      </c>
      <c r="Q191" s="31" t="str">
        <f>IF('Phytopl Count'!Q191=0,"",'Phytopl Count'!Q191*'Phytopl Count'!Q$13/'Phytopl Count'!Q$8)</f>
        <v/>
      </c>
      <c r="R191" s="31" t="str">
        <f>IF('Phytopl Count'!R191=0,"",'Phytopl Count'!R191*'Phytopl Count'!R$13/'Phytopl Count'!R$8)</f>
        <v/>
      </c>
      <c r="S191" s="31" t="str">
        <f>IF('Phytopl Count'!S191=0,"",'Phytopl Count'!S191*'Phytopl Count'!S$13/'Phytopl Count'!S$8)</f>
        <v/>
      </c>
      <c r="T191" s="31" t="str">
        <f>IF('Phytopl Count'!T191=0,"",'Phytopl Count'!T191*'Phytopl Count'!T$13/'Phytopl Count'!T$8)</f>
        <v/>
      </c>
      <c r="U191" s="31" t="str">
        <f>IF('Phytopl Count'!U191=0,"",'Phytopl Count'!U191*'Phytopl Count'!U$13/'Phytopl Count'!U$8)</f>
        <v/>
      </c>
      <c r="V191" s="31" t="str">
        <f>IF('Phytopl Count'!V191=0,"",'Phytopl Count'!V191*'Phytopl Count'!V$13/'Phytopl Count'!V$8)</f>
        <v/>
      </c>
      <c r="W191" s="31" t="str">
        <f>IF('Phytopl Count'!W191=0,"",'Phytopl Count'!W191*'Phytopl Count'!W$13/'Phytopl Count'!W$8)</f>
        <v/>
      </c>
      <c r="X191" s="31" t="str">
        <f>IF('Phytopl Count'!X191=0,"",'Phytopl Count'!X191*'Phytopl Count'!X$13/'Phytopl Count'!X$8)</f>
        <v/>
      </c>
      <c r="Y191" s="31" t="str">
        <f>IF('Phytopl Count'!Y191=0,"",'Phytopl Count'!Y191*'Phytopl Count'!Y$13/'Phytopl Count'!Y$8)</f>
        <v/>
      </c>
      <c r="Z191" s="31" t="str">
        <f>IF('Phytopl Count'!Z191=0,"",'Phytopl Count'!Z191*'Phytopl Count'!Z$13/'Phytopl Count'!Z$8)</f>
        <v/>
      </c>
      <c r="AA191" s="31" t="str">
        <f>IF('Phytopl Count'!AA191=0,"",'Phytopl Count'!AA191*'Phytopl Count'!AA$13/'Phytopl Count'!AA$8)</f>
        <v/>
      </c>
      <c r="AB191" s="31" t="str">
        <f>IF('Phytopl Count'!AB191=0,"",'Phytopl Count'!AB191*'Phytopl Count'!AB$13/'Phytopl Count'!AB$8)</f>
        <v/>
      </c>
      <c r="AC191" s="31" t="str">
        <f>IF('Phytopl Count'!AC191=0,"",'Phytopl Count'!AC191*'Phytopl Count'!AC$13/'Phytopl Count'!AC$8)</f>
        <v/>
      </c>
      <c r="AD191" s="31" t="str">
        <f>IF('Phytopl Count'!AD191=0,"",'Phytopl Count'!AD191*'Phytopl Count'!AD$13/'Phytopl Count'!AD$8)</f>
        <v/>
      </c>
      <c r="AE191" s="31" t="str">
        <f>IF('Phytopl Count'!AE191=0,"",'Phytopl Count'!AE191*'Phytopl Count'!AE$13/'Phytopl Count'!AE$8)</f>
        <v/>
      </c>
      <c r="AF191" s="31" t="str">
        <f>IF('Phytopl Count'!AF191=0,"",'Phytopl Count'!AF191*'Phytopl Count'!AF$13/'Phytopl Count'!AF$8)</f>
        <v/>
      </c>
    </row>
    <row r="192" spans="1:32">
      <c r="A192" s="10"/>
      <c r="B192" s="10"/>
      <c r="C192" s="16" t="s">
        <v>73</v>
      </c>
      <c r="D192" s="51" t="s">
        <v>97</v>
      </c>
      <c r="F192" s="9"/>
      <c r="G192" s="31" t="str">
        <f>IF('Phytopl Count'!G192=0,"",'Phytopl Count'!G192*'Phytopl Count'!G$13/'Phytopl Count'!G$8)</f>
        <v/>
      </c>
      <c r="H192" s="31" t="str">
        <f>IF('Phytopl Count'!H192=0,"",'Phytopl Count'!H192*'Phytopl Count'!H$13/'Phytopl Count'!H$8)</f>
        <v/>
      </c>
      <c r="I192" s="31" t="str">
        <f>IF('Phytopl Count'!I192=0,"",'Phytopl Count'!I192*'Phytopl Count'!I$13/'Phytopl Count'!I$8)</f>
        <v/>
      </c>
      <c r="J192" s="31" t="str">
        <f>IF('Phytopl Count'!J192=0,"",'Phytopl Count'!J192*'Phytopl Count'!J$13/'Phytopl Count'!J$8)</f>
        <v/>
      </c>
      <c r="K192" s="31" t="str">
        <f>IF('Phytopl Count'!K192=0,"",'Phytopl Count'!K192*'Phytopl Count'!K$13/'Phytopl Count'!K$8)</f>
        <v/>
      </c>
      <c r="L192" s="31" t="str">
        <f>IF('Phytopl Count'!L192=0,"",'Phytopl Count'!L192*'Phytopl Count'!L$13/'Phytopl Count'!L$8)</f>
        <v/>
      </c>
      <c r="M192" s="31" t="str">
        <f>IF('Phytopl Count'!M192=0,"",'Phytopl Count'!M192*'Phytopl Count'!M$13/'Phytopl Count'!M$8)</f>
        <v/>
      </c>
      <c r="N192" s="31" t="str">
        <f>IF('Phytopl Count'!N192=0,"",'Phytopl Count'!N192*'Phytopl Count'!N$13/'Phytopl Count'!N$8)</f>
        <v/>
      </c>
      <c r="O192" s="31" t="str">
        <f>IF('Phytopl Count'!O192=0,"",'Phytopl Count'!O192*'Phytopl Count'!O$13/'Phytopl Count'!O$8)</f>
        <v/>
      </c>
      <c r="P192" s="31" t="str">
        <f>IF('Phytopl Count'!P192=0,"",'Phytopl Count'!P192*'Phytopl Count'!P$13/'Phytopl Count'!P$8)</f>
        <v/>
      </c>
      <c r="Q192" s="31" t="str">
        <f>IF('Phytopl Count'!Q192=0,"",'Phytopl Count'!Q192*'Phytopl Count'!Q$13/'Phytopl Count'!Q$8)</f>
        <v/>
      </c>
      <c r="R192" s="31" t="str">
        <f>IF('Phytopl Count'!R192=0,"",'Phytopl Count'!R192*'Phytopl Count'!R$13/'Phytopl Count'!R$8)</f>
        <v/>
      </c>
      <c r="S192" s="31" t="str">
        <f>IF('Phytopl Count'!S192=0,"",'Phytopl Count'!S192*'Phytopl Count'!S$13/'Phytopl Count'!S$8)</f>
        <v/>
      </c>
      <c r="T192" s="31" t="str">
        <f>IF('Phytopl Count'!T192=0,"",'Phytopl Count'!T192*'Phytopl Count'!T$13/'Phytopl Count'!T$8)</f>
        <v/>
      </c>
      <c r="U192" s="31" t="str">
        <f>IF('Phytopl Count'!U192=0,"",'Phytopl Count'!U192*'Phytopl Count'!U$13/'Phytopl Count'!U$8)</f>
        <v/>
      </c>
      <c r="V192" s="31" t="str">
        <f>IF('Phytopl Count'!V192=0,"",'Phytopl Count'!V192*'Phytopl Count'!V$13/'Phytopl Count'!V$8)</f>
        <v/>
      </c>
      <c r="W192" s="31" t="str">
        <f>IF('Phytopl Count'!W192=0,"",'Phytopl Count'!W192*'Phytopl Count'!W$13/'Phytopl Count'!W$8)</f>
        <v/>
      </c>
      <c r="X192" s="31" t="str">
        <f>IF('Phytopl Count'!X192=0,"",'Phytopl Count'!X192*'Phytopl Count'!X$13/'Phytopl Count'!X$8)</f>
        <v/>
      </c>
      <c r="Y192" s="31" t="str">
        <f>IF('Phytopl Count'!Y192=0,"",'Phytopl Count'!Y192*'Phytopl Count'!Y$13/'Phytopl Count'!Y$8)</f>
        <v/>
      </c>
      <c r="Z192" s="31" t="str">
        <f>IF('Phytopl Count'!Z192=0,"",'Phytopl Count'!Z192*'Phytopl Count'!Z$13/'Phytopl Count'!Z$8)</f>
        <v/>
      </c>
      <c r="AA192" s="31" t="str">
        <f>IF('Phytopl Count'!AA192=0,"",'Phytopl Count'!AA192*'Phytopl Count'!AA$13/'Phytopl Count'!AA$8)</f>
        <v/>
      </c>
      <c r="AB192" s="31" t="str">
        <f>IF('Phytopl Count'!AB192=0,"",'Phytopl Count'!AB192*'Phytopl Count'!AB$13/'Phytopl Count'!AB$8)</f>
        <v/>
      </c>
      <c r="AC192" s="31" t="str">
        <f>IF('Phytopl Count'!AC192=0,"",'Phytopl Count'!AC192*'Phytopl Count'!AC$13/'Phytopl Count'!AC$8)</f>
        <v/>
      </c>
      <c r="AD192" s="31" t="str">
        <f>IF('Phytopl Count'!AD192=0,"",'Phytopl Count'!AD192*'Phytopl Count'!AD$13/'Phytopl Count'!AD$8)</f>
        <v/>
      </c>
      <c r="AE192" s="31" t="str">
        <f>IF('Phytopl Count'!AE192=0,"",'Phytopl Count'!AE192*'Phytopl Count'!AE$13/'Phytopl Count'!AE$8)</f>
        <v/>
      </c>
      <c r="AF192" s="31" t="str">
        <f>IF('Phytopl Count'!AF192=0,"",'Phytopl Count'!AF192*'Phytopl Count'!AF$13/'Phytopl Count'!AF$8)</f>
        <v/>
      </c>
    </row>
    <row r="193" spans="1:32">
      <c r="A193" s="16"/>
      <c r="B193" s="16"/>
      <c r="C193" s="16"/>
      <c r="D193" s="121" t="s">
        <v>5</v>
      </c>
      <c r="E193" s="122" t="s">
        <v>153</v>
      </c>
      <c r="F193" s="123"/>
      <c r="G193" s="31" t="str">
        <f>IF('Phytopl Count'!G193=0,"",'Phytopl Count'!G193*'Phytopl Count'!G$13/'Phytopl Count'!G$8)</f>
        <v/>
      </c>
      <c r="H193" s="31" t="str">
        <f>IF('Phytopl Count'!H193=0,"",'Phytopl Count'!H193*'Phytopl Count'!H$13/'Phytopl Count'!H$8)</f>
        <v/>
      </c>
      <c r="I193" s="31" t="str">
        <f>IF('Phytopl Count'!I193=0,"",'Phytopl Count'!I193*'Phytopl Count'!I$13/'Phytopl Count'!I$8)</f>
        <v/>
      </c>
      <c r="J193" s="31" t="str">
        <f>IF('Phytopl Count'!J193=0,"",'Phytopl Count'!J193*'Phytopl Count'!J$13/'Phytopl Count'!J$8)</f>
        <v/>
      </c>
      <c r="K193" s="31" t="str">
        <f>IF('Phytopl Count'!K193=0,"",'Phytopl Count'!K193*'Phytopl Count'!K$13/'Phytopl Count'!K$8)</f>
        <v/>
      </c>
      <c r="L193" s="31" t="str">
        <f>IF('Phytopl Count'!L193=0,"",'Phytopl Count'!L193*'Phytopl Count'!L$13/'Phytopl Count'!L$8)</f>
        <v/>
      </c>
      <c r="M193" s="31" t="str">
        <f>IF('Phytopl Count'!M193=0,"",'Phytopl Count'!M193*'Phytopl Count'!M$13/'Phytopl Count'!M$8)</f>
        <v/>
      </c>
      <c r="N193" s="31" t="str">
        <f>IF('Phytopl Count'!N193=0,"",'Phytopl Count'!N193*'Phytopl Count'!N$13/'Phytopl Count'!N$8)</f>
        <v/>
      </c>
      <c r="O193" s="31" t="str">
        <f>IF('Phytopl Count'!O193=0,"",'Phytopl Count'!O193*'Phytopl Count'!O$13/'Phytopl Count'!O$8)</f>
        <v/>
      </c>
      <c r="P193" s="31" t="str">
        <f>IF('Phytopl Count'!P193=0,"",'Phytopl Count'!P193*'Phytopl Count'!P$13/'Phytopl Count'!P$8)</f>
        <v/>
      </c>
      <c r="Q193" s="31" t="str">
        <f>IF('Phytopl Count'!Q193=0,"",'Phytopl Count'!Q193*'Phytopl Count'!Q$13/'Phytopl Count'!Q$8)</f>
        <v/>
      </c>
      <c r="R193" s="31" t="str">
        <f>IF('Phytopl Count'!R193=0,"",'Phytopl Count'!R193*'Phytopl Count'!R$13/'Phytopl Count'!R$8)</f>
        <v/>
      </c>
      <c r="S193" s="31" t="str">
        <f>IF('Phytopl Count'!S193=0,"",'Phytopl Count'!S193*'Phytopl Count'!S$13/'Phytopl Count'!S$8)</f>
        <v/>
      </c>
      <c r="T193" s="31" t="str">
        <f>IF('Phytopl Count'!T193=0,"",'Phytopl Count'!T193*'Phytopl Count'!T$13/'Phytopl Count'!T$8)</f>
        <v/>
      </c>
      <c r="U193" s="31" t="str">
        <f>IF('Phytopl Count'!U193=0,"",'Phytopl Count'!U193*'Phytopl Count'!U$13/'Phytopl Count'!U$8)</f>
        <v/>
      </c>
      <c r="V193" s="31" t="str">
        <f>IF('Phytopl Count'!V193=0,"",'Phytopl Count'!V193*'Phytopl Count'!V$13/'Phytopl Count'!V$8)</f>
        <v/>
      </c>
      <c r="W193" s="31" t="str">
        <f>IF('Phytopl Count'!W193=0,"",'Phytopl Count'!W193*'Phytopl Count'!W$13/'Phytopl Count'!W$8)</f>
        <v/>
      </c>
      <c r="X193" s="31" t="str">
        <f>IF('Phytopl Count'!X193=0,"",'Phytopl Count'!X193*'Phytopl Count'!X$13/'Phytopl Count'!X$8)</f>
        <v/>
      </c>
      <c r="Y193" s="31" t="str">
        <f>IF('Phytopl Count'!Y193=0,"",'Phytopl Count'!Y193*'Phytopl Count'!Y$13/'Phytopl Count'!Y$8)</f>
        <v/>
      </c>
      <c r="Z193" s="31" t="str">
        <f>IF('Phytopl Count'!Z193=0,"",'Phytopl Count'!Z193*'Phytopl Count'!Z$13/'Phytopl Count'!Z$8)</f>
        <v/>
      </c>
      <c r="AA193" s="31" t="str">
        <f>IF('Phytopl Count'!AA193=0,"",'Phytopl Count'!AA193*'Phytopl Count'!AA$13/'Phytopl Count'!AA$8)</f>
        <v/>
      </c>
      <c r="AB193" s="31" t="str">
        <f>IF('Phytopl Count'!AB193=0,"",'Phytopl Count'!AB193*'Phytopl Count'!AB$13/'Phytopl Count'!AB$8)</f>
        <v/>
      </c>
      <c r="AC193" s="31" t="str">
        <f>IF('Phytopl Count'!AC193=0,"",'Phytopl Count'!AC193*'Phytopl Count'!AC$13/'Phytopl Count'!AC$8)</f>
        <v/>
      </c>
      <c r="AD193" s="31" t="str">
        <f>IF('Phytopl Count'!AD193=0,"",'Phytopl Count'!AD193*'Phytopl Count'!AD$13/'Phytopl Count'!AD$8)</f>
        <v/>
      </c>
      <c r="AE193" s="31" t="str">
        <f>IF('Phytopl Count'!AE193=0,"",'Phytopl Count'!AE193*'Phytopl Count'!AE$13/'Phytopl Count'!AE$8)</f>
        <v/>
      </c>
      <c r="AF193" s="31" t="str">
        <f>IF('Phytopl Count'!AF193=0,"",'Phytopl Count'!AF193*'Phytopl Count'!AF$13/'Phytopl Count'!AF$8)</f>
        <v/>
      </c>
    </row>
    <row r="194" spans="1:32">
      <c r="A194" s="4"/>
      <c r="B194" s="4"/>
      <c r="C194" s="4"/>
      <c r="D194" s="122"/>
      <c r="E194" s="121" t="s">
        <v>6</v>
      </c>
      <c r="F194" s="11" t="s">
        <v>290</v>
      </c>
      <c r="G194" s="31" t="str">
        <f>IF('Phytopl Count'!G194=0,"",'Phytopl Count'!G194*'Phytopl Count'!G$13/'Phytopl Count'!G$8)</f>
        <v/>
      </c>
      <c r="H194" s="31" t="str">
        <f>IF('Phytopl Count'!H194=0,"",'Phytopl Count'!H194*'Phytopl Count'!H$13/'Phytopl Count'!H$8)</f>
        <v/>
      </c>
      <c r="I194" s="31" t="str">
        <f>IF('Phytopl Count'!I194=0,"",'Phytopl Count'!I194*'Phytopl Count'!I$13/'Phytopl Count'!I$8)</f>
        <v/>
      </c>
      <c r="J194" s="31">
        <f>IF('Phytopl Count'!J194=0,"",'Phytopl Count'!J194*'Phytopl Count'!J$13/'Phytopl Count'!J$8)</f>
        <v>4.0038979394187504E-2</v>
      </c>
      <c r="K194" s="31">
        <f>IF('Phytopl Count'!K194=0,"",'Phytopl Count'!K194*'Phytopl Count'!K$13/'Phytopl Count'!K$8)</f>
        <v>6.4062367030700007E-2</v>
      </c>
      <c r="L194" s="31" t="str">
        <f>IF('Phytopl Count'!L194=0,"",'Phytopl Count'!L194*'Phytopl Count'!L$13/'Phytopl Count'!L$8)</f>
        <v/>
      </c>
      <c r="M194" s="31" t="str">
        <f>IF('Phytopl Count'!M194=0,"",'Phytopl Count'!M194*'Phytopl Count'!M$13/'Phytopl Count'!M$8)</f>
        <v/>
      </c>
      <c r="N194" s="31">
        <f>IF('Phytopl Count'!N194=0,"",'Phytopl Count'!N194*'Phytopl Count'!N$13/'Phytopl Count'!N$8)</f>
        <v>4.8046775273025012E-2</v>
      </c>
      <c r="O194" s="31" t="str">
        <f>IF('Phytopl Count'!O194=0,"",'Phytopl Count'!O194*'Phytopl Count'!O$13/'Phytopl Count'!O$8)</f>
        <v/>
      </c>
      <c r="P194" s="31">
        <f>IF('Phytopl Count'!P194=0,"",'Phytopl Count'!P194*'Phytopl Count'!P$13/'Phytopl Count'!P$8)</f>
        <v>9.6093550546050024E-2</v>
      </c>
      <c r="Q194" s="31" t="str">
        <f>IF('Phytopl Count'!Q194=0,"",'Phytopl Count'!Q194*'Phytopl Count'!Q$13/'Phytopl Count'!Q$8)</f>
        <v/>
      </c>
      <c r="R194" s="31">
        <f>IF('Phytopl Count'!R194=0,"",'Phytopl Count'!R194*'Phytopl Count'!R$13/'Phytopl Count'!R$8)</f>
        <v>3.2031183515350004E-2</v>
      </c>
      <c r="S194" s="31" t="str">
        <f>IF('Phytopl Count'!S194=0,"",'Phytopl Count'!S194*'Phytopl Count'!S$13/'Phytopl Count'!S$8)</f>
        <v/>
      </c>
      <c r="T194" s="31">
        <f>IF('Phytopl Count'!T194=0,"",'Phytopl Count'!T194*'Phytopl Count'!T$13/'Phytopl Count'!T$8)</f>
        <v>4.8046775273025012E-2</v>
      </c>
      <c r="U194" s="31">
        <f>IF('Phytopl Count'!U194=0,"",'Phytopl Count'!U194*'Phytopl Count'!U$13/'Phytopl Count'!U$8)</f>
        <v>6.4062367030700007E-2</v>
      </c>
      <c r="V194" s="31">
        <f>IF('Phytopl Count'!V194=0,"",'Phytopl Count'!V194*'Phytopl Count'!V$13/'Phytopl Count'!V$8)</f>
        <v>8.0077958788375009E-2</v>
      </c>
      <c r="W194" s="31" t="str">
        <f>IF('Phytopl Count'!W194=0,"",'Phytopl Count'!W194*'Phytopl Count'!W$13/'Phytopl Count'!W$8)</f>
        <v/>
      </c>
      <c r="X194" s="31" t="str">
        <f>IF('Phytopl Count'!X194=0,"",'Phytopl Count'!X194*'Phytopl Count'!X$13/'Phytopl Count'!X$8)</f>
        <v/>
      </c>
      <c r="Y194" s="31" t="str">
        <f>IF('Phytopl Count'!Y194=0,"",'Phytopl Count'!Y194*'Phytopl Count'!Y$13/'Phytopl Count'!Y$8)</f>
        <v/>
      </c>
      <c r="Z194" s="31" t="str">
        <f>IF('Phytopl Count'!Z194=0,"",'Phytopl Count'!Z194*'Phytopl Count'!Z$13/'Phytopl Count'!Z$8)</f>
        <v/>
      </c>
      <c r="AA194" s="31" t="str">
        <f>IF('Phytopl Count'!AA194=0,"",'Phytopl Count'!AA194*'Phytopl Count'!AA$13/'Phytopl Count'!AA$8)</f>
        <v/>
      </c>
      <c r="AB194" s="31" t="str">
        <f>IF('Phytopl Count'!AB194=0,"",'Phytopl Count'!AB194*'Phytopl Count'!AB$13/'Phytopl Count'!AB$8)</f>
        <v/>
      </c>
      <c r="AC194" s="31" t="str">
        <f>IF('Phytopl Count'!AC194=0,"",'Phytopl Count'!AC194*'Phytopl Count'!AC$13/'Phytopl Count'!AC$8)</f>
        <v/>
      </c>
      <c r="AD194" s="31" t="str">
        <f>IF('Phytopl Count'!AD194=0,"",'Phytopl Count'!AD194*'Phytopl Count'!AD$13/'Phytopl Count'!AD$8)</f>
        <v/>
      </c>
      <c r="AE194" s="31">
        <f>IF('Phytopl Count'!AE194=0,"",'Phytopl Count'!AE194*'Phytopl Count'!AE$13/'Phytopl Count'!AE$8)</f>
        <v>2.4023387636512506E-2</v>
      </c>
      <c r="AF194" s="31" t="str">
        <f>IF('Phytopl Count'!AF194=0,"",'Phytopl Count'!AF194*'Phytopl Count'!AF$13/'Phytopl Count'!AF$8)</f>
        <v/>
      </c>
    </row>
    <row r="195" spans="1:32">
      <c r="A195" s="16"/>
      <c r="B195" s="16"/>
      <c r="C195" s="16"/>
      <c r="D195" s="10" t="s">
        <v>5</v>
      </c>
      <c r="E195" s="125" t="s">
        <v>292</v>
      </c>
      <c r="F195" s="9"/>
      <c r="G195" s="31" t="str">
        <f>IF('Phytopl Count'!G195=0,"",'Phytopl Count'!G195*'Phytopl Count'!G$13/'Phytopl Count'!G$8)</f>
        <v/>
      </c>
      <c r="H195" s="31" t="str">
        <f>IF('Phytopl Count'!H195=0,"",'Phytopl Count'!H195*'Phytopl Count'!H$13/'Phytopl Count'!H$8)</f>
        <v/>
      </c>
      <c r="I195" s="31" t="str">
        <f>IF('Phytopl Count'!I195=0,"",'Phytopl Count'!I195*'Phytopl Count'!I$13/'Phytopl Count'!I$8)</f>
        <v/>
      </c>
      <c r="J195" s="31" t="str">
        <f>IF('Phytopl Count'!J195=0,"",'Phytopl Count'!J195*'Phytopl Count'!J$13/'Phytopl Count'!J$8)</f>
        <v/>
      </c>
      <c r="K195" s="31" t="str">
        <f>IF('Phytopl Count'!K195=0,"",'Phytopl Count'!K195*'Phytopl Count'!K$13/'Phytopl Count'!K$8)</f>
        <v/>
      </c>
      <c r="L195" s="31" t="str">
        <f>IF('Phytopl Count'!L195=0,"",'Phytopl Count'!L195*'Phytopl Count'!L$13/'Phytopl Count'!L$8)</f>
        <v/>
      </c>
      <c r="M195" s="31" t="str">
        <f>IF('Phytopl Count'!M195=0,"",'Phytopl Count'!M195*'Phytopl Count'!M$13/'Phytopl Count'!M$8)</f>
        <v/>
      </c>
      <c r="N195" s="31" t="str">
        <f>IF('Phytopl Count'!N195=0,"",'Phytopl Count'!N195*'Phytopl Count'!N$13/'Phytopl Count'!N$8)</f>
        <v/>
      </c>
      <c r="O195" s="31" t="str">
        <f>IF('Phytopl Count'!O195=0,"",'Phytopl Count'!O195*'Phytopl Count'!O$13/'Phytopl Count'!O$8)</f>
        <v/>
      </c>
      <c r="P195" s="31" t="str">
        <f>IF('Phytopl Count'!P195=0,"",'Phytopl Count'!P195*'Phytopl Count'!P$13/'Phytopl Count'!P$8)</f>
        <v/>
      </c>
      <c r="Q195" s="31" t="str">
        <f>IF('Phytopl Count'!Q195=0,"",'Phytopl Count'!Q195*'Phytopl Count'!Q$13/'Phytopl Count'!Q$8)</f>
        <v/>
      </c>
      <c r="R195" s="31" t="str">
        <f>IF('Phytopl Count'!R195=0,"",'Phytopl Count'!R195*'Phytopl Count'!R$13/'Phytopl Count'!R$8)</f>
        <v/>
      </c>
      <c r="S195" s="31" t="str">
        <f>IF('Phytopl Count'!S195=0,"",'Phytopl Count'!S195*'Phytopl Count'!S$13/'Phytopl Count'!S$8)</f>
        <v/>
      </c>
      <c r="T195" s="31" t="str">
        <f>IF('Phytopl Count'!T195=0,"",'Phytopl Count'!T195*'Phytopl Count'!T$13/'Phytopl Count'!T$8)</f>
        <v/>
      </c>
      <c r="U195" s="31" t="str">
        <f>IF('Phytopl Count'!U195=0,"",'Phytopl Count'!U195*'Phytopl Count'!U$13/'Phytopl Count'!U$8)</f>
        <v/>
      </c>
      <c r="V195" s="31" t="str">
        <f>IF('Phytopl Count'!V195=0,"",'Phytopl Count'!V195*'Phytopl Count'!V$13/'Phytopl Count'!V$8)</f>
        <v/>
      </c>
      <c r="W195" s="31" t="str">
        <f>IF('Phytopl Count'!W195=0,"",'Phytopl Count'!W195*'Phytopl Count'!W$13/'Phytopl Count'!W$8)</f>
        <v/>
      </c>
      <c r="X195" s="31" t="str">
        <f>IF('Phytopl Count'!X195=0,"",'Phytopl Count'!X195*'Phytopl Count'!X$13/'Phytopl Count'!X$8)</f>
        <v/>
      </c>
      <c r="Y195" s="31" t="str">
        <f>IF('Phytopl Count'!Y195=0,"",'Phytopl Count'!Y195*'Phytopl Count'!Y$13/'Phytopl Count'!Y$8)</f>
        <v/>
      </c>
      <c r="Z195" s="31" t="str">
        <f>IF('Phytopl Count'!Z195=0,"",'Phytopl Count'!Z195*'Phytopl Count'!Z$13/'Phytopl Count'!Z$8)</f>
        <v/>
      </c>
      <c r="AA195" s="31" t="str">
        <f>IF('Phytopl Count'!AA195=0,"",'Phytopl Count'!AA195*'Phytopl Count'!AA$13/'Phytopl Count'!AA$8)</f>
        <v/>
      </c>
      <c r="AB195" s="31" t="str">
        <f>IF('Phytopl Count'!AB195=0,"",'Phytopl Count'!AB195*'Phytopl Count'!AB$13/'Phytopl Count'!AB$8)</f>
        <v/>
      </c>
      <c r="AC195" s="31" t="str">
        <f>IF('Phytopl Count'!AC195=0,"",'Phytopl Count'!AC195*'Phytopl Count'!AC$13/'Phytopl Count'!AC$8)</f>
        <v/>
      </c>
      <c r="AD195" s="31" t="str">
        <f>IF('Phytopl Count'!AD195=0,"",'Phytopl Count'!AD195*'Phytopl Count'!AD$13/'Phytopl Count'!AD$8)</f>
        <v/>
      </c>
      <c r="AE195" s="31" t="str">
        <f>IF('Phytopl Count'!AE195=0,"",'Phytopl Count'!AE195*'Phytopl Count'!AE$13/'Phytopl Count'!AE$8)</f>
        <v/>
      </c>
      <c r="AF195" s="31" t="str">
        <f>IF('Phytopl Count'!AF195=0,"",'Phytopl Count'!AF195*'Phytopl Count'!AF$13/'Phytopl Count'!AF$8)</f>
        <v/>
      </c>
    </row>
    <row r="196" spans="1:32">
      <c r="A196" s="4"/>
      <c r="B196" s="4"/>
      <c r="C196" s="4"/>
      <c r="D196" s="90"/>
      <c r="E196" s="89" t="s">
        <v>6</v>
      </c>
      <c r="F196" s="11" t="s">
        <v>293</v>
      </c>
      <c r="G196" s="31" t="str">
        <f>IF('Phytopl Count'!G196=0,"",'Phytopl Count'!G196*'Phytopl Count'!G$13/'Phytopl Count'!G$8)</f>
        <v/>
      </c>
      <c r="H196" s="31" t="str">
        <f>IF('Phytopl Count'!H196=0,"",'Phytopl Count'!H196*'Phytopl Count'!H$13/'Phytopl Count'!H$8)</f>
        <v/>
      </c>
      <c r="I196" s="31" t="str">
        <f>IF('Phytopl Count'!I196=0,"",'Phytopl Count'!I196*'Phytopl Count'!I$13/'Phytopl Count'!I$8)</f>
        <v/>
      </c>
      <c r="J196" s="31" t="str">
        <f>IF('Phytopl Count'!J196=0,"",'Phytopl Count'!J196*'Phytopl Count'!J$13/'Phytopl Count'!J$8)</f>
        <v/>
      </c>
      <c r="K196" s="31" t="str">
        <f>IF('Phytopl Count'!K196=0,"",'Phytopl Count'!K196*'Phytopl Count'!K$13/'Phytopl Count'!K$8)</f>
        <v/>
      </c>
      <c r="L196" s="31" t="str">
        <f>IF('Phytopl Count'!L196=0,"",'Phytopl Count'!L196*'Phytopl Count'!L$13/'Phytopl Count'!L$8)</f>
        <v/>
      </c>
      <c r="M196" s="31">
        <f>IF('Phytopl Count'!M196=0,"",'Phytopl Count'!M196*'Phytopl Count'!M$13/'Phytopl Count'!M$8)</f>
        <v>4.0038979394187504E-2</v>
      </c>
      <c r="N196" s="31" t="str">
        <f>IF('Phytopl Count'!N196=0,"",'Phytopl Count'!N196*'Phytopl Count'!N$13/'Phytopl Count'!N$8)</f>
        <v/>
      </c>
      <c r="O196" s="31" t="str">
        <f>IF('Phytopl Count'!O196=0,"",'Phytopl Count'!O196*'Phytopl Count'!O$13/'Phytopl Count'!O$8)</f>
        <v/>
      </c>
      <c r="P196" s="31" t="str">
        <f>IF('Phytopl Count'!P196=0,"",'Phytopl Count'!P196*'Phytopl Count'!P$13/'Phytopl Count'!P$8)</f>
        <v/>
      </c>
      <c r="Q196" s="31" t="str">
        <f>IF('Phytopl Count'!Q196=0,"",'Phytopl Count'!Q196*'Phytopl Count'!Q$13/'Phytopl Count'!Q$8)</f>
        <v/>
      </c>
      <c r="R196" s="31">
        <f>IF('Phytopl Count'!R196=0,"",'Phytopl Count'!R196*'Phytopl Count'!R$13/'Phytopl Count'!R$8)</f>
        <v>3.2031183515350004E-2</v>
      </c>
      <c r="S196" s="31" t="str">
        <f>IF('Phytopl Count'!S196=0,"",'Phytopl Count'!S196*'Phytopl Count'!S$13/'Phytopl Count'!S$8)</f>
        <v/>
      </c>
      <c r="T196" s="31" t="str">
        <f>IF('Phytopl Count'!T196=0,"",'Phytopl Count'!T196*'Phytopl Count'!T$13/'Phytopl Count'!T$8)</f>
        <v/>
      </c>
      <c r="U196" s="31" t="str">
        <f>IF('Phytopl Count'!U196=0,"",'Phytopl Count'!U196*'Phytopl Count'!U$13/'Phytopl Count'!U$8)</f>
        <v/>
      </c>
      <c r="V196" s="31" t="str">
        <f>IF('Phytopl Count'!V196=0,"",'Phytopl Count'!V196*'Phytopl Count'!V$13/'Phytopl Count'!V$8)</f>
        <v/>
      </c>
      <c r="W196" s="31" t="str">
        <f>IF('Phytopl Count'!W196=0,"",'Phytopl Count'!W196*'Phytopl Count'!W$13/'Phytopl Count'!W$8)</f>
        <v/>
      </c>
      <c r="X196" s="31" t="str">
        <f>IF('Phytopl Count'!X196=0,"",'Phytopl Count'!X196*'Phytopl Count'!X$13/'Phytopl Count'!X$8)</f>
        <v/>
      </c>
      <c r="Y196" s="31" t="str">
        <f>IF('Phytopl Count'!Y196=0,"",'Phytopl Count'!Y196*'Phytopl Count'!Y$13/'Phytopl Count'!Y$8)</f>
        <v/>
      </c>
      <c r="Z196" s="31" t="str">
        <f>IF('Phytopl Count'!Z196=0,"",'Phytopl Count'!Z196*'Phytopl Count'!Z$13/'Phytopl Count'!Z$8)</f>
        <v/>
      </c>
      <c r="AA196" s="31" t="str">
        <f>IF('Phytopl Count'!AA196=0,"",'Phytopl Count'!AA196*'Phytopl Count'!AA$13/'Phytopl Count'!AA$8)</f>
        <v/>
      </c>
      <c r="AB196" s="31" t="str">
        <f>IF('Phytopl Count'!AB196=0,"",'Phytopl Count'!AB196*'Phytopl Count'!AB$13/'Phytopl Count'!AB$8)</f>
        <v/>
      </c>
      <c r="AC196" s="31">
        <f>IF('Phytopl Count'!AC196=0,"",'Phytopl Count'!AC196*'Phytopl Count'!AC$13/'Phytopl Count'!AC$8)</f>
        <v>3.2031183515350004E-2</v>
      </c>
      <c r="AD196" s="31" t="str">
        <f>IF('Phytopl Count'!AD196=0,"",'Phytopl Count'!AD196*'Phytopl Count'!AD$13/'Phytopl Count'!AD$8)</f>
        <v/>
      </c>
      <c r="AE196" s="31" t="str">
        <f>IF('Phytopl Count'!AE196=0,"",'Phytopl Count'!AE196*'Phytopl Count'!AE$13/'Phytopl Count'!AE$8)</f>
        <v/>
      </c>
      <c r="AF196" s="31" t="str">
        <f>IF('Phytopl Count'!AF196=0,"",'Phytopl Count'!AF196*'Phytopl Count'!AF$13/'Phytopl Count'!AF$8)</f>
        <v/>
      </c>
    </row>
    <row r="197" spans="1:32">
      <c r="A197" s="16"/>
      <c r="B197" s="16"/>
      <c r="C197" s="16"/>
      <c r="D197" s="10" t="s">
        <v>5</v>
      </c>
      <c r="E197" s="168" t="s">
        <v>381</v>
      </c>
      <c r="F197" s="9"/>
      <c r="G197" s="31" t="str">
        <f>IF('Phytopl Count'!G197=0,"",'Phytopl Count'!G197*'Phytopl Count'!G$13/'Phytopl Count'!G$8)</f>
        <v/>
      </c>
      <c r="H197" s="31" t="str">
        <f>IF('Phytopl Count'!H197=0,"",'Phytopl Count'!H197*'Phytopl Count'!H$13/'Phytopl Count'!H$8)</f>
        <v/>
      </c>
      <c r="I197" s="31" t="str">
        <f>IF('Phytopl Count'!I197=0,"",'Phytopl Count'!I197*'Phytopl Count'!I$13/'Phytopl Count'!I$8)</f>
        <v/>
      </c>
      <c r="J197" s="31" t="str">
        <f>IF('Phytopl Count'!J197=0,"",'Phytopl Count'!J197*'Phytopl Count'!J$13/'Phytopl Count'!J$8)</f>
        <v/>
      </c>
      <c r="K197" s="31" t="str">
        <f>IF('Phytopl Count'!K197=0,"",'Phytopl Count'!K197*'Phytopl Count'!K$13/'Phytopl Count'!K$8)</f>
        <v/>
      </c>
      <c r="L197" s="31" t="str">
        <f>IF('Phytopl Count'!L197=0,"",'Phytopl Count'!L197*'Phytopl Count'!L$13/'Phytopl Count'!L$8)</f>
        <v/>
      </c>
      <c r="M197" s="31" t="str">
        <f>IF('Phytopl Count'!M197=0,"",'Phytopl Count'!M197*'Phytopl Count'!M$13/'Phytopl Count'!M$8)</f>
        <v/>
      </c>
      <c r="N197" s="31" t="str">
        <f>IF('Phytopl Count'!N197=0,"",'Phytopl Count'!N197*'Phytopl Count'!N$13/'Phytopl Count'!N$8)</f>
        <v/>
      </c>
      <c r="O197" s="31" t="str">
        <f>IF('Phytopl Count'!O197=0,"",'Phytopl Count'!O197*'Phytopl Count'!O$13/'Phytopl Count'!O$8)</f>
        <v/>
      </c>
      <c r="P197" s="31" t="str">
        <f>IF('Phytopl Count'!P197=0,"",'Phytopl Count'!P197*'Phytopl Count'!P$13/'Phytopl Count'!P$8)</f>
        <v/>
      </c>
      <c r="Q197" s="31" t="str">
        <f>IF('Phytopl Count'!Q197=0,"",'Phytopl Count'!Q197*'Phytopl Count'!Q$13/'Phytopl Count'!Q$8)</f>
        <v/>
      </c>
      <c r="R197" s="31" t="str">
        <f>IF('Phytopl Count'!R197=0,"",'Phytopl Count'!R197*'Phytopl Count'!R$13/'Phytopl Count'!R$8)</f>
        <v/>
      </c>
      <c r="S197" s="31" t="str">
        <f>IF('Phytopl Count'!S197=0,"",'Phytopl Count'!S197*'Phytopl Count'!S$13/'Phytopl Count'!S$8)</f>
        <v/>
      </c>
      <c r="T197" s="31" t="str">
        <f>IF('Phytopl Count'!T197=0,"",'Phytopl Count'!T197*'Phytopl Count'!T$13/'Phytopl Count'!T$8)</f>
        <v/>
      </c>
      <c r="U197" s="31" t="str">
        <f>IF('Phytopl Count'!U197=0,"",'Phytopl Count'!U197*'Phytopl Count'!U$13/'Phytopl Count'!U$8)</f>
        <v/>
      </c>
      <c r="V197" s="31" t="str">
        <f>IF('Phytopl Count'!V197=0,"",'Phytopl Count'!V197*'Phytopl Count'!V$13/'Phytopl Count'!V$8)</f>
        <v/>
      </c>
      <c r="W197" s="31" t="str">
        <f>IF('Phytopl Count'!W197=0,"",'Phytopl Count'!W197*'Phytopl Count'!W$13/'Phytopl Count'!W$8)</f>
        <v/>
      </c>
      <c r="X197" s="31" t="str">
        <f>IF('Phytopl Count'!X197=0,"",'Phytopl Count'!X197*'Phytopl Count'!X$13/'Phytopl Count'!X$8)</f>
        <v/>
      </c>
      <c r="Y197" s="31" t="str">
        <f>IF('Phytopl Count'!Y197=0,"",'Phytopl Count'!Y197*'Phytopl Count'!Y$13/'Phytopl Count'!Y$8)</f>
        <v/>
      </c>
      <c r="Z197" s="31" t="str">
        <f>IF('Phytopl Count'!Z197=0,"",'Phytopl Count'!Z197*'Phytopl Count'!Z$13/'Phytopl Count'!Z$8)</f>
        <v/>
      </c>
      <c r="AA197" s="31" t="str">
        <f>IF('Phytopl Count'!AA197=0,"",'Phytopl Count'!AA197*'Phytopl Count'!AA$13/'Phytopl Count'!AA$8)</f>
        <v/>
      </c>
      <c r="AB197" s="31" t="str">
        <f>IF('Phytopl Count'!AB197=0,"",'Phytopl Count'!AB197*'Phytopl Count'!AB$13/'Phytopl Count'!AB$8)</f>
        <v/>
      </c>
      <c r="AC197" s="31" t="str">
        <f>IF('Phytopl Count'!AC197=0,"",'Phytopl Count'!AC197*'Phytopl Count'!AC$13/'Phytopl Count'!AC$8)</f>
        <v/>
      </c>
      <c r="AD197" s="31" t="str">
        <f>IF('Phytopl Count'!AD197=0,"",'Phytopl Count'!AD197*'Phytopl Count'!AD$13/'Phytopl Count'!AD$8)</f>
        <v/>
      </c>
      <c r="AE197" s="31" t="str">
        <f>IF('Phytopl Count'!AE197=0,"",'Phytopl Count'!AE197*'Phytopl Count'!AE$13/'Phytopl Count'!AE$8)</f>
        <v/>
      </c>
      <c r="AF197" s="31" t="str">
        <f>IF('Phytopl Count'!AF197=0,"",'Phytopl Count'!AF197*'Phytopl Count'!AF$13/'Phytopl Count'!AF$8)</f>
        <v/>
      </c>
    </row>
    <row r="198" spans="1:32">
      <c r="A198" s="4"/>
      <c r="B198" s="4"/>
      <c r="C198" s="4"/>
      <c r="D198" s="90"/>
      <c r="E198" s="89" t="s">
        <v>6</v>
      </c>
      <c r="F198" s="11" t="s">
        <v>382</v>
      </c>
      <c r="G198" s="31" t="str">
        <f>IF('Phytopl Count'!G198=0,"",'Phytopl Count'!G198*'Phytopl Count'!G$13/'Phytopl Count'!G$8)</f>
        <v/>
      </c>
      <c r="H198" s="31" t="str">
        <f>IF('Phytopl Count'!H198=0,"",'Phytopl Count'!H198*'Phytopl Count'!H$13/'Phytopl Count'!H$8)</f>
        <v/>
      </c>
      <c r="I198" s="31" t="str">
        <f>IF('Phytopl Count'!I198=0,"",'Phytopl Count'!I198*'Phytopl Count'!I$13/'Phytopl Count'!I$8)</f>
        <v/>
      </c>
      <c r="J198" s="31" t="str">
        <f>IF('Phytopl Count'!J198=0,"",'Phytopl Count'!J198*'Phytopl Count'!J$13/'Phytopl Count'!J$8)</f>
        <v/>
      </c>
      <c r="K198" s="31" t="str">
        <f>IF('Phytopl Count'!K198=0,"",'Phytopl Count'!K198*'Phytopl Count'!K$13/'Phytopl Count'!K$8)</f>
        <v/>
      </c>
      <c r="L198" s="31" t="str">
        <f>IF('Phytopl Count'!L198=0,"",'Phytopl Count'!L198*'Phytopl Count'!L$13/'Phytopl Count'!L$8)</f>
        <v/>
      </c>
      <c r="M198" s="31" t="str">
        <f>IF('Phytopl Count'!M198=0,"",'Phytopl Count'!M198*'Phytopl Count'!M$13/'Phytopl Count'!M$8)</f>
        <v/>
      </c>
      <c r="N198" s="31" t="str">
        <f>IF('Phytopl Count'!N198=0,"",'Phytopl Count'!N198*'Phytopl Count'!N$13/'Phytopl Count'!N$8)</f>
        <v/>
      </c>
      <c r="O198" s="31" t="str">
        <f>IF('Phytopl Count'!O198=0,"",'Phytopl Count'!O198*'Phytopl Count'!O$13/'Phytopl Count'!O$8)</f>
        <v/>
      </c>
      <c r="P198" s="31" t="str">
        <f>IF('Phytopl Count'!P198=0,"",'Phytopl Count'!P198*'Phytopl Count'!P$13/'Phytopl Count'!P$8)</f>
        <v/>
      </c>
      <c r="Q198" s="31" t="str">
        <f>IF('Phytopl Count'!Q198=0,"",'Phytopl Count'!Q198*'Phytopl Count'!Q$13/'Phytopl Count'!Q$8)</f>
        <v/>
      </c>
      <c r="R198" s="31" t="str">
        <f>IF('Phytopl Count'!R198=0,"",'Phytopl Count'!R198*'Phytopl Count'!R$13/'Phytopl Count'!R$8)</f>
        <v/>
      </c>
      <c r="S198" s="31" t="str">
        <f>IF('Phytopl Count'!S198=0,"",'Phytopl Count'!S198*'Phytopl Count'!S$13/'Phytopl Count'!S$8)</f>
        <v/>
      </c>
      <c r="T198" s="31" t="str">
        <f>IF('Phytopl Count'!T198=0,"",'Phytopl Count'!T198*'Phytopl Count'!T$13/'Phytopl Count'!T$8)</f>
        <v/>
      </c>
      <c r="U198" s="31" t="str">
        <f>IF('Phytopl Count'!U198=0,"",'Phytopl Count'!U198*'Phytopl Count'!U$13/'Phytopl Count'!U$8)</f>
        <v/>
      </c>
      <c r="V198" s="31">
        <f>IF('Phytopl Count'!V198=0,"",'Phytopl Count'!V198*'Phytopl Count'!V$13/'Phytopl Count'!V$8)</f>
        <v>4.0038979394187504E-2</v>
      </c>
      <c r="W198" s="31" t="str">
        <f>IF('Phytopl Count'!W198=0,"",'Phytopl Count'!W198*'Phytopl Count'!W$13/'Phytopl Count'!W$8)</f>
        <v/>
      </c>
      <c r="X198" s="31" t="str">
        <f>IF('Phytopl Count'!X198=0,"",'Phytopl Count'!X198*'Phytopl Count'!X$13/'Phytopl Count'!X$8)</f>
        <v/>
      </c>
      <c r="Y198" s="31" t="str">
        <f>IF('Phytopl Count'!Y198=0,"",'Phytopl Count'!Y198*'Phytopl Count'!Y$13/'Phytopl Count'!Y$8)</f>
        <v/>
      </c>
      <c r="Z198" s="31" t="str">
        <f>IF('Phytopl Count'!Z198=0,"",'Phytopl Count'!Z198*'Phytopl Count'!Z$13/'Phytopl Count'!Z$8)</f>
        <v/>
      </c>
      <c r="AA198" s="31">
        <f>IF('Phytopl Count'!AA198=0,"",'Phytopl Count'!AA198*'Phytopl Count'!AA$13/'Phytopl Count'!AA$8)</f>
        <v>3.2031183515350004E-2</v>
      </c>
      <c r="AB198" s="31" t="str">
        <f>IF('Phytopl Count'!AB198=0,"",'Phytopl Count'!AB198*'Phytopl Count'!AB$13/'Phytopl Count'!AB$8)</f>
        <v/>
      </c>
      <c r="AC198" s="31" t="str">
        <f>IF('Phytopl Count'!AC198=0,"",'Phytopl Count'!AC198*'Phytopl Count'!AC$13/'Phytopl Count'!AC$8)</f>
        <v/>
      </c>
      <c r="AD198" s="31" t="str">
        <f>IF('Phytopl Count'!AD198=0,"",'Phytopl Count'!AD198*'Phytopl Count'!AD$13/'Phytopl Count'!AD$8)</f>
        <v/>
      </c>
      <c r="AE198" s="31" t="str">
        <f>IF('Phytopl Count'!AE198=0,"",'Phytopl Count'!AE198*'Phytopl Count'!AE$13/'Phytopl Count'!AE$8)</f>
        <v/>
      </c>
      <c r="AF198" s="31">
        <f>IF('Phytopl Count'!AF198=0,"",'Phytopl Count'!AF198*'Phytopl Count'!AF$13/'Phytopl Count'!AF$8)</f>
        <v>6.4062367030700007E-2</v>
      </c>
    </row>
    <row r="199" spans="1:32" ht="15" customHeight="1">
      <c r="A199" s="89"/>
      <c r="B199" s="89"/>
      <c r="C199" s="89"/>
      <c r="D199" s="89" t="s">
        <v>5</v>
      </c>
      <c r="E199" s="90" t="s">
        <v>239</v>
      </c>
      <c r="F199" s="91"/>
      <c r="G199" s="31" t="str">
        <f>IF('Phytopl Count'!G199=0,"",'Phytopl Count'!G199*'Phytopl Count'!G$13/'Phytopl Count'!G$8)</f>
        <v/>
      </c>
      <c r="H199" s="31" t="str">
        <f>IF('Phytopl Count'!H199=0,"",'Phytopl Count'!H199*'Phytopl Count'!H$13/'Phytopl Count'!H$8)</f>
        <v/>
      </c>
      <c r="I199" s="31" t="str">
        <f>IF('Phytopl Count'!I199=0,"",'Phytopl Count'!I199*'Phytopl Count'!I$13/'Phytopl Count'!I$8)</f>
        <v/>
      </c>
      <c r="J199" s="31" t="str">
        <f>IF('Phytopl Count'!J199=0,"",'Phytopl Count'!J199*'Phytopl Count'!J$13/'Phytopl Count'!J$8)</f>
        <v/>
      </c>
      <c r="K199" s="31" t="str">
        <f>IF('Phytopl Count'!K199=0,"",'Phytopl Count'!K199*'Phytopl Count'!K$13/'Phytopl Count'!K$8)</f>
        <v/>
      </c>
      <c r="L199" s="31" t="str">
        <f>IF('Phytopl Count'!L199=0,"",'Phytopl Count'!L199*'Phytopl Count'!L$13/'Phytopl Count'!L$8)</f>
        <v/>
      </c>
      <c r="M199" s="31" t="str">
        <f>IF('Phytopl Count'!M199=0,"",'Phytopl Count'!M199*'Phytopl Count'!M$13/'Phytopl Count'!M$8)</f>
        <v/>
      </c>
      <c r="N199" s="31" t="str">
        <f>IF('Phytopl Count'!N199=0,"",'Phytopl Count'!N199*'Phytopl Count'!N$13/'Phytopl Count'!N$8)</f>
        <v/>
      </c>
      <c r="O199" s="31" t="str">
        <f>IF('Phytopl Count'!O199=0,"",'Phytopl Count'!O199*'Phytopl Count'!O$13/'Phytopl Count'!O$8)</f>
        <v/>
      </c>
      <c r="P199" s="31" t="str">
        <f>IF('Phytopl Count'!P199=0,"",'Phytopl Count'!P199*'Phytopl Count'!P$13/'Phytopl Count'!P$8)</f>
        <v/>
      </c>
      <c r="Q199" s="31" t="str">
        <f>IF('Phytopl Count'!Q199=0,"",'Phytopl Count'!Q199*'Phytopl Count'!Q$13/'Phytopl Count'!Q$8)</f>
        <v/>
      </c>
      <c r="R199" s="31" t="str">
        <f>IF('Phytopl Count'!R199=0,"",'Phytopl Count'!R199*'Phytopl Count'!R$13/'Phytopl Count'!R$8)</f>
        <v/>
      </c>
      <c r="S199" s="31" t="str">
        <f>IF('Phytopl Count'!S199=0,"",'Phytopl Count'!S199*'Phytopl Count'!S$13/'Phytopl Count'!S$8)</f>
        <v/>
      </c>
      <c r="T199" s="31" t="str">
        <f>IF('Phytopl Count'!T199=0,"",'Phytopl Count'!T199*'Phytopl Count'!T$13/'Phytopl Count'!T$8)</f>
        <v/>
      </c>
      <c r="U199" s="31" t="str">
        <f>IF('Phytopl Count'!U199=0,"",'Phytopl Count'!U199*'Phytopl Count'!U$13/'Phytopl Count'!U$8)</f>
        <v/>
      </c>
      <c r="V199" s="31" t="str">
        <f>IF('Phytopl Count'!V199=0,"",'Phytopl Count'!V199*'Phytopl Count'!V$13/'Phytopl Count'!V$8)</f>
        <v/>
      </c>
      <c r="W199" s="31" t="str">
        <f>IF('Phytopl Count'!W199=0,"",'Phytopl Count'!W199*'Phytopl Count'!W$13/'Phytopl Count'!W$8)</f>
        <v/>
      </c>
      <c r="X199" s="31" t="str">
        <f>IF('Phytopl Count'!X199=0,"",'Phytopl Count'!X199*'Phytopl Count'!X$13/'Phytopl Count'!X$8)</f>
        <v/>
      </c>
      <c r="Y199" s="31" t="str">
        <f>IF('Phytopl Count'!Y199=0,"",'Phytopl Count'!Y199*'Phytopl Count'!Y$13/'Phytopl Count'!Y$8)</f>
        <v/>
      </c>
      <c r="Z199" s="31" t="str">
        <f>IF('Phytopl Count'!Z199=0,"",'Phytopl Count'!Z199*'Phytopl Count'!Z$13/'Phytopl Count'!Z$8)</f>
        <v/>
      </c>
      <c r="AA199" s="31" t="str">
        <f>IF('Phytopl Count'!AA199=0,"",'Phytopl Count'!AA199*'Phytopl Count'!AA$13/'Phytopl Count'!AA$8)</f>
        <v/>
      </c>
      <c r="AB199" s="31" t="str">
        <f>IF('Phytopl Count'!AB199=0,"",'Phytopl Count'!AB199*'Phytopl Count'!AB$13/'Phytopl Count'!AB$8)</f>
        <v/>
      </c>
      <c r="AC199" s="31" t="str">
        <f>IF('Phytopl Count'!AC199=0,"",'Phytopl Count'!AC199*'Phytopl Count'!AC$13/'Phytopl Count'!AC$8)</f>
        <v/>
      </c>
      <c r="AD199" s="31" t="str">
        <f>IF('Phytopl Count'!AD199=0,"",'Phytopl Count'!AD199*'Phytopl Count'!AD$13/'Phytopl Count'!AD$8)</f>
        <v/>
      </c>
      <c r="AE199" s="31" t="str">
        <f>IF('Phytopl Count'!AE199=0,"",'Phytopl Count'!AE199*'Phytopl Count'!AE$13/'Phytopl Count'!AE$8)</f>
        <v/>
      </c>
      <c r="AF199" s="31" t="str">
        <f>IF('Phytopl Count'!AF199=0,"",'Phytopl Count'!AF199*'Phytopl Count'!AF$13/'Phytopl Count'!AF$8)</f>
        <v/>
      </c>
    </row>
    <row r="200" spans="1:32" ht="15" hidden="1" customHeight="1">
      <c r="A200" s="90"/>
      <c r="B200" s="90"/>
      <c r="C200" s="90"/>
      <c r="D200" s="90"/>
      <c r="F200" s="11" t="s">
        <v>240</v>
      </c>
      <c r="G200" s="31" t="str">
        <f>IF('Phytopl Count'!G200=0,"",'Phytopl Count'!G200*'Phytopl Count'!G$13/'Phytopl Count'!G$8)</f>
        <v/>
      </c>
      <c r="H200" s="31" t="str">
        <f>IF('Phytopl Count'!H200=0,"",'Phytopl Count'!H200*'Phytopl Count'!H$13/'Phytopl Count'!H$8)</f>
        <v/>
      </c>
      <c r="I200" s="31" t="str">
        <f>IF('Phytopl Count'!I200=0,"",'Phytopl Count'!I200*'Phytopl Count'!I$13/'Phytopl Count'!I$8)</f>
        <v/>
      </c>
      <c r="J200" s="31" t="str">
        <f>IF('Phytopl Count'!J200=0,"",'Phytopl Count'!J200*'Phytopl Count'!J$13/'Phytopl Count'!J$8)</f>
        <v/>
      </c>
      <c r="K200" s="31" t="str">
        <f>IF('Phytopl Count'!K200=0,"",'Phytopl Count'!K200*'Phytopl Count'!K$13/'Phytopl Count'!K$8)</f>
        <v/>
      </c>
      <c r="L200" s="31" t="str">
        <f>IF('Phytopl Count'!L200=0,"",'Phytopl Count'!L200*'Phytopl Count'!L$13/'Phytopl Count'!L$8)</f>
        <v/>
      </c>
      <c r="M200" s="31" t="str">
        <f>IF('Phytopl Count'!M200=0,"",'Phytopl Count'!M200*'Phytopl Count'!M$13/'Phytopl Count'!M$8)</f>
        <v/>
      </c>
      <c r="N200" s="31" t="str">
        <f>IF('Phytopl Count'!N200=0,"",'Phytopl Count'!N200*'Phytopl Count'!N$13/'Phytopl Count'!N$8)</f>
        <v/>
      </c>
      <c r="O200" s="31" t="str">
        <f>IF('Phytopl Count'!O200=0,"",'Phytopl Count'!O200*'Phytopl Count'!O$13/'Phytopl Count'!O$8)</f>
        <v/>
      </c>
      <c r="P200" s="31" t="str">
        <f>IF('Phytopl Count'!P200=0,"",'Phytopl Count'!P200*'Phytopl Count'!P$13/'Phytopl Count'!P$8)</f>
        <v/>
      </c>
      <c r="Q200" s="31" t="str">
        <f>IF('Phytopl Count'!Q200=0,"",'Phytopl Count'!Q200*'Phytopl Count'!Q$13/'Phytopl Count'!Q$8)</f>
        <v/>
      </c>
      <c r="R200" s="31" t="str">
        <f>IF('Phytopl Count'!R200=0,"",'Phytopl Count'!R200*'Phytopl Count'!R$13/'Phytopl Count'!R$8)</f>
        <v/>
      </c>
      <c r="S200" s="31" t="str">
        <f>IF('Phytopl Count'!S200=0,"",'Phytopl Count'!S200*'Phytopl Count'!S$13/'Phytopl Count'!S$8)</f>
        <v/>
      </c>
      <c r="T200" s="31" t="str">
        <f>IF('Phytopl Count'!T200=0,"",'Phytopl Count'!T200*'Phytopl Count'!T$13/'Phytopl Count'!T$8)</f>
        <v/>
      </c>
      <c r="U200" s="31" t="str">
        <f>IF('Phytopl Count'!U200=0,"",'Phytopl Count'!U200*'Phytopl Count'!U$13/'Phytopl Count'!U$8)</f>
        <v/>
      </c>
      <c r="V200" s="31" t="str">
        <f>IF('Phytopl Count'!V200=0,"",'Phytopl Count'!V200*'Phytopl Count'!V$13/'Phytopl Count'!V$8)</f>
        <v/>
      </c>
      <c r="W200" s="31" t="str">
        <f>IF('Phytopl Count'!W200=0,"",'Phytopl Count'!W200*'Phytopl Count'!W$13/'Phytopl Count'!W$8)</f>
        <v/>
      </c>
      <c r="X200" s="31" t="str">
        <f>IF('Phytopl Count'!X200=0,"",'Phytopl Count'!X200*'Phytopl Count'!X$13/'Phytopl Count'!X$8)</f>
        <v/>
      </c>
      <c r="Y200" s="31" t="str">
        <f>IF('Phytopl Count'!Y200=0,"",'Phytopl Count'!Y200*'Phytopl Count'!Y$13/'Phytopl Count'!Y$8)</f>
        <v/>
      </c>
      <c r="Z200" s="31" t="str">
        <f>IF('Phytopl Count'!Z200=0,"",'Phytopl Count'!Z200*'Phytopl Count'!Z$13/'Phytopl Count'!Z$8)</f>
        <v/>
      </c>
      <c r="AA200" s="31" t="str">
        <f>IF('Phytopl Count'!AA200=0,"",'Phytopl Count'!AA200*'Phytopl Count'!AA$13/'Phytopl Count'!AA$8)</f>
        <v/>
      </c>
      <c r="AB200" s="31" t="str">
        <f>IF('Phytopl Count'!AB200=0,"",'Phytopl Count'!AB200*'Phytopl Count'!AB$13/'Phytopl Count'!AB$8)</f>
        <v/>
      </c>
      <c r="AC200" s="31" t="str">
        <f>IF('Phytopl Count'!AC200=0,"",'Phytopl Count'!AC200*'Phytopl Count'!AC$13/'Phytopl Count'!AC$8)</f>
        <v/>
      </c>
      <c r="AD200" s="31" t="str">
        <f>IF('Phytopl Count'!AD200=0,"",'Phytopl Count'!AD200*'Phytopl Count'!AD$13/'Phytopl Count'!AD$8)</f>
        <v/>
      </c>
      <c r="AE200" s="31" t="str">
        <f>IF('Phytopl Count'!AE200=0,"",'Phytopl Count'!AE200*'Phytopl Count'!AE$13/'Phytopl Count'!AE$8)</f>
        <v/>
      </c>
      <c r="AF200" s="31" t="str">
        <f>IF('Phytopl Count'!AF200=0,"",'Phytopl Count'!AF200*'Phytopl Count'!AF$13/'Phytopl Count'!AF$8)</f>
        <v/>
      </c>
    </row>
    <row r="201" spans="1:32" ht="15" hidden="1" customHeight="1">
      <c r="A201" s="90"/>
      <c r="B201" s="90"/>
      <c r="C201" s="90"/>
      <c r="D201" s="90"/>
      <c r="E201" s="89"/>
      <c r="F201" s="11" t="s">
        <v>241</v>
      </c>
      <c r="G201" s="31" t="str">
        <f>IF('Phytopl Count'!G201=0,"",'Phytopl Count'!G201*'Phytopl Count'!G$13/'Phytopl Count'!G$8)</f>
        <v/>
      </c>
      <c r="H201" s="31" t="str">
        <f>IF('Phytopl Count'!H201=0,"",'Phytopl Count'!H201*'Phytopl Count'!H$13/'Phytopl Count'!H$8)</f>
        <v/>
      </c>
      <c r="I201" s="31" t="str">
        <f>IF('Phytopl Count'!I201=0,"",'Phytopl Count'!I201*'Phytopl Count'!I$13/'Phytopl Count'!I$8)</f>
        <v/>
      </c>
      <c r="J201" s="31" t="str">
        <f>IF('Phytopl Count'!J201=0,"",'Phytopl Count'!J201*'Phytopl Count'!J$13/'Phytopl Count'!J$8)</f>
        <v/>
      </c>
      <c r="K201" s="31" t="str">
        <f>IF('Phytopl Count'!K201=0,"",'Phytopl Count'!K201*'Phytopl Count'!K$13/'Phytopl Count'!K$8)</f>
        <v/>
      </c>
      <c r="L201" s="31" t="str">
        <f>IF('Phytopl Count'!L201=0,"",'Phytopl Count'!L201*'Phytopl Count'!L$13/'Phytopl Count'!L$8)</f>
        <v/>
      </c>
      <c r="M201" s="31" t="str">
        <f>IF('Phytopl Count'!M201=0,"",'Phytopl Count'!M201*'Phytopl Count'!M$13/'Phytopl Count'!M$8)</f>
        <v/>
      </c>
      <c r="N201" s="31" t="str">
        <f>IF('Phytopl Count'!N201=0,"",'Phytopl Count'!N201*'Phytopl Count'!N$13/'Phytopl Count'!N$8)</f>
        <v/>
      </c>
      <c r="O201" s="31" t="str">
        <f>IF('Phytopl Count'!O201=0,"",'Phytopl Count'!O201*'Phytopl Count'!O$13/'Phytopl Count'!O$8)</f>
        <v/>
      </c>
      <c r="P201" s="31" t="str">
        <f>IF('Phytopl Count'!P201=0,"",'Phytopl Count'!P201*'Phytopl Count'!P$13/'Phytopl Count'!P$8)</f>
        <v/>
      </c>
      <c r="Q201" s="31" t="str">
        <f>IF('Phytopl Count'!Q201=0,"",'Phytopl Count'!Q201*'Phytopl Count'!Q$13/'Phytopl Count'!Q$8)</f>
        <v/>
      </c>
      <c r="R201" s="31" t="str">
        <f>IF('Phytopl Count'!R201=0,"",'Phytopl Count'!R201*'Phytopl Count'!R$13/'Phytopl Count'!R$8)</f>
        <v/>
      </c>
      <c r="S201" s="31" t="str">
        <f>IF('Phytopl Count'!S201=0,"",'Phytopl Count'!S201*'Phytopl Count'!S$13/'Phytopl Count'!S$8)</f>
        <v/>
      </c>
      <c r="T201" s="31" t="str">
        <f>IF('Phytopl Count'!T201=0,"",'Phytopl Count'!T201*'Phytopl Count'!T$13/'Phytopl Count'!T$8)</f>
        <v/>
      </c>
      <c r="U201" s="31" t="str">
        <f>IF('Phytopl Count'!U201=0,"",'Phytopl Count'!U201*'Phytopl Count'!U$13/'Phytopl Count'!U$8)</f>
        <v/>
      </c>
      <c r="V201" s="31" t="str">
        <f>IF('Phytopl Count'!V201=0,"",'Phytopl Count'!V201*'Phytopl Count'!V$13/'Phytopl Count'!V$8)</f>
        <v/>
      </c>
      <c r="W201" s="31" t="str">
        <f>IF('Phytopl Count'!W201=0,"",'Phytopl Count'!W201*'Phytopl Count'!W$13/'Phytopl Count'!W$8)</f>
        <v/>
      </c>
      <c r="X201" s="31" t="str">
        <f>IF('Phytopl Count'!X201=0,"",'Phytopl Count'!X201*'Phytopl Count'!X$13/'Phytopl Count'!X$8)</f>
        <v/>
      </c>
      <c r="Y201" s="31" t="str">
        <f>IF('Phytopl Count'!Y201=0,"",'Phytopl Count'!Y201*'Phytopl Count'!Y$13/'Phytopl Count'!Y$8)</f>
        <v/>
      </c>
      <c r="Z201" s="31" t="str">
        <f>IF('Phytopl Count'!Z201=0,"",'Phytopl Count'!Z201*'Phytopl Count'!Z$13/'Phytopl Count'!Z$8)</f>
        <v/>
      </c>
      <c r="AA201" s="31" t="str">
        <f>IF('Phytopl Count'!AA201=0,"",'Phytopl Count'!AA201*'Phytopl Count'!AA$13/'Phytopl Count'!AA$8)</f>
        <v/>
      </c>
      <c r="AB201" s="31" t="str">
        <f>IF('Phytopl Count'!AB201=0,"",'Phytopl Count'!AB201*'Phytopl Count'!AB$13/'Phytopl Count'!AB$8)</f>
        <v/>
      </c>
      <c r="AC201" s="31" t="str">
        <f>IF('Phytopl Count'!AC201=0,"",'Phytopl Count'!AC201*'Phytopl Count'!AC$13/'Phytopl Count'!AC$8)</f>
        <v/>
      </c>
      <c r="AD201" s="31" t="str">
        <f>IF('Phytopl Count'!AD201=0,"",'Phytopl Count'!AD201*'Phytopl Count'!AD$13/'Phytopl Count'!AD$8)</f>
        <v/>
      </c>
      <c r="AE201" s="31" t="str">
        <f>IF('Phytopl Count'!AE201=0,"",'Phytopl Count'!AE201*'Phytopl Count'!AE$13/'Phytopl Count'!AE$8)</f>
        <v/>
      </c>
      <c r="AF201" s="31" t="str">
        <f>IF('Phytopl Count'!AF201=0,"",'Phytopl Count'!AF201*'Phytopl Count'!AF$13/'Phytopl Count'!AF$8)</f>
        <v/>
      </c>
    </row>
    <row r="202" spans="1:32" ht="15" customHeight="1">
      <c r="A202" s="90"/>
      <c r="B202" s="90"/>
      <c r="C202" s="90"/>
      <c r="D202" s="90"/>
      <c r="E202" s="89" t="s">
        <v>6</v>
      </c>
      <c r="F202" s="11" t="s">
        <v>50</v>
      </c>
      <c r="G202" s="31" t="str">
        <f>IF('Phytopl Count'!G202=0,"",'Phytopl Count'!G202*'Phytopl Count'!G$13/'Phytopl Count'!G$8)</f>
        <v/>
      </c>
      <c r="H202" s="31" t="str">
        <f>IF('Phytopl Count'!H202=0,"",'Phytopl Count'!H202*'Phytopl Count'!H$13/'Phytopl Count'!H$8)</f>
        <v/>
      </c>
      <c r="I202" s="31" t="str">
        <f>IF('Phytopl Count'!I202=0,"",'Phytopl Count'!I202*'Phytopl Count'!I$13/'Phytopl Count'!I$8)</f>
        <v/>
      </c>
      <c r="J202" s="31">
        <f>IF('Phytopl Count'!J202=0,"",'Phytopl Count'!J202*'Phytopl Count'!J$13/'Phytopl Count'!J$8)</f>
        <v>4.0038979394187504E-2</v>
      </c>
      <c r="K202" s="31" t="str">
        <f>IF('Phytopl Count'!K202=0,"",'Phytopl Count'!K202*'Phytopl Count'!K$13/'Phytopl Count'!K$8)</f>
        <v/>
      </c>
      <c r="L202" s="31" t="str">
        <f>IF('Phytopl Count'!L202=0,"",'Phytopl Count'!L202*'Phytopl Count'!L$13/'Phytopl Count'!L$8)</f>
        <v/>
      </c>
      <c r="M202" s="31" t="str">
        <f>IF('Phytopl Count'!M202=0,"",'Phytopl Count'!M202*'Phytopl Count'!M$13/'Phytopl Count'!M$8)</f>
        <v/>
      </c>
      <c r="N202" s="31" t="str">
        <f>IF('Phytopl Count'!N202=0,"",'Phytopl Count'!N202*'Phytopl Count'!N$13/'Phytopl Count'!N$8)</f>
        <v/>
      </c>
      <c r="O202" s="31" t="str">
        <f>IF('Phytopl Count'!O202=0,"",'Phytopl Count'!O202*'Phytopl Count'!O$13/'Phytopl Count'!O$8)</f>
        <v/>
      </c>
      <c r="P202" s="31" t="str">
        <f>IF('Phytopl Count'!P202=0,"",'Phytopl Count'!P202*'Phytopl Count'!P$13/'Phytopl Count'!P$8)</f>
        <v/>
      </c>
      <c r="Q202" s="31" t="str">
        <f>IF('Phytopl Count'!Q202=0,"",'Phytopl Count'!Q202*'Phytopl Count'!Q$13/'Phytopl Count'!Q$8)</f>
        <v/>
      </c>
      <c r="R202" s="31" t="str">
        <f>IF('Phytopl Count'!R202=0,"",'Phytopl Count'!R202*'Phytopl Count'!R$13/'Phytopl Count'!R$8)</f>
        <v/>
      </c>
      <c r="S202" s="31" t="str">
        <f>IF('Phytopl Count'!S202=0,"",'Phytopl Count'!S202*'Phytopl Count'!S$13/'Phytopl Count'!S$8)</f>
        <v/>
      </c>
      <c r="T202" s="31" t="str">
        <f>IF('Phytopl Count'!T202=0,"",'Phytopl Count'!T202*'Phytopl Count'!T$13/'Phytopl Count'!T$8)</f>
        <v/>
      </c>
      <c r="U202" s="31">
        <f>IF('Phytopl Count'!U202=0,"",'Phytopl Count'!U202*'Phytopl Count'!U$13/'Phytopl Count'!U$8)</f>
        <v>6.4062367030700007E-2</v>
      </c>
      <c r="V202" s="31">
        <f>IF('Phytopl Count'!V202=0,"",'Phytopl Count'!V202*'Phytopl Count'!V$13/'Phytopl Count'!V$8)</f>
        <v>4.0038979394187504E-2</v>
      </c>
      <c r="W202" s="31">
        <f>IF('Phytopl Count'!W202=0,"",'Phytopl Count'!W202*'Phytopl Count'!W$13/'Phytopl Count'!W$8)</f>
        <v>4.8046775273025012E-2</v>
      </c>
      <c r="X202" s="31">
        <f>IF('Phytopl Count'!X202=0,"",'Phytopl Count'!X202*'Phytopl Count'!X$13/'Phytopl Count'!X$8)</f>
        <v>3.2031183515350004E-2</v>
      </c>
      <c r="Y202" s="31" t="str">
        <f>IF('Phytopl Count'!Y202=0,"",'Phytopl Count'!Y202*'Phytopl Count'!Y$13/'Phytopl Count'!Y$8)</f>
        <v/>
      </c>
      <c r="Z202" s="31" t="str">
        <f>IF('Phytopl Count'!Z202=0,"",'Phytopl Count'!Z202*'Phytopl Count'!Z$13/'Phytopl Count'!Z$8)</f>
        <v/>
      </c>
      <c r="AA202" s="31">
        <f>IF('Phytopl Count'!AA202=0,"",'Phytopl Count'!AA202*'Phytopl Count'!AA$13/'Phytopl Count'!AA$8)</f>
        <v>3.2031183515350004E-2</v>
      </c>
      <c r="AB202" s="31" t="str">
        <f>IF('Phytopl Count'!AB202=0,"",'Phytopl Count'!AB202*'Phytopl Count'!AB$13/'Phytopl Count'!AB$8)</f>
        <v/>
      </c>
      <c r="AC202" s="31" t="str">
        <f>IF('Phytopl Count'!AC202=0,"",'Phytopl Count'!AC202*'Phytopl Count'!AC$13/'Phytopl Count'!AC$8)</f>
        <v/>
      </c>
      <c r="AD202" s="31">
        <f>IF('Phytopl Count'!AD202=0,"",'Phytopl Count'!AD202*'Phytopl Count'!AD$13/'Phytopl Count'!AD$8)</f>
        <v>6.4062367030700007E-2</v>
      </c>
      <c r="AE202" s="31" t="str">
        <f>IF('Phytopl Count'!AE202=0,"",'Phytopl Count'!AE202*'Phytopl Count'!AE$13/'Phytopl Count'!AE$8)</f>
        <v/>
      </c>
      <c r="AF202" s="31">
        <f>IF('Phytopl Count'!AF202=0,"",'Phytopl Count'!AF202*'Phytopl Count'!AF$13/'Phytopl Count'!AF$8)</f>
        <v>0.25624946812280003</v>
      </c>
    </row>
    <row r="203" spans="1:32" ht="15" customHeight="1">
      <c r="A203" s="16"/>
      <c r="B203" s="4"/>
      <c r="C203" s="16" t="s">
        <v>73</v>
      </c>
      <c r="D203" s="4" t="s">
        <v>93</v>
      </c>
      <c r="E203" s="4"/>
      <c r="F203" s="54"/>
      <c r="G203" s="31" t="str">
        <f>IF('Phytopl Count'!G203=0,"",'Phytopl Count'!G203*'Phytopl Count'!G$13/'Phytopl Count'!G$8)</f>
        <v/>
      </c>
      <c r="H203" s="31" t="str">
        <f>IF('Phytopl Count'!H203=0,"",'Phytopl Count'!H203*'Phytopl Count'!H$13/'Phytopl Count'!H$8)</f>
        <v/>
      </c>
      <c r="I203" s="31" t="str">
        <f>IF('Phytopl Count'!I203=0,"",'Phytopl Count'!I203*'Phytopl Count'!I$13/'Phytopl Count'!I$8)</f>
        <v/>
      </c>
      <c r="J203" s="31" t="str">
        <f>IF('Phytopl Count'!J203=0,"",'Phytopl Count'!J203*'Phytopl Count'!J$13/'Phytopl Count'!J$8)</f>
        <v/>
      </c>
      <c r="K203" s="31" t="str">
        <f>IF('Phytopl Count'!K203=0,"",'Phytopl Count'!K203*'Phytopl Count'!K$13/'Phytopl Count'!K$8)</f>
        <v/>
      </c>
      <c r="L203" s="31" t="str">
        <f>IF('Phytopl Count'!L203=0,"",'Phytopl Count'!L203*'Phytopl Count'!L$13/'Phytopl Count'!L$8)</f>
        <v/>
      </c>
      <c r="M203" s="31" t="str">
        <f>IF('Phytopl Count'!M203=0,"",'Phytopl Count'!M203*'Phytopl Count'!M$13/'Phytopl Count'!M$8)</f>
        <v/>
      </c>
      <c r="N203" s="31" t="str">
        <f>IF('Phytopl Count'!N203=0,"",'Phytopl Count'!N203*'Phytopl Count'!N$13/'Phytopl Count'!N$8)</f>
        <v/>
      </c>
      <c r="O203" s="31" t="str">
        <f>IF('Phytopl Count'!O203=0,"",'Phytopl Count'!O203*'Phytopl Count'!O$13/'Phytopl Count'!O$8)</f>
        <v/>
      </c>
      <c r="P203" s="31" t="str">
        <f>IF('Phytopl Count'!P203=0,"",'Phytopl Count'!P203*'Phytopl Count'!P$13/'Phytopl Count'!P$8)</f>
        <v/>
      </c>
      <c r="Q203" s="31" t="str">
        <f>IF('Phytopl Count'!Q203=0,"",'Phytopl Count'!Q203*'Phytopl Count'!Q$13/'Phytopl Count'!Q$8)</f>
        <v/>
      </c>
      <c r="R203" s="31" t="str">
        <f>IF('Phytopl Count'!R203=0,"",'Phytopl Count'!R203*'Phytopl Count'!R$13/'Phytopl Count'!R$8)</f>
        <v/>
      </c>
      <c r="S203" s="31" t="str">
        <f>IF('Phytopl Count'!S203=0,"",'Phytopl Count'!S203*'Phytopl Count'!S$13/'Phytopl Count'!S$8)</f>
        <v/>
      </c>
      <c r="T203" s="31" t="str">
        <f>IF('Phytopl Count'!T203=0,"",'Phytopl Count'!T203*'Phytopl Count'!T$13/'Phytopl Count'!T$8)</f>
        <v/>
      </c>
      <c r="U203" s="31" t="str">
        <f>IF('Phytopl Count'!U203=0,"",'Phytopl Count'!U203*'Phytopl Count'!U$13/'Phytopl Count'!U$8)</f>
        <v/>
      </c>
      <c r="V203" s="31" t="str">
        <f>IF('Phytopl Count'!V203=0,"",'Phytopl Count'!V203*'Phytopl Count'!V$13/'Phytopl Count'!V$8)</f>
        <v/>
      </c>
      <c r="W203" s="31" t="str">
        <f>IF('Phytopl Count'!W203=0,"",'Phytopl Count'!W203*'Phytopl Count'!W$13/'Phytopl Count'!W$8)</f>
        <v/>
      </c>
      <c r="X203" s="31" t="str">
        <f>IF('Phytopl Count'!X203=0,"",'Phytopl Count'!X203*'Phytopl Count'!X$13/'Phytopl Count'!X$8)</f>
        <v/>
      </c>
      <c r="Y203" s="31" t="str">
        <f>IF('Phytopl Count'!Y203=0,"",'Phytopl Count'!Y203*'Phytopl Count'!Y$13/'Phytopl Count'!Y$8)</f>
        <v/>
      </c>
      <c r="Z203" s="31" t="str">
        <f>IF('Phytopl Count'!Z203=0,"",'Phytopl Count'!Z203*'Phytopl Count'!Z$13/'Phytopl Count'!Z$8)</f>
        <v/>
      </c>
      <c r="AA203" s="31" t="str">
        <f>IF('Phytopl Count'!AA203=0,"",'Phytopl Count'!AA203*'Phytopl Count'!AA$13/'Phytopl Count'!AA$8)</f>
        <v/>
      </c>
      <c r="AB203" s="31" t="str">
        <f>IF('Phytopl Count'!AB203=0,"",'Phytopl Count'!AB203*'Phytopl Count'!AB$13/'Phytopl Count'!AB$8)</f>
        <v/>
      </c>
      <c r="AC203" s="31" t="str">
        <f>IF('Phytopl Count'!AC203=0,"",'Phytopl Count'!AC203*'Phytopl Count'!AC$13/'Phytopl Count'!AC$8)</f>
        <v/>
      </c>
      <c r="AD203" s="31" t="str">
        <f>IF('Phytopl Count'!AD203=0,"",'Phytopl Count'!AD203*'Phytopl Count'!AD$13/'Phytopl Count'!AD$8)</f>
        <v/>
      </c>
      <c r="AE203" s="31" t="str">
        <f>IF('Phytopl Count'!AE203=0,"",'Phytopl Count'!AE203*'Phytopl Count'!AE$13/'Phytopl Count'!AE$8)</f>
        <v/>
      </c>
      <c r="AF203" s="31" t="str">
        <f>IF('Phytopl Count'!AF203=0,"",'Phytopl Count'!AF203*'Phytopl Count'!AF$13/'Phytopl Count'!AF$8)</f>
        <v/>
      </c>
    </row>
    <row r="204" spans="1:32" ht="15" customHeight="1">
      <c r="D204" s="10" t="s">
        <v>5</v>
      </c>
      <c r="E204" s="12" t="s">
        <v>40</v>
      </c>
      <c r="F204" s="11"/>
      <c r="G204" s="31" t="str">
        <f>IF('Phytopl Count'!G204=0,"",'Phytopl Count'!G204*'Phytopl Count'!G$13/'Phytopl Count'!G$8)</f>
        <v/>
      </c>
      <c r="H204" s="31" t="str">
        <f>IF('Phytopl Count'!H204=0,"",'Phytopl Count'!H204*'Phytopl Count'!H$13/'Phytopl Count'!H$8)</f>
        <v/>
      </c>
      <c r="I204" s="31" t="str">
        <f>IF('Phytopl Count'!I204=0,"",'Phytopl Count'!I204*'Phytopl Count'!I$13/'Phytopl Count'!I$8)</f>
        <v/>
      </c>
      <c r="J204" s="31" t="str">
        <f>IF('Phytopl Count'!J204=0,"",'Phytopl Count'!J204*'Phytopl Count'!J$13/'Phytopl Count'!J$8)</f>
        <v/>
      </c>
      <c r="K204" s="31" t="str">
        <f>IF('Phytopl Count'!K204=0,"",'Phytopl Count'!K204*'Phytopl Count'!K$13/'Phytopl Count'!K$8)</f>
        <v/>
      </c>
      <c r="L204" s="31" t="str">
        <f>IF('Phytopl Count'!L204=0,"",'Phytopl Count'!L204*'Phytopl Count'!L$13/'Phytopl Count'!L$8)</f>
        <v/>
      </c>
      <c r="M204" s="31" t="str">
        <f>IF('Phytopl Count'!M204=0,"",'Phytopl Count'!M204*'Phytopl Count'!M$13/'Phytopl Count'!M$8)</f>
        <v/>
      </c>
      <c r="N204" s="31" t="str">
        <f>IF('Phytopl Count'!N204=0,"",'Phytopl Count'!N204*'Phytopl Count'!N$13/'Phytopl Count'!N$8)</f>
        <v/>
      </c>
      <c r="O204" s="31" t="str">
        <f>IF('Phytopl Count'!O204=0,"",'Phytopl Count'!O204*'Phytopl Count'!O$13/'Phytopl Count'!O$8)</f>
        <v/>
      </c>
      <c r="P204" s="31" t="str">
        <f>IF('Phytopl Count'!P204=0,"",'Phytopl Count'!P204*'Phytopl Count'!P$13/'Phytopl Count'!P$8)</f>
        <v/>
      </c>
      <c r="Q204" s="31" t="str">
        <f>IF('Phytopl Count'!Q204=0,"",'Phytopl Count'!Q204*'Phytopl Count'!Q$13/'Phytopl Count'!Q$8)</f>
        <v/>
      </c>
      <c r="R204" s="31" t="str">
        <f>IF('Phytopl Count'!R204=0,"",'Phytopl Count'!R204*'Phytopl Count'!R$13/'Phytopl Count'!R$8)</f>
        <v/>
      </c>
      <c r="S204" s="31" t="str">
        <f>IF('Phytopl Count'!S204=0,"",'Phytopl Count'!S204*'Phytopl Count'!S$13/'Phytopl Count'!S$8)</f>
        <v/>
      </c>
      <c r="T204" s="31" t="str">
        <f>IF('Phytopl Count'!T204=0,"",'Phytopl Count'!T204*'Phytopl Count'!T$13/'Phytopl Count'!T$8)</f>
        <v/>
      </c>
      <c r="U204" s="31" t="str">
        <f>IF('Phytopl Count'!U204=0,"",'Phytopl Count'!U204*'Phytopl Count'!U$13/'Phytopl Count'!U$8)</f>
        <v/>
      </c>
      <c r="V204" s="31" t="str">
        <f>IF('Phytopl Count'!V204=0,"",'Phytopl Count'!V204*'Phytopl Count'!V$13/'Phytopl Count'!V$8)</f>
        <v/>
      </c>
      <c r="W204" s="31" t="str">
        <f>IF('Phytopl Count'!W204=0,"",'Phytopl Count'!W204*'Phytopl Count'!W$13/'Phytopl Count'!W$8)</f>
        <v/>
      </c>
      <c r="X204" s="31" t="str">
        <f>IF('Phytopl Count'!X204=0,"",'Phytopl Count'!X204*'Phytopl Count'!X$13/'Phytopl Count'!X$8)</f>
        <v/>
      </c>
      <c r="Y204" s="31" t="str">
        <f>IF('Phytopl Count'!Y204=0,"",'Phytopl Count'!Y204*'Phytopl Count'!Y$13/'Phytopl Count'!Y$8)</f>
        <v/>
      </c>
      <c r="Z204" s="31" t="str">
        <f>IF('Phytopl Count'!Z204=0,"",'Phytopl Count'!Z204*'Phytopl Count'!Z$13/'Phytopl Count'!Z$8)</f>
        <v/>
      </c>
      <c r="AA204" s="31" t="str">
        <f>IF('Phytopl Count'!AA204=0,"",'Phytopl Count'!AA204*'Phytopl Count'!AA$13/'Phytopl Count'!AA$8)</f>
        <v/>
      </c>
      <c r="AB204" s="31" t="str">
        <f>IF('Phytopl Count'!AB204=0,"",'Phytopl Count'!AB204*'Phytopl Count'!AB$13/'Phytopl Count'!AB$8)</f>
        <v/>
      </c>
      <c r="AC204" s="31" t="str">
        <f>IF('Phytopl Count'!AC204=0,"",'Phytopl Count'!AC204*'Phytopl Count'!AC$13/'Phytopl Count'!AC$8)</f>
        <v/>
      </c>
      <c r="AD204" s="31" t="str">
        <f>IF('Phytopl Count'!AD204=0,"",'Phytopl Count'!AD204*'Phytopl Count'!AD$13/'Phytopl Count'!AD$8)</f>
        <v/>
      </c>
      <c r="AE204" s="31" t="str">
        <f>IF('Phytopl Count'!AE204=0,"",'Phytopl Count'!AE204*'Phytopl Count'!AE$13/'Phytopl Count'!AE$8)</f>
        <v/>
      </c>
      <c r="AF204" s="31" t="str">
        <f>IF('Phytopl Count'!AF204=0,"",'Phytopl Count'!AF204*'Phytopl Count'!AF$13/'Phytopl Count'!AF$8)</f>
        <v/>
      </c>
    </row>
    <row r="205" spans="1:32" ht="15" customHeight="1">
      <c r="E205" s="10" t="s">
        <v>6</v>
      </c>
      <c r="F205" s="11" t="s">
        <v>41</v>
      </c>
      <c r="G205" s="31" t="str">
        <f>IF('Phytopl Count'!G205=0,"",'Phytopl Count'!G205*'Phytopl Count'!G$13/'Phytopl Count'!G$8)</f>
        <v/>
      </c>
      <c r="H205" s="31" t="str">
        <f>IF('Phytopl Count'!H205=0,"",'Phytopl Count'!H205*'Phytopl Count'!H$13/'Phytopl Count'!H$8)</f>
        <v/>
      </c>
      <c r="I205" s="31" t="str">
        <f>IF('Phytopl Count'!I205=0,"",'Phytopl Count'!I205*'Phytopl Count'!I$13/'Phytopl Count'!I$8)</f>
        <v/>
      </c>
      <c r="J205" s="31" t="str">
        <f>IF('Phytopl Count'!J205=0,"",'Phytopl Count'!J205*'Phytopl Count'!J$13/'Phytopl Count'!J$8)</f>
        <v/>
      </c>
      <c r="K205" s="31" t="str">
        <f>IF('Phytopl Count'!K205=0,"",'Phytopl Count'!K205*'Phytopl Count'!K$13/'Phytopl Count'!K$8)</f>
        <v/>
      </c>
      <c r="L205" s="31" t="str">
        <f>IF('Phytopl Count'!L205=0,"",'Phytopl Count'!L205*'Phytopl Count'!L$13/'Phytopl Count'!L$8)</f>
        <v/>
      </c>
      <c r="M205" s="31">
        <f>IF('Phytopl Count'!M205=0,"",'Phytopl Count'!M205*'Phytopl Count'!M$13/'Phytopl Count'!M$8)</f>
        <v>4.0038979394187504E-2</v>
      </c>
      <c r="N205" s="31" t="str">
        <f>IF('Phytopl Count'!N205=0,"",'Phytopl Count'!N205*'Phytopl Count'!N$13/'Phytopl Count'!N$8)</f>
        <v/>
      </c>
      <c r="O205" s="31" t="str">
        <f>IF('Phytopl Count'!O205=0,"",'Phytopl Count'!O205*'Phytopl Count'!O$13/'Phytopl Count'!O$8)</f>
        <v/>
      </c>
      <c r="P205" s="31" t="str">
        <f>IF('Phytopl Count'!P205=0,"",'Phytopl Count'!P205*'Phytopl Count'!P$13/'Phytopl Count'!P$8)</f>
        <v/>
      </c>
      <c r="Q205" s="31">
        <f>IF('Phytopl Count'!Q205=0,"",'Phytopl Count'!Q205*'Phytopl Count'!Q$13/'Phytopl Count'!Q$8)</f>
        <v>8.0077958788375009E-2</v>
      </c>
      <c r="R205" s="31" t="str">
        <f>IF('Phytopl Count'!R205=0,"",'Phytopl Count'!R205*'Phytopl Count'!R$13/'Phytopl Count'!R$8)</f>
        <v/>
      </c>
      <c r="S205" s="31" t="str">
        <f>IF('Phytopl Count'!S205=0,"",'Phytopl Count'!S205*'Phytopl Count'!S$13/'Phytopl Count'!S$8)</f>
        <v/>
      </c>
      <c r="T205" s="31" t="str">
        <f>IF('Phytopl Count'!T205=0,"",'Phytopl Count'!T205*'Phytopl Count'!T$13/'Phytopl Count'!T$8)</f>
        <v/>
      </c>
      <c r="U205" s="31" t="str">
        <f>IF('Phytopl Count'!U205=0,"",'Phytopl Count'!U205*'Phytopl Count'!U$13/'Phytopl Count'!U$8)</f>
        <v/>
      </c>
      <c r="V205" s="31" t="str">
        <f>IF('Phytopl Count'!V205=0,"",'Phytopl Count'!V205*'Phytopl Count'!V$13/'Phytopl Count'!V$8)</f>
        <v/>
      </c>
      <c r="W205" s="31" t="str">
        <f>IF('Phytopl Count'!W205=0,"",'Phytopl Count'!W205*'Phytopl Count'!W$13/'Phytopl Count'!W$8)</f>
        <v/>
      </c>
      <c r="X205" s="31" t="str">
        <f>IF('Phytopl Count'!X205=0,"",'Phytopl Count'!X205*'Phytopl Count'!X$13/'Phytopl Count'!X$8)</f>
        <v/>
      </c>
      <c r="Y205" s="31" t="str">
        <f>IF('Phytopl Count'!Y205=0,"",'Phytopl Count'!Y205*'Phytopl Count'!Y$13/'Phytopl Count'!Y$8)</f>
        <v/>
      </c>
      <c r="Z205" s="31">
        <f>IF('Phytopl Count'!Z205=0,"",'Phytopl Count'!Z205*'Phytopl Count'!Z$13/'Phytopl Count'!Z$8)</f>
        <v>0.10410134642488751</v>
      </c>
      <c r="AA205" s="31" t="str">
        <f>IF('Phytopl Count'!AA205=0,"",'Phytopl Count'!AA205*'Phytopl Count'!AA$13/'Phytopl Count'!AA$8)</f>
        <v/>
      </c>
      <c r="AB205" s="31" t="str">
        <f>IF('Phytopl Count'!AB205=0,"",'Phytopl Count'!AB205*'Phytopl Count'!AB$13/'Phytopl Count'!AB$8)</f>
        <v/>
      </c>
      <c r="AC205" s="31" t="str">
        <f>IF('Phytopl Count'!AC205=0,"",'Phytopl Count'!AC205*'Phytopl Count'!AC$13/'Phytopl Count'!AC$8)</f>
        <v/>
      </c>
      <c r="AD205" s="31" t="str">
        <f>IF('Phytopl Count'!AD205=0,"",'Phytopl Count'!AD205*'Phytopl Count'!AD$13/'Phytopl Count'!AD$8)</f>
        <v/>
      </c>
      <c r="AE205" s="31">
        <f>IF('Phytopl Count'!AE205=0,"",'Phytopl Count'!AE205*'Phytopl Count'!AE$13/'Phytopl Count'!AE$8)</f>
        <v>2.4023387636512506E-2</v>
      </c>
      <c r="AF205" s="31" t="str">
        <f>IF('Phytopl Count'!AF205=0,"",'Phytopl Count'!AF205*'Phytopl Count'!AF$13/'Phytopl Count'!AF$8)</f>
        <v/>
      </c>
    </row>
    <row r="206" spans="1:32" ht="15" customHeight="1">
      <c r="A206" s="4"/>
      <c r="B206" s="4"/>
      <c r="C206" s="16" t="s">
        <v>73</v>
      </c>
      <c r="D206" s="4" t="s">
        <v>280</v>
      </c>
      <c r="E206" s="10"/>
      <c r="F206" s="11"/>
      <c r="G206" s="31" t="str">
        <f>IF('Phytopl Count'!G206=0,"",'Phytopl Count'!G206*'Phytopl Count'!G$13/'Phytopl Count'!G$8)</f>
        <v/>
      </c>
      <c r="H206" s="31" t="str">
        <f>IF('Phytopl Count'!H206=0,"",'Phytopl Count'!H206*'Phytopl Count'!H$13/'Phytopl Count'!H$8)</f>
        <v/>
      </c>
      <c r="I206" s="31" t="str">
        <f>IF('Phytopl Count'!I206=0,"",'Phytopl Count'!I206*'Phytopl Count'!I$13/'Phytopl Count'!I$8)</f>
        <v/>
      </c>
      <c r="J206" s="31" t="str">
        <f>IF('Phytopl Count'!J206=0,"",'Phytopl Count'!J206*'Phytopl Count'!J$13/'Phytopl Count'!J$8)</f>
        <v/>
      </c>
      <c r="K206" s="31" t="str">
        <f>IF('Phytopl Count'!K206=0,"",'Phytopl Count'!K206*'Phytopl Count'!K$13/'Phytopl Count'!K$8)</f>
        <v/>
      </c>
      <c r="L206" s="31" t="str">
        <f>IF('Phytopl Count'!L206=0,"",'Phytopl Count'!L206*'Phytopl Count'!L$13/'Phytopl Count'!L$8)</f>
        <v/>
      </c>
      <c r="M206" s="31" t="str">
        <f>IF('Phytopl Count'!M206=0,"",'Phytopl Count'!M206*'Phytopl Count'!M$13/'Phytopl Count'!M$8)</f>
        <v/>
      </c>
      <c r="N206" s="31" t="str">
        <f>IF('Phytopl Count'!N206=0,"",'Phytopl Count'!N206*'Phytopl Count'!N$13/'Phytopl Count'!N$8)</f>
        <v/>
      </c>
      <c r="O206" s="31" t="str">
        <f>IF('Phytopl Count'!O206=0,"",'Phytopl Count'!O206*'Phytopl Count'!O$13/'Phytopl Count'!O$8)</f>
        <v/>
      </c>
      <c r="P206" s="31" t="str">
        <f>IF('Phytopl Count'!P206=0,"",'Phytopl Count'!P206*'Phytopl Count'!P$13/'Phytopl Count'!P$8)</f>
        <v/>
      </c>
      <c r="Q206" s="31" t="str">
        <f>IF('Phytopl Count'!Q206=0,"",'Phytopl Count'!Q206*'Phytopl Count'!Q$13/'Phytopl Count'!Q$8)</f>
        <v/>
      </c>
      <c r="R206" s="31" t="str">
        <f>IF('Phytopl Count'!R206=0,"",'Phytopl Count'!R206*'Phytopl Count'!R$13/'Phytopl Count'!R$8)</f>
        <v/>
      </c>
      <c r="S206" s="31" t="str">
        <f>IF('Phytopl Count'!S206=0,"",'Phytopl Count'!S206*'Phytopl Count'!S$13/'Phytopl Count'!S$8)</f>
        <v/>
      </c>
      <c r="T206" s="31" t="str">
        <f>IF('Phytopl Count'!T206=0,"",'Phytopl Count'!T206*'Phytopl Count'!T$13/'Phytopl Count'!T$8)</f>
        <v/>
      </c>
      <c r="U206" s="31" t="str">
        <f>IF('Phytopl Count'!U206=0,"",'Phytopl Count'!U206*'Phytopl Count'!U$13/'Phytopl Count'!U$8)</f>
        <v/>
      </c>
      <c r="V206" s="31" t="str">
        <f>IF('Phytopl Count'!V206=0,"",'Phytopl Count'!V206*'Phytopl Count'!V$13/'Phytopl Count'!V$8)</f>
        <v/>
      </c>
      <c r="W206" s="31" t="str">
        <f>IF('Phytopl Count'!W206=0,"",'Phytopl Count'!W206*'Phytopl Count'!W$13/'Phytopl Count'!W$8)</f>
        <v/>
      </c>
      <c r="X206" s="31" t="str">
        <f>IF('Phytopl Count'!X206=0,"",'Phytopl Count'!X206*'Phytopl Count'!X$13/'Phytopl Count'!X$8)</f>
        <v/>
      </c>
      <c r="Y206" s="31" t="str">
        <f>IF('Phytopl Count'!Y206=0,"",'Phytopl Count'!Y206*'Phytopl Count'!Y$13/'Phytopl Count'!Y$8)</f>
        <v/>
      </c>
      <c r="Z206" s="31" t="str">
        <f>IF('Phytopl Count'!Z206=0,"",'Phytopl Count'!Z206*'Phytopl Count'!Z$13/'Phytopl Count'!Z$8)</f>
        <v/>
      </c>
      <c r="AA206" s="31" t="str">
        <f>IF('Phytopl Count'!AA206=0,"",'Phytopl Count'!AA206*'Phytopl Count'!AA$13/'Phytopl Count'!AA$8)</f>
        <v/>
      </c>
      <c r="AB206" s="31" t="str">
        <f>IF('Phytopl Count'!AB206=0,"",'Phytopl Count'!AB206*'Phytopl Count'!AB$13/'Phytopl Count'!AB$8)</f>
        <v/>
      </c>
      <c r="AC206" s="31" t="str">
        <f>IF('Phytopl Count'!AC206=0,"",'Phytopl Count'!AC206*'Phytopl Count'!AC$13/'Phytopl Count'!AC$8)</f>
        <v/>
      </c>
      <c r="AD206" s="31" t="str">
        <f>IF('Phytopl Count'!AD206=0,"",'Phytopl Count'!AD206*'Phytopl Count'!AD$13/'Phytopl Count'!AD$8)</f>
        <v/>
      </c>
      <c r="AE206" s="31" t="str">
        <f>IF('Phytopl Count'!AE206=0,"",'Phytopl Count'!AE206*'Phytopl Count'!AE$13/'Phytopl Count'!AE$8)</f>
        <v/>
      </c>
      <c r="AF206" s="31" t="str">
        <f>IF('Phytopl Count'!AF206=0,"",'Phytopl Count'!AF206*'Phytopl Count'!AF$13/'Phytopl Count'!AF$8)</f>
        <v/>
      </c>
    </row>
    <row r="207" spans="1:32" ht="15" customHeight="1">
      <c r="A207" s="16"/>
      <c r="B207" s="10"/>
      <c r="C207" s="10"/>
      <c r="D207" s="10" t="s">
        <v>5</v>
      </c>
      <c r="E207" s="111" t="s">
        <v>281</v>
      </c>
      <c r="F207" s="9"/>
      <c r="G207" s="31" t="str">
        <f>IF('Phytopl Count'!G207=0,"",'Phytopl Count'!G207*'Phytopl Count'!G$13/'Phytopl Count'!G$8)</f>
        <v/>
      </c>
      <c r="H207" s="31" t="str">
        <f>IF('Phytopl Count'!H207=0,"",'Phytopl Count'!H207*'Phytopl Count'!H$13/'Phytopl Count'!H$8)</f>
        <v/>
      </c>
      <c r="I207" s="31" t="str">
        <f>IF('Phytopl Count'!I207=0,"",'Phytopl Count'!I207*'Phytopl Count'!I$13/'Phytopl Count'!I$8)</f>
        <v/>
      </c>
      <c r="J207" s="31" t="str">
        <f>IF('Phytopl Count'!J207=0,"",'Phytopl Count'!J207*'Phytopl Count'!J$13/'Phytopl Count'!J$8)</f>
        <v/>
      </c>
      <c r="K207" s="31" t="str">
        <f>IF('Phytopl Count'!K207=0,"",'Phytopl Count'!K207*'Phytopl Count'!K$13/'Phytopl Count'!K$8)</f>
        <v/>
      </c>
      <c r="L207" s="31" t="str">
        <f>IF('Phytopl Count'!L207=0,"",'Phytopl Count'!L207*'Phytopl Count'!L$13/'Phytopl Count'!L$8)</f>
        <v/>
      </c>
      <c r="M207" s="31" t="str">
        <f>IF('Phytopl Count'!M207=0,"",'Phytopl Count'!M207*'Phytopl Count'!M$13/'Phytopl Count'!M$8)</f>
        <v/>
      </c>
      <c r="N207" s="31" t="str">
        <f>IF('Phytopl Count'!N207=0,"",'Phytopl Count'!N207*'Phytopl Count'!N$13/'Phytopl Count'!N$8)</f>
        <v/>
      </c>
      <c r="O207" s="31" t="str">
        <f>IF('Phytopl Count'!O207=0,"",'Phytopl Count'!O207*'Phytopl Count'!O$13/'Phytopl Count'!O$8)</f>
        <v/>
      </c>
      <c r="P207" s="31" t="str">
        <f>IF('Phytopl Count'!P207=0,"",'Phytopl Count'!P207*'Phytopl Count'!P$13/'Phytopl Count'!P$8)</f>
        <v/>
      </c>
      <c r="Q207" s="31" t="str">
        <f>IF('Phytopl Count'!Q207=0,"",'Phytopl Count'!Q207*'Phytopl Count'!Q$13/'Phytopl Count'!Q$8)</f>
        <v/>
      </c>
      <c r="R207" s="31" t="str">
        <f>IF('Phytopl Count'!R207=0,"",'Phytopl Count'!R207*'Phytopl Count'!R$13/'Phytopl Count'!R$8)</f>
        <v/>
      </c>
      <c r="S207" s="31" t="str">
        <f>IF('Phytopl Count'!S207=0,"",'Phytopl Count'!S207*'Phytopl Count'!S$13/'Phytopl Count'!S$8)</f>
        <v/>
      </c>
      <c r="T207" s="31" t="str">
        <f>IF('Phytopl Count'!T207=0,"",'Phytopl Count'!T207*'Phytopl Count'!T$13/'Phytopl Count'!T$8)</f>
        <v/>
      </c>
      <c r="U207" s="31" t="str">
        <f>IF('Phytopl Count'!U207=0,"",'Phytopl Count'!U207*'Phytopl Count'!U$13/'Phytopl Count'!U$8)</f>
        <v/>
      </c>
      <c r="V207" s="31" t="str">
        <f>IF('Phytopl Count'!V207=0,"",'Phytopl Count'!V207*'Phytopl Count'!V$13/'Phytopl Count'!V$8)</f>
        <v/>
      </c>
      <c r="W207" s="31" t="str">
        <f>IF('Phytopl Count'!W207=0,"",'Phytopl Count'!W207*'Phytopl Count'!W$13/'Phytopl Count'!W$8)</f>
        <v/>
      </c>
      <c r="X207" s="31" t="str">
        <f>IF('Phytopl Count'!X207=0,"",'Phytopl Count'!X207*'Phytopl Count'!X$13/'Phytopl Count'!X$8)</f>
        <v/>
      </c>
      <c r="Y207" s="31" t="str">
        <f>IF('Phytopl Count'!Y207=0,"",'Phytopl Count'!Y207*'Phytopl Count'!Y$13/'Phytopl Count'!Y$8)</f>
        <v/>
      </c>
      <c r="Z207" s="31" t="str">
        <f>IF('Phytopl Count'!Z207=0,"",'Phytopl Count'!Z207*'Phytopl Count'!Z$13/'Phytopl Count'!Z$8)</f>
        <v/>
      </c>
      <c r="AA207" s="31" t="str">
        <f>IF('Phytopl Count'!AA207=0,"",'Phytopl Count'!AA207*'Phytopl Count'!AA$13/'Phytopl Count'!AA$8)</f>
        <v/>
      </c>
      <c r="AB207" s="31" t="str">
        <f>IF('Phytopl Count'!AB207=0,"",'Phytopl Count'!AB207*'Phytopl Count'!AB$13/'Phytopl Count'!AB$8)</f>
        <v/>
      </c>
      <c r="AC207" s="31" t="str">
        <f>IF('Phytopl Count'!AC207=0,"",'Phytopl Count'!AC207*'Phytopl Count'!AC$13/'Phytopl Count'!AC$8)</f>
        <v/>
      </c>
      <c r="AD207" s="31" t="str">
        <f>IF('Phytopl Count'!AD207=0,"",'Phytopl Count'!AD207*'Phytopl Count'!AD$13/'Phytopl Count'!AD$8)</f>
        <v/>
      </c>
      <c r="AE207" s="31" t="str">
        <f>IF('Phytopl Count'!AE207=0,"",'Phytopl Count'!AE207*'Phytopl Count'!AE$13/'Phytopl Count'!AE$8)</f>
        <v/>
      </c>
      <c r="AF207" s="31" t="str">
        <f>IF('Phytopl Count'!AF207=0,"",'Phytopl Count'!AF207*'Phytopl Count'!AF$13/'Phytopl Count'!AF$8)</f>
        <v/>
      </c>
    </row>
    <row r="208" spans="1:32" ht="15" customHeight="1">
      <c r="A208" s="4"/>
      <c r="B208" s="90"/>
      <c r="C208" s="90"/>
      <c r="D208" s="90"/>
      <c r="E208" s="89" t="s">
        <v>6</v>
      </c>
      <c r="F208" s="11" t="s">
        <v>282</v>
      </c>
      <c r="G208" s="31" t="str">
        <f>IF('Phytopl Count'!G208=0,"",'Phytopl Count'!G208*'Phytopl Count'!G$13/'Phytopl Count'!G$8)</f>
        <v/>
      </c>
      <c r="H208" s="31">
        <f>IF('Phytopl Count'!H208=0,"",'Phytopl Count'!H208*'Phytopl Count'!H$13/'Phytopl Count'!H$8)</f>
        <v>4.8046775273025012E-2</v>
      </c>
      <c r="I208" s="31">
        <f>IF('Phytopl Count'!I208=0,"",'Phytopl Count'!I208*'Phytopl Count'!I$13/'Phytopl Count'!I$8)</f>
        <v>5.6054571151862506E-2</v>
      </c>
      <c r="J208" s="31" t="str">
        <f>IF('Phytopl Count'!J208=0,"",'Phytopl Count'!J208*'Phytopl Count'!J$13/'Phytopl Count'!J$8)</f>
        <v/>
      </c>
      <c r="K208" s="31">
        <f>IF('Phytopl Count'!K208=0,"",'Phytopl Count'!K208*'Phytopl Count'!K$13/'Phytopl Count'!K$8)</f>
        <v>3.2031183515350004E-2</v>
      </c>
      <c r="L208" s="31" t="str">
        <f>IF('Phytopl Count'!L208=0,"",'Phytopl Count'!L208*'Phytopl Count'!L$13/'Phytopl Count'!L$8)</f>
        <v/>
      </c>
      <c r="M208" s="31">
        <f>IF('Phytopl Count'!M208=0,"",'Phytopl Count'!M208*'Phytopl Count'!M$13/'Phytopl Count'!M$8)</f>
        <v>4.0038979394187504E-2</v>
      </c>
      <c r="N208" s="31" t="str">
        <f>IF('Phytopl Count'!N208=0,"",'Phytopl Count'!N208*'Phytopl Count'!N$13/'Phytopl Count'!N$8)</f>
        <v/>
      </c>
      <c r="O208" s="31" t="str">
        <f>IF('Phytopl Count'!O208=0,"",'Phytopl Count'!O208*'Phytopl Count'!O$13/'Phytopl Count'!O$8)</f>
        <v/>
      </c>
      <c r="P208" s="31">
        <f>IF('Phytopl Count'!P208=0,"",'Phytopl Count'!P208*'Phytopl Count'!P$13/'Phytopl Count'!P$8)</f>
        <v>3.2031183515350004E-2</v>
      </c>
      <c r="Q208" s="31">
        <f>IF('Phytopl Count'!Q208=0,"",'Phytopl Count'!Q208*'Phytopl Count'!Q$13/'Phytopl Count'!Q$8)</f>
        <v>4.0038979394187504E-2</v>
      </c>
      <c r="R208" s="31">
        <f>IF('Phytopl Count'!R208=0,"",'Phytopl Count'!R208*'Phytopl Count'!R$13/'Phytopl Count'!R$8)</f>
        <v>3.2031183515350004E-2</v>
      </c>
      <c r="S208" s="31" t="str">
        <f>IF('Phytopl Count'!S208=0,"",'Phytopl Count'!S208*'Phytopl Count'!S$13/'Phytopl Count'!S$8)</f>
        <v/>
      </c>
      <c r="T208" s="31">
        <f>IF('Phytopl Count'!T208=0,"",'Phytopl Count'!T208*'Phytopl Count'!T$13/'Phytopl Count'!T$8)</f>
        <v>4.8046775273025012E-2</v>
      </c>
      <c r="U208" s="31" t="str">
        <f>IF('Phytopl Count'!U208=0,"",'Phytopl Count'!U208*'Phytopl Count'!U$13/'Phytopl Count'!U$8)</f>
        <v/>
      </c>
      <c r="V208" s="31">
        <f>IF('Phytopl Count'!V208=0,"",'Phytopl Count'!V208*'Phytopl Count'!V$13/'Phytopl Count'!V$8)</f>
        <v>0.12011693818256251</v>
      </c>
      <c r="W208" s="31" t="str">
        <f>IF('Phytopl Count'!W208=0,"",'Phytopl Count'!W208*'Phytopl Count'!W$13/'Phytopl Count'!W$8)</f>
        <v/>
      </c>
      <c r="X208" s="31" t="str">
        <f>IF('Phytopl Count'!X208=0,"",'Phytopl Count'!X208*'Phytopl Count'!X$13/'Phytopl Count'!X$8)</f>
        <v/>
      </c>
      <c r="Y208" s="31">
        <f>IF('Phytopl Count'!Y208=0,"",'Phytopl Count'!Y208*'Phytopl Count'!Y$13/'Phytopl Count'!Y$8)</f>
        <v>2.4023387636512506E-2</v>
      </c>
      <c r="Z208" s="31">
        <f>IF('Phytopl Count'!Z208=0,"",'Phytopl Count'!Z208*'Phytopl Count'!Z$13/'Phytopl Count'!Z$8)</f>
        <v>0.10410134642488751</v>
      </c>
      <c r="AA208" s="31" t="str">
        <f>IF('Phytopl Count'!AA208=0,"",'Phytopl Count'!AA208*'Phytopl Count'!AA$13/'Phytopl Count'!AA$8)</f>
        <v/>
      </c>
      <c r="AB208" s="31" t="str">
        <f>IF('Phytopl Count'!AB208=0,"",'Phytopl Count'!AB208*'Phytopl Count'!AB$13/'Phytopl Count'!AB$8)</f>
        <v/>
      </c>
      <c r="AC208" s="31" t="str">
        <f>IF('Phytopl Count'!AC208=0,"",'Phytopl Count'!AC208*'Phytopl Count'!AC$13/'Phytopl Count'!AC$8)</f>
        <v/>
      </c>
      <c r="AD208" s="31">
        <f>IF('Phytopl Count'!AD208=0,"",'Phytopl Count'!AD208*'Phytopl Count'!AD$13/'Phytopl Count'!AD$8)</f>
        <v>6.4062367030700007E-2</v>
      </c>
      <c r="AE208" s="31">
        <f>IF('Phytopl Count'!AE208=0,"",'Phytopl Count'!AE208*'Phytopl Count'!AE$13/'Phytopl Count'!AE$8)</f>
        <v>4.8046775273025012E-2</v>
      </c>
      <c r="AF208" s="31">
        <f>IF('Phytopl Count'!AF208=0,"",'Phytopl Count'!AF208*'Phytopl Count'!AF$13/'Phytopl Count'!AF$8)</f>
        <v>6.4062367030700007E-2</v>
      </c>
    </row>
    <row r="209" spans="1:32" ht="15" customHeight="1">
      <c r="A209" s="4"/>
      <c r="D209" s="10" t="s">
        <v>5</v>
      </c>
      <c r="E209" s="12" t="s">
        <v>95</v>
      </c>
      <c r="F209" s="11"/>
      <c r="G209" s="31" t="str">
        <f>IF('Phytopl Count'!G209=0,"",'Phytopl Count'!G209*'Phytopl Count'!G$13/'Phytopl Count'!G$8)</f>
        <v/>
      </c>
      <c r="H209" s="31" t="str">
        <f>IF('Phytopl Count'!H209=0,"",'Phytopl Count'!H209*'Phytopl Count'!H$13/'Phytopl Count'!H$8)</f>
        <v/>
      </c>
      <c r="I209" s="31" t="str">
        <f>IF('Phytopl Count'!I209=0,"",'Phytopl Count'!I209*'Phytopl Count'!I$13/'Phytopl Count'!I$8)</f>
        <v/>
      </c>
      <c r="J209" s="31" t="str">
        <f>IF('Phytopl Count'!J209=0,"",'Phytopl Count'!J209*'Phytopl Count'!J$13/'Phytopl Count'!J$8)</f>
        <v/>
      </c>
      <c r="K209" s="31" t="str">
        <f>IF('Phytopl Count'!K209=0,"",'Phytopl Count'!K209*'Phytopl Count'!K$13/'Phytopl Count'!K$8)</f>
        <v/>
      </c>
      <c r="L209" s="31" t="str">
        <f>IF('Phytopl Count'!L209=0,"",'Phytopl Count'!L209*'Phytopl Count'!L$13/'Phytopl Count'!L$8)</f>
        <v/>
      </c>
      <c r="M209" s="31" t="str">
        <f>IF('Phytopl Count'!M209=0,"",'Phytopl Count'!M209*'Phytopl Count'!M$13/'Phytopl Count'!M$8)</f>
        <v/>
      </c>
      <c r="N209" s="31" t="str">
        <f>IF('Phytopl Count'!N209=0,"",'Phytopl Count'!N209*'Phytopl Count'!N$13/'Phytopl Count'!N$8)</f>
        <v/>
      </c>
      <c r="O209" s="31" t="str">
        <f>IF('Phytopl Count'!O209=0,"",'Phytopl Count'!O209*'Phytopl Count'!O$13/'Phytopl Count'!O$8)</f>
        <v/>
      </c>
      <c r="P209" s="31" t="str">
        <f>IF('Phytopl Count'!P209=0,"",'Phytopl Count'!P209*'Phytopl Count'!P$13/'Phytopl Count'!P$8)</f>
        <v/>
      </c>
      <c r="Q209" s="31" t="str">
        <f>IF('Phytopl Count'!Q209=0,"",'Phytopl Count'!Q209*'Phytopl Count'!Q$13/'Phytopl Count'!Q$8)</f>
        <v/>
      </c>
      <c r="R209" s="31" t="str">
        <f>IF('Phytopl Count'!R209=0,"",'Phytopl Count'!R209*'Phytopl Count'!R$13/'Phytopl Count'!R$8)</f>
        <v/>
      </c>
      <c r="S209" s="31" t="str">
        <f>IF('Phytopl Count'!S209=0,"",'Phytopl Count'!S209*'Phytopl Count'!S$13/'Phytopl Count'!S$8)</f>
        <v/>
      </c>
      <c r="T209" s="31" t="str">
        <f>IF('Phytopl Count'!T209=0,"",'Phytopl Count'!T209*'Phytopl Count'!T$13/'Phytopl Count'!T$8)</f>
        <v/>
      </c>
      <c r="U209" s="31" t="str">
        <f>IF('Phytopl Count'!U209=0,"",'Phytopl Count'!U209*'Phytopl Count'!U$13/'Phytopl Count'!U$8)</f>
        <v/>
      </c>
      <c r="V209" s="31" t="str">
        <f>IF('Phytopl Count'!V209=0,"",'Phytopl Count'!V209*'Phytopl Count'!V$13/'Phytopl Count'!V$8)</f>
        <v/>
      </c>
      <c r="W209" s="31" t="str">
        <f>IF('Phytopl Count'!W209=0,"",'Phytopl Count'!W209*'Phytopl Count'!W$13/'Phytopl Count'!W$8)</f>
        <v/>
      </c>
      <c r="X209" s="31" t="str">
        <f>IF('Phytopl Count'!X209=0,"",'Phytopl Count'!X209*'Phytopl Count'!X$13/'Phytopl Count'!X$8)</f>
        <v/>
      </c>
      <c r="Y209" s="31" t="str">
        <f>IF('Phytopl Count'!Y209=0,"",'Phytopl Count'!Y209*'Phytopl Count'!Y$13/'Phytopl Count'!Y$8)</f>
        <v/>
      </c>
      <c r="Z209" s="31" t="str">
        <f>IF('Phytopl Count'!Z209=0,"",'Phytopl Count'!Z209*'Phytopl Count'!Z$13/'Phytopl Count'!Z$8)</f>
        <v/>
      </c>
      <c r="AA209" s="31" t="str">
        <f>IF('Phytopl Count'!AA209=0,"",'Phytopl Count'!AA209*'Phytopl Count'!AA$13/'Phytopl Count'!AA$8)</f>
        <v/>
      </c>
      <c r="AB209" s="31" t="str">
        <f>IF('Phytopl Count'!AB209=0,"",'Phytopl Count'!AB209*'Phytopl Count'!AB$13/'Phytopl Count'!AB$8)</f>
        <v/>
      </c>
      <c r="AC209" s="31" t="str">
        <f>IF('Phytopl Count'!AC209=0,"",'Phytopl Count'!AC209*'Phytopl Count'!AC$13/'Phytopl Count'!AC$8)</f>
        <v/>
      </c>
      <c r="AD209" s="31" t="str">
        <f>IF('Phytopl Count'!AD209=0,"",'Phytopl Count'!AD209*'Phytopl Count'!AD$13/'Phytopl Count'!AD$8)</f>
        <v/>
      </c>
      <c r="AE209" s="31" t="str">
        <f>IF('Phytopl Count'!AE209=0,"",'Phytopl Count'!AE209*'Phytopl Count'!AE$13/'Phytopl Count'!AE$8)</f>
        <v/>
      </c>
      <c r="AF209" s="31" t="str">
        <f>IF('Phytopl Count'!AF209=0,"",'Phytopl Count'!AF209*'Phytopl Count'!AF$13/'Phytopl Count'!AF$8)</f>
        <v/>
      </c>
    </row>
    <row r="210" spans="1:32" ht="15" customHeight="1">
      <c r="E210" s="10" t="s">
        <v>6</v>
      </c>
      <c r="F210" s="11" t="s">
        <v>42</v>
      </c>
      <c r="G210" s="31" t="str">
        <f>IF('Phytopl Count'!G210=0,"",'Phytopl Count'!G210*'Phytopl Count'!G$13/'Phytopl Count'!G$8)</f>
        <v/>
      </c>
      <c r="H210" s="31" t="str">
        <f>IF('Phytopl Count'!H210=0,"",'Phytopl Count'!H210*'Phytopl Count'!H$13/'Phytopl Count'!H$8)</f>
        <v/>
      </c>
      <c r="I210" s="31" t="str">
        <f>IF('Phytopl Count'!I210=0,"",'Phytopl Count'!I210*'Phytopl Count'!I$13/'Phytopl Count'!I$8)</f>
        <v/>
      </c>
      <c r="J210" s="31" t="str">
        <f>IF('Phytopl Count'!J210=0,"",'Phytopl Count'!J210*'Phytopl Count'!J$13/'Phytopl Count'!J$8)</f>
        <v/>
      </c>
      <c r="K210" s="31" t="str">
        <f>IF('Phytopl Count'!K210=0,"",'Phytopl Count'!K210*'Phytopl Count'!K$13/'Phytopl Count'!K$8)</f>
        <v/>
      </c>
      <c r="L210" s="31" t="str">
        <f>IF('Phytopl Count'!L210=0,"",'Phytopl Count'!L210*'Phytopl Count'!L$13/'Phytopl Count'!L$8)</f>
        <v/>
      </c>
      <c r="M210" s="31" t="str">
        <f>IF('Phytopl Count'!M210=0,"",'Phytopl Count'!M210*'Phytopl Count'!M$13/'Phytopl Count'!M$8)</f>
        <v/>
      </c>
      <c r="N210" s="31" t="str">
        <f>IF('Phytopl Count'!N210=0,"",'Phytopl Count'!N210*'Phytopl Count'!N$13/'Phytopl Count'!N$8)</f>
        <v/>
      </c>
      <c r="O210" s="31" t="str">
        <f>IF('Phytopl Count'!O210=0,"",'Phytopl Count'!O210*'Phytopl Count'!O$13/'Phytopl Count'!O$8)</f>
        <v/>
      </c>
      <c r="P210" s="31" t="str">
        <f>IF('Phytopl Count'!P210=0,"",'Phytopl Count'!P210*'Phytopl Count'!P$13/'Phytopl Count'!P$8)</f>
        <v/>
      </c>
      <c r="Q210" s="31" t="str">
        <f>IF('Phytopl Count'!Q210=0,"",'Phytopl Count'!Q210*'Phytopl Count'!Q$13/'Phytopl Count'!Q$8)</f>
        <v/>
      </c>
      <c r="R210" s="31" t="str">
        <f>IF('Phytopl Count'!R210=0,"",'Phytopl Count'!R210*'Phytopl Count'!R$13/'Phytopl Count'!R$8)</f>
        <v/>
      </c>
      <c r="S210" s="31" t="str">
        <f>IF('Phytopl Count'!S210=0,"",'Phytopl Count'!S210*'Phytopl Count'!S$13/'Phytopl Count'!S$8)</f>
        <v/>
      </c>
      <c r="T210" s="31" t="str">
        <f>IF('Phytopl Count'!T210=0,"",'Phytopl Count'!T210*'Phytopl Count'!T$13/'Phytopl Count'!T$8)</f>
        <v/>
      </c>
      <c r="U210" s="31" t="str">
        <f>IF('Phytopl Count'!U210=0,"",'Phytopl Count'!U210*'Phytopl Count'!U$13/'Phytopl Count'!U$8)</f>
        <v/>
      </c>
      <c r="V210" s="31" t="str">
        <f>IF('Phytopl Count'!V210=0,"",'Phytopl Count'!V210*'Phytopl Count'!V$13/'Phytopl Count'!V$8)</f>
        <v/>
      </c>
      <c r="W210" s="31" t="str">
        <f>IF('Phytopl Count'!W210=0,"",'Phytopl Count'!W210*'Phytopl Count'!W$13/'Phytopl Count'!W$8)</f>
        <v/>
      </c>
      <c r="X210" s="31" t="str">
        <f>IF('Phytopl Count'!X210=0,"",'Phytopl Count'!X210*'Phytopl Count'!X$13/'Phytopl Count'!X$8)</f>
        <v/>
      </c>
      <c r="Y210" s="31" t="str">
        <f>IF('Phytopl Count'!Y210=0,"",'Phytopl Count'!Y210*'Phytopl Count'!Y$13/'Phytopl Count'!Y$8)</f>
        <v/>
      </c>
      <c r="Z210" s="31" t="str">
        <f>IF('Phytopl Count'!Z210=0,"",'Phytopl Count'!Z210*'Phytopl Count'!Z$13/'Phytopl Count'!Z$8)</f>
        <v/>
      </c>
      <c r="AA210" s="31" t="str">
        <f>IF('Phytopl Count'!AA210=0,"",'Phytopl Count'!AA210*'Phytopl Count'!AA$13/'Phytopl Count'!AA$8)</f>
        <v/>
      </c>
      <c r="AB210" s="31">
        <f>IF('Phytopl Count'!AB210=0,"",'Phytopl Count'!AB210*'Phytopl Count'!AB$13/'Phytopl Count'!AB$8)</f>
        <v>4.0038979394187504E-2</v>
      </c>
      <c r="AC210" s="31" t="str">
        <f>IF('Phytopl Count'!AC210=0,"",'Phytopl Count'!AC210*'Phytopl Count'!AC$13/'Phytopl Count'!AC$8)</f>
        <v/>
      </c>
      <c r="AD210" s="31" t="str">
        <f>IF('Phytopl Count'!AD210=0,"",'Phytopl Count'!AD210*'Phytopl Count'!AD$13/'Phytopl Count'!AD$8)</f>
        <v/>
      </c>
      <c r="AE210" s="31" t="str">
        <f>IF('Phytopl Count'!AE210=0,"",'Phytopl Count'!AE210*'Phytopl Count'!AE$13/'Phytopl Count'!AE$8)</f>
        <v/>
      </c>
      <c r="AF210" s="31">
        <f>IF('Phytopl Count'!AF210=0,"",'Phytopl Count'!AF210*'Phytopl Count'!AF$13/'Phytopl Count'!AF$8)</f>
        <v>6.4062367030700007E-2</v>
      </c>
    </row>
    <row r="211" spans="1:32" ht="15" customHeight="1">
      <c r="F211" s="11" t="s">
        <v>237</v>
      </c>
      <c r="G211" s="31" t="str">
        <f>IF('Phytopl Count'!G211=0,"",'Phytopl Count'!G211*'Phytopl Count'!G$13/'Phytopl Count'!G$8)</f>
        <v/>
      </c>
      <c r="H211" s="31">
        <f>IF('Phytopl Count'!H211=0,"",'Phytopl Count'!H211*'Phytopl Count'!H$13/'Phytopl Count'!H$8)</f>
        <v>4.8046775273025012E-2</v>
      </c>
      <c r="I211" s="31" t="str">
        <f>IF('Phytopl Count'!I211=0,"",'Phytopl Count'!I211*'Phytopl Count'!I$13/'Phytopl Count'!I$8)</f>
        <v/>
      </c>
      <c r="J211" s="31">
        <f>IF('Phytopl Count'!J211=0,"",'Phytopl Count'!J211*'Phytopl Count'!J$13/'Phytopl Count'!J$8)</f>
        <v>4.0038979394187504E-2</v>
      </c>
      <c r="K211" s="31" t="str">
        <f>IF('Phytopl Count'!K211=0,"",'Phytopl Count'!K211*'Phytopl Count'!K$13/'Phytopl Count'!K$8)</f>
        <v/>
      </c>
      <c r="L211" s="31">
        <f>IF('Phytopl Count'!L211=0,"",'Phytopl Count'!L211*'Phytopl Count'!L$13/'Phytopl Count'!L$8)</f>
        <v>2.4023387636512506E-2</v>
      </c>
      <c r="M211" s="31">
        <f>IF('Phytopl Count'!M211=0,"",'Phytopl Count'!M211*'Phytopl Count'!M$13/'Phytopl Count'!M$8)</f>
        <v>4.0038979394187504E-2</v>
      </c>
      <c r="N211" s="31" t="str">
        <f>IF('Phytopl Count'!N211=0,"",'Phytopl Count'!N211*'Phytopl Count'!N$13/'Phytopl Count'!N$8)</f>
        <v/>
      </c>
      <c r="O211" s="31">
        <f>IF('Phytopl Count'!O211=0,"",'Phytopl Count'!O211*'Phytopl Count'!O$13/'Phytopl Count'!O$8)</f>
        <v>9.6093550546050024E-2</v>
      </c>
      <c r="P211" s="31" t="str">
        <f>IF('Phytopl Count'!P211=0,"",'Phytopl Count'!P211*'Phytopl Count'!P$13/'Phytopl Count'!P$8)</f>
        <v/>
      </c>
      <c r="Q211" s="31" t="str">
        <f>IF('Phytopl Count'!Q211=0,"",'Phytopl Count'!Q211*'Phytopl Count'!Q$13/'Phytopl Count'!Q$8)</f>
        <v/>
      </c>
      <c r="R211" s="31" t="str">
        <f>IF('Phytopl Count'!R211=0,"",'Phytopl Count'!R211*'Phytopl Count'!R$13/'Phytopl Count'!R$8)</f>
        <v/>
      </c>
      <c r="S211" s="31" t="str">
        <f>IF('Phytopl Count'!S211=0,"",'Phytopl Count'!S211*'Phytopl Count'!S$13/'Phytopl Count'!S$8)</f>
        <v/>
      </c>
      <c r="T211" s="31" t="str">
        <f>IF('Phytopl Count'!T211=0,"",'Phytopl Count'!T211*'Phytopl Count'!T$13/'Phytopl Count'!T$8)</f>
        <v/>
      </c>
      <c r="U211" s="31" t="str">
        <f>IF('Phytopl Count'!U211=0,"",'Phytopl Count'!U211*'Phytopl Count'!U$13/'Phytopl Count'!U$8)</f>
        <v/>
      </c>
      <c r="V211" s="31" t="str">
        <f>IF('Phytopl Count'!V211=0,"",'Phytopl Count'!V211*'Phytopl Count'!V$13/'Phytopl Count'!V$8)</f>
        <v/>
      </c>
      <c r="W211" s="31" t="str">
        <f>IF('Phytopl Count'!W211=0,"",'Phytopl Count'!W211*'Phytopl Count'!W$13/'Phytopl Count'!W$8)</f>
        <v/>
      </c>
      <c r="X211" s="31" t="str">
        <f>IF('Phytopl Count'!X211=0,"",'Phytopl Count'!X211*'Phytopl Count'!X$13/'Phytopl Count'!X$8)</f>
        <v/>
      </c>
      <c r="Y211" s="31" t="str">
        <f>IF('Phytopl Count'!Y211=0,"",'Phytopl Count'!Y211*'Phytopl Count'!Y$13/'Phytopl Count'!Y$8)</f>
        <v/>
      </c>
      <c r="Z211" s="31" t="str">
        <f>IF('Phytopl Count'!Z211=0,"",'Phytopl Count'!Z211*'Phytopl Count'!Z$13/'Phytopl Count'!Z$8)</f>
        <v/>
      </c>
      <c r="AA211" s="31" t="str">
        <f>IF('Phytopl Count'!AA211=0,"",'Phytopl Count'!AA211*'Phytopl Count'!AA$13/'Phytopl Count'!AA$8)</f>
        <v/>
      </c>
      <c r="AB211" s="31" t="str">
        <f>IF('Phytopl Count'!AB211=0,"",'Phytopl Count'!AB211*'Phytopl Count'!AB$13/'Phytopl Count'!AB$8)</f>
        <v/>
      </c>
      <c r="AC211" s="31" t="str">
        <f>IF('Phytopl Count'!AC211=0,"",'Phytopl Count'!AC211*'Phytopl Count'!AC$13/'Phytopl Count'!AC$8)</f>
        <v/>
      </c>
      <c r="AD211" s="31" t="str">
        <f>IF('Phytopl Count'!AD211=0,"",'Phytopl Count'!AD211*'Phytopl Count'!AD$13/'Phytopl Count'!AD$8)</f>
        <v/>
      </c>
      <c r="AE211" s="31">
        <f>IF('Phytopl Count'!AE211=0,"",'Phytopl Count'!AE211*'Phytopl Count'!AE$13/'Phytopl Count'!AE$8)</f>
        <v>2.4023387636512506E-2</v>
      </c>
      <c r="AF211" s="31">
        <f>IF('Phytopl Count'!AF211=0,"",'Phytopl Count'!AF211*'Phytopl Count'!AF$13/'Phytopl Count'!AF$8)</f>
        <v>6.4062367030700007E-2</v>
      </c>
    </row>
    <row r="212" spans="1:32" ht="15" customHeight="1">
      <c r="A212" s="4"/>
      <c r="D212" s="10" t="s">
        <v>5</v>
      </c>
      <c r="E212" s="174" t="s">
        <v>400</v>
      </c>
      <c r="F212" s="11"/>
      <c r="G212" s="31" t="str">
        <f>IF('Phytopl Count'!G212=0,"",'Phytopl Count'!G212*'Phytopl Count'!G$13/'Phytopl Count'!G$8)</f>
        <v/>
      </c>
      <c r="H212" s="31" t="str">
        <f>IF('Phytopl Count'!H212=0,"",'Phytopl Count'!H212*'Phytopl Count'!H$13/'Phytopl Count'!H$8)</f>
        <v/>
      </c>
      <c r="I212" s="31" t="str">
        <f>IF('Phytopl Count'!I212=0,"",'Phytopl Count'!I212*'Phytopl Count'!I$13/'Phytopl Count'!I$8)</f>
        <v/>
      </c>
      <c r="J212" s="31" t="str">
        <f>IF('Phytopl Count'!J212=0,"",'Phytopl Count'!J212*'Phytopl Count'!J$13/'Phytopl Count'!J$8)</f>
        <v/>
      </c>
      <c r="K212" s="31" t="str">
        <f>IF('Phytopl Count'!K212=0,"",'Phytopl Count'!K212*'Phytopl Count'!K$13/'Phytopl Count'!K$8)</f>
        <v/>
      </c>
      <c r="L212" s="31" t="str">
        <f>IF('Phytopl Count'!L212=0,"",'Phytopl Count'!L212*'Phytopl Count'!L$13/'Phytopl Count'!L$8)</f>
        <v/>
      </c>
      <c r="M212" s="31" t="str">
        <f>IF('Phytopl Count'!M212=0,"",'Phytopl Count'!M212*'Phytopl Count'!M$13/'Phytopl Count'!M$8)</f>
        <v/>
      </c>
      <c r="N212" s="31" t="str">
        <f>IF('Phytopl Count'!N212=0,"",'Phytopl Count'!N212*'Phytopl Count'!N$13/'Phytopl Count'!N$8)</f>
        <v/>
      </c>
      <c r="O212" s="31" t="str">
        <f>IF('Phytopl Count'!O212=0,"",'Phytopl Count'!O212*'Phytopl Count'!O$13/'Phytopl Count'!O$8)</f>
        <v/>
      </c>
      <c r="P212" s="31" t="str">
        <f>IF('Phytopl Count'!P212=0,"",'Phytopl Count'!P212*'Phytopl Count'!P$13/'Phytopl Count'!P$8)</f>
        <v/>
      </c>
      <c r="Q212" s="31" t="str">
        <f>IF('Phytopl Count'!Q212=0,"",'Phytopl Count'!Q212*'Phytopl Count'!Q$13/'Phytopl Count'!Q$8)</f>
        <v/>
      </c>
      <c r="R212" s="31" t="str">
        <f>IF('Phytopl Count'!R212=0,"",'Phytopl Count'!R212*'Phytopl Count'!R$13/'Phytopl Count'!R$8)</f>
        <v/>
      </c>
      <c r="S212" s="31" t="str">
        <f>IF('Phytopl Count'!S212=0,"",'Phytopl Count'!S212*'Phytopl Count'!S$13/'Phytopl Count'!S$8)</f>
        <v/>
      </c>
      <c r="T212" s="31" t="str">
        <f>IF('Phytopl Count'!T212=0,"",'Phytopl Count'!T212*'Phytopl Count'!T$13/'Phytopl Count'!T$8)</f>
        <v/>
      </c>
      <c r="U212" s="31" t="str">
        <f>IF('Phytopl Count'!U212=0,"",'Phytopl Count'!U212*'Phytopl Count'!U$13/'Phytopl Count'!U$8)</f>
        <v/>
      </c>
      <c r="V212" s="31" t="str">
        <f>IF('Phytopl Count'!V212=0,"",'Phytopl Count'!V212*'Phytopl Count'!V$13/'Phytopl Count'!V$8)</f>
        <v/>
      </c>
      <c r="W212" s="31" t="str">
        <f>IF('Phytopl Count'!W212=0,"",'Phytopl Count'!W212*'Phytopl Count'!W$13/'Phytopl Count'!W$8)</f>
        <v/>
      </c>
      <c r="X212" s="31" t="str">
        <f>IF('Phytopl Count'!X212=0,"",'Phytopl Count'!X212*'Phytopl Count'!X$13/'Phytopl Count'!X$8)</f>
        <v/>
      </c>
      <c r="Y212" s="31" t="str">
        <f>IF('Phytopl Count'!Y212=0,"",'Phytopl Count'!Y212*'Phytopl Count'!Y$13/'Phytopl Count'!Y$8)</f>
        <v/>
      </c>
      <c r="Z212" s="31" t="str">
        <f>IF('Phytopl Count'!Z212=0,"",'Phytopl Count'!Z212*'Phytopl Count'!Z$13/'Phytopl Count'!Z$8)</f>
        <v/>
      </c>
      <c r="AA212" s="31" t="str">
        <f>IF('Phytopl Count'!AA212=0,"",'Phytopl Count'!AA212*'Phytopl Count'!AA$13/'Phytopl Count'!AA$8)</f>
        <v/>
      </c>
      <c r="AB212" s="31" t="str">
        <f>IF('Phytopl Count'!AB212=0,"",'Phytopl Count'!AB212*'Phytopl Count'!AB$13/'Phytopl Count'!AB$8)</f>
        <v/>
      </c>
      <c r="AC212" s="31" t="str">
        <f>IF('Phytopl Count'!AC212=0,"",'Phytopl Count'!AC212*'Phytopl Count'!AC$13/'Phytopl Count'!AC$8)</f>
        <v/>
      </c>
      <c r="AD212" s="31" t="str">
        <f>IF('Phytopl Count'!AD212=0,"",'Phytopl Count'!AD212*'Phytopl Count'!AD$13/'Phytopl Count'!AD$8)</f>
        <v/>
      </c>
      <c r="AE212" s="31" t="str">
        <f>IF('Phytopl Count'!AE212=0,"",'Phytopl Count'!AE212*'Phytopl Count'!AE$13/'Phytopl Count'!AE$8)</f>
        <v/>
      </c>
      <c r="AF212" s="31" t="str">
        <f>IF('Phytopl Count'!AF212=0,"",'Phytopl Count'!AF212*'Phytopl Count'!AF$13/'Phytopl Count'!AF$8)</f>
        <v/>
      </c>
    </row>
    <row r="213" spans="1:32" ht="15" customHeight="1">
      <c r="E213" s="10" t="s">
        <v>6</v>
      </c>
      <c r="F213" s="11" t="s">
        <v>401</v>
      </c>
      <c r="G213" s="31">
        <f>IF('Phytopl Count'!G213=0,"",'Phytopl Count'!G213*'Phytopl Count'!G$13/'Phytopl Count'!G$8)</f>
        <v>2.1354122343566671E-2</v>
      </c>
      <c r="H213" s="31" t="str">
        <f>IF('Phytopl Count'!H213=0,"",'Phytopl Count'!H213*'Phytopl Count'!H$13/'Phytopl Count'!H$8)</f>
        <v/>
      </c>
      <c r="I213" s="31" t="str">
        <f>IF('Phytopl Count'!I213=0,"",'Phytopl Count'!I213*'Phytopl Count'!I$13/'Phytopl Count'!I$8)</f>
        <v/>
      </c>
      <c r="J213" s="31" t="str">
        <f>IF('Phytopl Count'!J213=0,"",'Phytopl Count'!J213*'Phytopl Count'!J$13/'Phytopl Count'!J$8)</f>
        <v/>
      </c>
      <c r="K213" s="31" t="str">
        <f>IF('Phytopl Count'!K213=0,"",'Phytopl Count'!K213*'Phytopl Count'!K$13/'Phytopl Count'!K$8)</f>
        <v/>
      </c>
      <c r="L213" s="31" t="str">
        <f>IF('Phytopl Count'!L213=0,"",'Phytopl Count'!L213*'Phytopl Count'!L$13/'Phytopl Count'!L$8)</f>
        <v/>
      </c>
      <c r="M213" s="31" t="str">
        <f>IF('Phytopl Count'!M213=0,"",'Phytopl Count'!M213*'Phytopl Count'!M$13/'Phytopl Count'!M$8)</f>
        <v/>
      </c>
      <c r="N213" s="31">
        <f>IF('Phytopl Count'!N213=0,"",'Phytopl Count'!N213*'Phytopl Count'!N$13/'Phytopl Count'!N$8)</f>
        <v>4.8046775273025012E-2</v>
      </c>
      <c r="O213" s="31">
        <f>IF('Phytopl Count'!O213=0,"",'Phytopl Count'!O213*'Phytopl Count'!O$13/'Phytopl Count'!O$8)</f>
        <v>6.4062367030700007E-2</v>
      </c>
      <c r="P213" s="31" t="str">
        <f>IF('Phytopl Count'!P213=0,"",'Phytopl Count'!P213*'Phytopl Count'!P$13/'Phytopl Count'!P$8)</f>
        <v/>
      </c>
      <c r="Q213" s="31" t="str">
        <f>IF('Phytopl Count'!Q213=0,"",'Phytopl Count'!Q213*'Phytopl Count'!Q$13/'Phytopl Count'!Q$8)</f>
        <v/>
      </c>
      <c r="R213" s="31" t="str">
        <f>IF('Phytopl Count'!R213=0,"",'Phytopl Count'!R213*'Phytopl Count'!R$13/'Phytopl Count'!R$8)</f>
        <v/>
      </c>
      <c r="S213" s="31" t="str">
        <f>IF('Phytopl Count'!S213=0,"",'Phytopl Count'!S213*'Phytopl Count'!S$13/'Phytopl Count'!S$8)</f>
        <v/>
      </c>
      <c r="T213" s="31" t="str">
        <f>IF('Phytopl Count'!T213=0,"",'Phytopl Count'!T213*'Phytopl Count'!T$13/'Phytopl Count'!T$8)</f>
        <v/>
      </c>
      <c r="U213" s="31">
        <f>IF('Phytopl Count'!U213=0,"",'Phytopl Count'!U213*'Phytopl Count'!U$13/'Phytopl Count'!U$8)</f>
        <v>3.2031183515350004E-2</v>
      </c>
      <c r="V213" s="31" t="str">
        <f>IF('Phytopl Count'!V213=0,"",'Phytopl Count'!V213*'Phytopl Count'!V$13/'Phytopl Count'!V$8)</f>
        <v/>
      </c>
      <c r="W213" s="31" t="str">
        <f>IF('Phytopl Count'!W213=0,"",'Phytopl Count'!W213*'Phytopl Count'!W$13/'Phytopl Count'!W$8)</f>
        <v/>
      </c>
      <c r="X213" s="31" t="str">
        <f>IF('Phytopl Count'!X213=0,"",'Phytopl Count'!X213*'Phytopl Count'!X$13/'Phytopl Count'!X$8)</f>
        <v/>
      </c>
      <c r="Y213" s="31" t="str">
        <f>IF('Phytopl Count'!Y213=0,"",'Phytopl Count'!Y213*'Phytopl Count'!Y$13/'Phytopl Count'!Y$8)</f>
        <v/>
      </c>
      <c r="Z213" s="31" t="str">
        <f>IF('Phytopl Count'!Z213=0,"",'Phytopl Count'!Z213*'Phytopl Count'!Z$13/'Phytopl Count'!Z$8)</f>
        <v/>
      </c>
      <c r="AA213" s="31" t="str">
        <f>IF('Phytopl Count'!AA213=0,"",'Phytopl Count'!AA213*'Phytopl Count'!AA$13/'Phytopl Count'!AA$8)</f>
        <v/>
      </c>
      <c r="AB213" s="31" t="str">
        <f>IF('Phytopl Count'!AB213=0,"",'Phytopl Count'!AB213*'Phytopl Count'!AB$13/'Phytopl Count'!AB$8)</f>
        <v/>
      </c>
      <c r="AC213" s="31" t="str">
        <f>IF('Phytopl Count'!AC213=0,"",'Phytopl Count'!AC213*'Phytopl Count'!AC$13/'Phytopl Count'!AC$8)</f>
        <v/>
      </c>
      <c r="AD213" s="31" t="str">
        <f>IF('Phytopl Count'!AD213=0,"",'Phytopl Count'!AD213*'Phytopl Count'!AD$13/'Phytopl Count'!AD$8)</f>
        <v/>
      </c>
      <c r="AE213" s="31" t="str">
        <f>IF('Phytopl Count'!AE213=0,"",'Phytopl Count'!AE213*'Phytopl Count'!AE$13/'Phytopl Count'!AE$8)</f>
        <v/>
      </c>
      <c r="AF213" s="31" t="str">
        <f>IF('Phytopl Count'!AF213=0,"",'Phytopl Count'!AF213*'Phytopl Count'!AF$13/'Phytopl Count'!AF$8)</f>
        <v/>
      </c>
    </row>
    <row r="214" spans="1:32" ht="15" customHeight="1">
      <c r="C214" s="16" t="s">
        <v>73</v>
      </c>
      <c r="D214" s="51" t="s">
        <v>162</v>
      </c>
      <c r="E214" s="10"/>
      <c r="F214" s="11"/>
      <c r="G214" s="31" t="str">
        <f>IF('Phytopl Count'!G214=0,"",'Phytopl Count'!G214*'Phytopl Count'!G$13/'Phytopl Count'!G$8)</f>
        <v/>
      </c>
      <c r="H214" s="31" t="str">
        <f>IF('Phytopl Count'!H214=0,"",'Phytopl Count'!H214*'Phytopl Count'!H$13/'Phytopl Count'!H$8)</f>
        <v/>
      </c>
      <c r="I214" s="31" t="str">
        <f>IF('Phytopl Count'!I214=0,"",'Phytopl Count'!I214*'Phytopl Count'!I$13/'Phytopl Count'!I$8)</f>
        <v/>
      </c>
      <c r="J214" s="31" t="str">
        <f>IF('Phytopl Count'!J214=0,"",'Phytopl Count'!J214*'Phytopl Count'!J$13/'Phytopl Count'!J$8)</f>
        <v/>
      </c>
      <c r="K214" s="31" t="str">
        <f>IF('Phytopl Count'!K214=0,"",'Phytopl Count'!K214*'Phytopl Count'!K$13/'Phytopl Count'!K$8)</f>
        <v/>
      </c>
      <c r="L214" s="31" t="str">
        <f>IF('Phytopl Count'!L214=0,"",'Phytopl Count'!L214*'Phytopl Count'!L$13/'Phytopl Count'!L$8)</f>
        <v/>
      </c>
      <c r="M214" s="31" t="str">
        <f>IF('Phytopl Count'!M214=0,"",'Phytopl Count'!M214*'Phytopl Count'!M$13/'Phytopl Count'!M$8)</f>
        <v/>
      </c>
      <c r="N214" s="31" t="str">
        <f>IF('Phytopl Count'!N214=0,"",'Phytopl Count'!N214*'Phytopl Count'!N$13/'Phytopl Count'!N$8)</f>
        <v/>
      </c>
      <c r="O214" s="31" t="str">
        <f>IF('Phytopl Count'!O214=0,"",'Phytopl Count'!O214*'Phytopl Count'!O$13/'Phytopl Count'!O$8)</f>
        <v/>
      </c>
      <c r="P214" s="31" t="str">
        <f>IF('Phytopl Count'!P214=0,"",'Phytopl Count'!P214*'Phytopl Count'!P$13/'Phytopl Count'!P$8)</f>
        <v/>
      </c>
      <c r="Q214" s="31" t="str">
        <f>IF('Phytopl Count'!Q214=0,"",'Phytopl Count'!Q214*'Phytopl Count'!Q$13/'Phytopl Count'!Q$8)</f>
        <v/>
      </c>
      <c r="R214" s="31" t="str">
        <f>IF('Phytopl Count'!R214=0,"",'Phytopl Count'!R214*'Phytopl Count'!R$13/'Phytopl Count'!R$8)</f>
        <v/>
      </c>
      <c r="S214" s="31" t="str">
        <f>IF('Phytopl Count'!S214=0,"",'Phytopl Count'!S214*'Phytopl Count'!S$13/'Phytopl Count'!S$8)</f>
        <v/>
      </c>
      <c r="T214" s="31" t="str">
        <f>IF('Phytopl Count'!T214=0,"",'Phytopl Count'!T214*'Phytopl Count'!T$13/'Phytopl Count'!T$8)</f>
        <v/>
      </c>
      <c r="U214" s="31" t="str">
        <f>IF('Phytopl Count'!U214=0,"",'Phytopl Count'!U214*'Phytopl Count'!U$13/'Phytopl Count'!U$8)</f>
        <v/>
      </c>
      <c r="V214" s="31" t="str">
        <f>IF('Phytopl Count'!V214=0,"",'Phytopl Count'!V214*'Phytopl Count'!V$13/'Phytopl Count'!V$8)</f>
        <v/>
      </c>
      <c r="W214" s="31" t="str">
        <f>IF('Phytopl Count'!W214=0,"",'Phytopl Count'!W214*'Phytopl Count'!W$13/'Phytopl Count'!W$8)</f>
        <v/>
      </c>
      <c r="X214" s="31" t="str">
        <f>IF('Phytopl Count'!X214=0,"",'Phytopl Count'!X214*'Phytopl Count'!X$13/'Phytopl Count'!X$8)</f>
        <v/>
      </c>
      <c r="Y214" s="31" t="str">
        <f>IF('Phytopl Count'!Y214=0,"",'Phytopl Count'!Y214*'Phytopl Count'!Y$13/'Phytopl Count'!Y$8)</f>
        <v/>
      </c>
      <c r="Z214" s="31" t="str">
        <f>IF('Phytopl Count'!Z214=0,"",'Phytopl Count'!Z214*'Phytopl Count'!Z$13/'Phytopl Count'!Z$8)</f>
        <v/>
      </c>
      <c r="AA214" s="31" t="str">
        <f>IF('Phytopl Count'!AA214=0,"",'Phytopl Count'!AA214*'Phytopl Count'!AA$13/'Phytopl Count'!AA$8)</f>
        <v/>
      </c>
      <c r="AB214" s="31" t="str">
        <f>IF('Phytopl Count'!AB214=0,"",'Phytopl Count'!AB214*'Phytopl Count'!AB$13/'Phytopl Count'!AB$8)</f>
        <v/>
      </c>
      <c r="AC214" s="31" t="str">
        <f>IF('Phytopl Count'!AC214=0,"",'Phytopl Count'!AC214*'Phytopl Count'!AC$13/'Phytopl Count'!AC$8)</f>
        <v/>
      </c>
      <c r="AD214" s="31" t="str">
        <f>IF('Phytopl Count'!AD214=0,"",'Phytopl Count'!AD214*'Phytopl Count'!AD$13/'Phytopl Count'!AD$8)</f>
        <v/>
      </c>
      <c r="AE214" s="31" t="str">
        <f>IF('Phytopl Count'!AE214=0,"",'Phytopl Count'!AE214*'Phytopl Count'!AE$13/'Phytopl Count'!AE$8)</f>
        <v/>
      </c>
      <c r="AF214" s="31" t="str">
        <f>IF('Phytopl Count'!AF214=0,"",'Phytopl Count'!AF214*'Phytopl Count'!AF$13/'Phytopl Count'!AF$8)</f>
        <v/>
      </c>
    </row>
    <row r="215" spans="1:32" ht="15" customHeight="1">
      <c r="D215" s="10" t="s">
        <v>5</v>
      </c>
      <c r="E215" s="55" t="s">
        <v>163</v>
      </c>
      <c r="F215" s="11"/>
      <c r="G215" s="31" t="str">
        <f>IF('Phytopl Count'!G215=0,"",'Phytopl Count'!G215*'Phytopl Count'!G$13/'Phytopl Count'!G$8)</f>
        <v/>
      </c>
      <c r="H215" s="31" t="str">
        <f>IF('Phytopl Count'!H215=0,"",'Phytopl Count'!H215*'Phytopl Count'!H$13/'Phytopl Count'!H$8)</f>
        <v/>
      </c>
      <c r="I215" s="31" t="str">
        <f>IF('Phytopl Count'!I215=0,"",'Phytopl Count'!I215*'Phytopl Count'!I$13/'Phytopl Count'!I$8)</f>
        <v/>
      </c>
      <c r="J215" s="31" t="str">
        <f>IF('Phytopl Count'!J215=0,"",'Phytopl Count'!J215*'Phytopl Count'!J$13/'Phytopl Count'!J$8)</f>
        <v/>
      </c>
      <c r="K215" s="31" t="str">
        <f>IF('Phytopl Count'!K215=0,"",'Phytopl Count'!K215*'Phytopl Count'!K$13/'Phytopl Count'!K$8)</f>
        <v/>
      </c>
      <c r="L215" s="31" t="str">
        <f>IF('Phytopl Count'!L215=0,"",'Phytopl Count'!L215*'Phytopl Count'!L$13/'Phytopl Count'!L$8)</f>
        <v/>
      </c>
      <c r="M215" s="31" t="str">
        <f>IF('Phytopl Count'!M215=0,"",'Phytopl Count'!M215*'Phytopl Count'!M$13/'Phytopl Count'!M$8)</f>
        <v/>
      </c>
      <c r="N215" s="31" t="str">
        <f>IF('Phytopl Count'!N215=0,"",'Phytopl Count'!N215*'Phytopl Count'!N$13/'Phytopl Count'!N$8)</f>
        <v/>
      </c>
      <c r="O215" s="31" t="str">
        <f>IF('Phytopl Count'!O215=0,"",'Phytopl Count'!O215*'Phytopl Count'!O$13/'Phytopl Count'!O$8)</f>
        <v/>
      </c>
      <c r="P215" s="31" t="str">
        <f>IF('Phytopl Count'!P215=0,"",'Phytopl Count'!P215*'Phytopl Count'!P$13/'Phytopl Count'!P$8)</f>
        <v/>
      </c>
      <c r="Q215" s="31" t="str">
        <f>IF('Phytopl Count'!Q215=0,"",'Phytopl Count'!Q215*'Phytopl Count'!Q$13/'Phytopl Count'!Q$8)</f>
        <v/>
      </c>
      <c r="R215" s="31" t="str">
        <f>IF('Phytopl Count'!R215=0,"",'Phytopl Count'!R215*'Phytopl Count'!R$13/'Phytopl Count'!R$8)</f>
        <v/>
      </c>
      <c r="S215" s="31" t="str">
        <f>IF('Phytopl Count'!S215=0,"",'Phytopl Count'!S215*'Phytopl Count'!S$13/'Phytopl Count'!S$8)</f>
        <v/>
      </c>
      <c r="T215" s="31" t="str">
        <f>IF('Phytopl Count'!T215=0,"",'Phytopl Count'!T215*'Phytopl Count'!T$13/'Phytopl Count'!T$8)</f>
        <v/>
      </c>
      <c r="U215" s="31" t="str">
        <f>IF('Phytopl Count'!U215=0,"",'Phytopl Count'!U215*'Phytopl Count'!U$13/'Phytopl Count'!U$8)</f>
        <v/>
      </c>
      <c r="V215" s="31" t="str">
        <f>IF('Phytopl Count'!V215=0,"",'Phytopl Count'!V215*'Phytopl Count'!V$13/'Phytopl Count'!V$8)</f>
        <v/>
      </c>
      <c r="W215" s="31" t="str">
        <f>IF('Phytopl Count'!W215=0,"",'Phytopl Count'!W215*'Phytopl Count'!W$13/'Phytopl Count'!W$8)</f>
        <v/>
      </c>
      <c r="X215" s="31" t="str">
        <f>IF('Phytopl Count'!X215=0,"",'Phytopl Count'!X215*'Phytopl Count'!X$13/'Phytopl Count'!X$8)</f>
        <v/>
      </c>
      <c r="Y215" s="31" t="str">
        <f>IF('Phytopl Count'!Y215=0,"",'Phytopl Count'!Y215*'Phytopl Count'!Y$13/'Phytopl Count'!Y$8)</f>
        <v/>
      </c>
      <c r="Z215" s="31" t="str">
        <f>IF('Phytopl Count'!Z215=0,"",'Phytopl Count'!Z215*'Phytopl Count'!Z$13/'Phytopl Count'!Z$8)</f>
        <v/>
      </c>
      <c r="AA215" s="31" t="str">
        <f>IF('Phytopl Count'!AA215=0,"",'Phytopl Count'!AA215*'Phytopl Count'!AA$13/'Phytopl Count'!AA$8)</f>
        <v/>
      </c>
      <c r="AB215" s="31" t="str">
        <f>IF('Phytopl Count'!AB215=0,"",'Phytopl Count'!AB215*'Phytopl Count'!AB$13/'Phytopl Count'!AB$8)</f>
        <v/>
      </c>
      <c r="AC215" s="31" t="str">
        <f>IF('Phytopl Count'!AC215=0,"",'Phytopl Count'!AC215*'Phytopl Count'!AC$13/'Phytopl Count'!AC$8)</f>
        <v/>
      </c>
      <c r="AD215" s="31" t="str">
        <f>IF('Phytopl Count'!AD215=0,"",'Phytopl Count'!AD215*'Phytopl Count'!AD$13/'Phytopl Count'!AD$8)</f>
        <v/>
      </c>
      <c r="AE215" s="31" t="str">
        <f>IF('Phytopl Count'!AE215=0,"",'Phytopl Count'!AE215*'Phytopl Count'!AE$13/'Phytopl Count'!AE$8)</f>
        <v/>
      </c>
      <c r="AF215" s="31" t="str">
        <f>IF('Phytopl Count'!AF215=0,"",'Phytopl Count'!AF215*'Phytopl Count'!AF$13/'Phytopl Count'!AF$8)</f>
        <v/>
      </c>
    </row>
    <row r="216" spans="1:32" ht="15" customHeight="1">
      <c r="E216" s="10" t="s">
        <v>6</v>
      </c>
      <c r="F216" s="11" t="s">
        <v>43</v>
      </c>
      <c r="G216" s="31" t="str">
        <f>IF('Phytopl Count'!G216=0,"",'Phytopl Count'!G216*'Phytopl Count'!G$13/'Phytopl Count'!G$8)</f>
        <v/>
      </c>
      <c r="H216" s="31" t="str">
        <f>IF('Phytopl Count'!H216=0,"",'Phytopl Count'!H216*'Phytopl Count'!H$13/'Phytopl Count'!H$8)</f>
        <v/>
      </c>
      <c r="I216" s="31" t="str">
        <f>IF('Phytopl Count'!I216=0,"",'Phytopl Count'!I216*'Phytopl Count'!I$13/'Phytopl Count'!I$8)</f>
        <v/>
      </c>
      <c r="J216" s="31" t="str">
        <f>IF('Phytopl Count'!J216=0,"",'Phytopl Count'!J216*'Phytopl Count'!J$13/'Phytopl Count'!J$8)</f>
        <v/>
      </c>
      <c r="K216" s="31" t="str">
        <f>IF('Phytopl Count'!K216=0,"",'Phytopl Count'!K216*'Phytopl Count'!K$13/'Phytopl Count'!K$8)</f>
        <v/>
      </c>
      <c r="L216" s="31" t="str">
        <f>IF('Phytopl Count'!L216=0,"",'Phytopl Count'!L216*'Phytopl Count'!L$13/'Phytopl Count'!L$8)</f>
        <v/>
      </c>
      <c r="M216" s="31" t="str">
        <f>IF('Phytopl Count'!M216=0,"",'Phytopl Count'!M216*'Phytopl Count'!M$13/'Phytopl Count'!M$8)</f>
        <v/>
      </c>
      <c r="N216" s="31" t="str">
        <f>IF('Phytopl Count'!N216=0,"",'Phytopl Count'!N216*'Phytopl Count'!N$13/'Phytopl Count'!N$8)</f>
        <v/>
      </c>
      <c r="O216" s="31" t="str">
        <f>IF('Phytopl Count'!O216=0,"",'Phytopl Count'!O216*'Phytopl Count'!O$13/'Phytopl Count'!O$8)</f>
        <v/>
      </c>
      <c r="P216" s="31" t="str">
        <f>IF('Phytopl Count'!P216=0,"",'Phytopl Count'!P216*'Phytopl Count'!P$13/'Phytopl Count'!P$8)</f>
        <v/>
      </c>
      <c r="Q216" s="31" t="str">
        <f>IF('Phytopl Count'!Q216=0,"",'Phytopl Count'!Q216*'Phytopl Count'!Q$13/'Phytopl Count'!Q$8)</f>
        <v/>
      </c>
      <c r="R216" s="31" t="str">
        <f>IF('Phytopl Count'!R216=0,"",'Phytopl Count'!R216*'Phytopl Count'!R$13/'Phytopl Count'!R$8)</f>
        <v/>
      </c>
      <c r="S216" s="31" t="str">
        <f>IF('Phytopl Count'!S216=0,"",'Phytopl Count'!S216*'Phytopl Count'!S$13/'Phytopl Count'!S$8)</f>
        <v/>
      </c>
      <c r="T216" s="31" t="str">
        <f>IF('Phytopl Count'!T216=0,"",'Phytopl Count'!T216*'Phytopl Count'!T$13/'Phytopl Count'!T$8)</f>
        <v/>
      </c>
      <c r="U216" s="31" t="str">
        <f>IF('Phytopl Count'!U216=0,"",'Phytopl Count'!U216*'Phytopl Count'!U$13/'Phytopl Count'!U$8)</f>
        <v/>
      </c>
      <c r="V216" s="31" t="str">
        <f>IF('Phytopl Count'!V216=0,"",'Phytopl Count'!V216*'Phytopl Count'!V$13/'Phytopl Count'!V$8)</f>
        <v/>
      </c>
      <c r="W216" s="31" t="str">
        <f>IF('Phytopl Count'!W216=0,"",'Phytopl Count'!W216*'Phytopl Count'!W$13/'Phytopl Count'!W$8)</f>
        <v/>
      </c>
      <c r="X216" s="31" t="str">
        <f>IF('Phytopl Count'!X216=0,"",'Phytopl Count'!X216*'Phytopl Count'!X$13/'Phytopl Count'!X$8)</f>
        <v/>
      </c>
      <c r="Y216" s="31" t="str">
        <f>IF('Phytopl Count'!Y216=0,"",'Phytopl Count'!Y216*'Phytopl Count'!Y$13/'Phytopl Count'!Y$8)</f>
        <v/>
      </c>
      <c r="Z216" s="31" t="str">
        <f>IF('Phytopl Count'!Z216=0,"",'Phytopl Count'!Z216*'Phytopl Count'!Z$13/'Phytopl Count'!Z$8)</f>
        <v/>
      </c>
      <c r="AA216" s="31">
        <f>IF('Phytopl Count'!AA216=0,"",'Phytopl Count'!AA216*'Phytopl Count'!AA$13/'Phytopl Count'!AA$8)</f>
        <v>3.2031183515350004E-2</v>
      </c>
      <c r="AB216" s="31" t="str">
        <f>IF('Phytopl Count'!AB216=0,"",'Phytopl Count'!AB216*'Phytopl Count'!AB$13/'Phytopl Count'!AB$8)</f>
        <v/>
      </c>
      <c r="AC216" s="31" t="str">
        <f>IF('Phytopl Count'!AC216=0,"",'Phytopl Count'!AC216*'Phytopl Count'!AC$13/'Phytopl Count'!AC$8)</f>
        <v/>
      </c>
      <c r="AD216" s="31" t="str">
        <f>IF('Phytopl Count'!AD216=0,"",'Phytopl Count'!AD216*'Phytopl Count'!AD$13/'Phytopl Count'!AD$8)</f>
        <v/>
      </c>
      <c r="AE216" s="31" t="str">
        <f>IF('Phytopl Count'!AE216=0,"",'Phytopl Count'!AE216*'Phytopl Count'!AE$13/'Phytopl Count'!AE$8)</f>
        <v/>
      </c>
      <c r="AF216" s="31" t="str">
        <f>IF('Phytopl Count'!AF216=0,"",'Phytopl Count'!AF216*'Phytopl Count'!AF$13/'Phytopl Count'!AF$8)</f>
        <v/>
      </c>
    </row>
    <row r="217" spans="1:32" ht="15" customHeight="1">
      <c r="D217" s="10" t="s">
        <v>5</v>
      </c>
      <c r="E217" s="64" t="s">
        <v>305</v>
      </c>
      <c r="F217" s="11"/>
      <c r="G217" s="31" t="str">
        <f>IF('Phytopl Count'!G217=0,"",'Phytopl Count'!G217*'Phytopl Count'!G$13/'Phytopl Count'!G$8)</f>
        <v/>
      </c>
      <c r="H217" s="31" t="str">
        <f>IF('Phytopl Count'!H217=0,"",'Phytopl Count'!H217*'Phytopl Count'!H$13/'Phytopl Count'!H$8)</f>
        <v/>
      </c>
      <c r="I217" s="31" t="str">
        <f>IF('Phytopl Count'!I217=0,"",'Phytopl Count'!I217*'Phytopl Count'!I$13/'Phytopl Count'!I$8)</f>
        <v/>
      </c>
      <c r="J217" s="31" t="str">
        <f>IF('Phytopl Count'!J217=0,"",'Phytopl Count'!J217*'Phytopl Count'!J$13/'Phytopl Count'!J$8)</f>
        <v/>
      </c>
      <c r="K217" s="31" t="str">
        <f>IF('Phytopl Count'!K217=0,"",'Phytopl Count'!K217*'Phytopl Count'!K$13/'Phytopl Count'!K$8)</f>
        <v/>
      </c>
      <c r="L217" s="31" t="str">
        <f>IF('Phytopl Count'!L217=0,"",'Phytopl Count'!L217*'Phytopl Count'!L$13/'Phytopl Count'!L$8)</f>
        <v/>
      </c>
      <c r="M217" s="31" t="str">
        <f>IF('Phytopl Count'!M217=0,"",'Phytopl Count'!M217*'Phytopl Count'!M$13/'Phytopl Count'!M$8)</f>
        <v/>
      </c>
      <c r="N217" s="31" t="str">
        <f>IF('Phytopl Count'!N217=0,"",'Phytopl Count'!N217*'Phytopl Count'!N$13/'Phytopl Count'!N$8)</f>
        <v/>
      </c>
      <c r="O217" s="31" t="str">
        <f>IF('Phytopl Count'!O217=0,"",'Phytopl Count'!O217*'Phytopl Count'!O$13/'Phytopl Count'!O$8)</f>
        <v/>
      </c>
      <c r="P217" s="31" t="str">
        <f>IF('Phytopl Count'!P217=0,"",'Phytopl Count'!P217*'Phytopl Count'!P$13/'Phytopl Count'!P$8)</f>
        <v/>
      </c>
      <c r="Q217" s="31" t="str">
        <f>IF('Phytopl Count'!Q217=0,"",'Phytopl Count'!Q217*'Phytopl Count'!Q$13/'Phytopl Count'!Q$8)</f>
        <v/>
      </c>
      <c r="R217" s="31" t="str">
        <f>IF('Phytopl Count'!R217=0,"",'Phytopl Count'!R217*'Phytopl Count'!R$13/'Phytopl Count'!R$8)</f>
        <v/>
      </c>
      <c r="S217" s="31" t="str">
        <f>IF('Phytopl Count'!S217=0,"",'Phytopl Count'!S217*'Phytopl Count'!S$13/'Phytopl Count'!S$8)</f>
        <v/>
      </c>
      <c r="T217" s="31" t="str">
        <f>IF('Phytopl Count'!T217=0,"",'Phytopl Count'!T217*'Phytopl Count'!T$13/'Phytopl Count'!T$8)</f>
        <v/>
      </c>
      <c r="U217" s="31" t="str">
        <f>IF('Phytopl Count'!U217=0,"",'Phytopl Count'!U217*'Phytopl Count'!U$13/'Phytopl Count'!U$8)</f>
        <v/>
      </c>
      <c r="V217" s="31" t="str">
        <f>IF('Phytopl Count'!V217=0,"",'Phytopl Count'!V217*'Phytopl Count'!V$13/'Phytopl Count'!V$8)</f>
        <v/>
      </c>
      <c r="W217" s="31" t="str">
        <f>IF('Phytopl Count'!W217=0,"",'Phytopl Count'!W217*'Phytopl Count'!W$13/'Phytopl Count'!W$8)</f>
        <v/>
      </c>
      <c r="X217" s="31" t="str">
        <f>IF('Phytopl Count'!X217=0,"",'Phytopl Count'!X217*'Phytopl Count'!X$13/'Phytopl Count'!X$8)</f>
        <v/>
      </c>
      <c r="Y217" s="31" t="str">
        <f>IF('Phytopl Count'!Y217=0,"",'Phytopl Count'!Y217*'Phytopl Count'!Y$13/'Phytopl Count'!Y$8)</f>
        <v/>
      </c>
      <c r="Z217" s="31" t="str">
        <f>IF('Phytopl Count'!Z217=0,"",'Phytopl Count'!Z217*'Phytopl Count'!Z$13/'Phytopl Count'!Z$8)</f>
        <v/>
      </c>
      <c r="AA217" s="31" t="str">
        <f>IF('Phytopl Count'!AA217=0,"",'Phytopl Count'!AA217*'Phytopl Count'!AA$13/'Phytopl Count'!AA$8)</f>
        <v/>
      </c>
      <c r="AB217" s="31" t="str">
        <f>IF('Phytopl Count'!AB217=0,"",'Phytopl Count'!AB217*'Phytopl Count'!AB$13/'Phytopl Count'!AB$8)</f>
        <v/>
      </c>
      <c r="AC217" s="31" t="str">
        <f>IF('Phytopl Count'!AC217=0,"",'Phytopl Count'!AC217*'Phytopl Count'!AC$13/'Phytopl Count'!AC$8)</f>
        <v/>
      </c>
      <c r="AD217" s="31" t="str">
        <f>IF('Phytopl Count'!AD217=0,"",'Phytopl Count'!AD217*'Phytopl Count'!AD$13/'Phytopl Count'!AD$8)</f>
        <v/>
      </c>
      <c r="AE217" s="31" t="str">
        <f>IF('Phytopl Count'!AE217=0,"",'Phytopl Count'!AE217*'Phytopl Count'!AE$13/'Phytopl Count'!AE$8)</f>
        <v/>
      </c>
      <c r="AF217" s="31" t="str">
        <f>IF('Phytopl Count'!AF217=0,"",'Phytopl Count'!AF217*'Phytopl Count'!AF$13/'Phytopl Count'!AF$8)</f>
        <v/>
      </c>
    </row>
    <row r="218" spans="1:32" ht="15" customHeight="1">
      <c r="E218" s="10" t="s">
        <v>6</v>
      </c>
      <c r="F218" s="11" t="s">
        <v>173</v>
      </c>
      <c r="G218" s="31" t="str">
        <f>IF('Phytopl Count'!G218=0,"",'Phytopl Count'!G218*'Phytopl Count'!G$13/'Phytopl Count'!G$8)</f>
        <v/>
      </c>
      <c r="H218" s="31" t="str">
        <f>IF('Phytopl Count'!H218=0,"",'Phytopl Count'!H218*'Phytopl Count'!H$13/'Phytopl Count'!H$8)</f>
        <v/>
      </c>
      <c r="I218" s="31" t="str">
        <f>IF('Phytopl Count'!I218=0,"",'Phytopl Count'!I218*'Phytopl Count'!I$13/'Phytopl Count'!I$8)</f>
        <v/>
      </c>
      <c r="J218" s="31" t="str">
        <f>IF('Phytopl Count'!J218=0,"",'Phytopl Count'!J218*'Phytopl Count'!J$13/'Phytopl Count'!J$8)</f>
        <v/>
      </c>
      <c r="K218" s="31" t="str">
        <f>IF('Phytopl Count'!K218=0,"",'Phytopl Count'!K218*'Phytopl Count'!K$13/'Phytopl Count'!K$8)</f>
        <v/>
      </c>
      <c r="L218" s="31" t="str">
        <f>IF('Phytopl Count'!L218=0,"",'Phytopl Count'!L218*'Phytopl Count'!L$13/'Phytopl Count'!L$8)</f>
        <v/>
      </c>
      <c r="M218" s="31" t="str">
        <f>IF('Phytopl Count'!M218=0,"",'Phytopl Count'!M218*'Phytopl Count'!M$13/'Phytopl Count'!M$8)</f>
        <v/>
      </c>
      <c r="N218" s="31" t="str">
        <f>IF('Phytopl Count'!N218=0,"",'Phytopl Count'!N218*'Phytopl Count'!N$13/'Phytopl Count'!N$8)</f>
        <v/>
      </c>
      <c r="O218" s="31" t="str">
        <f>IF('Phytopl Count'!O218=0,"",'Phytopl Count'!O218*'Phytopl Count'!O$13/'Phytopl Count'!O$8)</f>
        <v/>
      </c>
      <c r="P218" s="31" t="str">
        <f>IF('Phytopl Count'!P218=0,"",'Phytopl Count'!P218*'Phytopl Count'!P$13/'Phytopl Count'!P$8)</f>
        <v/>
      </c>
      <c r="Q218" s="31" t="str">
        <f>IF('Phytopl Count'!Q218=0,"",'Phytopl Count'!Q218*'Phytopl Count'!Q$13/'Phytopl Count'!Q$8)</f>
        <v/>
      </c>
      <c r="R218" s="31" t="str">
        <f>IF('Phytopl Count'!R218=0,"",'Phytopl Count'!R218*'Phytopl Count'!R$13/'Phytopl Count'!R$8)</f>
        <v/>
      </c>
      <c r="S218" s="31" t="str">
        <f>IF('Phytopl Count'!S218=0,"",'Phytopl Count'!S218*'Phytopl Count'!S$13/'Phytopl Count'!S$8)</f>
        <v/>
      </c>
      <c r="T218" s="31">
        <f>IF('Phytopl Count'!T218=0,"",'Phytopl Count'!T218*'Phytopl Count'!T$13/'Phytopl Count'!T$8)</f>
        <v>4.8046775273025012E-2</v>
      </c>
      <c r="U218" s="31">
        <f>IF('Phytopl Count'!U218=0,"",'Phytopl Count'!U218*'Phytopl Count'!U$13/'Phytopl Count'!U$8)</f>
        <v>3.2031183515350004E-2</v>
      </c>
      <c r="V218" s="31" t="str">
        <f>IF('Phytopl Count'!V218=0,"",'Phytopl Count'!V218*'Phytopl Count'!V$13/'Phytopl Count'!V$8)</f>
        <v/>
      </c>
      <c r="W218" s="31" t="str">
        <f>IF('Phytopl Count'!W218=0,"",'Phytopl Count'!W218*'Phytopl Count'!W$13/'Phytopl Count'!W$8)</f>
        <v/>
      </c>
      <c r="X218" s="31" t="str">
        <f>IF('Phytopl Count'!X218=0,"",'Phytopl Count'!X218*'Phytopl Count'!X$13/'Phytopl Count'!X$8)</f>
        <v/>
      </c>
      <c r="Y218" s="31" t="str">
        <f>IF('Phytopl Count'!Y218=0,"",'Phytopl Count'!Y218*'Phytopl Count'!Y$13/'Phytopl Count'!Y$8)</f>
        <v/>
      </c>
      <c r="Z218" s="31" t="str">
        <f>IF('Phytopl Count'!Z218=0,"",'Phytopl Count'!Z218*'Phytopl Count'!Z$13/'Phytopl Count'!Z$8)</f>
        <v/>
      </c>
      <c r="AA218" s="31" t="str">
        <f>IF('Phytopl Count'!AA218=0,"",'Phytopl Count'!AA218*'Phytopl Count'!AA$13/'Phytopl Count'!AA$8)</f>
        <v/>
      </c>
      <c r="AB218" s="31" t="str">
        <f>IF('Phytopl Count'!AB218=0,"",'Phytopl Count'!AB218*'Phytopl Count'!AB$13/'Phytopl Count'!AB$8)</f>
        <v/>
      </c>
      <c r="AC218" s="31" t="str">
        <f>IF('Phytopl Count'!AC218=0,"",'Phytopl Count'!AC218*'Phytopl Count'!AC$13/'Phytopl Count'!AC$8)</f>
        <v/>
      </c>
      <c r="AD218" s="31" t="str">
        <f>IF('Phytopl Count'!AD218=0,"",'Phytopl Count'!AD218*'Phytopl Count'!AD$13/'Phytopl Count'!AD$8)</f>
        <v/>
      </c>
      <c r="AE218" s="31" t="str">
        <f>IF('Phytopl Count'!AE218=0,"",'Phytopl Count'!AE218*'Phytopl Count'!AE$13/'Phytopl Count'!AE$8)</f>
        <v/>
      </c>
      <c r="AF218" s="31" t="str">
        <f>IF('Phytopl Count'!AF218=0,"",'Phytopl Count'!AF218*'Phytopl Count'!AF$13/'Phytopl Count'!AF$8)</f>
        <v/>
      </c>
    </row>
    <row r="219" spans="1:32" hidden="1">
      <c r="C219" s="16" t="s">
        <v>73</v>
      </c>
      <c r="D219" s="4" t="s">
        <v>389</v>
      </c>
      <c r="E219" s="10"/>
      <c r="F219" s="9"/>
      <c r="G219" s="31" t="str">
        <f>IF('Phytopl Count'!G219=0,"",'Phytopl Count'!G219*'Phytopl Count'!G$13/'Phytopl Count'!G$8)</f>
        <v/>
      </c>
      <c r="H219" s="31" t="str">
        <f>IF('Phytopl Count'!H219=0,"",'Phytopl Count'!H219*'Phytopl Count'!H$13/'Phytopl Count'!H$8)</f>
        <v/>
      </c>
      <c r="I219" s="31" t="str">
        <f>IF('Phytopl Count'!I219=0,"",'Phytopl Count'!I219*'Phytopl Count'!I$13/'Phytopl Count'!I$8)</f>
        <v/>
      </c>
      <c r="J219" s="31" t="str">
        <f>IF('Phytopl Count'!J219=0,"",'Phytopl Count'!J219*'Phytopl Count'!J$13/'Phytopl Count'!J$8)</f>
        <v/>
      </c>
      <c r="K219" s="31" t="str">
        <f>IF('Phytopl Count'!K219=0,"",'Phytopl Count'!K219*'Phytopl Count'!K$13/'Phytopl Count'!K$8)</f>
        <v/>
      </c>
      <c r="L219" s="31" t="str">
        <f>IF('Phytopl Count'!L219=0,"",'Phytopl Count'!L219*'Phytopl Count'!L$13/'Phytopl Count'!L$8)</f>
        <v/>
      </c>
      <c r="M219" s="31" t="str">
        <f>IF('Phytopl Count'!M219=0,"",'Phytopl Count'!M219*'Phytopl Count'!M$13/'Phytopl Count'!M$8)</f>
        <v/>
      </c>
      <c r="N219" s="31" t="str">
        <f>IF('Phytopl Count'!N219=0,"",'Phytopl Count'!N219*'Phytopl Count'!N$13/'Phytopl Count'!N$8)</f>
        <v/>
      </c>
      <c r="O219" s="31" t="str">
        <f>IF('Phytopl Count'!O219=0,"",'Phytopl Count'!O219*'Phytopl Count'!O$13/'Phytopl Count'!O$8)</f>
        <v/>
      </c>
      <c r="P219" s="31" t="str">
        <f>IF('Phytopl Count'!P219=0,"",'Phytopl Count'!P219*'Phytopl Count'!P$13/'Phytopl Count'!P$8)</f>
        <v/>
      </c>
      <c r="Q219" s="31" t="str">
        <f>IF('Phytopl Count'!Q219=0,"",'Phytopl Count'!Q219*'Phytopl Count'!Q$13/'Phytopl Count'!Q$8)</f>
        <v/>
      </c>
      <c r="R219" s="31" t="str">
        <f>IF('Phytopl Count'!R219=0,"",'Phytopl Count'!R219*'Phytopl Count'!R$13/'Phytopl Count'!R$8)</f>
        <v/>
      </c>
      <c r="S219" s="31" t="str">
        <f>IF('Phytopl Count'!S219=0,"",'Phytopl Count'!S219*'Phytopl Count'!S$13/'Phytopl Count'!S$8)</f>
        <v/>
      </c>
      <c r="T219" s="31" t="str">
        <f>IF('Phytopl Count'!T219=0,"",'Phytopl Count'!T219*'Phytopl Count'!T$13/'Phytopl Count'!T$8)</f>
        <v/>
      </c>
      <c r="U219" s="31" t="str">
        <f>IF('Phytopl Count'!U219=0,"",'Phytopl Count'!U219*'Phytopl Count'!U$13/'Phytopl Count'!U$8)</f>
        <v/>
      </c>
      <c r="V219" s="31" t="str">
        <f>IF('Phytopl Count'!V219=0,"",'Phytopl Count'!V219*'Phytopl Count'!V$13/'Phytopl Count'!V$8)</f>
        <v/>
      </c>
      <c r="W219" s="31" t="str">
        <f>IF('Phytopl Count'!W219=0,"",'Phytopl Count'!W219*'Phytopl Count'!W$13/'Phytopl Count'!W$8)</f>
        <v/>
      </c>
      <c r="X219" s="31" t="str">
        <f>IF('Phytopl Count'!X219=0,"",'Phytopl Count'!X219*'Phytopl Count'!X$13/'Phytopl Count'!X$8)</f>
        <v/>
      </c>
      <c r="Y219" s="31" t="str">
        <f>IF('Phytopl Count'!Y219=0,"",'Phytopl Count'!Y219*'Phytopl Count'!Y$13/'Phytopl Count'!Y$8)</f>
        <v/>
      </c>
      <c r="Z219" s="31" t="str">
        <f>IF('Phytopl Count'!Z219=0,"",'Phytopl Count'!Z219*'Phytopl Count'!Z$13/'Phytopl Count'!Z$8)</f>
        <v/>
      </c>
      <c r="AA219" s="31" t="str">
        <f>IF('Phytopl Count'!AA219=0,"",'Phytopl Count'!AA219*'Phytopl Count'!AA$13/'Phytopl Count'!AA$8)</f>
        <v/>
      </c>
      <c r="AB219" s="31" t="str">
        <f>IF('Phytopl Count'!AB219=0,"",'Phytopl Count'!AB219*'Phytopl Count'!AB$13/'Phytopl Count'!AB$8)</f>
        <v/>
      </c>
      <c r="AC219" s="31" t="str">
        <f>IF('Phytopl Count'!AC219=0,"",'Phytopl Count'!AC219*'Phytopl Count'!AC$13/'Phytopl Count'!AC$8)</f>
        <v/>
      </c>
      <c r="AD219" s="31" t="str">
        <f>IF('Phytopl Count'!AD219=0,"",'Phytopl Count'!AD219*'Phytopl Count'!AD$13/'Phytopl Count'!AD$8)</f>
        <v/>
      </c>
      <c r="AE219" s="31" t="str">
        <f>IF('Phytopl Count'!AE219=0,"",'Phytopl Count'!AE219*'Phytopl Count'!AE$13/'Phytopl Count'!AE$8)</f>
        <v/>
      </c>
      <c r="AF219" s="31" t="str">
        <f>IF('Phytopl Count'!AF219=0,"",'Phytopl Count'!AF219*'Phytopl Count'!AF$13/'Phytopl Count'!AF$8)</f>
        <v/>
      </c>
    </row>
    <row r="220" spans="1:32" hidden="1">
      <c r="D220" s="10" t="s">
        <v>5</v>
      </c>
      <c r="E220" s="170" t="s">
        <v>390</v>
      </c>
      <c r="F220" s="9"/>
      <c r="G220" s="31" t="str">
        <f>IF('Phytopl Count'!G220=0,"",'Phytopl Count'!G220*'Phytopl Count'!G$13/'Phytopl Count'!G$8)</f>
        <v/>
      </c>
      <c r="H220" s="31" t="str">
        <f>IF('Phytopl Count'!H220=0,"",'Phytopl Count'!H220*'Phytopl Count'!H$13/'Phytopl Count'!H$8)</f>
        <v/>
      </c>
      <c r="I220" s="31" t="str">
        <f>IF('Phytopl Count'!I220=0,"",'Phytopl Count'!I220*'Phytopl Count'!I$13/'Phytopl Count'!I$8)</f>
        <v/>
      </c>
      <c r="J220" s="31" t="str">
        <f>IF('Phytopl Count'!J220=0,"",'Phytopl Count'!J220*'Phytopl Count'!J$13/'Phytopl Count'!J$8)</f>
        <v/>
      </c>
      <c r="K220" s="31" t="str">
        <f>IF('Phytopl Count'!K220=0,"",'Phytopl Count'!K220*'Phytopl Count'!K$13/'Phytopl Count'!K$8)</f>
        <v/>
      </c>
      <c r="L220" s="31" t="str">
        <f>IF('Phytopl Count'!L220=0,"",'Phytopl Count'!L220*'Phytopl Count'!L$13/'Phytopl Count'!L$8)</f>
        <v/>
      </c>
      <c r="M220" s="31" t="str">
        <f>IF('Phytopl Count'!M220=0,"",'Phytopl Count'!M220*'Phytopl Count'!M$13/'Phytopl Count'!M$8)</f>
        <v/>
      </c>
      <c r="N220" s="31" t="str">
        <f>IF('Phytopl Count'!N220=0,"",'Phytopl Count'!N220*'Phytopl Count'!N$13/'Phytopl Count'!N$8)</f>
        <v/>
      </c>
      <c r="O220" s="31" t="str">
        <f>IF('Phytopl Count'!O220=0,"",'Phytopl Count'!O220*'Phytopl Count'!O$13/'Phytopl Count'!O$8)</f>
        <v/>
      </c>
      <c r="P220" s="31" t="str">
        <f>IF('Phytopl Count'!P220=0,"",'Phytopl Count'!P220*'Phytopl Count'!P$13/'Phytopl Count'!P$8)</f>
        <v/>
      </c>
      <c r="Q220" s="31" t="str">
        <f>IF('Phytopl Count'!Q220=0,"",'Phytopl Count'!Q220*'Phytopl Count'!Q$13/'Phytopl Count'!Q$8)</f>
        <v/>
      </c>
      <c r="R220" s="31" t="str">
        <f>IF('Phytopl Count'!R220=0,"",'Phytopl Count'!R220*'Phytopl Count'!R$13/'Phytopl Count'!R$8)</f>
        <v/>
      </c>
      <c r="S220" s="31" t="str">
        <f>IF('Phytopl Count'!S220=0,"",'Phytopl Count'!S220*'Phytopl Count'!S$13/'Phytopl Count'!S$8)</f>
        <v/>
      </c>
      <c r="T220" s="31" t="str">
        <f>IF('Phytopl Count'!T220=0,"",'Phytopl Count'!T220*'Phytopl Count'!T$13/'Phytopl Count'!T$8)</f>
        <v/>
      </c>
      <c r="U220" s="31" t="str">
        <f>IF('Phytopl Count'!U220=0,"",'Phytopl Count'!U220*'Phytopl Count'!U$13/'Phytopl Count'!U$8)</f>
        <v/>
      </c>
      <c r="V220" s="31" t="str">
        <f>IF('Phytopl Count'!V220=0,"",'Phytopl Count'!V220*'Phytopl Count'!V$13/'Phytopl Count'!V$8)</f>
        <v/>
      </c>
      <c r="W220" s="31" t="str">
        <f>IF('Phytopl Count'!W220=0,"",'Phytopl Count'!W220*'Phytopl Count'!W$13/'Phytopl Count'!W$8)</f>
        <v/>
      </c>
      <c r="X220" s="31" t="str">
        <f>IF('Phytopl Count'!X220=0,"",'Phytopl Count'!X220*'Phytopl Count'!X$13/'Phytopl Count'!X$8)</f>
        <v/>
      </c>
      <c r="Y220" s="31" t="str">
        <f>IF('Phytopl Count'!Y220=0,"",'Phytopl Count'!Y220*'Phytopl Count'!Y$13/'Phytopl Count'!Y$8)</f>
        <v/>
      </c>
      <c r="Z220" s="31" t="str">
        <f>IF('Phytopl Count'!Z220=0,"",'Phytopl Count'!Z220*'Phytopl Count'!Z$13/'Phytopl Count'!Z$8)</f>
        <v/>
      </c>
      <c r="AA220" s="31" t="str">
        <f>IF('Phytopl Count'!AA220=0,"",'Phytopl Count'!AA220*'Phytopl Count'!AA$13/'Phytopl Count'!AA$8)</f>
        <v/>
      </c>
      <c r="AB220" s="31" t="str">
        <f>IF('Phytopl Count'!AB220=0,"",'Phytopl Count'!AB220*'Phytopl Count'!AB$13/'Phytopl Count'!AB$8)</f>
        <v/>
      </c>
      <c r="AC220" s="31" t="str">
        <f>IF('Phytopl Count'!AC220=0,"",'Phytopl Count'!AC220*'Phytopl Count'!AC$13/'Phytopl Count'!AC$8)</f>
        <v/>
      </c>
      <c r="AD220" s="31" t="str">
        <f>IF('Phytopl Count'!AD220=0,"",'Phytopl Count'!AD220*'Phytopl Count'!AD$13/'Phytopl Count'!AD$8)</f>
        <v/>
      </c>
      <c r="AE220" s="31" t="str">
        <f>IF('Phytopl Count'!AE220=0,"",'Phytopl Count'!AE220*'Phytopl Count'!AE$13/'Phytopl Count'!AE$8)</f>
        <v/>
      </c>
      <c r="AF220" s="31" t="str">
        <f>IF('Phytopl Count'!AF220=0,"",'Phytopl Count'!AF220*'Phytopl Count'!AF$13/'Phytopl Count'!AF$8)</f>
        <v/>
      </c>
    </row>
    <row r="221" spans="1:32" hidden="1">
      <c r="E221" s="10" t="s">
        <v>6</v>
      </c>
      <c r="F221" s="11" t="s">
        <v>391</v>
      </c>
      <c r="G221" s="31" t="str">
        <f>IF('Phytopl Count'!G221=0,"",'Phytopl Count'!G221*'Phytopl Count'!G$13/'Phytopl Count'!G$8)</f>
        <v/>
      </c>
      <c r="H221" s="31" t="str">
        <f>IF('Phytopl Count'!H221=0,"",'Phytopl Count'!H221*'Phytopl Count'!H$13/'Phytopl Count'!H$8)</f>
        <v/>
      </c>
      <c r="I221" s="31" t="str">
        <f>IF('Phytopl Count'!I221=0,"",'Phytopl Count'!I221*'Phytopl Count'!I$13/'Phytopl Count'!I$8)</f>
        <v/>
      </c>
      <c r="J221" s="31" t="str">
        <f>IF('Phytopl Count'!J221=0,"",'Phytopl Count'!J221*'Phytopl Count'!J$13/'Phytopl Count'!J$8)</f>
        <v/>
      </c>
      <c r="K221" s="31" t="str">
        <f>IF('Phytopl Count'!K221=0,"",'Phytopl Count'!K221*'Phytopl Count'!K$13/'Phytopl Count'!K$8)</f>
        <v/>
      </c>
      <c r="L221" s="31" t="str">
        <f>IF('Phytopl Count'!L221=0,"",'Phytopl Count'!L221*'Phytopl Count'!L$13/'Phytopl Count'!L$8)</f>
        <v/>
      </c>
      <c r="M221" s="31" t="str">
        <f>IF('Phytopl Count'!M221=0,"",'Phytopl Count'!M221*'Phytopl Count'!M$13/'Phytopl Count'!M$8)</f>
        <v/>
      </c>
      <c r="N221" s="31" t="str">
        <f>IF('Phytopl Count'!N221=0,"",'Phytopl Count'!N221*'Phytopl Count'!N$13/'Phytopl Count'!N$8)</f>
        <v/>
      </c>
      <c r="O221" s="31" t="str">
        <f>IF('Phytopl Count'!O221=0,"",'Phytopl Count'!O221*'Phytopl Count'!O$13/'Phytopl Count'!O$8)</f>
        <v/>
      </c>
      <c r="P221" s="31" t="str">
        <f>IF('Phytopl Count'!P221=0,"",'Phytopl Count'!P221*'Phytopl Count'!P$13/'Phytopl Count'!P$8)</f>
        <v/>
      </c>
      <c r="Q221" s="31" t="str">
        <f>IF('Phytopl Count'!Q221=0,"",'Phytopl Count'!Q221*'Phytopl Count'!Q$13/'Phytopl Count'!Q$8)</f>
        <v/>
      </c>
      <c r="R221" s="31" t="str">
        <f>IF('Phytopl Count'!R221=0,"",'Phytopl Count'!R221*'Phytopl Count'!R$13/'Phytopl Count'!R$8)</f>
        <v/>
      </c>
      <c r="S221" s="31" t="str">
        <f>IF('Phytopl Count'!S221=0,"",'Phytopl Count'!S221*'Phytopl Count'!S$13/'Phytopl Count'!S$8)</f>
        <v/>
      </c>
      <c r="T221" s="31" t="str">
        <f>IF('Phytopl Count'!T221=0,"",'Phytopl Count'!T221*'Phytopl Count'!T$13/'Phytopl Count'!T$8)</f>
        <v/>
      </c>
      <c r="U221" s="31" t="str">
        <f>IF('Phytopl Count'!U221=0,"",'Phytopl Count'!U221*'Phytopl Count'!U$13/'Phytopl Count'!U$8)</f>
        <v/>
      </c>
      <c r="V221" s="31" t="str">
        <f>IF('Phytopl Count'!V221=0,"",'Phytopl Count'!V221*'Phytopl Count'!V$13/'Phytopl Count'!V$8)</f>
        <v/>
      </c>
      <c r="W221" s="31" t="str">
        <f>IF('Phytopl Count'!W221=0,"",'Phytopl Count'!W221*'Phytopl Count'!W$13/'Phytopl Count'!W$8)</f>
        <v/>
      </c>
      <c r="X221" s="31" t="str">
        <f>IF('Phytopl Count'!X221=0,"",'Phytopl Count'!X221*'Phytopl Count'!X$13/'Phytopl Count'!X$8)</f>
        <v/>
      </c>
      <c r="Y221" s="31" t="str">
        <f>IF('Phytopl Count'!Y221=0,"",'Phytopl Count'!Y221*'Phytopl Count'!Y$13/'Phytopl Count'!Y$8)</f>
        <v/>
      </c>
      <c r="Z221" s="31" t="str">
        <f>IF('Phytopl Count'!Z221=0,"",'Phytopl Count'!Z221*'Phytopl Count'!Z$13/'Phytopl Count'!Z$8)</f>
        <v/>
      </c>
      <c r="AA221" s="31" t="str">
        <f>IF('Phytopl Count'!AA221=0,"",'Phytopl Count'!AA221*'Phytopl Count'!AA$13/'Phytopl Count'!AA$8)</f>
        <v/>
      </c>
      <c r="AB221" s="31" t="str">
        <f>IF('Phytopl Count'!AB221=0,"",'Phytopl Count'!AB221*'Phytopl Count'!AB$13/'Phytopl Count'!AB$8)</f>
        <v/>
      </c>
      <c r="AC221" s="31" t="str">
        <f>IF('Phytopl Count'!AC221=0,"",'Phytopl Count'!AC221*'Phytopl Count'!AC$13/'Phytopl Count'!AC$8)</f>
        <v/>
      </c>
      <c r="AD221" s="31" t="str">
        <f>IF('Phytopl Count'!AD221=0,"",'Phytopl Count'!AD221*'Phytopl Count'!AD$13/'Phytopl Count'!AD$8)</f>
        <v/>
      </c>
      <c r="AE221" s="31" t="str">
        <f>IF('Phytopl Count'!AE221=0,"",'Phytopl Count'!AE221*'Phytopl Count'!AE$13/'Phytopl Count'!AE$8)</f>
        <v/>
      </c>
      <c r="AF221" s="31" t="str">
        <f>IF('Phytopl Count'!AF221=0,"",'Phytopl Count'!AF221*'Phytopl Count'!AF$13/'Phytopl Count'!AF$8)</f>
        <v/>
      </c>
    </row>
    <row r="222" spans="1:32">
      <c r="C222" s="16" t="s">
        <v>73</v>
      </c>
      <c r="D222" s="4" t="s">
        <v>96</v>
      </c>
      <c r="E222" s="10"/>
      <c r="F222" s="9"/>
      <c r="G222" s="31" t="str">
        <f>IF('Phytopl Count'!G222=0,"",'Phytopl Count'!G222*'Phytopl Count'!G$13/'Phytopl Count'!G$8)</f>
        <v/>
      </c>
      <c r="H222" s="31" t="str">
        <f>IF('Phytopl Count'!H222=0,"",'Phytopl Count'!H222*'Phytopl Count'!H$13/'Phytopl Count'!H$8)</f>
        <v/>
      </c>
      <c r="I222" s="31" t="str">
        <f>IF('Phytopl Count'!I222=0,"",'Phytopl Count'!I222*'Phytopl Count'!I$13/'Phytopl Count'!I$8)</f>
        <v/>
      </c>
      <c r="J222" s="31" t="str">
        <f>IF('Phytopl Count'!J222=0,"",'Phytopl Count'!J222*'Phytopl Count'!J$13/'Phytopl Count'!J$8)</f>
        <v/>
      </c>
      <c r="K222" s="31" t="str">
        <f>IF('Phytopl Count'!K222=0,"",'Phytopl Count'!K222*'Phytopl Count'!K$13/'Phytopl Count'!K$8)</f>
        <v/>
      </c>
      <c r="L222" s="31" t="str">
        <f>IF('Phytopl Count'!L222=0,"",'Phytopl Count'!L222*'Phytopl Count'!L$13/'Phytopl Count'!L$8)</f>
        <v/>
      </c>
      <c r="M222" s="31" t="str">
        <f>IF('Phytopl Count'!M222=0,"",'Phytopl Count'!M222*'Phytopl Count'!M$13/'Phytopl Count'!M$8)</f>
        <v/>
      </c>
      <c r="N222" s="31" t="str">
        <f>IF('Phytopl Count'!N222=0,"",'Phytopl Count'!N222*'Phytopl Count'!N$13/'Phytopl Count'!N$8)</f>
        <v/>
      </c>
      <c r="O222" s="31" t="str">
        <f>IF('Phytopl Count'!O222=0,"",'Phytopl Count'!O222*'Phytopl Count'!O$13/'Phytopl Count'!O$8)</f>
        <v/>
      </c>
      <c r="P222" s="31" t="str">
        <f>IF('Phytopl Count'!P222=0,"",'Phytopl Count'!P222*'Phytopl Count'!P$13/'Phytopl Count'!P$8)</f>
        <v/>
      </c>
      <c r="Q222" s="31" t="str">
        <f>IF('Phytopl Count'!Q222=0,"",'Phytopl Count'!Q222*'Phytopl Count'!Q$13/'Phytopl Count'!Q$8)</f>
        <v/>
      </c>
      <c r="R222" s="31" t="str">
        <f>IF('Phytopl Count'!R222=0,"",'Phytopl Count'!R222*'Phytopl Count'!R$13/'Phytopl Count'!R$8)</f>
        <v/>
      </c>
      <c r="S222" s="31" t="str">
        <f>IF('Phytopl Count'!S222=0,"",'Phytopl Count'!S222*'Phytopl Count'!S$13/'Phytopl Count'!S$8)</f>
        <v/>
      </c>
      <c r="T222" s="31" t="str">
        <f>IF('Phytopl Count'!T222=0,"",'Phytopl Count'!T222*'Phytopl Count'!T$13/'Phytopl Count'!T$8)</f>
        <v/>
      </c>
      <c r="U222" s="31" t="str">
        <f>IF('Phytopl Count'!U222=0,"",'Phytopl Count'!U222*'Phytopl Count'!U$13/'Phytopl Count'!U$8)</f>
        <v/>
      </c>
      <c r="V222" s="31" t="str">
        <f>IF('Phytopl Count'!V222=0,"",'Phytopl Count'!V222*'Phytopl Count'!V$13/'Phytopl Count'!V$8)</f>
        <v/>
      </c>
      <c r="W222" s="31" t="str">
        <f>IF('Phytopl Count'!W222=0,"",'Phytopl Count'!W222*'Phytopl Count'!W$13/'Phytopl Count'!W$8)</f>
        <v/>
      </c>
      <c r="X222" s="31" t="str">
        <f>IF('Phytopl Count'!X222=0,"",'Phytopl Count'!X222*'Phytopl Count'!X$13/'Phytopl Count'!X$8)</f>
        <v/>
      </c>
      <c r="Y222" s="31" t="str">
        <f>IF('Phytopl Count'!Y222=0,"",'Phytopl Count'!Y222*'Phytopl Count'!Y$13/'Phytopl Count'!Y$8)</f>
        <v/>
      </c>
      <c r="Z222" s="31" t="str">
        <f>IF('Phytopl Count'!Z222=0,"",'Phytopl Count'!Z222*'Phytopl Count'!Z$13/'Phytopl Count'!Z$8)</f>
        <v/>
      </c>
      <c r="AA222" s="31" t="str">
        <f>IF('Phytopl Count'!AA222=0,"",'Phytopl Count'!AA222*'Phytopl Count'!AA$13/'Phytopl Count'!AA$8)</f>
        <v/>
      </c>
      <c r="AB222" s="31" t="str">
        <f>IF('Phytopl Count'!AB222=0,"",'Phytopl Count'!AB222*'Phytopl Count'!AB$13/'Phytopl Count'!AB$8)</f>
        <v/>
      </c>
      <c r="AC222" s="31" t="str">
        <f>IF('Phytopl Count'!AC222=0,"",'Phytopl Count'!AC222*'Phytopl Count'!AC$13/'Phytopl Count'!AC$8)</f>
        <v/>
      </c>
      <c r="AD222" s="31" t="str">
        <f>IF('Phytopl Count'!AD222=0,"",'Phytopl Count'!AD222*'Phytopl Count'!AD$13/'Phytopl Count'!AD$8)</f>
        <v/>
      </c>
      <c r="AE222" s="31" t="str">
        <f>IF('Phytopl Count'!AE222=0,"",'Phytopl Count'!AE222*'Phytopl Count'!AE$13/'Phytopl Count'!AE$8)</f>
        <v/>
      </c>
      <c r="AF222" s="31" t="str">
        <f>IF('Phytopl Count'!AF222=0,"",'Phytopl Count'!AF222*'Phytopl Count'!AF$13/'Phytopl Count'!AF$8)</f>
        <v/>
      </c>
    </row>
    <row r="223" spans="1:32">
      <c r="D223" s="10" t="s">
        <v>5</v>
      </c>
      <c r="E223" s="12" t="s">
        <v>46</v>
      </c>
      <c r="F223" s="9"/>
      <c r="G223" s="31" t="str">
        <f>IF('Phytopl Count'!G223=0,"",'Phytopl Count'!G223*'Phytopl Count'!G$13/'Phytopl Count'!G$8)</f>
        <v/>
      </c>
      <c r="H223" s="31" t="str">
        <f>IF('Phytopl Count'!H223=0,"",'Phytopl Count'!H223*'Phytopl Count'!H$13/'Phytopl Count'!H$8)</f>
        <v/>
      </c>
      <c r="I223" s="31" t="str">
        <f>IF('Phytopl Count'!I223=0,"",'Phytopl Count'!I223*'Phytopl Count'!I$13/'Phytopl Count'!I$8)</f>
        <v/>
      </c>
      <c r="J223" s="31" t="str">
        <f>IF('Phytopl Count'!J223=0,"",'Phytopl Count'!J223*'Phytopl Count'!J$13/'Phytopl Count'!J$8)</f>
        <v/>
      </c>
      <c r="K223" s="31" t="str">
        <f>IF('Phytopl Count'!K223=0,"",'Phytopl Count'!K223*'Phytopl Count'!K$13/'Phytopl Count'!K$8)</f>
        <v/>
      </c>
      <c r="L223" s="31" t="str">
        <f>IF('Phytopl Count'!L223=0,"",'Phytopl Count'!L223*'Phytopl Count'!L$13/'Phytopl Count'!L$8)</f>
        <v/>
      </c>
      <c r="M223" s="31" t="str">
        <f>IF('Phytopl Count'!M223=0,"",'Phytopl Count'!M223*'Phytopl Count'!M$13/'Phytopl Count'!M$8)</f>
        <v/>
      </c>
      <c r="N223" s="31" t="str">
        <f>IF('Phytopl Count'!N223=0,"",'Phytopl Count'!N223*'Phytopl Count'!N$13/'Phytopl Count'!N$8)</f>
        <v/>
      </c>
      <c r="O223" s="31" t="str">
        <f>IF('Phytopl Count'!O223=0,"",'Phytopl Count'!O223*'Phytopl Count'!O$13/'Phytopl Count'!O$8)</f>
        <v/>
      </c>
      <c r="P223" s="31" t="str">
        <f>IF('Phytopl Count'!P223=0,"",'Phytopl Count'!P223*'Phytopl Count'!P$13/'Phytopl Count'!P$8)</f>
        <v/>
      </c>
      <c r="Q223" s="31" t="str">
        <f>IF('Phytopl Count'!Q223=0,"",'Phytopl Count'!Q223*'Phytopl Count'!Q$13/'Phytopl Count'!Q$8)</f>
        <v/>
      </c>
      <c r="R223" s="31" t="str">
        <f>IF('Phytopl Count'!R223=0,"",'Phytopl Count'!R223*'Phytopl Count'!R$13/'Phytopl Count'!R$8)</f>
        <v/>
      </c>
      <c r="S223" s="31" t="str">
        <f>IF('Phytopl Count'!S223=0,"",'Phytopl Count'!S223*'Phytopl Count'!S$13/'Phytopl Count'!S$8)</f>
        <v/>
      </c>
      <c r="T223" s="31" t="str">
        <f>IF('Phytopl Count'!T223=0,"",'Phytopl Count'!T223*'Phytopl Count'!T$13/'Phytopl Count'!T$8)</f>
        <v/>
      </c>
      <c r="U223" s="31" t="str">
        <f>IF('Phytopl Count'!U223=0,"",'Phytopl Count'!U223*'Phytopl Count'!U$13/'Phytopl Count'!U$8)</f>
        <v/>
      </c>
      <c r="V223" s="31" t="str">
        <f>IF('Phytopl Count'!V223=0,"",'Phytopl Count'!V223*'Phytopl Count'!V$13/'Phytopl Count'!V$8)</f>
        <v/>
      </c>
      <c r="W223" s="31" t="str">
        <f>IF('Phytopl Count'!W223=0,"",'Phytopl Count'!W223*'Phytopl Count'!W$13/'Phytopl Count'!W$8)</f>
        <v/>
      </c>
      <c r="X223" s="31" t="str">
        <f>IF('Phytopl Count'!X223=0,"",'Phytopl Count'!X223*'Phytopl Count'!X$13/'Phytopl Count'!X$8)</f>
        <v/>
      </c>
      <c r="Y223" s="31" t="str">
        <f>IF('Phytopl Count'!Y223=0,"",'Phytopl Count'!Y223*'Phytopl Count'!Y$13/'Phytopl Count'!Y$8)</f>
        <v/>
      </c>
      <c r="Z223" s="31" t="str">
        <f>IF('Phytopl Count'!Z223=0,"",'Phytopl Count'!Z223*'Phytopl Count'!Z$13/'Phytopl Count'!Z$8)</f>
        <v/>
      </c>
      <c r="AA223" s="31" t="str">
        <f>IF('Phytopl Count'!AA223=0,"",'Phytopl Count'!AA223*'Phytopl Count'!AA$13/'Phytopl Count'!AA$8)</f>
        <v/>
      </c>
      <c r="AB223" s="31" t="str">
        <f>IF('Phytopl Count'!AB223=0,"",'Phytopl Count'!AB223*'Phytopl Count'!AB$13/'Phytopl Count'!AB$8)</f>
        <v/>
      </c>
      <c r="AC223" s="31" t="str">
        <f>IF('Phytopl Count'!AC223=0,"",'Phytopl Count'!AC223*'Phytopl Count'!AC$13/'Phytopl Count'!AC$8)</f>
        <v/>
      </c>
      <c r="AD223" s="31" t="str">
        <f>IF('Phytopl Count'!AD223=0,"",'Phytopl Count'!AD223*'Phytopl Count'!AD$13/'Phytopl Count'!AD$8)</f>
        <v/>
      </c>
      <c r="AE223" s="31" t="str">
        <f>IF('Phytopl Count'!AE223=0,"",'Phytopl Count'!AE223*'Phytopl Count'!AE$13/'Phytopl Count'!AE$8)</f>
        <v/>
      </c>
      <c r="AF223" s="31" t="str">
        <f>IF('Phytopl Count'!AF223=0,"",'Phytopl Count'!AF223*'Phytopl Count'!AF$13/'Phytopl Count'!AF$8)</f>
        <v/>
      </c>
    </row>
    <row r="224" spans="1:32" hidden="1">
      <c r="F224" s="11" t="s">
        <v>47</v>
      </c>
      <c r="G224" s="31" t="str">
        <f>IF('Phytopl Count'!G224=0,"",'Phytopl Count'!G224*'Phytopl Count'!G$13/'Phytopl Count'!G$8)</f>
        <v/>
      </c>
      <c r="H224" s="31" t="str">
        <f>IF('Phytopl Count'!H224=0,"",'Phytopl Count'!H224*'Phytopl Count'!H$13/'Phytopl Count'!H$8)</f>
        <v/>
      </c>
      <c r="I224" s="31" t="str">
        <f>IF('Phytopl Count'!I224=0,"",'Phytopl Count'!I224*'Phytopl Count'!I$13/'Phytopl Count'!I$8)</f>
        <v/>
      </c>
      <c r="J224" s="31" t="str">
        <f>IF('Phytopl Count'!J224=0,"",'Phytopl Count'!J224*'Phytopl Count'!J$13/'Phytopl Count'!J$8)</f>
        <v/>
      </c>
      <c r="K224" s="31" t="str">
        <f>IF('Phytopl Count'!K224=0,"",'Phytopl Count'!K224*'Phytopl Count'!K$13/'Phytopl Count'!K$8)</f>
        <v/>
      </c>
      <c r="L224" s="31" t="str">
        <f>IF('Phytopl Count'!L224=0,"",'Phytopl Count'!L224*'Phytopl Count'!L$13/'Phytopl Count'!L$8)</f>
        <v/>
      </c>
      <c r="M224" s="31" t="str">
        <f>IF('Phytopl Count'!M224=0,"",'Phytopl Count'!M224*'Phytopl Count'!M$13/'Phytopl Count'!M$8)</f>
        <v/>
      </c>
      <c r="N224" s="31" t="str">
        <f>IF('Phytopl Count'!N224=0,"",'Phytopl Count'!N224*'Phytopl Count'!N$13/'Phytopl Count'!N$8)</f>
        <v/>
      </c>
      <c r="O224" s="31" t="str">
        <f>IF('Phytopl Count'!O224=0,"",'Phytopl Count'!O224*'Phytopl Count'!O$13/'Phytopl Count'!O$8)</f>
        <v/>
      </c>
      <c r="P224" s="31" t="str">
        <f>IF('Phytopl Count'!P224=0,"",'Phytopl Count'!P224*'Phytopl Count'!P$13/'Phytopl Count'!P$8)</f>
        <v/>
      </c>
      <c r="Q224" s="31" t="str">
        <f>IF('Phytopl Count'!Q224=0,"",'Phytopl Count'!Q224*'Phytopl Count'!Q$13/'Phytopl Count'!Q$8)</f>
        <v/>
      </c>
      <c r="R224" s="31" t="str">
        <f>IF('Phytopl Count'!R224=0,"",'Phytopl Count'!R224*'Phytopl Count'!R$13/'Phytopl Count'!R$8)</f>
        <v/>
      </c>
      <c r="S224" s="31" t="str">
        <f>IF('Phytopl Count'!S224=0,"",'Phytopl Count'!S224*'Phytopl Count'!S$13/'Phytopl Count'!S$8)</f>
        <v/>
      </c>
      <c r="T224" s="31" t="str">
        <f>IF('Phytopl Count'!T224=0,"",'Phytopl Count'!T224*'Phytopl Count'!T$13/'Phytopl Count'!T$8)</f>
        <v/>
      </c>
      <c r="U224" s="31" t="str">
        <f>IF('Phytopl Count'!U224=0,"",'Phytopl Count'!U224*'Phytopl Count'!U$13/'Phytopl Count'!U$8)</f>
        <v/>
      </c>
      <c r="V224" s="31" t="str">
        <f>IF('Phytopl Count'!V224=0,"",'Phytopl Count'!V224*'Phytopl Count'!V$13/'Phytopl Count'!V$8)</f>
        <v/>
      </c>
      <c r="W224" s="31" t="str">
        <f>IF('Phytopl Count'!W224=0,"",'Phytopl Count'!W224*'Phytopl Count'!W$13/'Phytopl Count'!W$8)</f>
        <v/>
      </c>
      <c r="X224" s="31" t="str">
        <f>IF('Phytopl Count'!X224=0,"",'Phytopl Count'!X224*'Phytopl Count'!X$13/'Phytopl Count'!X$8)</f>
        <v/>
      </c>
      <c r="Y224" s="31" t="str">
        <f>IF('Phytopl Count'!Y224=0,"",'Phytopl Count'!Y224*'Phytopl Count'!Y$13/'Phytopl Count'!Y$8)</f>
        <v/>
      </c>
      <c r="Z224" s="31" t="str">
        <f>IF('Phytopl Count'!Z224=0,"",'Phytopl Count'!Z224*'Phytopl Count'!Z$13/'Phytopl Count'!Z$8)</f>
        <v/>
      </c>
      <c r="AA224" s="31" t="str">
        <f>IF('Phytopl Count'!AA224=0,"",'Phytopl Count'!AA224*'Phytopl Count'!AA$13/'Phytopl Count'!AA$8)</f>
        <v/>
      </c>
      <c r="AB224" s="31" t="str">
        <f>IF('Phytopl Count'!AB224=0,"",'Phytopl Count'!AB224*'Phytopl Count'!AB$13/'Phytopl Count'!AB$8)</f>
        <v/>
      </c>
      <c r="AC224" s="31" t="str">
        <f>IF('Phytopl Count'!AC224=0,"",'Phytopl Count'!AC224*'Phytopl Count'!AC$13/'Phytopl Count'!AC$8)</f>
        <v/>
      </c>
      <c r="AD224" s="31" t="str">
        <f>IF('Phytopl Count'!AD224=0,"",'Phytopl Count'!AD224*'Phytopl Count'!AD$13/'Phytopl Count'!AD$8)</f>
        <v/>
      </c>
      <c r="AE224" s="31" t="str">
        <f>IF('Phytopl Count'!AE224=0,"",'Phytopl Count'!AE224*'Phytopl Count'!AE$13/'Phytopl Count'!AE$8)</f>
        <v/>
      </c>
      <c r="AF224" s="31" t="str">
        <f>IF('Phytopl Count'!AF224=0,"",'Phytopl Count'!AF224*'Phytopl Count'!AF$13/'Phytopl Count'!AF$8)</f>
        <v/>
      </c>
    </row>
    <row r="225" spans="1:32">
      <c r="E225" s="10" t="s">
        <v>6</v>
      </c>
      <c r="F225" s="11" t="s">
        <v>352</v>
      </c>
      <c r="G225" s="31">
        <f>IF('Phytopl Count'!G225=0,"",'Phytopl Count'!G225*'Phytopl Count'!G$13/'Phytopl Count'!G$8)</f>
        <v>0.61926954796343348</v>
      </c>
      <c r="H225" s="31">
        <f>IF('Phytopl Count'!H225=0,"",'Phytopl Count'!H225*'Phytopl Count'!H$13/'Phytopl Count'!H$8)</f>
        <v>0.72070162909537516</v>
      </c>
      <c r="I225" s="31">
        <f>IF('Phytopl Count'!I225=0,"",'Phytopl Count'!I225*'Phytopl Count'!I$13/'Phytopl Count'!I$8)</f>
        <v>5.6054571151862506E-2</v>
      </c>
      <c r="J225" s="31">
        <f>IF('Phytopl Count'!J225=0,"",'Phytopl Count'!J225*'Phytopl Count'!J$13/'Phytopl Count'!J$8)</f>
        <v>0.52050673212443754</v>
      </c>
      <c r="K225" s="31">
        <f>IF('Phytopl Count'!K225=0,"",'Phytopl Count'!K225*'Phytopl Count'!K$13/'Phytopl Count'!K$8)</f>
        <v>0.48046775273025005</v>
      </c>
      <c r="L225" s="31" t="str">
        <f>IF('Phytopl Count'!L225=0,"",'Phytopl Count'!L225*'Phytopl Count'!L$13/'Phytopl Count'!L$8)</f>
        <v/>
      </c>
      <c r="M225" s="31">
        <f>IF('Phytopl Count'!M225=0,"",'Phytopl Count'!M225*'Phytopl Count'!M$13/'Phytopl Count'!M$8)</f>
        <v>0.36035081454768753</v>
      </c>
      <c r="N225" s="31">
        <f>IF('Phytopl Count'!N225=0,"",'Phytopl Count'!N225*'Phytopl Count'!N$13/'Phytopl Count'!N$8)</f>
        <v>0.48046775273025011</v>
      </c>
      <c r="O225" s="31">
        <f>IF('Phytopl Count'!O225=0,"",'Phytopl Count'!O225*'Phytopl Count'!O$13/'Phytopl Count'!O$8)</f>
        <v>0.64062367030700007</v>
      </c>
      <c r="P225" s="31">
        <f>IF('Phytopl Count'!P225=0,"",'Phytopl Count'!P225*'Phytopl Count'!P$13/'Phytopl Count'!P$8)</f>
        <v>0.3843742021842001</v>
      </c>
      <c r="Q225" s="31">
        <f>IF('Phytopl Count'!Q225=0,"",'Phytopl Count'!Q225*'Phytopl Count'!Q$13/'Phytopl Count'!Q$8)</f>
        <v>0.44042877333606251</v>
      </c>
      <c r="R225" s="31">
        <f>IF('Phytopl Count'!R225=0,"",'Phytopl Count'!R225*'Phytopl Count'!R$13/'Phytopl Count'!R$8)</f>
        <v>0.3843742021842001</v>
      </c>
      <c r="S225" s="31">
        <f>IF('Phytopl Count'!S225=0,"",'Phytopl Count'!S225*'Phytopl Count'!S$13/'Phytopl Count'!S$8)</f>
        <v>0.33632742691117506</v>
      </c>
      <c r="T225" s="31">
        <f>IF('Phytopl Count'!T225=0,"",'Phytopl Count'!T225*'Phytopl Count'!T$13/'Phytopl Count'!T$8)</f>
        <v>0.14414032581907502</v>
      </c>
      <c r="U225" s="31">
        <f>IF('Phytopl Count'!U225=0,"",'Phytopl Count'!U225*'Phytopl Count'!U$13/'Phytopl Count'!U$8)</f>
        <v>0.67265485382235013</v>
      </c>
      <c r="V225" s="31">
        <f>IF('Phytopl Count'!V225=0,"",'Phytopl Count'!V225*'Phytopl Count'!V$13/'Phytopl Count'!V$8)</f>
        <v>0.32031183515350004</v>
      </c>
      <c r="W225" s="31">
        <f>IF('Phytopl Count'!W225=0,"",'Phytopl Count'!W225*'Phytopl Count'!W$13/'Phytopl Count'!W$8)</f>
        <v>9.6093550546050024E-2</v>
      </c>
      <c r="X225" s="31">
        <f>IF('Phytopl Count'!X225=0,"",'Phytopl Count'!X225*'Phytopl Count'!X$13/'Phytopl Count'!X$8)</f>
        <v>3.2031183515350004E-2</v>
      </c>
      <c r="Y225" s="31">
        <f>IF('Phytopl Count'!Y225=0,"",'Phytopl Count'!Y225*'Phytopl Count'!Y$13/'Phytopl Count'!Y$8)</f>
        <v>0.14414032581907502</v>
      </c>
      <c r="Z225" s="31">
        <f>IF('Phytopl Count'!Z225=0,"",'Phytopl Count'!Z225*'Phytopl Count'!Z$13/'Phytopl Count'!Z$8)</f>
        <v>0.41640538569955005</v>
      </c>
      <c r="AA225" s="31">
        <f>IF('Phytopl Count'!AA225=0,"",'Phytopl Count'!AA225*'Phytopl Count'!AA$13/'Phytopl Count'!AA$8)</f>
        <v>0.32031183515350004</v>
      </c>
      <c r="AB225" s="31">
        <f>IF('Phytopl Count'!AB225=0,"",'Phytopl Count'!AB225*'Phytopl Count'!AB$13/'Phytopl Count'!AB$8)</f>
        <v>4.0038979394187504E-2</v>
      </c>
      <c r="AC225" s="31">
        <f>IF('Phytopl Count'!AC225=0,"",'Phytopl Count'!AC225*'Phytopl Count'!AC$13/'Phytopl Count'!AC$8)</f>
        <v>0.35234301866885004</v>
      </c>
      <c r="AD225" s="31">
        <f>IF('Phytopl Count'!AD225=0,"",'Phytopl Count'!AD225*'Phytopl Count'!AD$13/'Phytopl Count'!AD$8)</f>
        <v>0.35234301866885004</v>
      </c>
      <c r="AE225" s="31">
        <f>IF('Phytopl Count'!AE225=0,"",'Phytopl Count'!AE225*'Phytopl Count'!AE$13/'Phytopl Count'!AE$8)</f>
        <v>0.31230403927466255</v>
      </c>
      <c r="AF225" s="31">
        <f>IF('Phytopl Count'!AF225=0,"",'Phytopl Count'!AF225*'Phytopl Count'!AF$13/'Phytopl Count'!AF$8)</f>
        <v>2.3062452131052003</v>
      </c>
    </row>
    <row r="226" spans="1:32" ht="15" customHeight="1">
      <c r="D226" s="10" t="s">
        <v>5</v>
      </c>
      <c r="E226" s="12" t="s">
        <v>48</v>
      </c>
      <c r="F226" s="11"/>
      <c r="G226" s="31" t="str">
        <f>IF('Phytopl Count'!G226=0,"",'Phytopl Count'!G226*'Phytopl Count'!G$13/'Phytopl Count'!G$8)</f>
        <v/>
      </c>
      <c r="H226" s="31" t="str">
        <f>IF('Phytopl Count'!H226=0,"",'Phytopl Count'!H226*'Phytopl Count'!H$13/'Phytopl Count'!H$8)</f>
        <v/>
      </c>
      <c r="I226" s="31" t="str">
        <f>IF('Phytopl Count'!I226=0,"",'Phytopl Count'!I226*'Phytopl Count'!I$13/'Phytopl Count'!I$8)</f>
        <v/>
      </c>
      <c r="J226" s="31" t="str">
        <f>IF('Phytopl Count'!J226=0,"",'Phytopl Count'!J226*'Phytopl Count'!J$13/'Phytopl Count'!J$8)</f>
        <v/>
      </c>
      <c r="K226" s="31" t="str">
        <f>IF('Phytopl Count'!K226=0,"",'Phytopl Count'!K226*'Phytopl Count'!K$13/'Phytopl Count'!K$8)</f>
        <v/>
      </c>
      <c r="L226" s="31" t="str">
        <f>IF('Phytopl Count'!L226=0,"",'Phytopl Count'!L226*'Phytopl Count'!L$13/'Phytopl Count'!L$8)</f>
        <v/>
      </c>
      <c r="M226" s="31" t="str">
        <f>IF('Phytopl Count'!M226=0,"",'Phytopl Count'!M226*'Phytopl Count'!M$13/'Phytopl Count'!M$8)</f>
        <v/>
      </c>
      <c r="N226" s="31" t="str">
        <f>IF('Phytopl Count'!N226=0,"",'Phytopl Count'!N226*'Phytopl Count'!N$13/'Phytopl Count'!N$8)</f>
        <v/>
      </c>
      <c r="O226" s="31" t="str">
        <f>IF('Phytopl Count'!O226=0,"",'Phytopl Count'!O226*'Phytopl Count'!O$13/'Phytopl Count'!O$8)</f>
        <v/>
      </c>
      <c r="P226" s="31" t="str">
        <f>IF('Phytopl Count'!P226=0,"",'Phytopl Count'!P226*'Phytopl Count'!P$13/'Phytopl Count'!P$8)</f>
        <v/>
      </c>
      <c r="Q226" s="31" t="str">
        <f>IF('Phytopl Count'!Q226=0,"",'Phytopl Count'!Q226*'Phytopl Count'!Q$13/'Phytopl Count'!Q$8)</f>
        <v/>
      </c>
      <c r="R226" s="31" t="str">
        <f>IF('Phytopl Count'!R226=0,"",'Phytopl Count'!R226*'Phytopl Count'!R$13/'Phytopl Count'!R$8)</f>
        <v/>
      </c>
      <c r="S226" s="31" t="str">
        <f>IF('Phytopl Count'!S226=0,"",'Phytopl Count'!S226*'Phytopl Count'!S$13/'Phytopl Count'!S$8)</f>
        <v/>
      </c>
      <c r="T226" s="31" t="str">
        <f>IF('Phytopl Count'!T226=0,"",'Phytopl Count'!T226*'Phytopl Count'!T$13/'Phytopl Count'!T$8)</f>
        <v/>
      </c>
      <c r="U226" s="31" t="str">
        <f>IF('Phytopl Count'!U226=0,"",'Phytopl Count'!U226*'Phytopl Count'!U$13/'Phytopl Count'!U$8)</f>
        <v/>
      </c>
      <c r="V226" s="31" t="str">
        <f>IF('Phytopl Count'!V226=0,"",'Phytopl Count'!V226*'Phytopl Count'!V$13/'Phytopl Count'!V$8)</f>
        <v/>
      </c>
      <c r="W226" s="31" t="str">
        <f>IF('Phytopl Count'!W226=0,"",'Phytopl Count'!W226*'Phytopl Count'!W$13/'Phytopl Count'!W$8)</f>
        <v/>
      </c>
      <c r="X226" s="31" t="str">
        <f>IF('Phytopl Count'!X226=0,"",'Phytopl Count'!X226*'Phytopl Count'!X$13/'Phytopl Count'!X$8)</f>
        <v/>
      </c>
      <c r="Y226" s="31" t="str">
        <f>IF('Phytopl Count'!Y226=0,"",'Phytopl Count'!Y226*'Phytopl Count'!Y$13/'Phytopl Count'!Y$8)</f>
        <v/>
      </c>
      <c r="Z226" s="31" t="str">
        <f>IF('Phytopl Count'!Z226=0,"",'Phytopl Count'!Z226*'Phytopl Count'!Z$13/'Phytopl Count'!Z$8)</f>
        <v/>
      </c>
      <c r="AA226" s="31" t="str">
        <f>IF('Phytopl Count'!AA226=0,"",'Phytopl Count'!AA226*'Phytopl Count'!AA$13/'Phytopl Count'!AA$8)</f>
        <v/>
      </c>
      <c r="AB226" s="31" t="str">
        <f>IF('Phytopl Count'!AB226=0,"",'Phytopl Count'!AB226*'Phytopl Count'!AB$13/'Phytopl Count'!AB$8)</f>
        <v/>
      </c>
      <c r="AC226" s="31" t="str">
        <f>IF('Phytopl Count'!AC226=0,"",'Phytopl Count'!AC226*'Phytopl Count'!AC$13/'Phytopl Count'!AC$8)</f>
        <v/>
      </c>
      <c r="AD226" s="31" t="str">
        <f>IF('Phytopl Count'!AD226=0,"",'Phytopl Count'!AD226*'Phytopl Count'!AD$13/'Phytopl Count'!AD$8)</f>
        <v/>
      </c>
      <c r="AE226" s="31" t="str">
        <f>IF('Phytopl Count'!AE226=0,"",'Phytopl Count'!AE226*'Phytopl Count'!AE$13/'Phytopl Count'!AE$8)</f>
        <v/>
      </c>
      <c r="AF226" s="31" t="str">
        <f>IF('Phytopl Count'!AF226=0,"",'Phytopl Count'!AF226*'Phytopl Count'!AF$13/'Phytopl Count'!AF$8)</f>
        <v/>
      </c>
    </row>
    <row r="227" spans="1:32" ht="15" customHeight="1">
      <c r="E227" s="10" t="s">
        <v>6</v>
      </c>
      <c r="F227" s="11" t="s">
        <v>49</v>
      </c>
      <c r="G227" s="31" t="str">
        <f>IF('Phytopl Count'!G227=0,"",'Phytopl Count'!G227*'Phytopl Count'!G$13/'Phytopl Count'!G$8)</f>
        <v/>
      </c>
      <c r="H227" s="31" t="str">
        <f>IF('Phytopl Count'!H227=0,"",'Phytopl Count'!H227*'Phytopl Count'!H$13/'Phytopl Count'!H$8)</f>
        <v/>
      </c>
      <c r="I227" s="31" t="str">
        <f>IF('Phytopl Count'!I227=0,"",'Phytopl Count'!I227*'Phytopl Count'!I$13/'Phytopl Count'!I$8)</f>
        <v/>
      </c>
      <c r="J227" s="31" t="str">
        <f>IF('Phytopl Count'!J227=0,"",'Phytopl Count'!J227*'Phytopl Count'!J$13/'Phytopl Count'!J$8)</f>
        <v/>
      </c>
      <c r="K227" s="31" t="str">
        <f>IF('Phytopl Count'!K227=0,"",'Phytopl Count'!K227*'Phytopl Count'!K$13/'Phytopl Count'!K$8)</f>
        <v/>
      </c>
      <c r="L227" s="31" t="str">
        <f>IF('Phytopl Count'!L227=0,"",'Phytopl Count'!L227*'Phytopl Count'!L$13/'Phytopl Count'!L$8)</f>
        <v/>
      </c>
      <c r="M227" s="31" t="str">
        <f>IF('Phytopl Count'!M227=0,"",'Phytopl Count'!M227*'Phytopl Count'!M$13/'Phytopl Count'!M$8)</f>
        <v/>
      </c>
      <c r="N227" s="31">
        <f>IF('Phytopl Count'!N227=0,"",'Phytopl Count'!N227*'Phytopl Count'!N$13/'Phytopl Count'!N$8)</f>
        <v>4.8046775273025012E-2</v>
      </c>
      <c r="O227" s="31" t="str">
        <f>IF('Phytopl Count'!O227=0,"",'Phytopl Count'!O227*'Phytopl Count'!O$13/'Phytopl Count'!O$8)</f>
        <v/>
      </c>
      <c r="P227" s="31" t="str">
        <f>IF('Phytopl Count'!P227=0,"",'Phytopl Count'!P227*'Phytopl Count'!P$13/'Phytopl Count'!P$8)</f>
        <v/>
      </c>
      <c r="Q227" s="31">
        <f>IF('Phytopl Count'!Q227=0,"",'Phytopl Count'!Q227*'Phytopl Count'!Q$13/'Phytopl Count'!Q$8)</f>
        <v>4.0038979394187504E-2</v>
      </c>
      <c r="R227" s="31" t="str">
        <f>IF('Phytopl Count'!R227=0,"",'Phytopl Count'!R227*'Phytopl Count'!R$13/'Phytopl Count'!R$8)</f>
        <v/>
      </c>
      <c r="S227" s="31" t="str">
        <f>IF('Phytopl Count'!S227=0,"",'Phytopl Count'!S227*'Phytopl Count'!S$13/'Phytopl Count'!S$8)</f>
        <v/>
      </c>
      <c r="T227" s="31" t="str">
        <f>IF('Phytopl Count'!T227=0,"",'Phytopl Count'!T227*'Phytopl Count'!T$13/'Phytopl Count'!T$8)</f>
        <v/>
      </c>
      <c r="U227" s="31">
        <f>IF('Phytopl Count'!U227=0,"",'Phytopl Count'!U227*'Phytopl Count'!U$13/'Phytopl Count'!U$8)</f>
        <v>3.2031183515350004E-2</v>
      </c>
      <c r="V227" s="31">
        <f>IF('Phytopl Count'!V227=0,"",'Phytopl Count'!V227*'Phytopl Count'!V$13/'Phytopl Count'!V$8)</f>
        <v>4.0038979394187504E-2</v>
      </c>
      <c r="W227" s="31">
        <f>IF('Phytopl Count'!W227=0,"",'Phytopl Count'!W227*'Phytopl Count'!W$13/'Phytopl Count'!W$8)</f>
        <v>4.8046775273025012E-2</v>
      </c>
      <c r="X227" s="31">
        <f>IF('Phytopl Count'!X227=0,"",'Phytopl Count'!X227*'Phytopl Count'!X$13/'Phytopl Count'!X$8)</f>
        <v>3.2031183515350004E-2</v>
      </c>
      <c r="Y227" s="31" t="str">
        <f>IF('Phytopl Count'!Y227=0,"",'Phytopl Count'!Y227*'Phytopl Count'!Y$13/'Phytopl Count'!Y$8)</f>
        <v/>
      </c>
      <c r="Z227" s="31" t="str">
        <f>IF('Phytopl Count'!Z227=0,"",'Phytopl Count'!Z227*'Phytopl Count'!Z$13/'Phytopl Count'!Z$8)</f>
        <v/>
      </c>
      <c r="AA227" s="31">
        <f>IF('Phytopl Count'!AA227=0,"",'Phytopl Count'!AA227*'Phytopl Count'!AA$13/'Phytopl Count'!AA$8)</f>
        <v>3.2031183515350004E-2</v>
      </c>
      <c r="AB227" s="31" t="str">
        <f>IF('Phytopl Count'!AB227=0,"",'Phytopl Count'!AB227*'Phytopl Count'!AB$13/'Phytopl Count'!AB$8)</f>
        <v/>
      </c>
      <c r="AC227" s="31" t="str">
        <f>IF('Phytopl Count'!AC227=0,"",'Phytopl Count'!AC227*'Phytopl Count'!AC$13/'Phytopl Count'!AC$8)</f>
        <v/>
      </c>
      <c r="AD227" s="31" t="str">
        <f>IF('Phytopl Count'!AD227=0,"",'Phytopl Count'!AD227*'Phytopl Count'!AD$13/'Phytopl Count'!AD$8)</f>
        <v/>
      </c>
      <c r="AE227" s="31">
        <f>IF('Phytopl Count'!AE227=0,"",'Phytopl Count'!AE227*'Phytopl Count'!AE$13/'Phytopl Count'!AE$8)</f>
        <v>4.8046775273025012E-2</v>
      </c>
      <c r="AF227" s="31">
        <f>IF('Phytopl Count'!AF227=0,"",'Phytopl Count'!AF227*'Phytopl Count'!AF$13/'Phytopl Count'!AF$8)</f>
        <v>0.12812473406140001</v>
      </c>
    </row>
    <row r="228" spans="1:32" ht="15" customHeight="1">
      <c r="D228" s="10" t="s">
        <v>5</v>
      </c>
      <c r="E228" s="166" t="s">
        <v>377</v>
      </c>
      <c r="F228" s="11"/>
      <c r="G228" s="31" t="str">
        <f>IF('Phytopl Count'!G228=0,"",'Phytopl Count'!G228*'Phytopl Count'!G$13/'Phytopl Count'!G$8)</f>
        <v/>
      </c>
      <c r="H228" s="31" t="str">
        <f>IF('Phytopl Count'!H228=0,"",'Phytopl Count'!H228*'Phytopl Count'!H$13/'Phytopl Count'!H$8)</f>
        <v/>
      </c>
      <c r="I228" s="31" t="str">
        <f>IF('Phytopl Count'!I228=0,"",'Phytopl Count'!I228*'Phytopl Count'!I$13/'Phytopl Count'!I$8)</f>
        <v/>
      </c>
      <c r="J228" s="31" t="str">
        <f>IF('Phytopl Count'!J228=0,"",'Phytopl Count'!J228*'Phytopl Count'!J$13/'Phytopl Count'!J$8)</f>
        <v/>
      </c>
      <c r="K228" s="31" t="str">
        <f>IF('Phytopl Count'!K228=0,"",'Phytopl Count'!K228*'Phytopl Count'!K$13/'Phytopl Count'!K$8)</f>
        <v/>
      </c>
      <c r="L228" s="31" t="str">
        <f>IF('Phytopl Count'!L228=0,"",'Phytopl Count'!L228*'Phytopl Count'!L$13/'Phytopl Count'!L$8)</f>
        <v/>
      </c>
      <c r="M228" s="31" t="str">
        <f>IF('Phytopl Count'!M228=0,"",'Phytopl Count'!M228*'Phytopl Count'!M$13/'Phytopl Count'!M$8)</f>
        <v/>
      </c>
      <c r="N228" s="31" t="str">
        <f>IF('Phytopl Count'!N228=0,"",'Phytopl Count'!N228*'Phytopl Count'!N$13/'Phytopl Count'!N$8)</f>
        <v/>
      </c>
      <c r="O228" s="31" t="str">
        <f>IF('Phytopl Count'!O228=0,"",'Phytopl Count'!O228*'Phytopl Count'!O$13/'Phytopl Count'!O$8)</f>
        <v/>
      </c>
      <c r="P228" s="31" t="str">
        <f>IF('Phytopl Count'!P228=0,"",'Phytopl Count'!P228*'Phytopl Count'!P$13/'Phytopl Count'!P$8)</f>
        <v/>
      </c>
      <c r="Q228" s="31" t="str">
        <f>IF('Phytopl Count'!Q228=0,"",'Phytopl Count'!Q228*'Phytopl Count'!Q$13/'Phytopl Count'!Q$8)</f>
        <v/>
      </c>
      <c r="R228" s="31" t="str">
        <f>IF('Phytopl Count'!R228=0,"",'Phytopl Count'!R228*'Phytopl Count'!R$13/'Phytopl Count'!R$8)</f>
        <v/>
      </c>
      <c r="S228" s="31" t="str">
        <f>IF('Phytopl Count'!S228=0,"",'Phytopl Count'!S228*'Phytopl Count'!S$13/'Phytopl Count'!S$8)</f>
        <v/>
      </c>
      <c r="T228" s="31" t="str">
        <f>IF('Phytopl Count'!T228=0,"",'Phytopl Count'!T228*'Phytopl Count'!T$13/'Phytopl Count'!T$8)</f>
        <v/>
      </c>
      <c r="U228" s="31" t="str">
        <f>IF('Phytopl Count'!U228=0,"",'Phytopl Count'!U228*'Phytopl Count'!U$13/'Phytopl Count'!U$8)</f>
        <v/>
      </c>
      <c r="V228" s="31" t="str">
        <f>IF('Phytopl Count'!V228=0,"",'Phytopl Count'!V228*'Phytopl Count'!V$13/'Phytopl Count'!V$8)</f>
        <v/>
      </c>
      <c r="W228" s="31" t="str">
        <f>IF('Phytopl Count'!W228=0,"",'Phytopl Count'!W228*'Phytopl Count'!W$13/'Phytopl Count'!W$8)</f>
        <v/>
      </c>
      <c r="X228" s="31" t="str">
        <f>IF('Phytopl Count'!X228=0,"",'Phytopl Count'!X228*'Phytopl Count'!X$13/'Phytopl Count'!X$8)</f>
        <v/>
      </c>
      <c r="Y228" s="31" t="str">
        <f>IF('Phytopl Count'!Y228=0,"",'Phytopl Count'!Y228*'Phytopl Count'!Y$13/'Phytopl Count'!Y$8)</f>
        <v/>
      </c>
      <c r="Z228" s="31" t="str">
        <f>IF('Phytopl Count'!Z228=0,"",'Phytopl Count'!Z228*'Phytopl Count'!Z$13/'Phytopl Count'!Z$8)</f>
        <v/>
      </c>
      <c r="AA228" s="31" t="str">
        <f>IF('Phytopl Count'!AA228=0,"",'Phytopl Count'!AA228*'Phytopl Count'!AA$13/'Phytopl Count'!AA$8)</f>
        <v/>
      </c>
      <c r="AB228" s="31" t="str">
        <f>IF('Phytopl Count'!AB228=0,"",'Phytopl Count'!AB228*'Phytopl Count'!AB$13/'Phytopl Count'!AB$8)</f>
        <v/>
      </c>
      <c r="AC228" s="31" t="str">
        <f>IF('Phytopl Count'!AC228=0,"",'Phytopl Count'!AC228*'Phytopl Count'!AC$13/'Phytopl Count'!AC$8)</f>
        <v/>
      </c>
      <c r="AD228" s="31" t="str">
        <f>IF('Phytopl Count'!AD228=0,"",'Phytopl Count'!AD228*'Phytopl Count'!AD$13/'Phytopl Count'!AD$8)</f>
        <v/>
      </c>
      <c r="AE228" s="31" t="str">
        <f>IF('Phytopl Count'!AE228=0,"",'Phytopl Count'!AE228*'Phytopl Count'!AE$13/'Phytopl Count'!AE$8)</f>
        <v/>
      </c>
      <c r="AF228" s="31" t="str">
        <f>IF('Phytopl Count'!AF228=0,"",'Phytopl Count'!AF228*'Phytopl Count'!AF$13/'Phytopl Count'!AF$8)</f>
        <v/>
      </c>
    </row>
    <row r="229" spans="1:32" ht="15" customHeight="1">
      <c r="E229" s="10" t="s">
        <v>6</v>
      </c>
      <c r="F229" s="11" t="s">
        <v>378</v>
      </c>
      <c r="G229" s="31" t="str">
        <f>IF('Phytopl Count'!G229=0,"",'Phytopl Count'!G229*'Phytopl Count'!G$13/'Phytopl Count'!G$8)</f>
        <v/>
      </c>
      <c r="H229" s="31" t="str">
        <f>IF('Phytopl Count'!H229=0,"",'Phytopl Count'!H229*'Phytopl Count'!H$13/'Phytopl Count'!H$8)</f>
        <v/>
      </c>
      <c r="I229" s="31" t="str">
        <f>IF('Phytopl Count'!I229=0,"",'Phytopl Count'!I229*'Phytopl Count'!I$13/'Phytopl Count'!I$8)</f>
        <v/>
      </c>
      <c r="J229" s="31" t="str">
        <f>IF('Phytopl Count'!J229=0,"",'Phytopl Count'!J229*'Phytopl Count'!J$13/'Phytopl Count'!J$8)</f>
        <v/>
      </c>
      <c r="K229" s="31" t="str">
        <f>IF('Phytopl Count'!K229=0,"",'Phytopl Count'!K229*'Phytopl Count'!K$13/'Phytopl Count'!K$8)</f>
        <v/>
      </c>
      <c r="L229" s="31" t="str">
        <f>IF('Phytopl Count'!L229=0,"",'Phytopl Count'!L229*'Phytopl Count'!L$13/'Phytopl Count'!L$8)</f>
        <v/>
      </c>
      <c r="M229" s="31" t="str">
        <f>IF('Phytopl Count'!M229=0,"",'Phytopl Count'!M229*'Phytopl Count'!M$13/'Phytopl Count'!M$8)</f>
        <v/>
      </c>
      <c r="N229" s="31">
        <f>IF('Phytopl Count'!N229=0,"",'Phytopl Count'!N229*'Phytopl Count'!N$13/'Phytopl Count'!N$8)</f>
        <v>9.6093550546050024E-2</v>
      </c>
      <c r="O229" s="31" t="str">
        <f>IF('Phytopl Count'!O229=0,"",'Phytopl Count'!O229*'Phytopl Count'!O$13/'Phytopl Count'!O$8)</f>
        <v/>
      </c>
      <c r="P229" s="31" t="str">
        <f>IF('Phytopl Count'!P229=0,"",'Phytopl Count'!P229*'Phytopl Count'!P$13/'Phytopl Count'!P$8)</f>
        <v/>
      </c>
      <c r="Q229" s="31">
        <f>IF('Phytopl Count'!Q229=0,"",'Phytopl Count'!Q229*'Phytopl Count'!Q$13/'Phytopl Count'!Q$8)</f>
        <v>4.0038979394187504E-2</v>
      </c>
      <c r="R229" s="31" t="str">
        <f>IF('Phytopl Count'!R229=0,"",'Phytopl Count'!R229*'Phytopl Count'!R$13/'Phytopl Count'!R$8)</f>
        <v/>
      </c>
      <c r="S229" s="31">
        <f>IF('Phytopl Count'!S229=0,"",'Phytopl Count'!S229*'Phytopl Count'!S$13/'Phytopl Count'!S$8)</f>
        <v>4.8046775273025012E-2</v>
      </c>
      <c r="T229" s="31" t="str">
        <f>IF('Phytopl Count'!T229=0,"",'Phytopl Count'!T229*'Phytopl Count'!T$13/'Phytopl Count'!T$8)</f>
        <v/>
      </c>
      <c r="U229" s="31">
        <f>IF('Phytopl Count'!U229=0,"",'Phytopl Count'!U229*'Phytopl Count'!U$13/'Phytopl Count'!U$8)</f>
        <v>3.2031183515350004E-2</v>
      </c>
      <c r="V229" s="31">
        <f>IF('Phytopl Count'!V229=0,"",'Phytopl Count'!V229*'Phytopl Count'!V$13/'Phytopl Count'!V$8)</f>
        <v>0.12011693818256251</v>
      </c>
      <c r="W229" s="31">
        <f>IF('Phytopl Count'!W229=0,"",'Phytopl Count'!W229*'Phytopl Count'!W$13/'Phytopl Count'!W$8)</f>
        <v>4.8046775273025012E-2</v>
      </c>
      <c r="X229" s="31" t="str">
        <f>IF('Phytopl Count'!X229=0,"",'Phytopl Count'!X229*'Phytopl Count'!X$13/'Phytopl Count'!X$8)</f>
        <v/>
      </c>
      <c r="Y229" s="31" t="str">
        <f>IF('Phytopl Count'!Y229=0,"",'Phytopl Count'!Y229*'Phytopl Count'!Y$13/'Phytopl Count'!Y$8)</f>
        <v/>
      </c>
      <c r="Z229" s="31">
        <f>IF('Phytopl Count'!Z229=0,"",'Phytopl Count'!Z229*'Phytopl Count'!Z$13/'Phytopl Count'!Z$8)</f>
        <v>0.10410134642488751</v>
      </c>
      <c r="AA229" s="31" t="str">
        <f>IF('Phytopl Count'!AA229=0,"",'Phytopl Count'!AA229*'Phytopl Count'!AA$13/'Phytopl Count'!AA$8)</f>
        <v/>
      </c>
      <c r="AB229" s="31" t="str">
        <f>IF('Phytopl Count'!AB229=0,"",'Phytopl Count'!AB229*'Phytopl Count'!AB$13/'Phytopl Count'!AB$8)</f>
        <v/>
      </c>
      <c r="AC229" s="31" t="str">
        <f>IF('Phytopl Count'!AC229=0,"",'Phytopl Count'!AC229*'Phytopl Count'!AC$13/'Phytopl Count'!AC$8)</f>
        <v/>
      </c>
      <c r="AD229" s="31" t="str">
        <f>IF('Phytopl Count'!AD229=0,"",'Phytopl Count'!AD229*'Phytopl Count'!AD$13/'Phytopl Count'!AD$8)</f>
        <v/>
      </c>
      <c r="AE229" s="31" t="str">
        <f>IF('Phytopl Count'!AE229=0,"",'Phytopl Count'!AE229*'Phytopl Count'!AE$13/'Phytopl Count'!AE$8)</f>
        <v/>
      </c>
      <c r="AF229" s="31" t="str">
        <f>IF('Phytopl Count'!AF229=0,"",'Phytopl Count'!AF229*'Phytopl Count'!AF$13/'Phytopl Count'!AF$8)</f>
        <v/>
      </c>
    </row>
    <row r="230" spans="1:32" ht="15" customHeight="1">
      <c r="D230" s="10" t="s">
        <v>5</v>
      </c>
      <c r="E230" s="162" t="s">
        <v>350</v>
      </c>
      <c r="F230" s="11"/>
      <c r="G230" s="31" t="str">
        <f>IF('Phytopl Count'!G230=0,"",'Phytopl Count'!G230*'Phytopl Count'!G$13/'Phytopl Count'!G$8)</f>
        <v/>
      </c>
      <c r="H230" s="31" t="str">
        <f>IF('Phytopl Count'!H230=0,"",'Phytopl Count'!H230*'Phytopl Count'!H$13/'Phytopl Count'!H$8)</f>
        <v/>
      </c>
      <c r="I230" s="31" t="str">
        <f>IF('Phytopl Count'!I230=0,"",'Phytopl Count'!I230*'Phytopl Count'!I$13/'Phytopl Count'!I$8)</f>
        <v/>
      </c>
      <c r="J230" s="31" t="str">
        <f>IF('Phytopl Count'!J230=0,"",'Phytopl Count'!J230*'Phytopl Count'!J$13/'Phytopl Count'!J$8)</f>
        <v/>
      </c>
      <c r="K230" s="31" t="str">
        <f>IF('Phytopl Count'!K230=0,"",'Phytopl Count'!K230*'Phytopl Count'!K$13/'Phytopl Count'!K$8)</f>
        <v/>
      </c>
      <c r="L230" s="31" t="str">
        <f>IF('Phytopl Count'!L230=0,"",'Phytopl Count'!L230*'Phytopl Count'!L$13/'Phytopl Count'!L$8)</f>
        <v/>
      </c>
      <c r="M230" s="31" t="str">
        <f>IF('Phytopl Count'!M230=0,"",'Phytopl Count'!M230*'Phytopl Count'!M$13/'Phytopl Count'!M$8)</f>
        <v/>
      </c>
      <c r="N230" s="31" t="str">
        <f>IF('Phytopl Count'!N230=0,"",'Phytopl Count'!N230*'Phytopl Count'!N$13/'Phytopl Count'!N$8)</f>
        <v/>
      </c>
      <c r="O230" s="31" t="str">
        <f>IF('Phytopl Count'!O230=0,"",'Phytopl Count'!O230*'Phytopl Count'!O$13/'Phytopl Count'!O$8)</f>
        <v/>
      </c>
      <c r="P230" s="31" t="str">
        <f>IF('Phytopl Count'!P230=0,"",'Phytopl Count'!P230*'Phytopl Count'!P$13/'Phytopl Count'!P$8)</f>
        <v/>
      </c>
      <c r="Q230" s="31" t="str">
        <f>IF('Phytopl Count'!Q230=0,"",'Phytopl Count'!Q230*'Phytopl Count'!Q$13/'Phytopl Count'!Q$8)</f>
        <v/>
      </c>
      <c r="R230" s="31" t="str">
        <f>IF('Phytopl Count'!R230=0,"",'Phytopl Count'!R230*'Phytopl Count'!R$13/'Phytopl Count'!R$8)</f>
        <v/>
      </c>
      <c r="S230" s="31" t="str">
        <f>IF('Phytopl Count'!S230=0,"",'Phytopl Count'!S230*'Phytopl Count'!S$13/'Phytopl Count'!S$8)</f>
        <v/>
      </c>
      <c r="T230" s="31" t="str">
        <f>IF('Phytopl Count'!T230=0,"",'Phytopl Count'!T230*'Phytopl Count'!T$13/'Phytopl Count'!T$8)</f>
        <v/>
      </c>
      <c r="U230" s="31" t="str">
        <f>IF('Phytopl Count'!U230=0,"",'Phytopl Count'!U230*'Phytopl Count'!U$13/'Phytopl Count'!U$8)</f>
        <v/>
      </c>
      <c r="V230" s="31" t="str">
        <f>IF('Phytopl Count'!V230=0,"",'Phytopl Count'!V230*'Phytopl Count'!V$13/'Phytopl Count'!V$8)</f>
        <v/>
      </c>
      <c r="W230" s="31" t="str">
        <f>IF('Phytopl Count'!W230=0,"",'Phytopl Count'!W230*'Phytopl Count'!W$13/'Phytopl Count'!W$8)</f>
        <v/>
      </c>
      <c r="X230" s="31" t="str">
        <f>IF('Phytopl Count'!X230=0,"",'Phytopl Count'!X230*'Phytopl Count'!X$13/'Phytopl Count'!X$8)</f>
        <v/>
      </c>
      <c r="Y230" s="31" t="str">
        <f>IF('Phytopl Count'!Y230=0,"",'Phytopl Count'!Y230*'Phytopl Count'!Y$13/'Phytopl Count'!Y$8)</f>
        <v/>
      </c>
      <c r="Z230" s="31" t="str">
        <f>IF('Phytopl Count'!Z230=0,"",'Phytopl Count'!Z230*'Phytopl Count'!Z$13/'Phytopl Count'!Z$8)</f>
        <v/>
      </c>
      <c r="AA230" s="31" t="str">
        <f>IF('Phytopl Count'!AA230=0,"",'Phytopl Count'!AA230*'Phytopl Count'!AA$13/'Phytopl Count'!AA$8)</f>
        <v/>
      </c>
      <c r="AB230" s="31" t="str">
        <f>IF('Phytopl Count'!AB230=0,"",'Phytopl Count'!AB230*'Phytopl Count'!AB$13/'Phytopl Count'!AB$8)</f>
        <v/>
      </c>
      <c r="AC230" s="31" t="str">
        <f>IF('Phytopl Count'!AC230=0,"",'Phytopl Count'!AC230*'Phytopl Count'!AC$13/'Phytopl Count'!AC$8)</f>
        <v/>
      </c>
      <c r="AD230" s="31" t="str">
        <f>IF('Phytopl Count'!AD230=0,"",'Phytopl Count'!AD230*'Phytopl Count'!AD$13/'Phytopl Count'!AD$8)</f>
        <v/>
      </c>
      <c r="AE230" s="31" t="str">
        <f>IF('Phytopl Count'!AE230=0,"",'Phytopl Count'!AE230*'Phytopl Count'!AE$13/'Phytopl Count'!AE$8)</f>
        <v/>
      </c>
      <c r="AF230" s="31" t="str">
        <f>IF('Phytopl Count'!AF230=0,"",'Phytopl Count'!AF230*'Phytopl Count'!AF$13/'Phytopl Count'!AF$8)</f>
        <v/>
      </c>
    </row>
    <row r="231" spans="1:32" ht="15" customHeight="1">
      <c r="E231" s="10" t="s">
        <v>6</v>
      </c>
      <c r="F231" s="11" t="s">
        <v>175</v>
      </c>
      <c r="G231" s="31" t="str">
        <f>IF('Phytopl Count'!G231=0,"",'Phytopl Count'!G231*'Phytopl Count'!G$13/'Phytopl Count'!G$8)</f>
        <v/>
      </c>
      <c r="H231" s="31" t="str">
        <f>IF('Phytopl Count'!H231=0,"",'Phytopl Count'!H231*'Phytopl Count'!H$13/'Phytopl Count'!H$8)</f>
        <v/>
      </c>
      <c r="I231" s="31" t="str">
        <f>IF('Phytopl Count'!I231=0,"",'Phytopl Count'!I231*'Phytopl Count'!I$13/'Phytopl Count'!I$8)</f>
        <v/>
      </c>
      <c r="J231" s="31" t="str">
        <f>IF('Phytopl Count'!J231=0,"",'Phytopl Count'!J231*'Phytopl Count'!J$13/'Phytopl Count'!J$8)</f>
        <v/>
      </c>
      <c r="K231" s="31" t="str">
        <f>IF('Phytopl Count'!K231=0,"",'Phytopl Count'!K231*'Phytopl Count'!K$13/'Phytopl Count'!K$8)</f>
        <v/>
      </c>
      <c r="L231" s="31">
        <f>IF('Phytopl Count'!L231=0,"",'Phytopl Count'!L231*'Phytopl Count'!L$13/'Phytopl Count'!L$8)</f>
        <v>2.4023387636512506E-2</v>
      </c>
      <c r="M231" s="31" t="str">
        <f>IF('Phytopl Count'!M231=0,"",'Phytopl Count'!M231*'Phytopl Count'!M$13/'Phytopl Count'!M$8)</f>
        <v/>
      </c>
      <c r="N231" s="31" t="str">
        <f>IF('Phytopl Count'!N231=0,"",'Phytopl Count'!N231*'Phytopl Count'!N$13/'Phytopl Count'!N$8)</f>
        <v/>
      </c>
      <c r="O231" s="31">
        <f>IF('Phytopl Count'!O231=0,"",'Phytopl Count'!O231*'Phytopl Count'!O$13/'Phytopl Count'!O$8)</f>
        <v>6.4062367030700007E-2</v>
      </c>
      <c r="P231" s="31" t="str">
        <f>IF('Phytopl Count'!P231=0,"",'Phytopl Count'!P231*'Phytopl Count'!P$13/'Phytopl Count'!P$8)</f>
        <v/>
      </c>
      <c r="Q231" s="31" t="str">
        <f>IF('Phytopl Count'!Q231=0,"",'Phytopl Count'!Q231*'Phytopl Count'!Q$13/'Phytopl Count'!Q$8)</f>
        <v/>
      </c>
      <c r="R231" s="31" t="str">
        <f>IF('Phytopl Count'!R231=0,"",'Phytopl Count'!R231*'Phytopl Count'!R$13/'Phytopl Count'!R$8)</f>
        <v/>
      </c>
      <c r="S231" s="31" t="str">
        <f>IF('Phytopl Count'!S231=0,"",'Phytopl Count'!S231*'Phytopl Count'!S$13/'Phytopl Count'!S$8)</f>
        <v/>
      </c>
      <c r="T231" s="31" t="str">
        <f>IF('Phytopl Count'!T231=0,"",'Phytopl Count'!T231*'Phytopl Count'!T$13/'Phytopl Count'!T$8)</f>
        <v/>
      </c>
      <c r="U231" s="31" t="str">
        <f>IF('Phytopl Count'!U231=0,"",'Phytopl Count'!U231*'Phytopl Count'!U$13/'Phytopl Count'!U$8)</f>
        <v/>
      </c>
      <c r="V231" s="31">
        <f>IF('Phytopl Count'!V231=0,"",'Phytopl Count'!V231*'Phytopl Count'!V$13/'Phytopl Count'!V$8)</f>
        <v>4.0038979394187504E-2</v>
      </c>
      <c r="W231" s="31" t="str">
        <f>IF('Phytopl Count'!W231=0,"",'Phytopl Count'!W231*'Phytopl Count'!W$13/'Phytopl Count'!W$8)</f>
        <v/>
      </c>
      <c r="X231" s="31" t="str">
        <f>IF('Phytopl Count'!X231=0,"",'Phytopl Count'!X231*'Phytopl Count'!X$13/'Phytopl Count'!X$8)</f>
        <v/>
      </c>
      <c r="Y231" s="31" t="str">
        <f>IF('Phytopl Count'!Y231=0,"",'Phytopl Count'!Y231*'Phytopl Count'!Y$13/'Phytopl Count'!Y$8)</f>
        <v/>
      </c>
      <c r="Z231" s="31" t="str">
        <f>IF('Phytopl Count'!Z231=0,"",'Phytopl Count'!Z231*'Phytopl Count'!Z$13/'Phytopl Count'!Z$8)</f>
        <v/>
      </c>
      <c r="AA231" s="31" t="str">
        <f>IF('Phytopl Count'!AA231=0,"",'Phytopl Count'!AA231*'Phytopl Count'!AA$13/'Phytopl Count'!AA$8)</f>
        <v/>
      </c>
      <c r="AB231" s="31" t="str">
        <f>IF('Phytopl Count'!AB231=0,"",'Phytopl Count'!AB231*'Phytopl Count'!AB$13/'Phytopl Count'!AB$8)</f>
        <v/>
      </c>
      <c r="AC231" s="31" t="str">
        <f>IF('Phytopl Count'!AC231=0,"",'Phytopl Count'!AC231*'Phytopl Count'!AC$13/'Phytopl Count'!AC$8)</f>
        <v/>
      </c>
      <c r="AD231" s="31" t="str">
        <f>IF('Phytopl Count'!AD231=0,"",'Phytopl Count'!AD231*'Phytopl Count'!AD$13/'Phytopl Count'!AD$8)</f>
        <v/>
      </c>
      <c r="AE231" s="31" t="str">
        <f>IF('Phytopl Count'!AE231=0,"",'Phytopl Count'!AE231*'Phytopl Count'!AE$13/'Phytopl Count'!AE$8)</f>
        <v/>
      </c>
      <c r="AF231" s="31" t="str">
        <f>IF('Phytopl Count'!AF231=0,"",'Phytopl Count'!AF231*'Phytopl Count'!AF$13/'Phytopl Count'!AF$8)</f>
        <v/>
      </c>
    </row>
    <row r="232" spans="1:32" ht="15" customHeight="1">
      <c r="E232" s="10"/>
      <c r="F232" s="11" t="s">
        <v>264</v>
      </c>
      <c r="G232" s="31" t="str">
        <f>IF('Phytopl Count'!G232=0,"",'Phytopl Count'!G232*'Phytopl Count'!G$13/'Phytopl Count'!G$8)</f>
        <v/>
      </c>
      <c r="H232" s="31" t="str">
        <f>IF('Phytopl Count'!H232=0,"",'Phytopl Count'!H232*'Phytopl Count'!H$13/'Phytopl Count'!H$8)</f>
        <v/>
      </c>
      <c r="I232" s="31" t="str">
        <f>IF('Phytopl Count'!I232=0,"",'Phytopl Count'!I232*'Phytopl Count'!I$13/'Phytopl Count'!I$8)</f>
        <v/>
      </c>
      <c r="J232" s="31" t="str">
        <f>IF('Phytopl Count'!J232=0,"",'Phytopl Count'!J232*'Phytopl Count'!J$13/'Phytopl Count'!J$8)</f>
        <v/>
      </c>
      <c r="K232" s="31">
        <f>IF('Phytopl Count'!K232=0,"",'Phytopl Count'!K232*'Phytopl Count'!K$13/'Phytopl Count'!K$8)</f>
        <v>3.2031183515350004E-2</v>
      </c>
      <c r="L232" s="31" t="str">
        <f>IF('Phytopl Count'!L232=0,"",'Phytopl Count'!L232*'Phytopl Count'!L$13/'Phytopl Count'!L$8)</f>
        <v/>
      </c>
      <c r="M232" s="31" t="str">
        <f>IF('Phytopl Count'!M232=0,"",'Phytopl Count'!M232*'Phytopl Count'!M$13/'Phytopl Count'!M$8)</f>
        <v/>
      </c>
      <c r="N232" s="31" t="str">
        <f>IF('Phytopl Count'!N232=0,"",'Phytopl Count'!N232*'Phytopl Count'!N$13/'Phytopl Count'!N$8)</f>
        <v/>
      </c>
      <c r="O232" s="31" t="str">
        <f>IF('Phytopl Count'!O232=0,"",'Phytopl Count'!O232*'Phytopl Count'!O$13/'Phytopl Count'!O$8)</f>
        <v/>
      </c>
      <c r="P232" s="31" t="str">
        <f>IF('Phytopl Count'!P232=0,"",'Phytopl Count'!P232*'Phytopl Count'!P$13/'Phytopl Count'!P$8)</f>
        <v/>
      </c>
      <c r="Q232" s="31">
        <f>IF('Phytopl Count'!Q232=0,"",'Phytopl Count'!Q232*'Phytopl Count'!Q$13/'Phytopl Count'!Q$8)</f>
        <v>4.0038979394187504E-2</v>
      </c>
      <c r="R232" s="31" t="str">
        <f>IF('Phytopl Count'!R232=0,"",'Phytopl Count'!R232*'Phytopl Count'!R$13/'Phytopl Count'!R$8)</f>
        <v/>
      </c>
      <c r="S232" s="31" t="str">
        <f>IF('Phytopl Count'!S232=0,"",'Phytopl Count'!S232*'Phytopl Count'!S$13/'Phytopl Count'!S$8)</f>
        <v/>
      </c>
      <c r="T232" s="31" t="str">
        <f>IF('Phytopl Count'!T232=0,"",'Phytopl Count'!T232*'Phytopl Count'!T$13/'Phytopl Count'!T$8)</f>
        <v/>
      </c>
      <c r="U232" s="31" t="str">
        <f>IF('Phytopl Count'!U232=0,"",'Phytopl Count'!U232*'Phytopl Count'!U$13/'Phytopl Count'!U$8)</f>
        <v/>
      </c>
      <c r="V232" s="31" t="str">
        <f>IF('Phytopl Count'!V232=0,"",'Phytopl Count'!V232*'Phytopl Count'!V$13/'Phytopl Count'!V$8)</f>
        <v/>
      </c>
      <c r="W232" s="31" t="str">
        <f>IF('Phytopl Count'!W232=0,"",'Phytopl Count'!W232*'Phytopl Count'!W$13/'Phytopl Count'!W$8)</f>
        <v/>
      </c>
      <c r="X232" s="31" t="str">
        <f>IF('Phytopl Count'!X232=0,"",'Phytopl Count'!X232*'Phytopl Count'!X$13/'Phytopl Count'!X$8)</f>
        <v/>
      </c>
      <c r="Y232" s="31" t="str">
        <f>IF('Phytopl Count'!Y232=0,"",'Phytopl Count'!Y232*'Phytopl Count'!Y$13/'Phytopl Count'!Y$8)</f>
        <v/>
      </c>
      <c r="Z232" s="31" t="str">
        <f>IF('Phytopl Count'!Z232=0,"",'Phytopl Count'!Z232*'Phytopl Count'!Z$13/'Phytopl Count'!Z$8)</f>
        <v/>
      </c>
      <c r="AA232" s="31" t="str">
        <f>IF('Phytopl Count'!AA232=0,"",'Phytopl Count'!AA232*'Phytopl Count'!AA$13/'Phytopl Count'!AA$8)</f>
        <v/>
      </c>
      <c r="AB232" s="31" t="str">
        <f>IF('Phytopl Count'!AB232=0,"",'Phytopl Count'!AB232*'Phytopl Count'!AB$13/'Phytopl Count'!AB$8)</f>
        <v/>
      </c>
      <c r="AC232" s="31" t="str">
        <f>IF('Phytopl Count'!AC232=0,"",'Phytopl Count'!AC232*'Phytopl Count'!AC$13/'Phytopl Count'!AC$8)</f>
        <v/>
      </c>
      <c r="AD232" s="31" t="str">
        <f>IF('Phytopl Count'!AD232=0,"",'Phytopl Count'!AD232*'Phytopl Count'!AD$13/'Phytopl Count'!AD$8)</f>
        <v/>
      </c>
      <c r="AE232" s="31" t="str">
        <f>IF('Phytopl Count'!AE232=0,"",'Phytopl Count'!AE232*'Phytopl Count'!AE$13/'Phytopl Count'!AE$8)</f>
        <v/>
      </c>
      <c r="AF232" s="31" t="str">
        <f>IF('Phytopl Count'!AF232=0,"",'Phytopl Count'!AF232*'Phytopl Count'!AF$13/'Phytopl Count'!AF$8)</f>
        <v/>
      </c>
    </row>
    <row r="233" spans="1:32" ht="15" hidden="1" customHeight="1">
      <c r="A233" s="4"/>
      <c r="B233" s="4"/>
      <c r="C233" s="4"/>
      <c r="D233" s="10" t="s">
        <v>5</v>
      </c>
      <c r="E233" s="140" t="s">
        <v>307</v>
      </c>
      <c r="F233" s="11"/>
      <c r="G233" s="31" t="str">
        <f>IF('Phytopl Count'!G233=0,"",'Phytopl Count'!G233*'Phytopl Count'!G$13/'Phytopl Count'!G$8)</f>
        <v/>
      </c>
      <c r="H233" s="31" t="str">
        <f>IF('Phytopl Count'!H233=0,"",'Phytopl Count'!H233*'Phytopl Count'!H$13/'Phytopl Count'!H$8)</f>
        <v/>
      </c>
      <c r="I233" s="31" t="str">
        <f>IF('Phytopl Count'!I233=0,"",'Phytopl Count'!I233*'Phytopl Count'!I$13/'Phytopl Count'!I$8)</f>
        <v/>
      </c>
      <c r="J233" s="31" t="str">
        <f>IF('Phytopl Count'!J233=0,"",'Phytopl Count'!J233*'Phytopl Count'!J$13/'Phytopl Count'!J$8)</f>
        <v/>
      </c>
      <c r="K233" s="31" t="str">
        <f>IF('Phytopl Count'!K233=0,"",'Phytopl Count'!K233*'Phytopl Count'!K$13/'Phytopl Count'!K$8)</f>
        <v/>
      </c>
      <c r="L233" s="31" t="str">
        <f>IF('Phytopl Count'!L233=0,"",'Phytopl Count'!L233*'Phytopl Count'!L$13/'Phytopl Count'!L$8)</f>
        <v/>
      </c>
      <c r="M233" s="31" t="str">
        <f>IF('Phytopl Count'!M233=0,"",'Phytopl Count'!M233*'Phytopl Count'!M$13/'Phytopl Count'!M$8)</f>
        <v/>
      </c>
      <c r="N233" s="31" t="str">
        <f>IF('Phytopl Count'!N233=0,"",'Phytopl Count'!N233*'Phytopl Count'!N$13/'Phytopl Count'!N$8)</f>
        <v/>
      </c>
      <c r="O233" s="31" t="str">
        <f>IF('Phytopl Count'!O233=0,"",'Phytopl Count'!O233*'Phytopl Count'!O$13/'Phytopl Count'!O$8)</f>
        <v/>
      </c>
      <c r="P233" s="31" t="str">
        <f>IF('Phytopl Count'!P233=0,"",'Phytopl Count'!P233*'Phytopl Count'!P$13/'Phytopl Count'!P$8)</f>
        <v/>
      </c>
      <c r="Q233" s="31" t="str">
        <f>IF('Phytopl Count'!Q233=0,"",'Phytopl Count'!Q233*'Phytopl Count'!Q$13/'Phytopl Count'!Q$8)</f>
        <v/>
      </c>
      <c r="R233" s="31" t="str">
        <f>IF('Phytopl Count'!R233=0,"",'Phytopl Count'!R233*'Phytopl Count'!R$13/'Phytopl Count'!R$8)</f>
        <v/>
      </c>
      <c r="S233" s="31" t="str">
        <f>IF('Phytopl Count'!S233=0,"",'Phytopl Count'!S233*'Phytopl Count'!S$13/'Phytopl Count'!S$8)</f>
        <v/>
      </c>
      <c r="T233" s="31" t="str">
        <f>IF('Phytopl Count'!T233=0,"",'Phytopl Count'!T233*'Phytopl Count'!T$13/'Phytopl Count'!T$8)</f>
        <v/>
      </c>
      <c r="U233" s="31" t="str">
        <f>IF('Phytopl Count'!U233=0,"",'Phytopl Count'!U233*'Phytopl Count'!U$13/'Phytopl Count'!U$8)</f>
        <v/>
      </c>
      <c r="V233" s="31" t="str">
        <f>IF('Phytopl Count'!V233=0,"",'Phytopl Count'!V233*'Phytopl Count'!V$13/'Phytopl Count'!V$8)</f>
        <v/>
      </c>
      <c r="W233" s="31" t="str">
        <f>IF('Phytopl Count'!W233=0,"",'Phytopl Count'!W233*'Phytopl Count'!W$13/'Phytopl Count'!W$8)</f>
        <v/>
      </c>
      <c r="X233" s="31" t="str">
        <f>IF('Phytopl Count'!X233=0,"",'Phytopl Count'!X233*'Phytopl Count'!X$13/'Phytopl Count'!X$8)</f>
        <v/>
      </c>
      <c r="Y233" s="31" t="str">
        <f>IF('Phytopl Count'!Y233=0,"",'Phytopl Count'!Y233*'Phytopl Count'!Y$13/'Phytopl Count'!Y$8)</f>
        <v/>
      </c>
      <c r="Z233" s="31" t="str">
        <f>IF('Phytopl Count'!Z233=0,"",'Phytopl Count'!Z233*'Phytopl Count'!Z$13/'Phytopl Count'!Z$8)</f>
        <v/>
      </c>
      <c r="AA233" s="31" t="str">
        <f>IF('Phytopl Count'!AA233=0,"",'Phytopl Count'!AA233*'Phytopl Count'!AA$13/'Phytopl Count'!AA$8)</f>
        <v/>
      </c>
      <c r="AB233" s="31" t="str">
        <f>IF('Phytopl Count'!AB233=0,"",'Phytopl Count'!AB233*'Phytopl Count'!AB$13/'Phytopl Count'!AB$8)</f>
        <v/>
      </c>
      <c r="AC233" s="31" t="str">
        <f>IF('Phytopl Count'!AC233=0,"",'Phytopl Count'!AC233*'Phytopl Count'!AC$13/'Phytopl Count'!AC$8)</f>
        <v/>
      </c>
      <c r="AD233" s="31" t="str">
        <f>IF('Phytopl Count'!AD233=0,"",'Phytopl Count'!AD233*'Phytopl Count'!AD$13/'Phytopl Count'!AD$8)</f>
        <v/>
      </c>
      <c r="AE233" s="31" t="str">
        <f>IF('Phytopl Count'!AE233=0,"",'Phytopl Count'!AE233*'Phytopl Count'!AE$13/'Phytopl Count'!AE$8)</f>
        <v/>
      </c>
      <c r="AF233" s="31" t="str">
        <f>IF('Phytopl Count'!AF233=0,"",'Phytopl Count'!AF233*'Phytopl Count'!AF$13/'Phytopl Count'!AF$8)</f>
        <v/>
      </c>
    </row>
    <row r="234" spans="1:32" ht="15" hidden="1" customHeight="1">
      <c r="A234" s="4"/>
      <c r="B234" s="4"/>
      <c r="C234" s="4"/>
      <c r="E234" s="10" t="s">
        <v>6</v>
      </c>
      <c r="F234" s="11" t="s">
        <v>308</v>
      </c>
      <c r="G234" s="31" t="str">
        <f>IF('Phytopl Count'!G234=0,"",'Phytopl Count'!G234*'Phytopl Count'!G$13/'Phytopl Count'!G$8)</f>
        <v/>
      </c>
      <c r="H234" s="31" t="str">
        <f>IF('Phytopl Count'!H234=0,"",'Phytopl Count'!H234*'Phytopl Count'!H$13/'Phytopl Count'!H$8)</f>
        <v/>
      </c>
      <c r="I234" s="31" t="str">
        <f>IF('Phytopl Count'!I234=0,"",'Phytopl Count'!I234*'Phytopl Count'!I$13/'Phytopl Count'!I$8)</f>
        <v/>
      </c>
      <c r="J234" s="31" t="str">
        <f>IF('Phytopl Count'!J234=0,"",'Phytopl Count'!J234*'Phytopl Count'!J$13/'Phytopl Count'!J$8)</f>
        <v/>
      </c>
      <c r="K234" s="31" t="str">
        <f>IF('Phytopl Count'!K234=0,"",'Phytopl Count'!K234*'Phytopl Count'!K$13/'Phytopl Count'!K$8)</f>
        <v/>
      </c>
      <c r="L234" s="31" t="str">
        <f>IF('Phytopl Count'!L234=0,"",'Phytopl Count'!L234*'Phytopl Count'!L$13/'Phytopl Count'!L$8)</f>
        <v/>
      </c>
      <c r="M234" s="31" t="str">
        <f>IF('Phytopl Count'!M234=0,"",'Phytopl Count'!M234*'Phytopl Count'!M$13/'Phytopl Count'!M$8)</f>
        <v/>
      </c>
      <c r="N234" s="31" t="str">
        <f>IF('Phytopl Count'!N234=0,"",'Phytopl Count'!N234*'Phytopl Count'!N$13/'Phytopl Count'!N$8)</f>
        <v/>
      </c>
      <c r="O234" s="31" t="str">
        <f>IF('Phytopl Count'!O234=0,"",'Phytopl Count'!O234*'Phytopl Count'!O$13/'Phytopl Count'!O$8)</f>
        <v/>
      </c>
      <c r="P234" s="31" t="str">
        <f>IF('Phytopl Count'!P234=0,"",'Phytopl Count'!P234*'Phytopl Count'!P$13/'Phytopl Count'!P$8)</f>
        <v/>
      </c>
      <c r="Q234" s="31" t="str">
        <f>IF('Phytopl Count'!Q234=0,"",'Phytopl Count'!Q234*'Phytopl Count'!Q$13/'Phytopl Count'!Q$8)</f>
        <v/>
      </c>
      <c r="R234" s="31" t="str">
        <f>IF('Phytopl Count'!R234=0,"",'Phytopl Count'!R234*'Phytopl Count'!R$13/'Phytopl Count'!R$8)</f>
        <v/>
      </c>
      <c r="S234" s="31" t="str">
        <f>IF('Phytopl Count'!S234=0,"",'Phytopl Count'!S234*'Phytopl Count'!S$13/'Phytopl Count'!S$8)</f>
        <v/>
      </c>
      <c r="T234" s="31" t="str">
        <f>IF('Phytopl Count'!T234=0,"",'Phytopl Count'!T234*'Phytopl Count'!T$13/'Phytopl Count'!T$8)</f>
        <v/>
      </c>
      <c r="U234" s="31" t="str">
        <f>IF('Phytopl Count'!U234=0,"",'Phytopl Count'!U234*'Phytopl Count'!U$13/'Phytopl Count'!U$8)</f>
        <v/>
      </c>
      <c r="V234" s="31" t="str">
        <f>IF('Phytopl Count'!V234=0,"",'Phytopl Count'!V234*'Phytopl Count'!V$13/'Phytopl Count'!V$8)</f>
        <v/>
      </c>
      <c r="W234" s="31" t="str">
        <f>IF('Phytopl Count'!W234=0,"",'Phytopl Count'!W234*'Phytopl Count'!W$13/'Phytopl Count'!W$8)</f>
        <v/>
      </c>
      <c r="X234" s="31" t="str">
        <f>IF('Phytopl Count'!X234=0,"",'Phytopl Count'!X234*'Phytopl Count'!X$13/'Phytopl Count'!X$8)</f>
        <v/>
      </c>
      <c r="Y234" s="31" t="str">
        <f>IF('Phytopl Count'!Y234=0,"",'Phytopl Count'!Y234*'Phytopl Count'!Y$13/'Phytopl Count'!Y$8)</f>
        <v/>
      </c>
      <c r="Z234" s="31" t="str">
        <f>IF('Phytopl Count'!Z234=0,"",'Phytopl Count'!Z234*'Phytopl Count'!Z$13/'Phytopl Count'!Z$8)</f>
        <v/>
      </c>
      <c r="AA234" s="31" t="str">
        <f>IF('Phytopl Count'!AA234=0,"",'Phytopl Count'!AA234*'Phytopl Count'!AA$13/'Phytopl Count'!AA$8)</f>
        <v/>
      </c>
      <c r="AB234" s="31" t="str">
        <f>IF('Phytopl Count'!AB234=0,"",'Phytopl Count'!AB234*'Phytopl Count'!AB$13/'Phytopl Count'!AB$8)</f>
        <v/>
      </c>
      <c r="AC234" s="31" t="str">
        <f>IF('Phytopl Count'!AC234=0,"",'Phytopl Count'!AC234*'Phytopl Count'!AC$13/'Phytopl Count'!AC$8)</f>
        <v/>
      </c>
      <c r="AD234" s="31" t="str">
        <f>IF('Phytopl Count'!AD234=0,"",'Phytopl Count'!AD234*'Phytopl Count'!AD$13/'Phytopl Count'!AD$8)</f>
        <v/>
      </c>
      <c r="AE234" s="31" t="str">
        <f>IF('Phytopl Count'!AE234=0,"",'Phytopl Count'!AE234*'Phytopl Count'!AE$13/'Phytopl Count'!AE$8)</f>
        <v/>
      </c>
      <c r="AF234" s="31" t="str">
        <f>IF('Phytopl Count'!AF234=0,"",'Phytopl Count'!AF234*'Phytopl Count'!AF$13/'Phytopl Count'!AF$8)</f>
        <v/>
      </c>
    </row>
    <row r="235" spans="1:32" ht="15" customHeight="1">
      <c r="D235" s="10" t="s">
        <v>5</v>
      </c>
      <c r="E235" s="104" t="s">
        <v>243</v>
      </c>
      <c r="F235" s="11"/>
      <c r="G235" s="31" t="str">
        <f>IF('Phytopl Count'!G235=0,"",'Phytopl Count'!G235*'Phytopl Count'!G$13/'Phytopl Count'!G$8)</f>
        <v/>
      </c>
      <c r="H235" s="31" t="str">
        <f>IF('Phytopl Count'!H235=0,"",'Phytopl Count'!H235*'Phytopl Count'!H$13/'Phytopl Count'!H$8)</f>
        <v/>
      </c>
      <c r="I235" s="31" t="str">
        <f>IF('Phytopl Count'!I235=0,"",'Phytopl Count'!I235*'Phytopl Count'!I$13/'Phytopl Count'!I$8)</f>
        <v/>
      </c>
      <c r="J235" s="31" t="str">
        <f>IF('Phytopl Count'!J235=0,"",'Phytopl Count'!J235*'Phytopl Count'!J$13/'Phytopl Count'!J$8)</f>
        <v/>
      </c>
      <c r="K235" s="31" t="str">
        <f>IF('Phytopl Count'!K235=0,"",'Phytopl Count'!K235*'Phytopl Count'!K$13/'Phytopl Count'!K$8)</f>
        <v/>
      </c>
      <c r="L235" s="31" t="str">
        <f>IF('Phytopl Count'!L235=0,"",'Phytopl Count'!L235*'Phytopl Count'!L$13/'Phytopl Count'!L$8)</f>
        <v/>
      </c>
      <c r="M235" s="31" t="str">
        <f>IF('Phytopl Count'!M235=0,"",'Phytopl Count'!M235*'Phytopl Count'!M$13/'Phytopl Count'!M$8)</f>
        <v/>
      </c>
      <c r="N235" s="31" t="str">
        <f>IF('Phytopl Count'!N235=0,"",'Phytopl Count'!N235*'Phytopl Count'!N$13/'Phytopl Count'!N$8)</f>
        <v/>
      </c>
      <c r="O235" s="31" t="str">
        <f>IF('Phytopl Count'!O235=0,"",'Phytopl Count'!O235*'Phytopl Count'!O$13/'Phytopl Count'!O$8)</f>
        <v/>
      </c>
      <c r="P235" s="31" t="str">
        <f>IF('Phytopl Count'!P235=0,"",'Phytopl Count'!P235*'Phytopl Count'!P$13/'Phytopl Count'!P$8)</f>
        <v/>
      </c>
      <c r="Q235" s="31" t="str">
        <f>IF('Phytopl Count'!Q235=0,"",'Phytopl Count'!Q235*'Phytopl Count'!Q$13/'Phytopl Count'!Q$8)</f>
        <v/>
      </c>
      <c r="R235" s="31" t="str">
        <f>IF('Phytopl Count'!R235=0,"",'Phytopl Count'!R235*'Phytopl Count'!R$13/'Phytopl Count'!R$8)</f>
        <v/>
      </c>
      <c r="S235" s="31" t="str">
        <f>IF('Phytopl Count'!S235=0,"",'Phytopl Count'!S235*'Phytopl Count'!S$13/'Phytopl Count'!S$8)</f>
        <v/>
      </c>
      <c r="T235" s="31" t="str">
        <f>IF('Phytopl Count'!T235=0,"",'Phytopl Count'!T235*'Phytopl Count'!T$13/'Phytopl Count'!T$8)</f>
        <v/>
      </c>
      <c r="U235" s="31" t="str">
        <f>IF('Phytopl Count'!U235=0,"",'Phytopl Count'!U235*'Phytopl Count'!U$13/'Phytopl Count'!U$8)</f>
        <v/>
      </c>
      <c r="V235" s="31" t="str">
        <f>IF('Phytopl Count'!V235=0,"",'Phytopl Count'!V235*'Phytopl Count'!V$13/'Phytopl Count'!V$8)</f>
        <v/>
      </c>
      <c r="W235" s="31" t="str">
        <f>IF('Phytopl Count'!W235=0,"",'Phytopl Count'!W235*'Phytopl Count'!W$13/'Phytopl Count'!W$8)</f>
        <v/>
      </c>
      <c r="X235" s="31" t="str">
        <f>IF('Phytopl Count'!X235=0,"",'Phytopl Count'!X235*'Phytopl Count'!X$13/'Phytopl Count'!X$8)</f>
        <v/>
      </c>
      <c r="Y235" s="31" t="str">
        <f>IF('Phytopl Count'!Y235=0,"",'Phytopl Count'!Y235*'Phytopl Count'!Y$13/'Phytopl Count'!Y$8)</f>
        <v/>
      </c>
      <c r="Z235" s="31" t="str">
        <f>IF('Phytopl Count'!Z235=0,"",'Phytopl Count'!Z235*'Phytopl Count'!Z$13/'Phytopl Count'!Z$8)</f>
        <v/>
      </c>
      <c r="AA235" s="31" t="str">
        <f>IF('Phytopl Count'!AA235=0,"",'Phytopl Count'!AA235*'Phytopl Count'!AA$13/'Phytopl Count'!AA$8)</f>
        <v/>
      </c>
      <c r="AB235" s="31" t="str">
        <f>IF('Phytopl Count'!AB235=0,"",'Phytopl Count'!AB235*'Phytopl Count'!AB$13/'Phytopl Count'!AB$8)</f>
        <v/>
      </c>
      <c r="AC235" s="31" t="str">
        <f>IF('Phytopl Count'!AC235=0,"",'Phytopl Count'!AC235*'Phytopl Count'!AC$13/'Phytopl Count'!AC$8)</f>
        <v/>
      </c>
      <c r="AD235" s="31" t="str">
        <f>IF('Phytopl Count'!AD235=0,"",'Phytopl Count'!AD235*'Phytopl Count'!AD$13/'Phytopl Count'!AD$8)</f>
        <v/>
      </c>
      <c r="AE235" s="31" t="str">
        <f>IF('Phytopl Count'!AE235=0,"",'Phytopl Count'!AE235*'Phytopl Count'!AE$13/'Phytopl Count'!AE$8)</f>
        <v/>
      </c>
      <c r="AF235" s="31" t="str">
        <f>IF('Phytopl Count'!AF235=0,"",'Phytopl Count'!AF235*'Phytopl Count'!AF$13/'Phytopl Count'!AF$8)</f>
        <v/>
      </c>
    </row>
    <row r="236" spans="1:32" ht="15" hidden="1" customHeight="1">
      <c r="F236" s="11" t="s">
        <v>271</v>
      </c>
      <c r="G236" s="31" t="str">
        <f>IF('Phytopl Count'!G236=0,"",'Phytopl Count'!G236*'Phytopl Count'!G$13/'Phytopl Count'!G$8)</f>
        <v/>
      </c>
      <c r="H236" s="31" t="str">
        <f>IF('Phytopl Count'!H236=0,"",'Phytopl Count'!H236*'Phytopl Count'!H$13/'Phytopl Count'!H$8)</f>
        <v/>
      </c>
      <c r="I236" s="31" t="str">
        <f>IF('Phytopl Count'!I236=0,"",'Phytopl Count'!I236*'Phytopl Count'!I$13/'Phytopl Count'!I$8)</f>
        <v/>
      </c>
      <c r="J236" s="31" t="str">
        <f>IF('Phytopl Count'!J236=0,"",'Phytopl Count'!J236*'Phytopl Count'!J$13/'Phytopl Count'!J$8)</f>
        <v/>
      </c>
      <c r="K236" s="31" t="str">
        <f>IF('Phytopl Count'!K236=0,"",'Phytopl Count'!K236*'Phytopl Count'!K$13/'Phytopl Count'!K$8)</f>
        <v/>
      </c>
      <c r="L236" s="31" t="str">
        <f>IF('Phytopl Count'!L236=0,"",'Phytopl Count'!L236*'Phytopl Count'!L$13/'Phytopl Count'!L$8)</f>
        <v/>
      </c>
      <c r="M236" s="31" t="str">
        <f>IF('Phytopl Count'!M236=0,"",'Phytopl Count'!M236*'Phytopl Count'!M$13/'Phytopl Count'!M$8)</f>
        <v/>
      </c>
      <c r="N236" s="31" t="str">
        <f>IF('Phytopl Count'!N236=0,"",'Phytopl Count'!N236*'Phytopl Count'!N$13/'Phytopl Count'!N$8)</f>
        <v/>
      </c>
      <c r="O236" s="31" t="str">
        <f>IF('Phytopl Count'!O236=0,"",'Phytopl Count'!O236*'Phytopl Count'!O$13/'Phytopl Count'!O$8)</f>
        <v/>
      </c>
      <c r="P236" s="31" t="str">
        <f>IF('Phytopl Count'!P236=0,"",'Phytopl Count'!P236*'Phytopl Count'!P$13/'Phytopl Count'!P$8)</f>
        <v/>
      </c>
      <c r="Q236" s="31" t="str">
        <f>IF('Phytopl Count'!Q236=0,"",'Phytopl Count'!Q236*'Phytopl Count'!Q$13/'Phytopl Count'!Q$8)</f>
        <v/>
      </c>
      <c r="R236" s="31" t="str">
        <f>IF('Phytopl Count'!R236=0,"",'Phytopl Count'!R236*'Phytopl Count'!R$13/'Phytopl Count'!R$8)</f>
        <v/>
      </c>
      <c r="S236" s="31" t="str">
        <f>IF('Phytopl Count'!S236=0,"",'Phytopl Count'!S236*'Phytopl Count'!S$13/'Phytopl Count'!S$8)</f>
        <v/>
      </c>
      <c r="T236" s="31" t="str">
        <f>IF('Phytopl Count'!T236=0,"",'Phytopl Count'!T236*'Phytopl Count'!T$13/'Phytopl Count'!T$8)</f>
        <v/>
      </c>
      <c r="U236" s="31" t="str">
        <f>IF('Phytopl Count'!U236=0,"",'Phytopl Count'!U236*'Phytopl Count'!U$13/'Phytopl Count'!U$8)</f>
        <v/>
      </c>
      <c r="V236" s="31" t="str">
        <f>IF('Phytopl Count'!V236=0,"",'Phytopl Count'!V236*'Phytopl Count'!V$13/'Phytopl Count'!V$8)</f>
        <v/>
      </c>
      <c r="W236" s="31" t="str">
        <f>IF('Phytopl Count'!W236=0,"",'Phytopl Count'!W236*'Phytopl Count'!W$13/'Phytopl Count'!W$8)</f>
        <v/>
      </c>
      <c r="X236" s="31" t="str">
        <f>IF('Phytopl Count'!X236=0,"",'Phytopl Count'!X236*'Phytopl Count'!X$13/'Phytopl Count'!X$8)</f>
        <v/>
      </c>
      <c r="Y236" s="31" t="str">
        <f>IF('Phytopl Count'!Y236=0,"",'Phytopl Count'!Y236*'Phytopl Count'!Y$13/'Phytopl Count'!Y$8)</f>
        <v/>
      </c>
      <c r="Z236" s="31" t="str">
        <f>IF('Phytopl Count'!Z236=0,"",'Phytopl Count'!Z236*'Phytopl Count'!Z$13/'Phytopl Count'!Z$8)</f>
        <v/>
      </c>
      <c r="AA236" s="31" t="str">
        <f>IF('Phytopl Count'!AA236=0,"",'Phytopl Count'!AA236*'Phytopl Count'!AA$13/'Phytopl Count'!AA$8)</f>
        <v/>
      </c>
      <c r="AB236" s="31" t="str">
        <f>IF('Phytopl Count'!AB236=0,"",'Phytopl Count'!AB236*'Phytopl Count'!AB$13/'Phytopl Count'!AB$8)</f>
        <v/>
      </c>
      <c r="AC236" s="31" t="str">
        <f>IF('Phytopl Count'!AC236=0,"",'Phytopl Count'!AC236*'Phytopl Count'!AC$13/'Phytopl Count'!AC$8)</f>
        <v/>
      </c>
      <c r="AD236" s="31" t="str">
        <f>IF('Phytopl Count'!AD236=0,"",'Phytopl Count'!AD236*'Phytopl Count'!AD$13/'Phytopl Count'!AD$8)</f>
        <v/>
      </c>
      <c r="AE236" s="31" t="str">
        <f>IF('Phytopl Count'!AE236=0,"",'Phytopl Count'!AE236*'Phytopl Count'!AE$13/'Phytopl Count'!AE$8)</f>
        <v/>
      </c>
      <c r="AF236" s="31" t="str">
        <f>IF('Phytopl Count'!AF236=0,"",'Phytopl Count'!AF236*'Phytopl Count'!AF$13/'Phytopl Count'!AF$8)</f>
        <v/>
      </c>
    </row>
    <row r="237" spans="1:32" ht="15" customHeight="1">
      <c r="E237" s="10" t="s">
        <v>6</v>
      </c>
      <c r="F237" s="11" t="s">
        <v>238</v>
      </c>
      <c r="G237" s="31" t="str">
        <f>IF('Phytopl Count'!G237=0,"",'Phytopl Count'!G237*'Phytopl Count'!G$13/'Phytopl Count'!G$8)</f>
        <v/>
      </c>
      <c r="H237" s="31" t="str">
        <f>IF('Phytopl Count'!H237=0,"",'Phytopl Count'!H237*'Phytopl Count'!H$13/'Phytopl Count'!H$8)</f>
        <v/>
      </c>
      <c r="I237" s="31">
        <f>IF('Phytopl Count'!I237=0,"",'Phytopl Count'!I237*'Phytopl Count'!I$13/'Phytopl Count'!I$8)</f>
        <v>5.6054571151862506E-2</v>
      </c>
      <c r="J237" s="31" t="str">
        <f>IF('Phytopl Count'!J237=0,"",'Phytopl Count'!J237*'Phytopl Count'!J$13/'Phytopl Count'!J$8)</f>
        <v/>
      </c>
      <c r="K237" s="31" t="str">
        <f>IF('Phytopl Count'!K237=0,"",'Phytopl Count'!K237*'Phytopl Count'!K$13/'Phytopl Count'!K$8)</f>
        <v/>
      </c>
      <c r="L237" s="31" t="str">
        <f>IF('Phytopl Count'!L237=0,"",'Phytopl Count'!L237*'Phytopl Count'!L$13/'Phytopl Count'!L$8)</f>
        <v/>
      </c>
      <c r="M237" s="31" t="str">
        <f>IF('Phytopl Count'!M237=0,"",'Phytopl Count'!M237*'Phytopl Count'!M$13/'Phytopl Count'!M$8)</f>
        <v/>
      </c>
      <c r="N237" s="31" t="str">
        <f>IF('Phytopl Count'!N237=0,"",'Phytopl Count'!N237*'Phytopl Count'!N$13/'Phytopl Count'!N$8)</f>
        <v/>
      </c>
      <c r="O237" s="31">
        <f>IF('Phytopl Count'!O237=0,"",'Phytopl Count'!O237*'Phytopl Count'!O$13/'Phytopl Count'!O$8)</f>
        <v>6.4062367030700007E-2</v>
      </c>
      <c r="P237" s="31" t="str">
        <f>IF('Phytopl Count'!P237=0,"",'Phytopl Count'!P237*'Phytopl Count'!P$13/'Phytopl Count'!P$8)</f>
        <v/>
      </c>
      <c r="Q237" s="31" t="str">
        <f>IF('Phytopl Count'!Q237=0,"",'Phytopl Count'!Q237*'Phytopl Count'!Q$13/'Phytopl Count'!Q$8)</f>
        <v/>
      </c>
      <c r="R237" s="31">
        <f>IF('Phytopl Count'!R237=0,"",'Phytopl Count'!R237*'Phytopl Count'!R$13/'Phytopl Count'!R$8)</f>
        <v>3.2031183515350004E-2</v>
      </c>
      <c r="S237" s="31" t="str">
        <f>IF('Phytopl Count'!S237=0,"",'Phytopl Count'!S237*'Phytopl Count'!S$13/'Phytopl Count'!S$8)</f>
        <v/>
      </c>
      <c r="T237" s="31" t="str">
        <f>IF('Phytopl Count'!T237=0,"",'Phytopl Count'!T237*'Phytopl Count'!T$13/'Phytopl Count'!T$8)</f>
        <v/>
      </c>
      <c r="U237" s="31" t="str">
        <f>IF('Phytopl Count'!U237=0,"",'Phytopl Count'!U237*'Phytopl Count'!U$13/'Phytopl Count'!U$8)</f>
        <v/>
      </c>
      <c r="V237" s="31" t="str">
        <f>IF('Phytopl Count'!V237=0,"",'Phytopl Count'!V237*'Phytopl Count'!V$13/'Phytopl Count'!V$8)</f>
        <v/>
      </c>
      <c r="W237" s="31" t="str">
        <f>IF('Phytopl Count'!W237=0,"",'Phytopl Count'!W237*'Phytopl Count'!W$13/'Phytopl Count'!W$8)</f>
        <v/>
      </c>
      <c r="X237" s="31" t="str">
        <f>IF('Phytopl Count'!X237=0,"",'Phytopl Count'!X237*'Phytopl Count'!X$13/'Phytopl Count'!X$8)</f>
        <v/>
      </c>
      <c r="Y237" s="31" t="str">
        <f>IF('Phytopl Count'!Y237=0,"",'Phytopl Count'!Y237*'Phytopl Count'!Y$13/'Phytopl Count'!Y$8)</f>
        <v/>
      </c>
      <c r="Z237" s="31" t="str">
        <f>IF('Phytopl Count'!Z237=0,"",'Phytopl Count'!Z237*'Phytopl Count'!Z$13/'Phytopl Count'!Z$8)</f>
        <v/>
      </c>
      <c r="AA237" s="31" t="str">
        <f>IF('Phytopl Count'!AA237=0,"",'Phytopl Count'!AA237*'Phytopl Count'!AA$13/'Phytopl Count'!AA$8)</f>
        <v/>
      </c>
      <c r="AB237" s="31" t="str">
        <f>IF('Phytopl Count'!AB237=0,"",'Phytopl Count'!AB237*'Phytopl Count'!AB$13/'Phytopl Count'!AB$8)</f>
        <v/>
      </c>
      <c r="AC237" s="31" t="str">
        <f>IF('Phytopl Count'!AC237=0,"",'Phytopl Count'!AC237*'Phytopl Count'!AC$13/'Phytopl Count'!AC$8)</f>
        <v/>
      </c>
      <c r="AD237" s="31" t="str">
        <f>IF('Phytopl Count'!AD237=0,"",'Phytopl Count'!AD237*'Phytopl Count'!AD$13/'Phytopl Count'!AD$8)</f>
        <v/>
      </c>
      <c r="AE237" s="31">
        <f>IF('Phytopl Count'!AE237=0,"",'Phytopl Count'!AE237*'Phytopl Count'!AE$13/'Phytopl Count'!AE$8)</f>
        <v>2.4023387636512506E-2</v>
      </c>
      <c r="AF237" s="31" t="str">
        <f>IF('Phytopl Count'!AF237=0,"",'Phytopl Count'!AF237*'Phytopl Count'!AF$13/'Phytopl Count'!AF$8)</f>
        <v/>
      </c>
    </row>
    <row r="238" spans="1:32" s="153" customFormat="1" ht="15" customHeight="1">
      <c r="A238" s="152"/>
      <c r="B238" s="152"/>
      <c r="C238" s="152"/>
      <c r="D238" s="152"/>
      <c r="F238" s="155" t="s">
        <v>244</v>
      </c>
      <c r="G238" s="31" t="str">
        <f>IF('Phytopl Count'!G238=0,"",'Phytopl Count'!G238*'Phytopl Count'!G$13/'Phytopl Count'!G$8)</f>
        <v/>
      </c>
      <c r="H238" s="31">
        <f>IF('Phytopl Count'!H238=0,"",'Phytopl Count'!H238*'Phytopl Count'!H$13/'Phytopl Count'!H$8)</f>
        <v>9.6093550546050024E-2</v>
      </c>
      <c r="I238" s="31" t="str">
        <f>IF('Phytopl Count'!I238=0,"",'Phytopl Count'!I238*'Phytopl Count'!I$13/'Phytopl Count'!I$8)</f>
        <v/>
      </c>
      <c r="J238" s="31">
        <f>IF('Phytopl Count'!J238=0,"",'Phytopl Count'!J238*'Phytopl Count'!J$13/'Phytopl Count'!J$8)</f>
        <v>4.0038979394187504E-2</v>
      </c>
      <c r="K238" s="31">
        <f>IF('Phytopl Count'!K238=0,"",'Phytopl Count'!K238*'Phytopl Count'!K$13/'Phytopl Count'!K$8)</f>
        <v>3.2031183515350004E-2</v>
      </c>
      <c r="L238" s="31">
        <f>IF('Phytopl Count'!L238=0,"",'Phytopl Count'!L238*'Phytopl Count'!L$13/'Phytopl Count'!L$8)</f>
        <v>2.4023387636512506E-2</v>
      </c>
      <c r="M238" s="31">
        <f>IF('Phytopl Count'!M238=0,"",'Phytopl Count'!M238*'Phytopl Count'!M$13/'Phytopl Count'!M$8)</f>
        <v>8.0077958788375009E-2</v>
      </c>
      <c r="N238" s="31">
        <f>IF('Phytopl Count'!N238=0,"",'Phytopl Count'!N238*'Phytopl Count'!N$13/'Phytopl Count'!N$8)</f>
        <v>4.8046775273025012E-2</v>
      </c>
      <c r="O238" s="31">
        <f>IF('Phytopl Count'!O238=0,"",'Phytopl Count'!O238*'Phytopl Count'!O$13/'Phytopl Count'!O$8)</f>
        <v>3.2031183515350004E-2</v>
      </c>
      <c r="P238" s="31">
        <f>IF('Phytopl Count'!P238=0,"",'Phytopl Count'!P238*'Phytopl Count'!P$13/'Phytopl Count'!P$8)</f>
        <v>3.2031183515350004E-2</v>
      </c>
      <c r="Q238" s="31">
        <f>IF('Phytopl Count'!Q238=0,"",'Phytopl Count'!Q238*'Phytopl Count'!Q$13/'Phytopl Count'!Q$8)</f>
        <v>4.0038979394187504E-2</v>
      </c>
      <c r="R238" s="31">
        <f>IF('Phytopl Count'!R238=0,"",'Phytopl Count'!R238*'Phytopl Count'!R$13/'Phytopl Count'!R$8)</f>
        <v>3.2031183515350004E-2</v>
      </c>
      <c r="S238" s="31" t="str">
        <f>IF('Phytopl Count'!S238=0,"",'Phytopl Count'!S238*'Phytopl Count'!S$13/'Phytopl Count'!S$8)</f>
        <v/>
      </c>
      <c r="T238" s="31" t="str">
        <f>IF('Phytopl Count'!T238=0,"",'Phytopl Count'!T238*'Phytopl Count'!T$13/'Phytopl Count'!T$8)</f>
        <v/>
      </c>
      <c r="U238" s="31">
        <f>IF('Phytopl Count'!U238=0,"",'Phytopl Count'!U238*'Phytopl Count'!U$13/'Phytopl Count'!U$8)</f>
        <v>3.2031183515350004E-2</v>
      </c>
      <c r="V238" s="31">
        <f>IF('Phytopl Count'!V238=0,"",'Phytopl Count'!V238*'Phytopl Count'!V$13/'Phytopl Count'!V$8)</f>
        <v>0.16015591757675002</v>
      </c>
      <c r="W238" s="31">
        <f>IF('Phytopl Count'!W238=0,"",'Phytopl Count'!W238*'Phytopl Count'!W$13/'Phytopl Count'!W$8)</f>
        <v>4.8046775273025012E-2</v>
      </c>
      <c r="X238" s="31">
        <f>IF('Phytopl Count'!X238=0,"",'Phytopl Count'!X238*'Phytopl Count'!X$13/'Phytopl Count'!X$8)</f>
        <v>3.2031183515350004E-2</v>
      </c>
      <c r="Y238" s="31">
        <f>IF('Phytopl Count'!Y238=0,"",'Phytopl Count'!Y238*'Phytopl Count'!Y$13/'Phytopl Count'!Y$8)</f>
        <v>2.4023387636512506E-2</v>
      </c>
      <c r="Z238" s="31">
        <f>IF('Phytopl Count'!Z238=0,"",'Phytopl Count'!Z238*'Phytopl Count'!Z$13/'Phytopl Count'!Z$8)</f>
        <v>0.10410134642488751</v>
      </c>
      <c r="AA238" s="31" t="str">
        <f>IF('Phytopl Count'!AA238=0,"",'Phytopl Count'!AA238*'Phytopl Count'!AA$13/'Phytopl Count'!AA$8)</f>
        <v/>
      </c>
      <c r="AB238" s="31" t="str">
        <f>IF('Phytopl Count'!AB238=0,"",'Phytopl Count'!AB238*'Phytopl Count'!AB$13/'Phytopl Count'!AB$8)</f>
        <v/>
      </c>
      <c r="AC238" s="31" t="str">
        <f>IF('Phytopl Count'!AC238=0,"",'Phytopl Count'!AC238*'Phytopl Count'!AC$13/'Phytopl Count'!AC$8)</f>
        <v/>
      </c>
      <c r="AD238" s="31">
        <f>IF('Phytopl Count'!AD238=0,"",'Phytopl Count'!AD238*'Phytopl Count'!AD$13/'Phytopl Count'!AD$8)</f>
        <v>3.2031183515350004E-2</v>
      </c>
      <c r="AE238" s="31" t="str">
        <f>IF('Phytopl Count'!AE238=0,"",'Phytopl Count'!AE238*'Phytopl Count'!AE$13/'Phytopl Count'!AE$8)</f>
        <v/>
      </c>
      <c r="AF238" s="31">
        <f>IF('Phytopl Count'!AF238=0,"",'Phytopl Count'!AF238*'Phytopl Count'!AF$13/'Phytopl Count'!AF$8)</f>
        <v>0.12812473406140001</v>
      </c>
    </row>
    <row r="239" spans="1:32" ht="15" hidden="1" customHeight="1">
      <c r="A239" s="16"/>
      <c r="B239" s="4"/>
      <c r="C239" s="16" t="s">
        <v>73</v>
      </c>
      <c r="D239" s="4" t="s">
        <v>277</v>
      </c>
      <c r="E239" s="92"/>
      <c r="F239" s="11"/>
      <c r="G239" s="31" t="str">
        <f>IF('Phytopl Count'!G239=0,"",'Phytopl Count'!G239*'Phytopl Count'!G$13/'Phytopl Count'!G$8)</f>
        <v/>
      </c>
      <c r="H239" s="31" t="str">
        <f>IF('Phytopl Count'!H239=0,"",'Phytopl Count'!H239*'Phytopl Count'!H$13/'Phytopl Count'!H$8)</f>
        <v/>
      </c>
      <c r="I239" s="31" t="str">
        <f>IF('Phytopl Count'!I239=0,"",'Phytopl Count'!I239*'Phytopl Count'!I$13/'Phytopl Count'!I$8)</f>
        <v/>
      </c>
      <c r="J239" s="31" t="str">
        <f>IF('Phytopl Count'!J239=0,"",'Phytopl Count'!J239*'Phytopl Count'!J$13/'Phytopl Count'!J$8)</f>
        <v/>
      </c>
      <c r="K239" s="31" t="str">
        <f>IF('Phytopl Count'!K239=0,"",'Phytopl Count'!K239*'Phytopl Count'!K$13/'Phytopl Count'!K$8)</f>
        <v/>
      </c>
      <c r="L239" s="31" t="str">
        <f>IF('Phytopl Count'!L239=0,"",'Phytopl Count'!L239*'Phytopl Count'!L$13/'Phytopl Count'!L$8)</f>
        <v/>
      </c>
      <c r="M239" s="31" t="str">
        <f>IF('Phytopl Count'!M239=0,"",'Phytopl Count'!M239*'Phytopl Count'!M$13/'Phytopl Count'!M$8)</f>
        <v/>
      </c>
      <c r="N239" s="31" t="str">
        <f>IF('Phytopl Count'!N239=0,"",'Phytopl Count'!N239*'Phytopl Count'!N$13/'Phytopl Count'!N$8)</f>
        <v/>
      </c>
      <c r="O239" s="31" t="str">
        <f>IF('Phytopl Count'!O239=0,"",'Phytopl Count'!O239*'Phytopl Count'!O$13/'Phytopl Count'!O$8)</f>
        <v/>
      </c>
      <c r="P239" s="31" t="str">
        <f>IF('Phytopl Count'!P239=0,"",'Phytopl Count'!P239*'Phytopl Count'!P$13/'Phytopl Count'!P$8)</f>
        <v/>
      </c>
      <c r="Q239" s="31" t="str">
        <f>IF('Phytopl Count'!Q239=0,"",'Phytopl Count'!Q239*'Phytopl Count'!Q$13/'Phytopl Count'!Q$8)</f>
        <v/>
      </c>
      <c r="R239" s="31" t="str">
        <f>IF('Phytopl Count'!R239=0,"",'Phytopl Count'!R239*'Phytopl Count'!R$13/'Phytopl Count'!R$8)</f>
        <v/>
      </c>
      <c r="S239" s="31" t="str">
        <f>IF('Phytopl Count'!S239=0,"",'Phytopl Count'!S239*'Phytopl Count'!S$13/'Phytopl Count'!S$8)</f>
        <v/>
      </c>
      <c r="T239" s="31" t="str">
        <f>IF('Phytopl Count'!T239=0,"",'Phytopl Count'!T239*'Phytopl Count'!T$13/'Phytopl Count'!T$8)</f>
        <v/>
      </c>
      <c r="U239" s="31" t="str">
        <f>IF('Phytopl Count'!U239=0,"",'Phytopl Count'!U239*'Phytopl Count'!U$13/'Phytopl Count'!U$8)</f>
        <v/>
      </c>
      <c r="V239" s="31" t="str">
        <f>IF('Phytopl Count'!V239=0,"",'Phytopl Count'!V239*'Phytopl Count'!V$13/'Phytopl Count'!V$8)</f>
        <v/>
      </c>
      <c r="W239" s="31" t="str">
        <f>IF('Phytopl Count'!W239=0,"",'Phytopl Count'!W239*'Phytopl Count'!W$13/'Phytopl Count'!W$8)</f>
        <v/>
      </c>
      <c r="X239" s="31" t="str">
        <f>IF('Phytopl Count'!X239=0,"",'Phytopl Count'!X239*'Phytopl Count'!X$13/'Phytopl Count'!X$8)</f>
        <v/>
      </c>
      <c r="Y239" s="31" t="str">
        <f>IF('Phytopl Count'!Y239=0,"",'Phytopl Count'!Y239*'Phytopl Count'!Y$13/'Phytopl Count'!Y$8)</f>
        <v/>
      </c>
      <c r="Z239" s="31" t="str">
        <f>IF('Phytopl Count'!Z239=0,"",'Phytopl Count'!Z239*'Phytopl Count'!Z$13/'Phytopl Count'!Z$8)</f>
        <v/>
      </c>
      <c r="AA239" s="31" t="str">
        <f>IF('Phytopl Count'!AA239=0,"",'Phytopl Count'!AA239*'Phytopl Count'!AA$13/'Phytopl Count'!AA$8)</f>
        <v/>
      </c>
      <c r="AB239" s="31" t="str">
        <f>IF('Phytopl Count'!AB239=0,"",'Phytopl Count'!AB239*'Phytopl Count'!AB$13/'Phytopl Count'!AB$8)</f>
        <v/>
      </c>
      <c r="AC239" s="31" t="str">
        <f>IF('Phytopl Count'!AC239=0,"",'Phytopl Count'!AC239*'Phytopl Count'!AC$13/'Phytopl Count'!AC$8)</f>
        <v/>
      </c>
      <c r="AD239" s="31" t="str">
        <f>IF('Phytopl Count'!AD239=0,"",'Phytopl Count'!AD239*'Phytopl Count'!AD$13/'Phytopl Count'!AD$8)</f>
        <v/>
      </c>
      <c r="AE239" s="31" t="str">
        <f>IF('Phytopl Count'!AE239=0,"",'Phytopl Count'!AE239*'Phytopl Count'!AE$13/'Phytopl Count'!AE$8)</f>
        <v/>
      </c>
      <c r="AF239" s="31" t="str">
        <f>IF('Phytopl Count'!AF239=0,"",'Phytopl Count'!AF239*'Phytopl Count'!AF$13/'Phytopl Count'!AF$8)</f>
        <v/>
      </c>
    </row>
    <row r="240" spans="1:32" ht="15" hidden="1" customHeight="1">
      <c r="A240" s="4"/>
      <c r="B240" s="92"/>
      <c r="C240" s="92"/>
      <c r="D240" s="93" t="s">
        <v>5</v>
      </c>
      <c r="E240" s="113" t="s">
        <v>278</v>
      </c>
      <c r="F240" s="11"/>
      <c r="G240" s="31" t="str">
        <f>IF('Phytopl Count'!G240=0,"",'Phytopl Count'!G240*'Phytopl Count'!G$13/'Phytopl Count'!G$8)</f>
        <v/>
      </c>
      <c r="H240" s="31" t="str">
        <f>IF('Phytopl Count'!H240=0,"",'Phytopl Count'!H240*'Phytopl Count'!H$13/'Phytopl Count'!H$8)</f>
        <v/>
      </c>
      <c r="I240" s="31" t="str">
        <f>IF('Phytopl Count'!I240=0,"",'Phytopl Count'!I240*'Phytopl Count'!I$13/'Phytopl Count'!I$8)</f>
        <v/>
      </c>
      <c r="J240" s="31" t="str">
        <f>IF('Phytopl Count'!J240=0,"",'Phytopl Count'!J240*'Phytopl Count'!J$13/'Phytopl Count'!J$8)</f>
        <v/>
      </c>
      <c r="K240" s="31" t="str">
        <f>IF('Phytopl Count'!K240=0,"",'Phytopl Count'!K240*'Phytopl Count'!K$13/'Phytopl Count'!K$8)</f>
        <v/>
      </c>
      <c r="L240" s="31" t="str">
        <f>IF('Phytopl Count'!L240=0,"",'Phytopl Count'!L240*'Phytopl Count'!L$13/'Phytopl Count'!L$8)</f>
        <v/>
      </c>
      <c r="M240" s="31" t="str">
        <f>IF('Phytopl Count'!M240=0,"",'Phytopl Count'!M240*'Phytopl Count'!M$13/'Phytopl Count'!M$8)</f>
        <v/>
      </c>
      <c r="N240" s="31" t="str">
        <f>IF('Phytopl Count'!N240=0,"",'Phytopl Count'!N240*'Phytopl Count'!N$13/'Phytopl Count'!N$8)</f>
        <v/>
      </c>
      <c r="O240" s="31" t="str">
        <f>IF('Phytopl Count'!O240=0,"",'Phytopl Count'!O240*'Phytopl Count'!O$13/'Phytopl Count'!O$8)</f>
        <v/>
      </c>
      <c r="P240" s="31" t="str">
        <f>IF('Phytopl Count'!P240=0,"",'Phytopl Count'!P240*'Phytopl Count'!P$13/'Phytopl Count'!P$8)</f>
        <v/>
      </c>
      <c r="Q240" s="31" t="str">
        <f>IF('Phytopl Count'!Q240=0,"",'Phytopl Count'!Q240*'Phytopl Count'!Q$13/'Phytopl Count'!Q$8)</f>
        <v/>
      </c>
      <c r="R240" s="31" t="str">
        <f>IF('Phytopl Count'!R240=0,"",'Phytopl Count'!R240*'Phytopl Count'!R$13/'Phytopl Count'!R$8)</f>
        <v/>
      </c>
      <c r="S240" s="31" t="str">
        <f>IF('Phytopl Count'!S240=0,"",'Phytopl Count'!S240*'Phytopl Count'!S$13/'Phytopl Count'!S$8)</f>
        <v/>
      </c>
      <c r="T240" s="31" t="str">
        <f>IF('Phytopl Count'!T240=0,"",'Phytopl Count'!T240*'Phytopl Count'!T$13/'Phytopl Count'!T$8)</f>
        <v/>
      </c>
      <c r="U240" s="31" t="str">
        <f>IF('Phytopl Count'!U240=0,"",'Phytopl Count'!U240*'Phytopl Count'!U$13/'Phytopl Count'!U$8)</f>
        <v/>
      </c>
      <c r="V240" s="31" t="str">
        <f>IF('Phytopl Count'!V240=0,"",'Phytopl Count'!V240*'Phytopl Count'!V$13/'Phytopl Count'!V$8)</f>
        <v/>
      </c>
      <c r="W240" s="31" t="str">
        <f>IF('Phytopl Count'!W240=0,"",'Phytopl Count'!W240*'Phytopl Count'!W$13/'Phytopl Count'!W$8)</f>
        <v/>
      </c>
      <c r="X240" s="31" t="str">
        <f>IF('Phytopl Count'!X240=0,"",'Phytopl Count'!X240*'Phytopl Count'!X$13/'Phytopl Count'!X$8)</f>
        <v/>
      </c>
      <c r="Y240" s="31" t="str">
        <f>IF('Phytopl Count'!Y240=0,"",'Phytopl Count'!Y240*'Phytopl Count'!Y$13/'Phytopl Count'!Y$8)</f>
        <v/>
      </c>
      <c r="Z240" s="31" t="str">
        <f>IF('Phytopl Count'!Z240=0,"",'Phytopl Count'!Z240*'Phytopl Count'!Z$13/'Phytopl Count'!Z$8)</f>
        <v/>
      </c>
      <c r="AA240" s="31" t="str">
        <f>IF('Phytopl Count'!AA240=0,"",'Phytopl Count'!AA240*'Phytopl Count'!AA$13/'Phytopl Count'!AA$8)</f>
        <v/>
      </c>
      <c r="AB240" s="31" t="str">
        <f>IF('Phytopl Count'!AB240=0,"",'Phytopl Count'!AB240*'Phytopl Count'!AB$13/'Phytopl Count'!AB$8)</f>
        <v/>
      </c>
      <c r="AC240" s="31" t="str">
        <f>IF('Phytopl Count'!AC240=0,"",'Phytopl Count'!AC240*'Phytopl Count'!AC$13/'Phytopl Count'!AC$8)</f>
        <v/>
      </c>
      <c r="AD240" s="31" t="str">
        <f>IF('Phytopl Count'!AD240=0,"",'Phytopl Count'!AD240*'Phytopl Count'!AD$13/'Phytopl Count'!AD$8)</f>
        <v/>
      </c>
      <c r="AE240" s="31" t="str">
        <f>IF('Phytopl Count'!AE240=0,"",'Phytopl Count'!AE240*'Phytopl Count'!AE$13/'Phytopl Count'!AE$8)</f>
        <v/>
      </c>
      <c r="AF240" s="31" t="str">
        <f>IF('Phytopl Count'!AF240=0,"",'Phytopl Count'!AF240*'Phytopl Count'!AF$13/'Phytopl Count'!AF$8)</f>
        <v/>
      </c>
    </row>
    <row r="241" spans="1:32" ht="15" hidden="1" customHeight="1">
      <c r="A241" s="4"/>
      <c r="B241" s="92"/>
      <c r="C241" s="92"/>
      <c r="D241" s="92"/>
      <c r="E241" s="93" t="s">
        <v>6</v>
      </c>
      <c r="F241" s="11" t="s">
        <v>279</v>
      </c>
      <c r="G241" s="31" t="str">
        <f>IF('Phytopl Count'!G241=0,"",'Phytopl Count'!G241*'Phytopl Count'!G$13/'Phytopl Count'!G$8)</f>
        <v/>
      </c>
      <c r="H241" s="31" t="str">
        <f>IF('Phytopl Count'!H241=0,"",'Phytopl Count'!H241*'Phytopl Count'!H$13/'Phytopl Count'!H$8)</f>
        <v/>
      </c>
      <c r="I241" s="31" t="str">
        <f>IF('Phytopl Count'!I241=0,"",'Phytopl Count'!I241*'Phytopl Count'!I$13/'Phytopl Count'!I$8)</f>
        <v/>
      </c>
      <c r="J241" s="31" t="str">
        <f>IF('Phytopl Count'!J241=0,"",'Phytopl Count'!J241*'Phytopl Count'!J$13/'Phytopl Count'!J$8)</f>
        <v/>
      </c>
      <c r="K241" s="31" t="str">
        <f>IF('Phytopl Count'!K241=0,"",'Phytopl Count'!K241*'Phytopl Count'!K$13/'Phytopl Count'!K$8)</f>
        <v/>
      </c>
      <c r="L241" s="31" t="str">
        <f>IF('Phytopl Count'!L241=0,"",'Phytopl Count'!L241*'Phytopl Count'!L$13/'Phytopl Count'!L$8)</f>
        <v/>
      </c>
      <c r="M241" s="31" t="str">
        <f>IF('Phytopl Count'!M241=0,"",'Phytopl Count'!M241*'Phytopl Count'!M$13/'Phytopl Count'!M$8)</f>
        <v/>
      </c>
      <c r="N241" s="31" t="str">
        <f>IF('Phytopl Count'!N241=0,"",'Phytopl Count'!N241*'Phytopl Count'!N$13/'Phytopl Count'!N$8)</f>
        <v/>
      </c>
      <c r="O241" s="31" t="str">
        <f>IF('Phytopl Count'!O241=0,"",'Phytopl Count'!O241*'Phytopl Count'!O$13/'Phytopl Count'!O$8)</f>
        <v/>
      </c>
      <c r="P241" s="31" t="str">
        <f>IF('Phytopl Count'!P241=0,"",'Phytopl Count'!P241*'Phytopl Count'!P$13/'Phytopl Count'!P$8)</f>
        <v/>
      </c>
      <c r="Q241" s="31" t="str">
        <f>IF('Phytopl Count'!Q241=0,"",'Phytopl Count'!Q241*'Phytopl Count'!Q$13/'Phytopl Count'!Q$8)</f>
        <v/>
      </c>
      <c r="R241" s="31" t="str">
        <f>IF('Phytopl Count'!R241=0,"",'Phytopl Count'!R241*'Phytopl Count'!R$13/'Phytopl Count'!R$8)</f>
        <v/>
      </c>
      <c r="S241" s="31" t="str">
        <f>IF('Phytopl Count'!S241=0,"",'Phytopl Count'!S241*'Phytopl Count'!S$13/'Phytopl Count'!S$8)</f>
        <v/>
      </c>
      <c r="T241" s="31" t="str">
        <f>IF('Phytopl Count'!T241=0,"",'Phytopl Count'!T241*'Phytopl Count'!T$13/'Phytopl Count'!T$8)</f>
        <v/>
      </c>
      <c r="U241" s="31" t="str">
        <f>IF('Phytopl Count'!U241=0,"",'Phytopl Count'!U241*'Phytopl Count'!U$13/'Phytopl Count'!U$8)</f>
        <v/>
      </c>
      <c r="V241" s="31" t="str">
        <f>IF('Phytopl Count'!V241=0,"",'Phytopl Count'!V241*'Phytopl Count'!V$13/'Phytopl Count'!V$8)</f>
        <v/>
      </c>
      <c r="W241" s="31" t="str">
        <f>IF('Phytopl Count'!W241=0,"",'Phytopl Count'!W241*'Phytopl Count'!W$13/'Phytopl Count'!W$8)</f>
        <v/>
      </c>
      <c r="X241" s="31" t="str">
        <f>IF('Phytopl Count'!X241=0,"",'Phytopl Count'!X241*'Phytopl Count'!X$13/'Phytopl Count'!X$8)</f>
        <v/>
      </c>
      <c r="Y241" s="31" t="str">
        <f>IF('Phytopl Count'!Y241=0,"",'Phytopl Count'!Y241*'Phytopl Count'!Y$13/'Phytopl Count'!Y$8)</f>
        <v/>
      </c>
      <c r="Z241" s="31" t="str">
        <f>IF('Phytopl Count'!Z241=0,"",'Phytopl Count'!Z241*'Phytopl Count'!Z$13/'Phytopl Count'!Z$8)</f>
        <v/>
      </c>
      <c r="AA241" s="31" t="str">
        <f>IF('Phytopl Count'!AA241=0,"",'Phytopl Count'!AA241*'Phytopl Count'!AA$13/'Phytopl Count'!AA$8)</f>
        <v/>
      </c>
      <c r="AB241" s="31" t="str">
        <f>IF('Phytopl Count'!AB241=0,"",'Phytopl Count'!AB241*'Phytopl Count'!AB$13/'Phytopl Count'!AB$8)</f>
        <v/>
      </c>
      <c r="AC241" s="31" t="str">
        <f>IF('Phytopl Count'!AC241=0,"",'Phytopl Count'!AC241*'Phytopl Count'!AC$13/'Phytopl Count'!AC$8)</f>
        <v/>
      </c>
      <c r="AD241" s="31" t="str">
        <f>IF('Phytopl Count'!AD241=0,"",'Phytopl Count'!AD241*'Phytopl Count'!AD$13/'Phytopl Count'!AD$8)</f>
        <v/>
      </c>
      <c r="AE241" s="31" t="str">
        <f>IF('Phytopl Count'!AE241=0,"",'Phytopl Count'!AE241*'Phytopl Count'!AE$13/'Phytopl Count'!AE$8)</f>
        <v/>
      </c>
      <c r="AF241" s="31" t="str">
        <f>IF('Phytopl Count'!AF241=0,"",'Phytopl Count'!AF241*'Phytopl Count'!AF$13/'Phytopl Count'!AF$8)</f>
        <v/>
      </c>
    </row>
    <row r="242" spans="1:32" ht="15" customHeight="1">
      <c r="E242" s="10"/>
      <c r="F242" s="11"/>
      <c r="G242" s="31" t="str">
        <f>IF('Phytopl Count'!G242=0,"",'Phytopl Count'!G242*'Phytopl Count'!G$13/'Phytopl Count'!G$8)</f>
        <v/>
      </c>
      <c r="H242" s="31" t="str">
        <f>IF('Phytopl Count'!H242=0,"",'Phytopl Count'!H242*'Phytopl Count'!H$13/'Phytopl Count'!H$8)</f>
        <v/>
      </c>
      <c r="I242" s="31" t="str">
        <f>IF('Phytopl Count'!I242=0,"",'Phytopl Count'!I242*'Phytopl Count'!I$13/'Phytopl Count'!I$8)</f>
        <v/>
      </c>
      <c r="J242" s="31" t="str">
        <f>IF('Phytopl Count'!J242=0,"",'Phytopl Count'!J242*'Phytopl Count'!J$13/'Phytopl Count'!J$8)</f>
        <v/>
      </c>
      <c r="K242" s="31" t="str">
        <f>IF('Phytopl Count'!K242=0,"",'Phytopl Count'!K242*'Phytopl Count'!K$13/'Phytopl Count'!K$8)</f>
        <v/>
      </c>
      <c r="L242" s="31" t="str">
        <f>IF('Phytopl Count'!L242=0,"",'Phytopl Count'!L242*'Phytopl Count'!L$13/'Phytopl Count'!L$8)</f>
        <v/>
      </c>
      <c r="M242" s="31" t="str">
        <f>IF('Phytopl Count'!M242=0,"",'Phytopl Count'!M242*'Phytopl Count'!M$13/'Phytopl Count'!M$8)</f>
        <v/>
      </c>
      <c r="N242" s="31" t="str">
        <f>IF('Phytopl Count'!N242=0,"",'Phytopl Count'!N242*'Phytopl Count'!N$13/'Phytopl Count'!N$8)</f>
        <v/>
      </c>
      <c r="O242" s="31" t="str">
        <f>IF('Phytopl Count'!O242=0,"",'Phytopl Count'!O242*'Phytopl Count'!O$13/'Phytopl Count'!O$8)</f>
        <v/>
      </c>
      <c r="P242" s="31" t="str">
        <f>IF('Phytopl Count'!P242=0,"",'Phytopl Count'!P242*'Phytopl Count'!P$13/'Phytopl Count'!P$8)</f>
        <v/>
      </c>
      <c r="Q242" s="31" t="str">
        <f>IF('Phytopl Count'!Q242=0,"",'Phytopl Count'!Q242*'Phytopl Count'!Q$13/'Phytopl Count'!Q$8)</f>
        <v/>
      </c>
      <c r="R242" s="31" t="str">
        <f>IF('Phytopl Count'!R242=0,"",'Phytopl Count'!R242*'Phytopl Count'!R$13/'Phytopl Count'!R$8)</f>
        <v/>
      </c>
      <c r="S242" s="31" t="str">
        <f>IF('Phytopl Count'!S242=0,"",'Phytopl Count'!S242*'Phytopl Count'!S$13/'Phytopl Count'!S$8)</f>
        <v/>
      </c>
      <c r="T242" s="31" t="str">
        <f>IF('Phytopl Count'!T242=0,"",'Phytopl Count'!T242*'Phytopl Count'!T$13/'Phytopl Count'!T$8)</f>
        <v/>
      </c>
      <c r="U242" s="31" t="str">
        <f>IF('Phytopl Count'!U242=0,"",'Phytopl Count'!U242*'Phytopl Count'!U$13/'Phytopl Count'!U$8)</f>
        <v/>
      </c>
      <c r="V242" s="31" t="str">
        <f>IF('Phytopl Count'!V242=0,"",'Phytopl Count'!V242*'Phytopl Count'!V$13/'Phytopl Count'!V$8)</f>
        <v/>
      </c>
      <c r="W242" s="31" t="str">
        <f>IF('Phytopl Count'!W242=0,"",'Phytopl Count'!W242*'Phytopl Count'!W$13/'Phytopl Count'!W$8)</f>
        <v/>
      </c>
      <c r="X242" s="31" t="str">
        <f>IF('Phytopl Count'!X242=0,"",'Phytopl Count'!X242*'Phytopl Count'!X$13/'Phytopl Count'!X$8)</f>
        <v/>
      </c>
      <c r="Y242" s="31" t="str">
        <f>IF('Phytopl Count'!Y242=0,"",'Phytopl Count'!Y242*'Phytopl Count'!Y$13/'Phytopl Count'!Y$8)</f>
        <v/>
      </c>
      <c r="Z242" s="31" t="str">
        <f>IF('Phytopl Count'!Z242=0,"",'Phytopl Count'!Z242*'Phytopl Count'!Z$13/'Phytopl Count'!Z$8)</f>
        <v/>
      </c>
      <c r="AA242" s="31" t="str">
        <f>IF('Phytopl Count'!AA242=0,"",'Phytopl Count'!AA242*'Phytopl Count'!AA$13/'Phytopl Count'!AA$8)</f>
        <v/>
      </c>
      <c r="AB242" s="31" t="str">
        <f>IF('Phytopl Count'!AB242=0,"",'Phytopl Count'!AB242*'Phytopl Count'!AB$13/'Phytopl Count'!AB$8)</f>
        <v/>
      </c>
      <c r="AC242" s="31" t="str">
        <f>IF('Phytopl Count'!AC242=0,"",'Phytopl Count'!AC242*'Phytopl Count'!AC$13/'Phytopl Count'!AC$8)</f>
        <v/>
      </c>
      <c r="AD242" s="31" t="str">
        <f>IF('Phytopl Count'!AD242=0,"",'Phytopl Count'!AD242*'Phytopl Count'!AD$13/'Phytopl Count'!AD$8)</f>
        <v/>
      </c>
      <c r="AE242" s="31" t="str">
        <f>IF('Phytopl Count'!AE242=0,"",'Phytopl Count'!AE242*'Phytopl Count'!AE$13/'Phytopl Count'!AE$8)</f>
        <v/>
      </c>
      <c r="AF242" s="31" t="str">
        <f>IF('Phytopl Count'!AF242=0,"",'Phytopl Count'!AF242*'Phytopl Count'!AF$13/'Phytopl Count'!AF$8)</f>
        <v/>
      </c>
    </row>
    <row r="243" spans="1:32" ht="15" customHeight="1">
      <c r="A243" s="4"/>
      <c r="B243" s="16" t="s">
        <v>72</v>
      </c>
      <c r="C243" s="4" t="s">
        <v>187</v>
      </c>
      <c r="D243" s="4"/>
      <c r="E243" s="16"/>
      <c r="F243" s="59"/>
      <c r="G243" s="31" t="str">
        <f>IF('Phytopl Count'!G243=0,"",'Phytopl Count'!G243*'Phytopl Count'!G$13/'Phytopl Count'!G$8)</f>
        <v/>
      </c>
      <c r="H243" s="31" t="str">
        <f>IF('Phytopl Count'!H243=0,"",'Phytopl Count'!H243*'Phytopl Count'!H$13/'Phytopl Count'!H$8)</f>
        <v/>
      </c>
      <c r="I243" s="31" t="str">
        <f>IF('Phytopl Count'!I243=0,"",'Phytopl Count'!I243*'Phytopl Count'!I$13/'Phytopl Count'!I$8)</f>
        <v/>
      </c>
      <c r="J243" s="31" t="str">
        <f>IF('Phytopl Count'!J243=0,"",'Phytopl Count'!J243*'Phytopl Count'!J$13/'Phytopl Count'!J$8)</f>
        <v/>
      </c>
      <c r="K243" s="31" t="str">
        <f>IF('Phytopl Count'!K243=0,"",'Phytopl Count'!K243*'Phytopl Count'!K$13/'Phytopl Count'!K$8)</f>
        <v/>
      </c>
      <c r="L243" s="31" t="str">
        <f>IF('Phytopl Count'!L243=0,"",'Phytopl Count'!L243*'Phytopl Count'!L$13/'Phytopl Count'!L$8)</f>
        <v/>
      </c>
      <c r="M243" s="31" t="str">
        <f>IF('Phytopl Count'!M243=0,"",'Phytopl Count'!M243*'Phytopl Count'!M$13/'Phytopl Count'!M$8)</f>
        <v/>
      </c>
      <c r="N243" s="31" t="str">
        <f>IF('Phytopl Count'!N243=0,"",'Phytopl Count'!N243*'Phytopl Count'!N$13/'Phytopl Count'!N$8)</f>
        <v/>
      </c>
      <c r="O243" s="31" t="str">
        <f>IF('Phytopl Count'!O243=0,"",'Phytopl Count'!O243*'Phytopl Count'!O$13/'Phytopl Count'!O$8)</f>
        <v/>
      </c>
      <c r="P243" s="31" t="str">
        <f>IF('Phytopl Count'!P243=0,"",'Phytopl Count'!P243*'Phytopl Count'!P$13/'Phytopl Count'!P$8)</f>
        <v/>
      </c>
      <c r="Q243" s="31" t="str">
        <f>IF('Phytopl Count'!Q243=0,"",'Phytopl Count'!Q243*'Phytopl Count'!Q$13/'Phytopl Count'!Q$8)</f>
        <v/>
      </c>
      <c r="R243" s="31" t="str">
        <f>IF('Phytopl Count'!R243=0,"",'Phytopl Count'!R243*'Phytopl Count'!R$13/'Phytopl Count'!R$8)</f>
        <v/>
      </c>
      <c r="S243" s="31" t="str">
        <f>IF('Phytopl Count'!S243=0,"",'Phytopl Count'!S243*'Phytopl Count'!S$13/'Phytopl Count'!S$8)</f>
        <v/>
      </c>
      <c r="T243" s="31" t="str">
        <f>IF('Phytopl Count'!T243=0,"",'Phytopl Count'!T243*'Phytopl Count'!T$13/'Phytopl Count'!T$8)</f>
        <v/>
      </c>
      <c r="U243" s="31" t="str">
        <f>IF('Phytopl Count'!U243=0,"",'Phytopl Count'!U243*'Phytopl Count'!U$13/'Phytopl Count'!U$8)</f>
        <v/>
      </c>
      <c r="V243" s="31" t="str">
        <f>IF('Phytopl Count'!V243=0,"",'Phytopl Count'!V243*'Phytopl Count'!V$13/'Phytopl Count'!V$8)</f>
        <v/>
      </c>
      <c r="W243" s="31" t="str">
        <f>IF('Phytopl Count'!W243=0,"",'Phytopl Count'!W243*'Phytopl Count'!W$13/'Phytopl Count'!W$8)</f>
        <v/>
      </c>
      <c r="X243" s="31" t="str">
        <f>IF('Phytopl Count'!X243=0,"",'Phytopl Count'!X243*'Phytopl Count'!X$13/'Phytopl Count'!X$8)</f>
        <v/>
      </c>
      <c r="Y243" s="31" t="str">
        <f>IF('Phytopl Count'!Y243=0,"",'Phytopl Count'!Y243*'Phytopl Count'!Y$13/'Phytopl Count'!Y$8)</f>
        <v/>
      </c>
      <c r="Z243" s="31" t="str">
        <f>IF('Phytopl Count'!Z243=0,"",'Phytopl Count'!Z243*'Phytopl Count'!Z$13/'Phytopl Count'!Z$8)</f>
        <v/>
      </c>
      <c r="AA243" s="31" t="str">
        <f>IF('Phytopl Count'!AA243=0,"",'Phytopl Count'!AA243*'Phytopl Count'!AA$13/'Phytopl Count'!AA$8)</f>
        <v/>
      </c>
      <c r="AB243" s="31" t="str">
        <f>IF('Phytopl Count'!AB243=0,"",'Phytopl Count'!AB243*'Phytopl Count'!AB$13/'Phytopl Count'!AB$8)</f>
        <v/>
      </c>
      <c r="AC243" s="31" t="str">
        <f>IF('Phytopl Count'!AC243=0,"",'Phytopl Count'!AC243*'Phytopl Count'!AC$13/'Phytopl Count'!AC$8)</f>
        <v/>
      </c>
      <c r="AD243" s="31" t="str">
        <f>IF('Phytopl Count'!AD243=0,"",'Phytopl Count'!AD243*'Phytopl Count'!AD$13/'Phytopl Count'!AD$8)</f>
        <v/>
      </c>
      <c r="AE243" s="31" t="str">
        <f>IF('Phytopl Count'!AE243=0,"",'Phytopl Count'!AE243*'Phytopl Count'!AE$13/'Phytopl Count'!AE$8)</f>
        <v/>
      </c>
      <c r="AF243" s="31" t="str">
        <f>IF('Phytopl Count'!AF243=0,"",'Phytopl Count'!AF243*'Phytopl Count'!AF$13/'Phytopl Count'!AF$8)</f>
        <v/>
      </c>
    </row>
    <row r="244" spans="1:32" ht="15" customHeight="1">
      <c r="A244" s="4"/>
      <c r="B244" s="4"/>
      <c r="C244" s="16" t="s">
        <v>73</v>
      </c>
      <c r="D244" s="4" t="s">
        <v>98</v>
      </c>
      <c r="E244" s="16"/>
      <c r="F244" s="59"/>
      <c r="G244" s="31" t="str">
        <f>IF('Phytopl Count'!G244=0,"",'Phytopl Count'!G244*'Phytopl Count'!G$13/'Phytopl Count'!G$8)</f>
        <v/>
      </c>
      <c r="H244" s="31" t="str">
        <f>IF('Phytopl Count'!H244=0,"",'Phytopl Count'!H244*'Phytopl Count'!H$13/'Phytopl Count'!H$8)</f>
        <v/>
      </c>
      <c r="I244" s="31" t="str">
        <f>IF('Phytopl Count'!I244=0,"",'Phytopl Count'!I244*'Phytopl Count'!I$13/'Phytopl Count'!I$8)</f>
        <v/>
      </c>
      <c r="J244" s="31" t="str">
        <f>IF('Phytopl Count'!J244=0,"",'Phytopl Count'!J244*'Phytopl Count'!J$13/'Phytopl Count'!J$8)</f>
        <v/>
      </c>
      <c r="K244" s="31" t="str">
        <f>IF('Phytopl Count'!K244=0,"",'Phytopl Count'!K244*'Phytopl Count'!K$13/'Phytopl Count'!K$8)</f>
        <v/>
      </c>
      <c r="L244" s="31" t="str">
        <f>IF('Phytopl Count'!L244=0,"",'Phytopl Count'!L244*'Phytopl Count'!L$13/'Phytopl Count'!L$8)</f>
        <v/>
      </c>
      <c r="M244" s="31" t="str">
        <f>IF('Phytopl Count'!M244=0,"",'Phytopl Count'!M244*'Phytopl Count'!M$13/'Phytopl Count'!M$8)</f>
        <v/>
      </c>
      <c r="N244" s="31" t="str">
        <f>IF('Phytopl Count'!N244=0,"",'Phytopl Count'!N244*'Phytopl Count'!N$13/'Phytopl Count'!N$8)</f>
        <v/>
      </c>
      <c r="O244" s="31" t="str">
        <f>IF('Phytopl Count'!O244=0,"",'Phytopl Count'!O244*'Phytopl Count'!O$13/'Phytopl Count'!O$8)</f>
        <v/>
      </c>
      <c r="P244" s="31" t="str">
        <f>IF('Phytopl Count'!P244=0,"",'Phytopl Count'!P244*'Phytopl Count'!P$13/'Phytopl Count'!P$8)</f>
        <v/>
      </c>
      <c r="Q244" s="31" t="str">
        <f>IF('Phytopl Count'!Q244=0,"",'Phytopl Count'!Q244*'Phytopl Count'!Q$13/'Phytopl Count'!Q$8)</f>
        <v/>
      </c>
      <c r="R244" s="31" t="str">
        <f>IF('Phytopl Count'!R244=0,"",'Phytopl Count'!R244*'Phytopl Count'!R$13/'Phytopl Count'!R$8)</f>
        <v/>
      </c>
      <c r="S244" s="31" t="str">
        <f>IF('Phytopl Count'!S244=0,"",'Phytopl Count'!S244*'Phytopl Count'!S$13/'Phytopl Count'!S$8)</f>
        <v/>
      </c>
      <c r="T244" s="31" t="str">
        <f>IF('Phytopl Count'!T244=0,"",'Phytopl Count'!T244*'Phytopl Count'!T$13/'Phytopl Count'!T$8)</f>
        <v/>
      </c>
      <c r="U244" s="31" t="str">
        <f>IF('Phytopl Count'!U244=0,"",'Phytopl Count'!U244*'Phytopl Count'!U$13/'Phytopl Count'!U$8)</f>
        <v/>
      </c>
      <c r="V244" s="31" t="str">
        <f>IF('Phytopl Count'!V244=0,"",'Phytopl Count'!V244*'Phytopl Count'!V$13/'Phytopl Count'!V$8)</f>
        <v/>
      </c>
      <c r="W244" s="31" t="str">
        <f>IF('Phytopl Count'!W244=0,"",'Phytopl Count'!W244*'Phytopl Count'!W$13/'Phytopl Count'!W$8)</f>
        <v/>
      </c>
      <c r="X244" s="31" t="str">
        <f>IF('Phytopl Count'!X244=0,"",'Phytopl Count'!X244*'Phytopl Count'!X$13/'Phytopl Count'!X$8)</f>
        <v/>
      </c>
      <c r="Y244" s="31" t="str">
        <f>IF('Phytopl Count'!Y244=0,"",'Phytopl Count'!Y244*'Phytopl Count'!Y$13/'Phytopl Count'!Y$8)</f>
        <v/>
      </c>
      <c r="Z244" s="31" t="str">
        <f>IF('Phytopl Count'!Z244=0,"",'Phytopl Count'!Z244*'Phytopl Count'!Z$13/'Phytopl Count'!Z$8)</f>
        <v/>
      </c>
      <c r="AA244" s="31" t="str">
        <f>IF('Phytopl Count'!AA244=0,"",'Phytopl Count'!AA244*'Phytopl Count'!AA$13/'Phytopl Count'!AA$8)</f>
        <v/>
      </c>
      <c r="AB244" s="31" t="str">
        <f>IF('Phytopl Count'!AB244=0,"",'Phytopl Count'!AB244*'Phytopl Count'!AB$13/'Phytopl Count'!AB$8)</f>
        <v/>
      </c>
      <c r="AC244" s="31" t="str">
        <f>IF('Phytopl Count'!AC244=0,"",'Phytopl Count'!AC244*'Phytopl Count'!AC$13/'Phytopl Count'!AC$8)</f>
        <v/>
      </c>
      <c r="AD244" s="31" t="str">
        <f>IF('Phytopl Count'!AD244=0,"",'Phytopl Count'!AD244*'Phytopl Count'!AD$13/'Phytopl Count'!AD$8)</f>
        <v/>
      </c>
      <c r="AE244" s="31" t="str">
        <f>IF('Phytopl Count'!AE244=0,"",'Phytopl Count'!AE244*'Phytopl Count'!AE$13/'Phytopl Count'!AE$8)</f>
        <v/>
      </c>
      <c r="AF244" s="31" t="str">
        <f>IF('Phytopl Count'!AF244=0,"",'Phytopl Count'!AF244*'Phytopl Count'!AF$13/'Phytopl Count'!AF$8)</f>
        <v/>
      </c>
    </row>
    <row r="245" spans="1:32" ht="15" customHeight="1">
      <c r="D245" s="10" t="s">
        <v>5</v>
      </c>
      <c r="E245" s="167" t="s">
        <v>379</v>
      </c>
      <c r="F245" s="11"/>
      <c r="G245" s="31" t="str">
        <f>IF('Phytopl Count'!G245=0,"",'Phytopl Count'!G245*'Phytopl Count'!G$13/'Phytopl Count'!G$8)</f>
        <v/>
      </c>
      <c r="H245" s="31" t="str">
        <f>IF('Phytopl Count'!H245=0,"",'Phytopl Count'!H245*'Phytopl Count'!H$13/'Phytopl Count'!H$8)</f>
        <v/>
      </c>
      <c r="I245" s="31" t="str">
        <f>IF('Phytopl Count'!I245=0,"",'Phytopl Count'!I245*'Phytopl Count'!I$13/'Phytopl Count'!I$8)</f>
        <v/>
      </c>
      <c r="J245" s="31" t="str">
        <f>IF('Phytopl Count'!J245=0,"",'Phytopl Count'!J245*'Phytopl Count'!J$13/'Phytopl Count'!J$8)</f>
        <v/>
      </c>
      <c r="K245" s="31" t="str">
        <f>IF('Phytopl Count'!K245=0,"",'Phytopl Count'!K245*'Phytopl Count'!K$13/'Phytopl Count'!K$8)</f>
        <v/>
      </c>
      <c r="L245" s="31" t="str">
        <f>IF('Phytopl Count'!L245=0,"",'Phytopl Count'!L245*'Phytopl Count'!L$13/'Phytopl Count'!L$8)</f>
        <v/>
      </c>
      <c r="M245" s="31" t="str">
        <f>IF('Phytopl Count'!M245=0,"",'Phytopl Count'!M245*'Phytopl Count'!M$13/'Phytopl Count'!M$8)</f>
        <v/>
      </c>
      <c r="N245" s="31" t="str">
        <f>IF('Phytopl Count'!N245=0,"",'Phytopl Count'!N245*'Phytopl Count'!N$13/'Phytopl Count'!N$8)</f>
        <v/>
      </c>
      <c r="O245" s="31" t="str">
        <f>IF('Phytopl Count'!O245=0,"",'Phytopl Count'!O245*'Phytopl Count'!O$13/'Phytopl Count'!O$8)</f>
        <v/>
      </c>
      <c r="P245" s="31" t="str">
        <f>IF('Phytopl Count'!P245=0,"",'Phytopl Count'!P245*'Phytopl Count'!P$13/'Phytopl Count'!P$8)</f>
        <v/>
      </c>
      <c r="Q245" s="31" t="str">
        <f>IF('Phytopl Count'!Q245=0,"",'Phytopl Count'!Q245*'Phytopl Count'!Q$13/'Phytopl Count'!Q$8)</f>
        <v/>
      </c>
      <c r="R245" s="31" t="str">
        <f>IF('Phytopl Count'!R245=0,"",'Phytopl Count'!R245*'Phytopl Count'!R$13/'Phytopl Count'!R$8)</f>
        <v/>
      </c>
      <c r="S245" s="31" t="str">
        <f>IF('Phytopl Count'!S245=0,"",'Phytopl Count'!S245*'Phytopl Count'!S$13/'Phytopl Count'!S$8)</f>
        <v/>
      </c>
      <c r="T245" s="31" t="str">
        <f>IF('Phytopl Count'!T245=0,"",'Phytopl Count'!T245*'Phytopl Count'!T$13/'Phytopl Count'!T$8)</f>
        <v/>
      </c>
      <c r="U245" s="31" t="str">
        <f>IF('Phytopl Count'!U245=0,"",'Phytopl Count'!U245*'Phytopl Count'!U$13/'Phytopl Count'!U$8)</f>
        <v/>
      </c>
      <c r="V245" s="31" t="str">
        <f>IF('Phytopl Count'!V245=0,"",'Phytopl Count'!V245*'Phytopl Count'!V$13/'Phytopl Count'!V$8)</f>
        <v/>
      </c>
      <c r="W245" s="31" t="str">
        <f>IF('Phytopl Count'!W245=0,"",'Phytopl Count'!W245*'Phytopl Count'!W$13/'Phytopl Count'!W$8)</f>
        <v/>
      </c>
      <c r="X245" s="31" t="str">
        <f>IF('Phytopl Count'!X245=0,"",'Phytopl Count'!X245*'Phytopl Count'!X$13/'Phytopl Count'!X$8)</f>
        <v/>
      </c>
      <c r="Y245" s="31" t="str">
        <f>IF('Phytopl Count'!Y245=0,"",'Phytopl Count'!Y245*'Phytopl Count'!Y$13/'Phytopl Count'!Y$8)</f>
        <v/>
      </c>
      <c r="Z245" s="31" t="str">
        <f>IF('Phytopl Count'!Z245=0,"",'Phytopl Count'!Z245*'Phytopl Count'!Z$13/'Phytopl Count'!Z$8)</f>
        <v/>
      </c>
      <c r="AA245" s="31" t="str">
        <f>IF('Phytopl Count'!AA245=0,"",'Phytopl Count'!AA245*'Phytopl Count'!AA$13/'Phytopl Count'!AA$8)</f>
        <v/>
      </c>
      <c r="AB245" s="31" t="str">
        <f>IF('Phytopl Count'!AB245=0,"",'Phytopl Count'!AB245*'Phytopl Count'!AB$13/'Phytopl Count'!AB$8)</f>
        <v/>
      </c>
      <c r="AC245" s="31" t="str">
        <f>IF('Phytopl Count'!AC245=0,"",'Phytopl Count'!AC245*'Phytopl Count'!AC$13/'Phytopl Count'!AC$8)</f>
        <v/>
      </c>
      <c r="AD245" s="31" t="str">
        <f>IF('Phytopl Count'!AD245=0,"",'Phytopl Count'!AD245*'Phytopl Count'!AD$13/'Phytopl Count'!AD$8)</f>
        <v/>
      </c>
      <c r="AE245" s="31" t="str">
        <f>IF('Phytopl Count'!AE245=0,"",'Phytopl Count'!AE245*'Phytopl Count'!AE$13/'Phytopl Count'!AE$8)</f>
        <v/>
      </c>
      <c r="AF245" s="31" t="str">
        <f>IF('Phytopl Count'!AF245=0,"",'Phytopl Count'!AF245*'Phytopl Count'!AF$13/'Phytopl Count'!AF$8)</f>
        <v/>
      </c>
    </row>
    <row r="246" spans="1:32" ht="15" customHeight="1">
      <c r="E246" s="10" t="s">
        <v>6</v>
      </c>
      <c r="F246" s="11" t="s">
        <v>380</v>
      </c>
      <c r="G246" s="31" t="str">
        <f>IF('Phytopl Count'!G246=0,"",'Phytopl Count'!G246*'Phytopl Count'!G$13/'Phytopl Count'!G$8)</f>
        <v/>
      </c>
      <c r="H246" s="31" t="str">
        <f>IF('Phytopl Count'!H246=0,"",'Phytopl Count'!H246*'Phytopl Count'!H$13/'Phytopl Count'!H$8)</f>
        <v/>
      </c>
      <c r="I246" s="31" t="str">
        <f>IF('Phytopl Count'!I246=0,"",'Phytopl Count'!I246*'Phytopl Count'!I$13/'Phytopl Count'!I$8)</f>
        <v/>
      </c>
      <c r="J246" s="31" t="str">
        <f>IF('Phytopl Count'!J246=0,"",'Phytopl Count'!J246*'Phytopl Count'!J$13/'Phytopl Count'!J$8)</f>
        <v/>
      </c>
      <c r="K246" s="31">
        <f>IF('Phytopl Count'!K246=0,"",'Phytopl Count'!K246*'Phytopl Count'!K$13/'Phytopl Count'!K$8)</f>
        <v>3.2031183515350004E-2</v>
      </c>
      <c r="L246" s="31" t="str">
        <f>IF('Phytopl Count'!L246=0,"",'Phytopl Count'!L246*'Phytopl Count'!L$13/'Phytopl Count'!L$8)</f>
        <v/>
      </c>
      <c r="M246" s="31" t="str">
        <f>IF('Phytopl Count'!M246=0,"",'Phytopl Count'!M246*'Phytopl Count'!M$13/'Phytopl Count'!M$8)</f>
        <v/>
      </c>
      <c r="N246" s="31" t="str">
        <f>IF('Phytopl Count'!N246=0,"",'Phytopl Count'!N246*'Phytopl Count'!N$13/'Phytopl Count'!N$8)</f>
        <v/>
      </c>
      <c r="O246" s="31" t="str">
        <f>IF('Phytopl Count'!O246=0,"",'Phytopl Count'!O246*'Phytopl Count'!O$13/'Phytopl Count'!O$8)</f>
        <v/>
      </c>
      <c r="P246" s="31" t="str">
        <f>IF('Phytopl Count'!P246=0,"",'Phytopl Count'!P246*'Phytopl Count'!P$13/'Phytopl Count'!P$8)</f>
        <v/>
      </c>
      <c r="Q246" s="31" t="str">
        <f>IF('Phytopl Count'!Q246=0,"",'Phytopl Count'!Q246*'Phytopl Count'!Q$13/'Phytopl Count'!Q$8)</f>
        <v/>
      </c>
      <c r="R246" s="31" t="str">
        <f>IF('Phytopl Count'!R246=0,"",'Phytopl Count'!R246*'Phytopl Count'!R$13/'Phytopl Count'!R$8)</f>
        <v/>
      </c>
      <c r="S246" s="31" t="str">
        <f>IF('Phytopl Count'!S246=0,"",'Phytopl Count'!S246*'Phytopl Count'!S$13/'Phytopl Count'!S$8)</f>
        <v/>
      </c>
      <c r="T246" s="31" t="str">
        <f>IF('Phytopl Count'!T246=0,"",'Phytopl Count'!T246*'Phytopl Count'!T$13/'Phytopl Count'!T$8)</f>
        <v/>
      </c>
      <c r="U246" s="31" t="str">
        <f>IF('Phytopl Count'!U246=0,"",'Phytopl Count'!U246*'Phytopl Count'!U$13/'Phytopl Count'!U$8)</f>
        <v/>
      </c>
      <c r="V246" s="31">
        <f>IF('Phytopl Count'!V246=0,"",'Phytopl Count'!V246*'Phytopl Count'!V$13/'Phytopl Count'!V$8)</f>
        <v>4.0038979394187504E-2</v>
      </c>
      <c r="W246" s="31" t="str">
        <f>IF('Phytopl Count'!W246=0,"",'Phytopl Count'!W246*'Phytopl Count'!W$13/'Phytopl Count'!W$8)</f>
        <v/>
      </c>
      <c r="X246" s="31">
        <f>IF('Phytopl Count'!X246=0,"",'Phytopl Count'!X246*'Phytopl Count'!X$13/'Phytopl Count'!X$8)</f>
        <v>3.2031183515350004E-2</v>
      </c>
      <c r="Y246" s="31" t="str">
        <f>IF('Phytopl Count'!Y246=0,"",'Phytopl Count'!Y246*'Phytopl Count'!Y$13/'Phytopl Count'!Y$8)</f>
        <v/>
      </c>
      <c r="Z246" s="31" t="str">
        <f>IF('Phytopl Count'!Z246=0,"",'Phytopl Count'!Z246*'Phytopl Count'!Z$13/'Phytopl Count'!Z$8)</f>
        <v/>
      </c>
      <c r="AA246" s="31">
        <f>IF('Phytopl Count'!AA246=0,"",'Phytopl Count'!AA246*'Phytopl Count'!AA$13/'Phytopl Count'!AA$8)</f>
        <v>3.2031183515350004E-2</v>
      </c>
      <c r="AB246" s="31" t="str">
        <f>IF('Phytopl Count'!AB246=0,"",'Phytopl Count'!AB246*'Phytopl Count'!AB$13/'Phytopl Count'!AB$8)</f>
        <v/>
      </c>
      <c r="AC246" s="31" t="str">
        <f>IF('Phytopl Count'!AC246=0,"",'Phytopl Count'!AC246*'Phytopl Count'!AC$13/'Phytopl Count'!AC$8)</f>
        <v/>
      </c>
      <c r="AD246" s="31" t="str">
        <f>IF('Phytopl Count'!AD246=0,"",'Phytopl Count'!AD246*'Phytopl Count'!AD$13/'Phytopl Count'!AD$8)</f>
        <v/>
      </c>
      <c r="AE246" s="31" t="str">
        <f>IF('Phytopl Count'!AE246=0,"",'Phytopl Count'!AE246*'Phytopl Count'!AE$13/'Phytopl Count'!AE$8)</f>
        <v/>
      </c>
      <c r="AF246" s="31" t="str">
        <f>IF('Phytopl Count'!AF246=0,"",'Phytopl Count'!AF246*'Phytopl Count'!AF$13/'Phytopl Count'!AF$8)</f>
        <v/>
      </c>
    </row>
    <row r="247" spans="1:32" ht="15" hidden="1" customHeight="1">
      <c r="D247" s="10" t="s">
        <v>5</v>
      </c>
      <c r="E247" s="12" t="s">
        <v>44</v>
      </c>
      <c r="F247" s="11"/>
      <c r="G247" s="31" t="str">
        <f>IF('Phytopl Count'!G247=0,"",'Phytopl Count'!G247*'Phytopl Count'!G$13/'Phytopl Count'!G$8)</f>
        <v/>
      </c>
      <c r="H247" s="31" t="str">
        <f>IF('Phytopl Count'!H247=0,"",'Phytopl Count'!H247*'Phytopl Count'!H$13/'Phytopl Count'!H$8)</f>
        <v/>
      </c>
      <c r="I247" s="31" t="str">
        <f>IF('Phytopl Count'!I247=0,"",'Phytopl Count'!I247*'Phytopl Count'!I$13/'Phytopl Count'!I$8)</f>
        <v/>
      </c>
      <c r="J247" s="31" t="str">
        <f>IF('Phytopl Count'!J247=0,"",'Phytopl Count'!J247*'Phytopl Count'!J$13/'Phytopl Count'!J$8)</f>
        <v/>
      </c>
      <c r="K247" s="31" t="str">
        <f>IF('Phytopl Count'!K247=0,"",'Phytopl Count'!K247*'Phytopl Count'!K$13/'Phytopl Count'!K$8)</f>
        <v/>
      </c>
      <c r="L247" s="31" t="str">
        <f>IF('Phytopl Count'!L247=0,"",'Phytopl Count'!L247*'Phytopl Count'!L$13/'Phytopl Count'!L$8)</f>
        <v/>
      </c>
      <c r="M247" s="31" t="str">
        <f>IF('Phytopl Count'!M247=0,"",'Phytopl Count'!M247*'Phytopl Count'!M$13/'Phytopl Count'!M$8)</f>
        <v/>
      </c>
      <c r="N247" s="31" t="str">
        <f>IF('Phytopl Count'!N247=0,"",'Phytopl Count'!N247*'Phytopl Count'!N$13/'Phytopl Count'!N$8)</f>
        <v/>
      </c>
      <c r="O247" s="31" t="str">
        <f>IF('Phytopl Count'!O247=0,"",'Phytopl Count'!O247*'Phytopl Count'!O$13/'Phytopl Count'!O$8)</f>
        <v/>
      </c>
      <c r="P247" s="31" t="str">
        <f>IF('Phytopl Count'!P247=0,"",'Phytopl Count'!P247*'Phytopl Count'!P$13/'Phytopl Count'!P$8)</f>
        <v/>
      </c>
      <c r="Q247" s="31" t="str">
        <f>IF('Phytopl Count'!Q247=0,"",'Phytopl Count'!Q247*'Phytopl Count'!Q$13/'Phytopl Count'!Q$8)</f>
        <v/>
      </c>
      <c r="R247" s="31" t="str">
        <f>IF('Phytopl Count'!R247=0,"",'Phytopl Count'!R247*'Phytopl Count'!R$13/'Phytopl Count'!R$8)</f>
        <v/>
      </c>
      <c r="S247" s="31" t="str">
        <f>IF('Phytopl Count'!S247=0,"",'Phytopl Count'!S247*'Phytopl Count'!S$13/'Phytopl Count'!S$8)</f>
        <v/>
      </c>
      <c r="T247" s="31" t="str">
        <f>IF('Phytopl Count'!T247=0,"",'Phytopl Count'!T247*'Phytopl Count'!T$13/'Phytopl Count'!T$8)</f>
        <v/>
      </c>
      <c r="U247" s="31" t="str">
        <f>IF('Phytopl Count'!U247=0,"",'Phytopl Count'!U247*'Phytopl Count'!U$13/'Phytopl Count'!U$8)</f>
        <v/>
      </c>
      <c r="V247" s="31" t="str">
        <f>IF('Phytopl Count'!V247=0,"",'Phytopl Count'!V247*'Phytopl Count'!V$13/'Phytopl Count'!V$8)</f>
        <v/>
      </c>
      <c r="W247" s="31" t="str">
        <f>IF('Phytopl Count'!W247=0,"",'Phytopl Count'!W247*'Phytopl Count'!W$13/'Phytopl Count'!W$8)</f>
        <v/>
      </c>
      <c r="X247" s="31" t="str">
        <f>IF('Phytopl Count'!X247=0,"",'Phytopl Count'!X247*'Phytopl Count'!X$13/'Phytopl Count'!X$8)</f>
        <v/>
      </c>
      <c r="Y247" s="31" t="str">
        <f>IF('Phytopl Count'!Y247=0,"",'Phytopl Count'!Y247*'Phytopl Count'!Y$13/'Phytopl Count'!Y$8)</f>
        <v/>
      </c>
      <c r="Z247" s="31" t="str">
        <f>IF('Phytopl Count'!Z247=0,"",'Phytopl Count'!Z247*'Phytopl Count'!Z$13/'Phytopl Count'!Z$8)</f>
        <v/>
      </c>
      <c r="AA247" s="31" t="str">
        <f>IF('Phytopl Count'!AA247=0,"",'Phytopl Count'!AA247*'Phytopl Count'!AA$13/'Phytopl Count'!AA$8)</f>
        <v/>
      </c>
      <c r="AB247" s="31" t="str">
        <f>IF('Phytopl Count'!AB247=0,"",'Phytopl Count'!AB247*'Phytopl Count'!AB$13/'Phytopl Count'!AB$8)</f>
        <v/>
      </c>
      <c r="AC247" s="31" t="str">
        <f>IF('Phytopl Count'!AC247=0,"",'Phytopl Count'!AC247*'Phytopl Count'!AC$13/'Phytopl Count'!AC$8)</f>
        <v/>
      </c>
      <c r="AD247" s="31" t="str">
        <f>IF('Phytopl Count'!AD247=0,"",'Phytopl Count'!AD247*'Phytopl Count'!AD$13/'Phytopl Count'!AD$8)</f>
        <v/>
      </c>
      <c r="AE247" s="31" t="str">
        <f>IF('Phytopl Count'!AE247=0,"",'Phytopl Count'!AE247*'Phytopl Count'!AE$13/'Phytopl Count'!AE$8)</f>
        <v/>
      </c>
      <c r="AF247" s="31" t="str">
        <f>IF('Phytopl Count'!AF247=0,"",'Phytopl Count'!AF247*'Phytopl Count'!AF$13/'Phytopl Count'!AF$8)</f>
        <v/>
      </c>
    </row>
    <row r="248" spans="1:32" ht="15" hidden="1" customHeight="1">
      <c r="E248" s="10" t="s">
        <v>6</v>
      </c>
      <c r="F248" s="11" t="s">
        <v>45</v>
      </c>
      <c r="G248" s="31" t="str">
        <f>IF('Phytopl Count'!G248=0,"",'Phytopl Count'!G248*'Phytopl Count'!G$13/'Phytopl Count'!G$8)</f>
        <v/>
      </c>
      <c r="H248" s="31" t="str">
        <f>IF('Phytopl Count'!H248=0,"",'Phytopl Count'!H248*'Phytopl Count'!H$13/'Phytopl Count'!H$8)</f>
        <v/>
      </c>
      <c r="I248" s="31" t="str">
        <f>IF('Phytopl Count'!I248=0,"",'Phytopl Count'!I248*'Phytopl Count'!I$13/'Phytopl Count'!I$8)</f>
        <v/>
      </c>
      <c r="J248" s="31" t="str">
        <f>IF('Phytopl Count'!J248=0,"",'Phytopl Count'!J248*'Phytopl Count'!J$13/'Phytopl Count'!J$8)</f>
        <v/>
      </c>
      <c r="K248" s="31" t="str">
        <f>IF('Phytopl Count'!K248=0,"",'Phytopl Count'!K248*'Phytopl Count'!K$13/'Phytopl Count'!K$8)</f>
        <v/>
      </c>
      <c r="L248" s="31" t="str">
        <f>IF('Phytopl Count'!L248=0,"",'Phytopl Count'!L248*'Phytopl Count'!L$13/'Phytopl Count'!L$8)</f>
        <v/>
      </c>
      <c r="M248" s="31" t="str">
        <f>IF('Phytopl Count'!M248=0,"",'Phytopl Count'!M248*'Phytopl Count'!M$13/'Phytopl Count'!M$8)</f>
        <v/>
      </c>
      <c r="N248" s="31" t="str">
        <f>IF('Phytopl Count'!N248=0,"",'Phytopl Count'!N248*'Phytopl Count'!N$13/'Phytopl Count'!N$8)</f>
        <v/>
      </c>
      <c r="O248" s="31" t="str">
        <f>IF('Phytopl Count'!O248=0,"",'Phytopl Count'!O248*'Phytopl Count'!O$13/'Phytopl Count'!O$8)</f>
        <v/>
      </c>
      <c r="P248" s="31" t="str">
        <f>IF('Phytopl Count'!P248=0,"",'Phytopl Count'!P248*'Phytopl Count'!P$13/'Phytopl Count'!P$8)</f>
        <v/>
      </c>
      <c r="Q248" s="31" t="str">
        <f>IF('Phytopl Count'!Q248=0,"",'Phytopl Count'!Q248*'Phytopl Count'!Q$13/'Phytopl Count'!Q$8)</f>
        <v/>
      </c>
      <c r="R248" s="31" t="str">
        <f>IF('Phytopl Count'!R248=0,"",'Phytopl Count'!R248*'Phytopl Count'!R$13/'Phytopl Count'!R$8)</f>
        <v/>
      </c>
      <c r="S248" s="31" t="str">
        <f>IF('Phytopl Count'!S248=0,"",'Phytopl Count'!S248*'Phytopl Count'!S$13/'Phytopl Count'!S$8)</f>
        <v/>
      </c>
      <c r="T248" s="31" t="str">
        <f>IF('Phytopl Count'!T248=0,"",'Phytopl Count'!T248*'Phytopl Count'!T$13/'Phytopl Count'!T$8)</f>
        <v/>
      </c>
      <c r="U248" s="31" t="str">
        <f>IF('Phytopl Count'!U248=0,"",'Phytopl Count'!U248*'Phytopl Count'!U$13/'Phytopl Count'!U$8)</f>
        <v/>
      </c>
      <c r="V248" s="31" t="str">
        <f>IF('Phytopl Count'!V248=0,"",'Phytopl Count'!V248*'Phytopl Count'!V$13/'Phytopl Count'!V$8)</f>
        <v/>
      </c>
      <c r="W248" s="31" t="str">
        <f>IF('Phytopl Count'!W248=0,"",'Phytopl Count'!W248*'Phytopl Count'!W$13/'Phytopl Count'!W$8)</f>
        <v/>
      </c>
      <c r="X248" s="31" t="str">
        <f>IF('Phytopl Count'!X248=0,"",'Phytopl Count'!X248*'Phytopl Count'!X$13/'Phytopl Count'!X$8)</f>
        <v/>
      </c>
      <c r="Y248" s="31" t="str">
        <f>IF('Phytopl Count'!Y248=0,"",'Phytopl Count'!Y248*'Phytopl Count'!Y$13/'Phytopl Count'!Y$8)</f>
        <v/>
      </c>
      <c r="Z248" s="31" t="str">
        <f>IF('Phytopl Count'!Z248=0,"",'Phytopl Count'!Z248*'Phytopl Count'!Z$13/'Phytopl Count'!Z$8)</f>
        <v/>
      </c>
      <c r="AA248" s="31" t="str">
        <f>IF('Phytopl Count'!AA248=0,"",'Phytopl Count'!AA248*'Phytopl Count'!AA$13/'Phytopl Count'!AA$8)</f>
        <v/>
      </c>
      <c r="AB248" s="31" t="str">
        <f>IF('Phytopl Count'!AB248=0,"",'Phytopl Count'!AB248*'Phytopl Count'!AB$13/'Phytopl Count'!AB$8)</f>
        <v/>
      </c>
      <c r="AC248" s="31" t="str">
        <f>IF('Phytopl Count'!AC248=0,"",'Phytopl Count'!AC248*'Phytopl Count'!AC$13/'Phytopl Count'!AC$8)</f>
        <v/>
      </c>
      <c r="AD248" s="31" t="str">
        <f>IF('Phytopl Count'!AD248=0,"",'Phytopl Count'!AD248*'Phytopl Count'!AD$13/'Phytopl Count'!AD$8)</f>
        <v/>
      </c>
      <c r="AE248" s="31" t="str">
        <f>IF('Phytopl Count'!AE248=0,"",'Phytopl Count'!AE248*'Phytopl Count'!AE$13/'Phytopl Count'!AE$8)</f>
        <v/>
      </c>
      <c r="AF248" s="31" t="str">
        <f>IF('Phytopl Count'!AF248=0,"",'Phytopl Count'!AF248*'Phytopl Count'!AF$13/'Phytopl Count'!AF$8)</f>
        <v/>
      </c>
    </row>
    <row r="249" spans="1:32">
      <c r="A249" s="4"/>
      <c r="B249" s="4"/>
      <c r="C249" s="4"/>
      <c r="D249" s="4"/>
      <c r="E249" s="4"/>
      <c r="F249" s="6"/>
      <c r="G249" s="31" t="str">
        <f>IF('Phytopl Count'!G249=0,"",'Phytopl Count'!G249*'Phytopl Count'!G$13/'Phytopl Count'!G$8)</f>
        <v/>
      </c>
      <c r="H249" s="31" t="str">
        <f>IF('Phytopl Count'!H249=0,"",'Phytopl Count'!H249*'Phytopl Count'!H$13/'Phytopl Count'!H$8)</f>
        <v/>
      </c>
      <c r="I249" s="31" t="str">
        <f>IF('Phytopl Count'!I249=0,"",'Phytopl Count'!I249*'Phytopl Count'!I$13/'Phytopl Count'!I$8)</f>
        <v/>
      </c>
      <c r="J249" s="31" t="str">
        <f>IF('Phytopl Count'!J249=0,"",'Phytopl Count'!J249*'Phytopl Count'!J$13/'Phytopl Count'!J$8)</f>
        <v/>
      </c>
      <c r="K249" s="31" t="str">
        <f>IF('Phytopl Count'!K249=0,"",'Phytopl Count'!K249*'Phytopl Count'!K$13/'Phytopl Count'!K$8)</f>
        <v/>
      </c>
      <c r="L249" s="31" t="str">
        <f>IF('Phytopl Count'!L249=0,"",'Phytopl Count'!L249*'Phytopl Count'!L$13/'Phytopl Count'!L$8)</f>
        <v/>
      </c>
      <c r="M249" s="31" t="str">
        <f>IF('Phytopl Count'!M249=0,"",'Phytopl Count'!M249*'Phytopl Count'!M$13/'Phytopl Count'!M$8)</f>
        <v/>
      </c>
      <c r="N249" s="31" t="str">
        <f>IF('Phytopl Count'!N249=0,"",'Phytopl Count'!N249*'Phytopl Count'!N$13/'Phytopl Count'!N$8)</f>
        <v/>
      </c>
      <c r="O249" s="31" t="str">
        <f>IF('Phytopl Count'!O249=0,"",'Phytopl Count'!O249*'Phytopl Count'!O$13/'Phytopl Count'!O$8)</f>
        <v/>
      </c>
      <c r="P249" s="31" t="str">
        <f>IF('Phytopl Count'!P249=0,"",'Phytopl Count'!P249*'Phytopl Count'!P$13/'Phytopl Count'!P$8)</f>
        <v/>
      </c>
      <c r="Q249" s="31" t="str">
        <f>IF('Phytopl Count'!Q249=0,"",'Phytopl Count'!Q249*'Phytopl Count'!Q$13/'Phytopl Count'!Q$8)</f>
        <v/>
      </c>
      <c r="R249" s="31" t="str">
        <f>IF('Phytopl Count'!R249=0,"",'Phytopl Count'!R249*'Phytopl Count'!R$13/'Phytopl Count'!R$8)</f>
        <v/>
      </c>
      <c r="S249" s="31" t="str">
        <f>IF('Phytopl Count'!S249=0,"",'Phytopl Count'!S249*'Phytopl Count'!S$13/'Phytopl Count'!S$8)</f>
        <v/>
      </c>
      <c r="T249" s="31" t="str">
        <f>IF('Phytopl Count'!T249=0,"",'Phytopl Count'!T249*'Phytopl Count'!T$13/'Phytopl Count'!T$8)</f>
        <v/>
      </c>
      <c r="U249" s="31" t="str">
        <f>IF('Phytopl Count'!U249=0,"",'Phytopl Count'!U249*'Phytopl Count'!U$13/'Phytopl Count'!U$8)</f>
        <v/>
      </c>
      <c r="V249" s="31" t="str">
        <f>IF('Phytopl Count'!V249=0,"",'Phytopl Count'!V249*'Phytopl Count'!V$13/'Phytopl Count'!V$8)</f>
        <v/>
      </c>
      <c r="W249" s="31" t="str">
        <f>IF('Phytopl Count'!W249=0,"",'Phytopl Count'!W249*'Phytopl Count'!W$13/'Phytopl Count'!W$8)</f>
        <v/>
      </c>
      <c r="X249" s="31" t="str">
        <f>IF('Phytopl Count'!X249=0,"",'Phytopl Count'!X249*'Phytopl Count'!X$13/'Phytopl Count'!X$8)</f>
        <v/>
      </c>
      <c r="Y249" s="31" t="str">
        <f>IF('Phytopl Count'!Y249=0,"",'Phytopl Count'!Y249*'Phytopl Count'!Y$13/'Phytopl Count'!Y$8)</f>
        <v/>
      </c>
      <c r="Z249" s="31" t="str">
        <f>IF('Phytopl Count'!Z249=0,"",'Phytopl Count'!Z249*'Phytopl Count'!Z$13/'Phytopl Count'!Z$8)</f>
        <v/>
      </c>
      <c r="AA249" s="31" t="str">
        <f>IF('Phytopl Count'!AA249=0,"",'Phytopl Count'!AA249*'Phytopl Count'!AA$13/'Phytopl Count'!AA$8)</f>
        <v/>
      </c>
      <c r="AB249" s="31" t="str">
        <f>IF('Phytopl Count'!AB249=0,"",'Phytopl Count'!AB249*'Phytopl Count'!AB$13/'Phytopl Count'!AB$8)</f>
        <v/>
      </c>
      <c r="AC249" s="31" t="str">
        <f>IF('Phytopl Count'!AC249=0,"",'Phytopl Count'!AC249*'Phytopl Count'!AC$13/'Phytopl Count'!AC$8)</f>
        <v/>
      </c>
      <c r="AD249" s="31" t="str">
        <f>IF('Phytopl Count'!AD249=0,"",'Phytopl Count'!AD249*'Phytopl Count'!AD$13/'Phytopl Count'!AD$8)</f>
        <v/>
      </c>
      <c r="AE249" s="31" t="str">
        <f>IF('Phytopl Count'!AE249=0,"",'Phytopl Count'!AE249*'Phytopl Count'!AE$13/'Phytopl Count'!AE$8)</f>
        <v/>
      </c>
      <c r="AF249" s="31" t="str">
        <f>IF('Phytopl Count'!AF249=0,"",'Phytopl Count'!AF249*'Phytopl Count'!AF$13/'Phytopl Count'!AF$8)</f>
        <v/>
      </c>
    </row>
    <row r="250" spans="1:32">
      <c r="A250" s="16" t="s">
        <v>4</v>
      </c>
      <c r="B250" s="4" t="s">
        <v>155</v>
      </c>
      <c r="C250" s="16"/>
      <c r="D250" s="4"/>
      <c r="E250" s="4"/>
      <c r="F250" s="59"/>
      <c r="G250" s="31" t="str">
        <f>IF('Phytopl Count'!G250=0,"",'Phytopl Count'!G250*'Phytopl Count'!G$13/'Phytopl Count'!G$8)</f>
        <v/>
      </c>
      <c r="H250" s="31" t="str">
        <f>IF('Phytopl Count'!H250=0,"",'Phytopl Count'!H250*'Phytopl Count'!H$13/'Phytopl Count'!H$8)</f>
        <v/>
      </c>
      <c r="I250" s="31" t="str">
        <f>IF('Phytopl Count'!I250=0,"",'Phytopl Count'!I250*'Phytopl Count'!I$13/'Phytopl Count'!I$8)</f>
        <v/>
      </c>
      <c r="J250" s="31" t="str">
        <f>IF('Phytopl Count'!J250=0,"",'Phytopl Count'!J250*'Phytopl Count'!J$13/'Phytopl Count'!J$8)</f>
        <v/>
      </c>
      <c r="K250" s="31" t="str">
        <f>IF('Phytopl Count'!K250=0,"",'Phytopl Count'!K250*'Phytopl Count'!K$13/'Phytopl Count'!K$8)</f>
        <v/>
      </c>
      <c r="L250" s="31" t="str">
        <f>IF('Phytopl Count'!L250=0,"",'Phytopl Count'!L250*'Phytopl Count'!L$13/'Phytopl Count'!L$8)</f>
        <v/>
      </c>
      <c r="M250" s="31" t="str">
        <f>IF('Phytopl Count'!M250=0,"",'Phytopl Count'!M250*'Phytopl Count'!M$13/'Phytopl Count'!M$8)</f>
        <v/>
      </c>
      <c r="N250" s="31" t="str">
        <f>IF('Phytopl Count'!N250=0,"",'Phytopl Count'!N250*'Phytopl Count'!N$13/'Phytopl Count'!N$8)</f>
        <v/>
      </c>
      <c r="O250" s="31" t="str">
        <f>IF('Phytopl Count'!O250=0,"",'Phytopl Count'!O250*'Phytopl Count'!O$13/'Phytopl Count'!O$8)</f>
        <v/>
      </c>
      <c r="P250" s="31" t="str">
        <f>IF('Phytopl Count'!P250=0,"",'Phytopl Count'!P250*'Phytopl Count'!P$13/'Phytopl Count'!P$8)</f>
        <v/>
      </c>
      <c r="Q250" s="31" t="str">
        <f>IF('Phytopl Count'!Q250=0,"",'Phytopl Count'!Q250*'Phytopl Count'!Q$13/'Phytopl Count'!Q$8)</f>
        <v/>
      </c>
      <c r="R250" s="31" t="str">
        <f>IF('Phytopl Count'!R250=0,"",'Phytopl Count'!R250*'Phytopl Count'!R$13/'Phytopl Count'!R$8)</f>
        <v/>
      </c>
      <c r="S250" s="31" t="str">
        <f>IF('Phytopl Count'!S250=0,"",'Phytopl Count'!S250*'Phytopl Count'!S$13/'Phytopl Count'!S$8)</f>
        <v/>
      </c>
      <c r="T250" s="31" t="str">
        <f>IF('Phytopl Count'!T250=0,"",'Phytopl Count'!T250*'Phytopl Count'!T$13/'Phytopl Count'!T$8)</f>
        <v/>
      </c>
      <c r="U250" s="31" t="str">
        <f>IF('Phytopl Count'!U250=0,"",'Phytopl Count'!U250*'Phytopl Count'!U$13/'Phytopl Count'!U$8)</f>
        <v/>
      </c>
      <c r="V250" s="31" t="str">
        <f>IF('Phytopl Count'!V250=0,"",'Phytopl Count'!V250*'Phytopl Count'!V$13/'Phytopl Count'!V$8)</f>
        <v/>
      </c>
      <c r="W250" s="31" t="str">
        <f>IF('Phytopl Count'!W250=0,"",'Phytopl Count'!W250*'Phytopl Count'!W$13/'Phytopl Count'!W$8)</f>
        <v/>
      </c>
      <c r="X250" s="31" t="str">
        <f>IF('Phytopl Count'!X250=0,"",'Phytopl Count'!X250*'Phytopl Count'!X$13/'Phytopl Count'!X$8)</f>
        <v/>
      </c>
      <c r="Y250" s="31" t="str">
        <f>IF('Phytopl Count'!Y250=0,"",'Phytopl Count'!Y250*'Phytopl Count'!Y$13/'Phytopl Count'!Y$8)</f>
        <v/>
      </c>
      <c r="Z250" s="31" t="str">
        <f>IF('Phytopl Count'!Z250=0,"",'Phytopl Count'!Z250*'Phytopl Count'!Z$13/'Phytopl Count'!Z$8)</f>
        <v/>
      </c>
      <c r="AA250" s="31" t="str">
        <f>IF('Phytopl Count'!AA250=0,"",'Phytopl Count'!AA250*'Phytopl Count'!AA$13/'Phytopl Count'!AA$8)</f>
        <v/>
      </c>
      <c r="AB250" s="31" t="str">
        <f>IF('Phytopl Count'!AB250=0,"",'Phytopl Count'!AB250*'Phytopl Count'!AB$13/'Phytopl Count'!AB$8)</f>
        <v/>
      </c>
      <c r="AC250" s="31" t="str">
        <f>IF('Phytopl Count'!AC250=0,"",'Phytopl Count'!AC250*'Phytopl Count'!AC$13/'Phytopl Count'!AC$8)</f>
        <v/>
      </c>
      <c r="AD250" s="31" t="str">
        <f>IF('Phytopl Count'!AD250=0,"",'Phytopl Count'!AD250*'Phytopl Count'!AD$13/'Phytopl Count'!AD$8)</f>
        <v/>
      </c>
      <c r="AE250" s="31" t="str">
        <f>IF('Phytopl Count'!AE250=0,"",'Phytopl Count'!AE250*'Phytopl Count'!AE$13/'Phytopl Count'!AE$8)</f>
        <v/>
      </c>
      <c r="AF250" s="31" t="str">
        <f>IF('Phytopl Count'!AF250=0,"",'Phytopl Count'!AF250*'Phytopl Count'!AF$13/'Phytopl Count'!AF$8)</f>
        <v/>
      </c>
    </row>
    <row r="251" spans="1:32" ht="15" customHeight="1">
      <c r="A251" s="16"/>
      <c r="B251" s="16" t="s">
        <v>72</v>
      </c>
      <c r="C251" s="28" t="s">
        <v>10</v>
      </c>
      <c r="D251" s="4"/>
      <c r="E251" s="4"/>
      <c r="F251" s="59"/>
      <c r="G251" s="31" t="str">
        <f>IF('Phytopl Count'!G251=0,"",'Phytopl Count'!G251*'Phytopl Count'!G$13/'Phytopl Count'!G$8)</f>
        <v/>
      </c>
      <c r="H251" s="31" t="str">
        <f>IF('Phytopl Count'!H251=0,"",'Phytopl Count'!H251*'Phytopl Count'!H$13/'Phytopl Count'!H$8)</f>
        <v/>
      </c>
      <c r="I251" s="31" t="str">
        <f>IF('Phytopl Count'!I251=0,"",'Phytopl Count'!I251*'Phytopl Count'!I$13/'Phytopl Count'!I$8)</f>
        <v/>
      </c>
      <c r="J251" s="31" t="str">
        <f>IF('Phytopl Count'!J251=0,"",'Phytopl Count'!J251*'Phytopl Count'!J$13/'Phytopl Count'!J$8)</f>
        <v/>
      </c>
      <c r="K251" s="31" t="str">
        <f>IF('Phytopl Count'!K251=0,"",'Phytopl Count'!K251*'Phytopl Count'!K$13/'Phytopl Count'!K$8)</f>
        <v/>
      </c>
      <c r="L251" s="31" t="str">
        <f>IF('Phytopl Count'!L251=0,"",'Phytopl Count'!L251*'Phytopl Count'!L$13/'Phytopl Count'!L$8)</f>
        <v/>
      </c>
      <c r="M251" s="31" t="str">
        <f>IF('Phytopl Count'!M251=0,"",'Phytopl Count'!M251*'Phytopl Count'!M$13/'Phytopl Count'!M$8)</f>
        <v/>
      </c>
      <c r="N251" s="31" t="str">
        <f>IF('Phytopl Count'!N251=0,"",'Phytopl Count'!N251*'Phytopl Count'!N$13/'Phytopl Count'!N$8)</f>
        <v/>
      </c>
      <c r="O251" s="31" t="str">
        <f>IF('Phytopl Count'!O251=0,"",'Phytopl Count'!O251*'Phytopl Count'!O$13/'Phytopl Count'!O$8)</f>
        <v/>
      </c>
      <c r="P251" s="31" t="str">
        <f>IF('Phytopl Count'!P251=0,"",'Phytopl Count'!P251*'Phytopl Count'!P$13/'Phytopl Count'!P$8)</f>
        <v/>
      </c>
      <c r="Q251" s="31" t="str">
        <f>IF('Phytopl Count'!Q251=0,"",'Phytopl Count'!Q251*'Phytopl Count'!Q$13/'Phytopl Count'!Q$8)</f>
        <v/>
      </c>
      <c r="R251" s="31" t="str">
        <f>IF('Phytopl Count'!R251=0,"",'Phytopl Count'!R251*'Phytopl Count'!R$13/'Phytopl Count'!R$8)</f>
        <v/>
      </c>
      <c r="S251" s="31" t="str">
        <f>IF('Phytopl Count'!S251=0,"",'Phytopl Count'!S251*'Phytopl Count'!S$13/'Phytopl Count'!S$8)</f>
        <v/>
      </c>
      <c r="T251" s="31" t="str">
        <f>IF('Phytopl Count'!T251=0,"",'Phytopl Count'!T251*'Phytopl Count'!T$13/'Phytopl Count'!T$8)</f>
        <v/>
      </c>
      <c r="U251" s="31" t="str">
        <f>IF('Phytopl Count'!U251=0,"",'Phytopl Count'!U251*'Phytopl Count'!U$13/'Phytopl Count'!U$8)</f>
        <v/>
      </c>
      <c r="V251" s="31" t="str">
        <f>IF('Phytopl Count'!V251=0,"",'Phytopl Count'!V251*'Phytopl Count'!V$13/'Phytopl Count'!V$8)</f>
        <v/>
      </c>
      <c r="W251" s="31" t="str">
        <f>IF('Phytopl Count'!W251=0,"",'Phytopl Count'!W251*'Phytopl Count'!W$13/'Phytopl Count'!W$8)</f>
        <v/>
      </c>
      <c r="X251" s="31" t="str">
        <f>IF('Phytopl Count'!X251=0,"",'Phytopl Count'!X251*'Phytopl Count'!X$13/'Phytopl Count'!X$8)</f>
        <v/>
      </c>
      <c r="Y251" s="31" t="str">
        <f>IF('Phytopl Count'!Y251=0,"",'Phytopl Count'!Y251*'Phytopl Count'!Y$13/'Phytopl Count'!Y$8)</f>
        <v/>
      </c>
      <c r="Z251" s="31" t="str">
        <f>IF('Phytopl Count'!Z251=0,"",'Phytopl Count'!Z251*'Phytopl Count'!Z$13/'Phytopl Count'!Z$8)</f>
        <v/>
      </c>
      <c r="AA251" s="31" t="str">
        <f>IF('Phytopl Count'!AA251=0,"",'Phytopl Count'!AA251*'Phytopl Count'!AA$13/'Phytopl Count'!AA$8)</f>
        <v/>
      </c>
      <c r="AB251" s="31" t="str">
        <f>IF('Phytopl Count'!AB251=0,"",'Phytopl Count'!AB251*'Phytopl Count'!AB$13/'Phytopl Count'!AB$8)</f>
        <v/>
      </c>
      <c r="AC251" s="31" t="str">
        <f>IF('Phytopl Count'!AC251=0,"",'Phytopl Count'!AC251*'Phytopl Count'!AC$13/'Phytopl Count'!AC$8)</f>
        <v/>
      </c>
      <c r="AD251" s="31" t="str">
        <f>IF('Phytopl Count'!AD251=0,"",'Phytopl Count'!AD251*'Phytopl Count'!AD$13/'Phytopl Count'!AD$8)</f>
        <v/>
      </c>
      <c r="AE251" s="31" t="str">
        <f>IF('Phytopl Count'!AE251=0,"",'Phytopl Count'!AE251*'Phytopl Count'!AE$13/'Phytopl Count'!AE$8)</f>
        <v/>
      </c>
      <c r="AF251" s="31" t="str">
        <f>IF('Phytopl Count'!AF251=0,"",'Phytopl Count'!AF251*'Phytopl Count'!AF$13/'Phytopl Count'!AF$8)</f>
        <v/>
      </c>
    </row>
    <row r="252" spans="1:32" ht="15" hidden="1" customHeight="1">
      <c r="A252" s="16"/>
      <c r="B252" s="16"/>
      <c r="C252" s="16" t="s">
        <v>73</v>
      </c>
      <c r="D252" s="4" t="s">
        <v>365</v>
      </c>
      <c r="E252" s="4"/>
      <c r="F252" s="59"/>
      <c r="G252" s="31" t="str">
        <f>IF('Phytopl Count'!G252=0,"",'Phytopl Count'!G252*'Phytopl Count'!G$13/'Phytopl Count'!G$8)</f>
        <v/>
      </c>
      <c r="H252" s="31" t="str">
        <f>IF('Phytopl Count'!H252=0,"",'Phytopl Count'!H252*'Phytopl Count'!H$13/'Phytopl Count'!H$8)</f>
        <v/>
      </c>
      <c r="I252" s="31" t="str">
        <f>IF('Phytopl Count'!I252=0,"",'Phytopl Count'!I252*'Phytopl Count'!I$13/'Phytopl Count'!I$8)</f>
        <v/>
      </c>
      <c r="J252" s="31" t="str">
        <f>IF('Phytopl Count'!J252=0,"",'Phytopl Count'!J252*'Phytopl Count'!J$13/'Phytopl Count'!J$8)</f>
        <v/>
      </c>
      <c r="K252" s="31" t="str">
        <f>IF('Phytopl Count'!K252=0,"",'Phytopl Count'!K252*'Phytopl Count'!K$13/'Phytopl Count'!K$8)</f>
        <v/>
      </c>
      <c r="L252" s="31" t="str">
        <f>IF('Phytopl Count'!L252=0,"",'Phytopl Count'!L252*'Phytopl Count'!L$13/'Phytopl Count'!L$8)</f>
        <v/>
      </c>
      <c r="M252" s="31" t="str">
        <f>IF('Phytopl Count'!M252=0,"",'Phytopl Count'!M252*'Phytopl Count'!M$13/'Phytopl Count'!M$8)</f>
        <v/>
      </c>
      <c r="N252" s="31" t="str">
        <f>IF('Phytopl Count'!N252=0,"",'Phytopl Count'!N252*'Phytopl Count'!N$13/'Phytopl Count'!N$8)</f>
        <v/>
      </c>
      <c r="O252" s="31" t="str">
        <f>IF('Phytopl Count'!O252=0,"",'Phytopl Count'!O252*'Phytopl Count'!O$13/'Phytopl Count'!O$8)</f>
        <v/>
      </c>
      <c r="P252" s="31" t="str">
        <f>IF('Phytopl Count'!P252=0,"",'Phytopl Count'!P252*'Phytopl Count'!P$13/'Phytopl Count'!P$8)</f>
        <v/>
      </c>
      <c r="Q252" s="31" t="str">
        <f>IF('Phytopl Count'!Q252=0,"",'Phytopl Count'!Q252*'Phytopl Count'!Q$13/'Phytopl Count'!Q$8)</f>
        <v/>
      </c>
      <c r="R252" s="31" t="str">
        <f>IF('Phytopl Count'!R252=0,"",'Phytopl Count'!R252*'Phytopl Count'!R$13/'Phytopl Count'!R$8)</f>
        <v/>
      </c>
      <c r="S252" s="31" t="str">
        <f>IF('Phytopl Count'!S252=0,"",'Phytopl Count'!S252*'Phytopl Count'!S$13/'Phytopl Count'!S$8)</f>
        <v/>
      </c>
      <c r="T252" s="31" t="str">
        <f>IF('Phytopl Count'!T252=0,"",'Phytopl Count'!T252*'Phytopl Count'!T$13/'Phytopl Count'!T$8)</f>
        <v/>
      </c>
      <c r="U252" s="31" t="str">
        <f>IF('Phytopl Count'!U252=0,"",'Phytopl Count'!U252*'Phytopl Count'!U$13/'Phytopl Count'!U$8)</f>
        <v/>
      </c>
      <c r="V252" s="31" t="str">
        <f>IF('Phytopl Count'!V252=0,"",'Phytopl Count'!V252*'Phytopl Count'!V$13/'Phytopl Count'!V$8)</f>
        <v/>
      </c>
      <c r="W252" s="31" t="str">
        <f>IF('Phytopl Count'!W252=0,"",'Phytopl Count'!W252*'Phytopl Count'!W$13/'Phytopl Count'!W$8)</f>
        <v/>
      </c>
      <c r="X252" s="31" t="str">
        <f>IF('Phytopl Count'!X252=0,"",'Phytopl Count'!X252*'Phytopl Count'!X$13/'Phytopl Count'!X$8)</f>
        <v/>
      </c>
      <c r="Y252" s="31" t="str">
        <f>IF('Phytopl Count'!Y252=0,"",'Phytopl Count'!Y252*'Phytopl Count'!Y$13/'Phytopl Count'!Y$8)</f>
        <v/>
      </c>
      <c r="Z252" s="31" t="str">
        <f>IF('Phytopl Count'!Z252=0,"",'Phytopl Count'!Z252*'Phytopl Count'!Z$13/'Phytopl Count'!Z$8)</f>
        <v/>
      </c>
      <c r="AA252" s="31" t="str">
        <f>IF('Phytopl Count'!AA252=0,"",'Phytopl Count'!AA252*'Phytopl Count'!AA$13/'Phytopl Count'!AA$8)</f>
        <v/>
      </c>
      <c r="AB252" s="31" t="str">
        <f>IF('Phytopl Count'!AB252=0,"",'Phytopl Count'!AB252*'Phytopl Count'!AB$13/'Phytopl Count'!AB$8)</f>
        <v/>
      </c>
      <c r="AC252" s="31" t="str">
        <f>IF('Phytopl Count'!AC252=0,"",'Phytopl Count'!AC252*'Phytopl Count'!AC$13/'Phytopl Count'!AC$8)</f>
        <v/>
      </c>
      <c r="AD252" s="31" t="str">
        <f>IF('Phytopl Count'!AD252=0,"",'Phytopl Count'!AD252*'Phytopl Count'!AD$13/'Phytopl Count'!AD$8)</f>
        <v/>
      </c>
      <c r="AE252" s="31" t="str">
        <f>IF('Phytopl Count'!AE252=0,"",'Phytopl Count'!AE252*'Phytopl Count'!AE$13/'Phytopl Count'!AE$8)</f>
        <v/>
      </c>
      <c r="AF252" s="31" t="str">
        <f>IF('Phytopl Count'!AF252=0,"",'Phytopl Count'!AF252*'Phytopl Count'!AF$13/'Phytopl Count'!AF$8)</f>
        <v/>
      </c>
    </row>
    <row r="253" spans="1:32" ht="15" hidden="1" customHeight="1">
      <c r="A253" s="10"/>
      <c r="B253" s="10"/>
      <c r="C253" s="10"/>
      <c r="D253" s="10" t="s">
        <v>5</v>
      </c>
      <c r="E253" s="164" t="s">
        <v>366</v>
      </c>
      <c r="F253" s="9"/>
      <c r="G253" s="31" t="str">
        <f>IF('Phytopl Count'!G253=0,"",'Phytopl Count'!G253*'Phytopl Count'!G$13/'Phytopl Count'!G$8)</f>
        <v/>
      </c>
      <c r="H253" s="31" t="str">
        <f>IF('Phytopl Count'!H253=0,"",'Phytopl Count'!H253*'Phytopl Count'!H$13/'Phytopl Count'!H$8)</f>
        <v/>
      </c>
      <c r="I253" s="31" t="str">
        <f>IF('Phytopl Count'!I253=0,"",'Phytopl Count'!I253*'Phytopl Count'!I$13/'Phytopl Count'!I$8)</f>
        <v/>
      </c>
      <c r="J253" s="31" t="str">
        <f>IF('Phytopl Count'!J253=0,"",'Phytopl Count'!J253*'Phytopl Count'!J$13/'Phytopl Count'!J$8)</f>
        <v/>
      </c>
      <c r="K253" s="31" t="str">
        <f>IF('Phytopl Count'!K253=0,"",'Phytopl Count'!K253*'Phytopl Count'!K$13/'Phytopl Count'!K$8)</f>
        <v/>
      </c>
      <c r="L253" s="31" t="str">
        <f>IF('Phytopl Count'!L253=0,"",'Phytopl Count'!L253*'Phytopl Count'!L$13/'Phytopl Count'!L$8)</f>
        <v/>
      </c>
      <c r="M253" s="31" t="str">
        <f>IF('Phytopl Count'!M253=0,"",'Phytopl Count'!M253*'Phytopl Count'!M$13/'Phytopl Count'!M$8)</f>
        <v/>
      </c>
      <c r="N253" s="31" t="str">
        <f>IF('Phytopl Count'!N253=0,"",'Phytopl Count'!N253*'Phytopl Count'!N$13/'Phytopl Count'!N$8)</f>
        <v/>
      </c>
      <c r="O253" s="31" t="str">
        <f>IF('Phytopl Count'!O253=0,"",'Phytopl Count'!O253*'Phytopl Count'!O$13/'Phytopl Count'!O$8)</f>
        <v/>
      </c>
      <c r="P253" s="31" t="str">
        <f>IF('Phytopl Count'!P253=0,"",'Phytopl Count'!P253*'Phytopl Count'!P$13/'Phytopl Count'!P$8)</f>
        <v/>
      </c>
      <c r="Q253" s="31" t="str">
        <f>IF('Phytopl Count'!Q253=0,"",'Phytopl Count'!Q253*'Phytopl Count'!Q$13/'Phytopl Count'!Q$8)</f>
        <v/>
      </c>
      <c r="R253" s="31" t="str">
        <f>IF('Phytopl Count'!R253=0,"",'Phytopl Count'!R253*'Phytopl Count'!R$13/'Phytopl Count'!R$8)</f>
        <v/>
      </c>
      <c r="S253" s="31" t="str">
        <f>IF('Phytopl Count'!S253=0,"",'Phytopl Count'!S253*'Phytopl Count'!S$13/'Phytopl Count'!S$8)</f>
        <v/>
      </c>
      <c r="T253" s="31" t="str">
        <f>IF('Phytopl Count'!T253=0,"",'Phytopl Count'!T253*'Phytopl Count'!T$13/'Phytopl Count'!T$8)</f>
        <v/>
      </c>
      <c r="U253" s="31" t="str">
        <f>IF('Phytopl Count'!U253=0,"",'Phytopl Count'!U253*'Phytopl Count'!U$13/'Phytopl Count'!U$8)</f>
        <v/>
      </c>
      <c r="V253" s="31" t="str">
        <f>IF('Phytopl Count'!V253=0,"",'Phytopl Count'!V253*'Phytopl Count'!V$13/'Phytopl Count'!V$8)</f>
        <v/>
      </c>
      <c r="W253" s="31" t="str">
        <f>IF('Phytopl Count'!W253=0,"",'Phytopl Count'!W253*'Phytopl Count'!W$13/'Phytopl Count'!W$8)</f>
        <v/>
      </c>
      <c r="X253" s="31" t="str">
        <f>IF('Phytopl Count'!X253=0,"",'Phytopl Count'!X253*'Phytopl Count'!X$13/'Phytopl Count'!X$8)</f>
        <v/>
      </c>
      <c r="Y253" s="31" t="str">
        <f>IF('Phytopl Count'!Y253=0,"",'Phytopl Count'!Y253*'Phytopl Count'!Y$13/'Phytopl Count'!Y$8)</f>
        <v/>
      </c>
      <c r="Z253" s="31" t="str">
        <f>IF('Phytopl Count'!Z253=0,"",'Phytopl Count'!Z253*'Phytopl Count'!Z$13/'Phytopl Count'!Z$8)</f>
        <v/>
      </c>
      <c r="AA253" s="31" t="str">
        <f>IF('Phytopl Count'!AA253=0,"",'Phytopl Count'!AA253*'Phytopl Count'!AA$13/'Phytopl Count'!AA$8)</f>
        <v/>
      </c>
      <c r="AB253" s="31" t="str">
        <f>IF('Phytopl Count'!AB253=0,"",'Phytopl Count'!AB253*'Phytopl Count'!AB$13/'Phytopl Count'!AB$8)</f>
        <v/>
      </c>
      <c r="AC253" s="31" t="str">
        <f>IF('Phytopl Count'!AC253=0,"",'Phytopl Count'!AC253*'Phytopl Count'!AC$13/'Phytopl Count'!AC$8)</f>
        <v/>
      </c>
      <c r="AD253" s="31" t="str">
        <f>IF('Phytopl Count'!AD253=0,"",'Phytopl Count'!AD253*'Phytopl Count'!AD$13/'Phytopl Count'!AD$8)</f>
        <v/>
      </c>
      <c r="AE253" s="31" t="str">
        <f>IF('Phytopl Count'!AE253=0,"",'Phytopl Count'!AE253*'Phytopl Count'!AE$13/'Phytopl Count'!AE$8)</f>
        <v/>
      </c>
      <c r="AF253" s="31" t="str">
        <f>IF('Phytopl Count'!AF253=0,"",'Phytopl Count'!AF253*'Phytopl Count'!AF$13/'Phytopl Count'!AF$8)</f>
        <v/>
      </c>
    </row>
    <row r="254" spans="1:32" ht="15" hidden="1" customHeight="1">
      <c r="E254" s="10" t="s">
        <v>6</v>
      </c>
      <c r="F254" s="11" t="s">
        <v>367</v>
      </c>
      <c r="G254" s="31" t="str">
        <f>IF('Phytopl Count'!G254=0,"",'Phytopl Count'!G254*'Phytopl Count'!G$13/'Phytopl Count'!G$8)</f>
        <v/>
      </c>
      <c r="H254" s="31" t="str">
        <f>IF('Phytopl Count'!H254=0,"",'Phytopl Count'!H254*'Phytopl Count'!H$13/'Phytopl Count'!H$8)</f>
        <v/>
      </c>
      <c r="I254" s="31" t="str">
        <f>IF('Phytopl Count'!I254=0,"",'Phytopl Count'!I254*'Phytopl Count'!I$13/'Phytopl Count'!I$8)</f>
        <v/>
      </c>
      <c r="J254" s="31" t="str">
        <f>IF('Phytopl Count'!J254=0,"",'Phytopl Count'!J254*'Phytopl Count'!J$13/'Phytopl Count'!J$8)</f>
        <v/>
      </c>
      <c r="K254" s="31" t="str">
        <f>IF('Phytopl Count'!K254=0,"",'Phytopl Count'!K254*'Phytopl Count'!K$13/'Phytopl Count'!K$8)</f>
        <v/>
      </c>
      <c r="L254" s="31" t="str">
        <f>IF('Phytopl Count'!L254=0,"",'Phytopl Count'!L254*'Phytopl Count'!L$13/'Phytopl Count'!L$8)</f>
        <v/>
      </c>
      <c r="M254" s="31" t="str">
        <f>IF('Phytopl Count'!M254=0,"",'Phytopl Count'!M254*'Phytopl Count'!M$13/'Phytopl Count'!M$8)</f>
        <v/>
      </c>
      <c r="N254" s="31" t="str">
        <f>IF('Phytopl Count'!N254=0,"",'Phytopl Count'!N254*'Phytopl Count'!N$13/'Phytopl Count'!N$8)</f>
        <v/>
      </c>
      <c r="O254" s="31" t="str">
        <f>IF('Phytopl Count'!O254=0,"",'Phytopl Count'!O254*'Phytopl Count'!O$13/'Phytopl Count'!O$8)</f>
        <v/>
      </c>
      <c r="P254" s="31" t="str">
        <f>IF('Phytopl Count'!P254=0,"",'Phytopl Count'!P254*'Phytopl Count'!P$13/'Phytopl Count'!P$8)</f>
        <v/>
      </c>
      <c r="Q254" s="31" t="str">
        <f>IF('Phytopl Count'!Q254=0,"",'Phytopl Count'!Q254*'Phytopl Count'!Q$13/'Phytopl Count'!Q$8)</f>
        <v/>
      </c>
      <c r="R254" s="31" t="str">
        <f>IF('Phytopl Count'!R254=0,"",'Phytopl Count'!R254*'Phytopl Count'!R$13/'Phytopl Count'!R$8)</f>
        <v/>
      </c>
      <c r="S254" s="31" t="str">
        <f>IF('Phytopl Count'!S254=0,"",'Phytopl Count'!S254*'Phytopl Count'!S$13/'Phytopl Count'!S$8)</f>
        <v/>
      </c>
      <c r="T254" s="31" t="str">
        <f>IF('Phytopl Count'!T254=0,"",'Phytopl Count'!T254*'Phytopl Count'!T$13/'Phytopl Count'!T$8)</f>
        <v/>
      </c>
      <c r="U254" s="31" t="str">
        <f>IF('Phytopl Count'!U254=0,"",'Phytopl Count'!U254*'Phytopl Count'!U$13/'Phytopl Count'!U$8)</f>
        <v/>
      </c>
      <c r="V254" s="31" t="str">
        <f>IF('Phytopl Count'!V254=0,"",'Phytopl Count'!V254*'Phytopl Count'!V$13/'Phytopl Count'!V$8)</f>
        <v/>
      </c>
      <c r="W254" s="31" t="str">
        <f>IF('Phytopl Count'!W254=0,"",'Phytopl Count'!W254*'Phytopl Count'!W$13/'Phytopl Count'!W$8)</f>
        <v/>
      </c>
      <c r="X254" s="31" t="str">
        <f>IF('Phytopl Count'!X254=0,"",'Phytopl Count'!X254*'Phytopl Count'!X$13/'Phytopl Count'!X$8)</f>
        <v/>
      </c>
      <c r="Y254" s="31" t="str">
        <f>IF('Phytopl Count'!Y254=0,"",'Phytopl Count'!Y254*'Phytopl Count'!Y$13/'Phytopl Count'!Y$8)</f>
        <v/>
      </c>
      <c r="Z254" s="31" t="str">
        <f>IF('Phytopl Count'!Z254=0,"",'Phytopl Count'!Z254*'Phytopl Count'!Z$13/'Phytopl Count'!Z$8)</f>
        <v/>
      </c>
      <c r="AA254" s="31" t="str">
        <f>IF('Phytopl Count'!AA254=0,"",'Phytopl Count'!AA254*'Phytopl Count'!AA$13/'Phytopl Count'!AA$8)</f>
        <v/>
      </c>
      <c r="AB254" s="31" t="str">
        <f>IF('Phytopl Count'!AB254=0,"",'Phytopl Count'!AB254*'Phytopl Count'!AB$13/'Phytopl Count'!AB$8)</f>
        <v/>
      </c>
      <c r="AC254" s="31" t="str">
        <f>IF('Phytopl Count'!AC254=0,"",'Phytopl Count'!AC254*'Phytopl Count'!AC$13/'Phytopl Count'!AC$8)</f>
        <v/>
      </c>
      <c r="AD254" s="31" t="str">
        <f>IF('Phytopl Count'!AD254=0,"",'Phytopl Count'!AD254*'Phytopl Count'!AD$13/'Phytopl Count'!AD$8)</f>
        <v/>
      </c>
      <c r="AE254" s="31" t="str">
        <f>IF('Phytopl Count'!AE254=0,"",'Phytopl Count'!AE254*'Phytopl Count'!AE$13/'Phytopl Count'!AE$8)</f>
        <v/>
      </c>
      <c r="AF254" s="31" t="str">
        <f>IF('Phytopl Count'!AF254=0,"",'Phytopl Count'!AF254*'Phytopl Count'!AF$13/'Phytopl Count'!AF$8)</f>
        <v/>
      </c>
    </row>
    <row r="255" spans="1:32" ht="15" hidden="1" customHeight="1">
      <c r="A255" s="4"/>
      <c r="B255" s="4"/>
      <c r="C255" s="16" t="s">
        <v>73</v>
      </c>
      <c r="D255" s="4" t="s">
        <v>408</v>
      </c>
      <c r="E255" s="10"/>
      <c r="F255" s="9"/>
      <c r="G255" s="31" t="str">
        <f>IF('Phytopl Count'!G252=0,"",'Phytopl Count'!G252*'Phytopl Count'!G$13/'Phytopl Count'!G$8)</f>
        <v/>
      </c>
      <c r="H255" s="31" t="str">
        <f>IF('Phytopl Count'!H252=0,"",'Phytopl Count'!H252*'Phytopl Count'!H$13/'Phytopl Count'!H$8)</f>
        <v/>
      </c>
      <c r="I255" s="31" t="str">
        <f>IF('Phytopl Count'!I252=0,"",'Phytopl Count'!I252*'Phytopl Count'!I$13/'Phytopl Count'!I$8)</f>
        <v/>
      </c>
      <c r="J255" s="31" t="str">
        <f>IF('Phytopl Count'!J252=0,"",'Phytopl Count'!J252*'Phytopl Count'!J$13/'Phytopl Count'!J$8)</f>
        <v/>
      </c>
      <c r="K255" s="31" t="str">
        <f>IF('Phytopl Count'!K252=0,"",'Phytopl Count'!K252*'Phytopl Count'!K$13/'Phytopl Count'!K$8)</f>
        <v/>
      </c>
      <c r="L255" s="31" t="str">
        <f>IF('Phytopl Count'!L252=0,"",'Phytopl Count'!L252*'Phytopl Count'!L$13/'Phytopl Count'!L$8)</f>
        <v/>
      </c>
      <c r="M255" s="31" t="str">
        <f>IF('Phytopl Count'!M252=0,"",'Phytopl Count'!M252*'Phytopl Count'!M$13/'Phytopl Count'!M$8)</f>
        <v/>
      </c>
      <c r="N255" s="31" t="str">
        <f>IF('Phytopl Count'!N252=0,"",'Phytopl Count'!N252*'Phytopl Count'!N$13/'Phytopl Count'!N$8)</f>
        <v/>
      </c>
      <c r="O255" s="31" t="str">
        <f>IF('Phytopl Count'!O252=0,"",'Phytopl Count'!O252*'Phytopl Count'!O$13/'Phytopl Count'!O$8)</f>
        <v/>
      </c>
      <c r="P255" s="31" t="str">
        <f>IF('Phytopl Count'!P252=0,"",'Phytopl Count'!P252*'Phytopl Count'!P$13/'Phytopl Count'!P$8)</f>
        <v/>
      </c>
      <c r="Q255" s="31" t="str">
        <f>IF('Phytopl Count'!Q252=0,"",'Phytopl Count'!Q252*'Phytopl Count'!Q$13/'Phytopl Count'!Q$8)</f>
        <v/>
      </c>
      <c r="R255" s="31" t="str">
        <f>IF('Phytopl Count'!R252=0,"",'Phytopl Count'!R252*'Phytopl Count'!R$13/'Phytopl Count'!R$8)</f>
        <v/>
      </c>
      <c r="S255" s="31" t="str">
        <f>IF('Phytopl Count'!S252=0,"",'Phytopl Count'!S252*'Phytopl Count'!S$13/'Phytopl Count'!S$8)</f>
        <v/>
      </c>
      <c r="T255" s="31" t="str">
        <f>IF('Phytopl Count'!T252=0,"",'Phytopl Count'!T252*'Phytopl Count'!T$13/'Phytopl Count'!T$8)</f>
        <v/>
      </c>
      <c r="U255" s="31" t="str">
        <f>IF('Phytopl Count'!U252=0,"",'Phytopl Count'!U252*'Phytopl Count'!U$13/'Phytopl Count'!U$8)</f>
        <v/>
      </c>
      <c r="V255" s="31" t="str">
        <f>IF('Phytopl Count'!V252=0,"",'Phytopl Count'!V252*'Phytopl Count'!V$13/'Phytopl Count'!V$8)</f>
        <v/>
      </c>
      <c r="W255" s="31" t="str">
        <f>IF('Phytopl Count'!W252=0,"",'Phytopl Count'!W252*'Phytopl Count'!W$13/'Phytopl Count'!W$8)</f>
        <v/>
      </c>
      <c r="X255" s="31" t="str">
        <f>IF('Phytopl Count'!X252=0,"",'Phytopl Count'!X252*'Phytopl Count'!X$13/'Phytopl Count'!X$8)</f>
        <v/>
      </c>
      <c r="Y255" s="31" t="str">
        <f>IF('Phytopl Count'!Y252=0,"",'Phytopl Count'!Y252*'Phytopl Count'!Y$13/'Phytopl Count'!Y$8)</f>
        <v/>
      </c>
      <c r="Z255" s="31" t="str">
        <f>IF('Phytopl Count'!Z252=0,"",'Phytopl Count'!Z252*'Phytopl Count'!Z$13/'Phytopl Count'!Z$8)</f>
        <v/>
      </c>
      <c r="AA255" s="31" t="str">
        <f>IF('Phytopl Count'!AA252=0,"",'Phytopl Count'!AA252*'Phytopl Count'!AA$13/'Phytopl Count'!AA$8)</f>
        <v/>
      </c>
      <c r="AB255" s="31" t="str">
        <f>IF('Phytopl Count'!AB252=0,"",'Phytopl Count'!AB252*'Phytopl Count'!AB$13/'Phytopl Count'!AB$8)</f>
        <v/>
      </c>
      <c r="AC255" s="31" t="str">
        <f>IF('Phytopl Count'!AC252=0,"",'Phytopl Count'!AC252*'Phytopl Count'!AC$13/'Phytopl Count'!AC$8)</f>
        <v/>
      </c>
      <c r="AD255" s="31" t="str">
        <f>IF('Phytopl Count'!AD252=0,"",'Phytopl Count'!AD252*'Phytopl Count'!AD$13/'Phytopl Count'!AD$8)</f>
        <v/>
      </c>
      <c r="AE255" s="31" t="str">
        <f>IF('Phytopl Count'!AE252=0,"",'Phytopl Count'!AE252*'Phytopl Count'!AE$13/'Phytopl Count'!AE$8)</f>
        <v/>
      </c>
      <c r="AF255" s="31" t="str">
        <f>IF('Phytopl Count'!AF252=0,"",'Phytopl Count'!AF252*'Phytopl Count'!AF$13/'Phytopl Count'!AF$8)</f>
        <v/>
      </c>
    </row>
    <row r="256" spans="1:32" ht="15" hidden="1" customHeight="1">
      <c r="A256" s="4"/>
      <c r="D256" s="10" t="s">
        <v>5</v>
      </c>
      <c r="E256" s="177" t="s">
        <v>409</v>
      </c>
      <c r="F256" s="11"/>
      <c r="G256" s="31" t="str">
        <f>IF('Phytopl Count'!G253=0,"",'Phytopl Count'!G253*'Phytopl Count'!G$13/'Phytopl Count'!G$8)</f>
        <v/>
      </c>
      <c r="H256" s="31" t="str">
        <f>IF('Phytopl Count'!H253=0,"",'Phytopl Count'!H253*'Phytopl Count'!H$13/'Phytopl Count'!H$8)</f>
        <v/>
      </c>
      <c r="I256" s="31" t="str">
        <f>IF('Phytopl Count'!I253=0,"",'Phytopl Count'!I253*'Phytopl Count'!I$13/'Phytopl Count'!I$8)</f>
        <v/>
      </c>
      <c r="J256" s="31" t="str">
        <f>IF('Phytopl Count'!J253=0,"",'Phytopl Count'!J253*'Phytopl Count'!J$13/'Phytopl Count'!J$8)</f>
        <v/>
      </c>
      <c r="K256" s="31" t="str">
        <f>IF('Phytopl Count'!K253=0,"",'Phytopl Count'!K253*'Phytopl Count'!K$13/'Phytopl Count'!K$8)</f>
        <v/>
      </c>
      <c r="L256" s="31" t="str">
        <f>IF('Phytopl Count'!L253=0,"",'Phytopl Count'!L253*'Phytopl Count'!L$13/'Phytopl Count'!L$8)</f>
        <v/>
      </c>
      <c r="M256" s="31" t="str">
        <f>IF('Phytopl Count'!M253=0,"",'Phytopl Count'!M253*'Phytopl Count'!M$13/'Phytopl Count'!M$8)</f>
        <v/>
      </c>
      <c r="N256" s="31" t="str">
        <f>IF('Phytopl Count'!N253=0,"",'Phytopl Count'!N253*'Phytopl Count'!N$13/'Phytopl Count'!N$8)</f>
        <v/>
      </c>
      <c r="O256" s="31" t="str">
        <f>IF('Phytopl Count'!O253=0,"",'Phytopl Count'!O253*'Phytopl Count'!O$13/'Phytopl Count'!O$8)</f>
        <v/>
      </c>
      <c r="P256" s="31" t="str">
        <f>IF('Phytopl Count'!P253=0,"",'Phytopl Count'!P253*'Phytopl Count'!P$13/'Phytopl Count'!P$8)</f>
        <v/>
      </c>
      <c r="Q256" s="31" t="str">
        <f>IF('Phytopl Count'!Q253=0,"",'Phytopl Count'!Q253*'Phytopl Count'!Q$13/'Phytopl Count'!Q$8)</f>
        <v/>
      </c>
      <c r="R256" s="31" t="str">
        <f>IF('Phytopl Count'!R253=0,"",'Phytopl Count'!R253*'Phytopl Count'!R$13/'Phytopl Count'!R$8)</f>
        <v/>
      </c>
      <c r="S256" s="31" t="str">
        <f>IF('Phytopl Count'!S253=0,"",'Phytopl Count'!S253*'Phytopl Count'!S$13/'Phytopl Count'!S$8)</f>
        <v/>
      </c>
      <c r="T256" s="31" t="str">
        <f>IF('Phytopl Count'!T253=0,"",'Phytopl Count'!T253*'Phytopl Count'!T$13/'Phytopl Count'!T$8)</f>
        <v/>
      </c>
      <c r="U256" s="31" t="str">
        <f>IF('Phytopl Count'!U253=0,"",'Phytopl Count'!U253*'Phytopl Count'!U$13/'Phytopl Count'!U$8)</f>
        <v/>
      </c>
      <c r="V256" s="31" t="str">
        <f>IF('Phytopl Count'!V253=0,"",'Phytopl Count'!V253*'Phytopl Count'!V$13/'Phytopl Count'!V$8)</f>
        <v/>
      </c>
      <c r="W256" s="31" t="str">
        <f>IF('Phytopl Count'!W253=0,"",'Phytopl Count'!W253*'Phytopl Count'!W$13/'Phytopl Count'!W$8)</f>
        <v/>
      </c>
      <c r="X256" s="31" t="str">
        <f>IF('Phytopl Count'!X253=0,"",'Phytopl Count'!X253*'Phytopl Count'!X$13/'Phytopl Count'!X$8)</f>
        <v/>
      </c>
      <c r="Y256" s="31" t="str">
        <f>IF('Phytopl Count'!Y253=0,"",'Phytopl Count'!Y253*'Phytopl Count'!Y$13/'Phytopl Count'!Y$8)</f>
        <v/>
      </c>
      <c r="Z256" s="31" t="str">
        <f>IF('Phytopl Count'!Z253=0,"",'Phytopl Count'!Z253*'Phytopl Count'!Z$13/'Phytopl Count'!Z$8)</f>
        <v/>
      </c>
      <c r="AA256" s="31" t="str">
        <f>IF('Phytopl Count'!AA253=0,"",'Phytopl Count'!AA253*'Phytopl Count'!AA$13/'Phytopl Count'!AA$8)</f>
        <v/>
      </c>
      <c r="AB256" s="31" t="str">
        <f>IF('Phytopl Count'!AB253=0,"",'Phytopl Count'!AB253*'Phytopl Count'!AB$13/'Phytopl Count'!AB$8)</f>
        <v/>
      </c>
      <c r="AC256" s="31" t="str">
        <f>IF('Phytopl Count'!AC253=0,"",'Phytopl Count'!AC253*'Phytopl Count'!AC$13/'Phytopl Count'!AC$8)</f>
        <v/>
      </c>
      <c r="AD256" s="31" t="str">
        <f>IF('Phytopl Count'!AD253=0,"",'Phytopl Count'!AD253*'Phytopl Count'!AD$13/'Phytopl Count'!AD$8)</f>
        <v/>
      </c>
      <c r="AE256" s="31" t="str">
        <f>IF('Phytopl Count'!AE253=0,"",'Phytopl Count'!AE253*'Phytopl Count'!AE$13/'Phytopl Count'!AE$8)</f>
        <v/>
      </c>
      <c r="AF256" s="31" t="str">
        <f>IF('Phytopl Count'!AF253=0,"",'Phytopl Count'!AF253*'Phytopl Count'!AF$13/'Phytopl Count'!AF$8)</f>
        <v/>
      </c>
    </row>
    <row r="257" spans="1:32" ht="15" hidden="1" customHeight="1">
      <c r="A257" s="4"/>
      <c r="E257" s="10" t="s">
        <v>6</v>
      </c>
      <c r="F257" s="11" t="s">
        <v>410</v>
      </c>
      <c r="G257" s="31" t="str">
        <f>IF('Phytopl Count'!G254=0,"",'Phytopl Count'!G254*'Phytopl Count'!G$13/'Phytopl Count'!G$8)</f>
        <v/>
      </c>
      <c r="H257" s="31" t="str">
        <f>IF('Phytopl Count'!H254=0,"",'Phytopl Count'!H254*'Phytopl Count'!H$13/'Phytopl Count'!H$8)</f>
        <v/>
      </c>
      <c r="I257" s="31" t="str">
        <f>IF('Phytopl Count'!I254=0,"",'Phytopl Count'!I254*'Phytopl Count'!I$13/'Phytopl Count'!I$8)</f>
        <v/>
      </c>
      <c r="J257" s="31" t="str">
        <f>IF('Phytopl Count'!J254=0,"",'Phytopl Count'!J254*'Phytopl Count'!J$13/'Phytopl Count'!J$8)</f>
        <v/>
      </c>
      <c r="K257" s="31" t="str">
        <f>IF('Phytopl Count'!K254=0,"",'Phytopl Count'!K254*'Phytopl Count'!K$13/'Phytopl Count'!K$8)</f>
        <v/>
      </c>
      <c r="L257" s="31" t="str">
        <f>IF('Phytopl Count'!L254=0,"",'Phytopl Count'!L254*'Phytopl Count'!L$13/'Phytopl Count'!L$8)</f>
        <v/>
      </c>
      <c r="M257" s="31" t="str">
        <f>IF('Phytopl Count'!M254=0,"",'Phytopl Count'!M254*'Phytopl Count'!M$13/'Phytopl Count'!M$8)</f>
        <v/>
      </c>
      <c r="N257" s="31" t="str">
        <f>IF('Phytopl Count'!N254=0,"",'Phytopl Count'!N254*'Phytopl Count'!N$13/'Phytopl Count'!N$8)</f>
        <v/>
      </c>
      <c r="O257" s="31" t="str">
        <f>IF('Phytopl Count'!O254=0,"",'Phytopl Count'!O254*'Phytopl Count'!O$13/'Phytopl Count'!O$8)</f>
        <v/>
      </c>
      <c r="P257" s="31" t="str">
        <f>IF('Phytopl Count'!P254=0,"",'Phytopl Count'!P254*'Phytopl Count'!P$13/'Phytopl Count'!P$8)</f>
        <v/>
      </c>
      <c r="Q257" s="31" t="str">
        <f>IF('Phytopl Count'!Q254=0,"",'Phytopl Count'!Q254*'Phytopl Count'!Q$13/'Phytopl Count'!Q$8)</f>
        <v/>
      </c>
      <c r="R257" s="31" t="str">
        <f>IF('Phytopl Count'!R254=0,"",'Phytopl Count'!R254*'Phytopl Count'!R$13/'Phytopl Count'!R$8)</f>
        <v/>
      </c>
      <c r="S257" s="31" t="str">
        <f>IF('Phytopl Count'!S254=0,"",'Phytopl Count'!S254*'Phytopl Count'!S$13/'Phytopl Count'!S$8)</f>
        <v/>
      </c>
      <c r="T257" s="31" t="str">
        <f>IF('Phytopl Count'!T254=0,"",'Phytopl Count'!T254*'Phytopl Count'!T$13/'Phytopl Count'!T$8)</f>
        <v/>
      </c>
      <c r="U257" s="31" t="str">
        <f>IF('Phytopl Count'!U254=0,"",'Phytopl Count'!U254*'Phytopl Count'!U$13/'Phytopl Count'!U$8)</f>
        <v/>
      </c>
      <c r="V257" s="31" t="str">
        <f>IF('Phytopl Count'!V254=0,"",'Phytopl Count'!V254*'Phytopl Count'!V$13/'Phytopl Count'!V$8)</f>
        <v/>
      </c>
      <c r="W257" s="31" t="str">
        <f>IF('Phytopl Count'!W254=0,"",'Phytopl Count'!W254*'Phytopl Count'!W$13/'Phytopl Count'!W$8)</f>
        <v/>
      </c>
      <c r="X257" s="31" t="str">
        <f>IF('Phytopl Count'!X254=0,"",'Phytopl Count'!X254*'Phytopl Count'!X$13/'Phytopl Count'!X$8)</f>
        <v/>
      </c>
      <c r="Y257" s="31" t="str">
        <f>IF('Phytopl Count'!Y254=0,"",'Phytopl Count'!Y254*'Phytopl Count'!Y$13/'Phytopl Count'!Y$8)</f>
        <v/>
      </c>
      <c r="Z257" s="31" t="str">
        <f>IF('Phytopl Count'!Z254=0,"",'Phytopl Count'!Z254*'Phytopl Count'!Z$13/'Phytopl Count'!Z$8)</f>
        <v/>
      </c>
      <c r="AA257" s="31" t="str">
        <f>IF('Phytopl Count'!AA254=0,"",'Phytopl Count'!AA254*'Phytopl Count'!AA$13/'Phytopl Count'!AA$8)</f>
        <v/>
      </c>
      <c r="AB257" s="31" t="str">
        <f>IF('Phytopl Count'!AB254=0,"",'Phytopl Count'!AB254*'Phytopl Count'!AB$13/'Phytopl Count'!AB$8)</f>
        <v/>
      </c>
      <c r="AC257" s="31" t="str">
        <f>IF('Phytopl Count'!AC254=0,"",'Phytopl Count'!AC254*'Phytopl Count'!AC$13/'Phytopl Count'!AC$8)</f>
        <v/>
      </c>
      <c r="AD257" s="31" t="str">
        <f>IF('Phytopl Count'!AD254=0,"",'Phytopl Count'!AD254*'Phytopl Count'!AD$13/'Phytopl Count'!AD$8)</f>
        <v/>
      </c>
      <c r="AE257" s="31" t="str">
        <f>IF('Phytopl Count'!AE254=0,"",'Phytopl Count'!AE254*'Phytopl Count'!AE$13/'Phytopl Count'!AE$8)</f>
        <v/>
      </c>
      <c r="AF257" s="31" t="str">
        <f>IF('Phytopl Count'!AF254=0,"",'Phytopl Count'!AF254*'Phytopl Count'!AF$13/'Phytopl Count'!AF$8)</f>
        <v/>
      </c>
    </row>
    <row r="258" spans="1:32" ht="15" customHeight="1">
      <c r="A258" s="16"/>
      <c r="B258" s="16"/>
      <c r="C258" s="16" t="s">
        <v>73</v>
      </c>
      <c r="D258" s="4" t="s">
        <v>74</v>
      </c>
      <c r="E258" s="4"/>
      <c r="F258" s="59"/>
      <c r="G258" s="31" t="str">
        <f>IF('Phytopl Count'!G258=0,"",'Phytopl Count'!G258*'Phytopl Count'!G$13/'Phytopl Count'!G$8)</f>
        <v/>
      </c>
      <c r="H258" s="31" t="str">
        <f>IF('Phytopl Count'!H258=0,"",'Phytopl Count'!H258*'Phytopl Count'!H$13/'Phytopl Count'!H$8)</f>
        <v/>
      </c>
      <c r="I258" s="31" t="str">
        <f>IF('Phytopl Count'!I258=0,"",'Phytopl Count'!I258*'Phytopl Count'!I$13/'Phytopl Count'!I$8)</f>
        <v/>
      </c>
      <c r="J258" s="31" t="str">
        <f>IF('Phytopl Count'!J258=0,"",'Phytopl Count'!J258*'Phytopl Count'!J$13/'Phytopl Count'!J$8)</f>
        <v/>
      </c>
      <c r="K258" s="31" t="str">
        <f>IF('Phytopl Count'!K258=0,"",'Phytopl Count'!K258*'Phytopl Count'!K$13/'Phytopl Count'!K$8)</f>
        <v/>
      </c>
      <c r="L258" s="31" t="str">
        <f>IF('Phytopl Count'!L258=0,"",'Phytopl Count'!L258*'Phytopl Count'!L$13/'Phytopl Count'!L$8)</f>
        <v/>
      </c>
      <c r="M258" s="31" t="str">
        <f>IF('Phytopl Count'!M258=0,"",'Phytopl Count'!M258*'Phytopl Count'!M$13/'Phytopl Count'!M$8)</f>
        <v/>
      </c>
      <c r="N258" s="31" t="str">
        <f>IF('Phytopl Count'!N258=0,"",'Phytopl Count'!N258*'Phytopl Count'!N$13/'Phytopl Count'!N$8)</f>
        <v/>
      </c>
      <c r="O258" s="31" t="str">
        <f>IF('Phytopl Count'!O258=0,"",'Phytopl Count'!O258*'Phytopl Count'!O$13/'Phytopl Count'!O$8)</f>
        <v/>
      </c>
      <c r="P258" s="31" t="str">
        <f>IF('Phytopl Count'!P258=0,"",'Phytopl Count'!P258*'Phytopl Count'!P$13/'Phytopl Count'!P$8)</f>
        <v/>
      </c>
      <c r="Q258" s="31" t="str">
        <f>IF('Phytopl Count'!Q258=0,"",'Phytopl Count'!Q258*'Phytopl Count'!Q$13/'Phytopl Count'!Q$8)</f>
        <v/>
      </c>
      <c r="R258" s="31" t="str">
        <f>IF('Phytopl Count'!R258=0,"",'Phytopl Count'!R258*'Phytopl Count'!R$13/'Phytopl Count'!R$8)</f>
        <v/>
      </c>
      <c r="S258" s="31" t="str">
        <f>IF('Phytopl Count'!S258=0,"",'Phytopl Count'!S258*'Phytopl Count'!S$13/'Phytopl Count'!S$8)</f>
        <v/>
      </c>
      <c r="T258" s="31" t="str">
        <f>IF('Phytopl Count'!T258=0,"",'Phytopl Count'!T258*'Phytopl Count'!T$13/'Phytopl Count'!T$8)</f>
        <v/>
      </c>
      <c r="U258" s="31" t="str">
        <f>IF('Phytopl Count'!U258=0,"",'Phytopl Count'!U258*'Phytopl Count'!U$13/'Phytopl Count'!U$8)</f>
        <v/>
      </c>
      <c r="V258" s="31" t="str">
        <f>IF('Phytopl Count'!V258=0,"",'Phytopl Count'!V258*'Phytopl Count'!V$13/'Phytopl Count'!V$8)</f>
        <v/>
      </c>
      <c r="W258" s="31" t="str">
        <f>IF('Phytopl Count'!W258=0,"",'Phytopl Count'!W258*'Phytopl Count'!W$13/'Phytopl Count'!W$8)</f>
        <v/>
      </c>
      <c r="X258" s="31" t="str">
        <f>IF('Phytopl Count'!X258=0,"",'Phytopl Count'!X258*'Phytopl Count'!X$13/'Phytopl Count'!X$8)</f>
        <v/>
      </c>
      <c r="Y258" s="31" t="str">
        <f>IF('Phytopl Count'!Y258=0,"",'Phytopl Count'!Y258*'Phytopl Count'!Y$13/'Phytopl Count'!Y$8)</f>
        <v/>
      </c>
      <c r="Z258" s="31" t="str">
        <f>IF('Phytopl Count'!Z258=0,"",'Phytopl Count'!Z258*'Phytopl Count'!Z$13/'Phytopl Count'!Z$8)</f>
        <v/>
      </c>
      <c r="AA258" s="31" t="str">
        <f>IF('Phytopl Count'!AA258=0,"",'Phytopl Count'!AA258*'Phytopl Count'!AA$13/'Phytopl Count'!AA$8)</f>
        <v/>
      </c>
      <c r="AB258" s="31" t="str">
        <f>IF('Phytopl Count'!AB258=0,"",'Phytopl Count'!AB258*'Phytopl Count'!AB$13/'Phytopl Count'!AB$8)</f>
        <v/>
      </c>
      <c r="AC258" s="31" t="str">
        <f>IF('Phytopl Count'!AC258=0,"",'Phytopl Count'!AC258*'Phytopl Count'!AC$13/'Phytopl Count'!AC$8)</f>
        <v/>
      </c>
      <c r="AD258" s="31" t="str">
        <f>IF('Phytopl Count'!AD258=0,"",'Phytopl Count'!AD258*'Phytopl Count'!AD$13/'Phytopl Count'!AD$8)</f>
        <v/>
      </c>
      <c r="AE258" s="31" t="str">
        <f>IF('Phytopl Count'!AE258=0,"",'Phytopl Count'!AE258*'Phytopl Count'!AE$13/'Phytopl Count'!AE$8)</f>
        <v/>
      </c>
      <c r="AF258" s="31" t="str">
        <f>IF('Phytopl Count'!AF258=0,"",'Phytopl Count'!AF258*'Phytopl Count'!AF$13/'Phytopl Count'!AF$8)</f>
        <v/>
      </c>
    </row>
    <row r="259" spans="1:32" ht="15" customHeight="1">
      <c r="A259" s="10"/>
      <c r="B259" s="10"/>
      <c r="C259" s="10"/>
      <c r="D259" s="10" t="s">
        <v>5</v>
      </c>
      <c r="E259" s="5" t="s">
        <v>75</v>
      </c>
      <c r="F259" s="9"/>
      <c r="G259" s="31" t="str">
        <f>IF('Phytopl Count'!G259=0,"",'Phytopl Count'!G259*'Phytopl Count'!G$13/'Phytopl Count'!G$8)</f>
        <v/>
      </c>
      <c r="H259" s="31" t="str">
        <f>IF('Phytopl Count'!H259=0,"",'Phytopl Count'!H259*'Phytopl Count'!H$13/'Phytopl Count'!H$8)</f>
        <v/>
      </c>
      <c r="I259" s="31" t="str">
        <f>IF('Phytopl Count'!I259=0,"",'Phytopl Count'!I259*'Phytopl Count'!I$13/'Phytopl Count'!I$8)</f>
        <v/>
      </c>
      <c r="J259" s="31" t="str">
        <f>IF('Phytopl Count'!J259=0,"",'Phytopl Count'!J259*'Phytopl Count'!J$13/'Phytopl Count'!J$8)</f>
        <v/>
      </c>
      <c r="K259" s="31" t="str">
        <f>IF('Phytopl Count'!K259=0,"",'Phytopl Count'!K259*'Phytopl Count'!K$13/'Phytopl Count'!K$8)</f>
        <v/>
      </c>
      <c r="L259" s="31" t="str">
        <f>IF('Phytopl Count'!L259=0,"",'Phytopl Count'!L259*'Phytopl Count'!L$13/'Phytopl Count'!L$8)</f>
        <v/>
      </c>
      <c r="M259" s="31" t="str">
        <f>IF('Phytopl Count'!M259=0,"",'Phytopl Count'!M259*'Phytopl Count'!M$13/'Phytopl Count'!M$8)</f>
        <v/>
      </c>
      <c r="N259" s="31" t="str">
        <f>IF('Phytopl Count'!N259=0,"",'Phytopl Count'!N259*'Phytopl Count'!N$13/'Phytopl Count'!N$8)</f>
        <v/>
      </c>
      <c r="O259" s="31" t="str">
        <f>IF('Phytopl Count'!O259=0,"",'Phytopl Count'!O259*'Phytopl Count'!O$13/'Phytopl Count'!O$8)</f>
        <v/>
      </c>
      <c r="P259" s="31" t="str">
        <f>IF('Phytopl Count'!P259=0,"",'Phytopl Count'!P259*'Phytopl Count'!P$13/'Phytopl Count'!P$8)</f>
        <v/>
      </c>
      <c r="Q259" s="31" t="str">
        <f>IF('Phytopl Count'!Q259=0,"",'Phytopl Count'!Q259*'Phytopl Count'!Q$13/'Phytopl Count'!Q$8)</f>
        <v/>
      </c>
      <c r="R259" s="31" t="str">
        <f>IF('Phytopl Count'!R259=0,"",'Phytopl Count'!R259*'Phytopl Count'!R$13/'Phytopl Count'!R$8)</f>
        <v/>
      </c>
      <c r="S259" s="31" t="str">
        <f>IF('Phytopl Count'!S259=0,"",'Phytopl Count'!S259*'Phytopl Count'!S$13/'Phytopl Count'!S$8)</f>
        <v/>
      </c>
      <c r="T259" s="31" t="str">
        <f>IF('Phytopl Count'!T259=0,"",'Phytopl Count'!T259*'Phytopl Count'!T$13/'Phytopl Count'!T$8)</f>
        <v/>
      </c>
      <c r="U259" s="31" t="str">
        <f>IF('Phytopl Count'!U259=0,"",'Phytopl Count'!U259*'Phytopl Count'!U$13/'Phytopl Count'!U$8)</f>
        <v/>
      </c>
      <c r="V259" s="31" t="str">
        <f>IF('Phytopl Count'!V259=0,"",'Phytopl Count'!V259*'Phytopl Count'!V$13/'Phytopl Count'!V$8)</f>
        <v/>
      </c>
      <c r="W259" s="31" t="str">
        <f>IF('Phytopl Count'!W259=0,"",'Phytopl Count'!W259*'Phytopl Count'!W$13/'Phytopl Count'!W$8)</f>
        <v/>
      </c>
      <c r="X259" s="31" t="str">
        <f>IF('Phytopl Count'!X259=0,"",'Phytopl Count'!X259*'Phytopl Count'!X$13/'Phytopl Count'!X$8)</f>
        <v/>
      </c>
      <c r="Y259" s="31" t="str">
        <f>IF('Phytopl Count'!Y259=0,"",'Phytopl Count'!Y259*'Phytopl Count'!Y$13/'Phytopl Count'!Y$8)</f>
        <v/>
      </c>
      <c r="Z259" s="31" t="str">
        <f>IF('Phytopl Count'!Z259=0,"",'Phytopl Count'!Z259*'Phytopl Count'!Z$13/'Phytopl Count'!Z$8)</f>
        <v/>
      </c>
      <c r="AA259" s="31" t="str">
        <f>IF('Phytopl Count'!AA259=0,"",'Phytopl Count'!AA259*'Phytopl Count'!AA$13/'Phytopl Count'!AA$8)</f>
        <v/>
      </c>
      <c r="AB259" s="31" t="str">
        <f>IF('Phytopl Count'!AB259=0,"",'Phytopl Count'!AB259*'Phytopl Count'!AB$13/'Phytopl Count'!AB$8)</f>
        <v/>
      </c>
      <c r="AC259" s="31" t="str">
        <f>IF('Phytopl Count'!AC259=0,"",'Phytopl Count'!AC259*'Phytopl Count'!AC$13/'Phytopl Count'!AC$8)</f>
        <v/>
      </c>
      <c r="AD259" s="31" t="str">
        <f>IF('Phytopl Count'!AD259=0,"",'Phytopl Count'!AD259*'Phytopl Count'!AD$13/'Phytopl Count'!AD$8)</f>
        <v/>
      </c>
      <c r="AE259" s="31" t="str">
        <f>IF('Phytopl Count'!AE259=0,"",'Phytopl Count'!AE259*'Phytopl Count'!AE$13/'Phytopl Count'!AE$8)</f>
        <v/>
      </c>
      <c r="AF259" s="31" t="str">
        <f>IF('Phytopl Count'!AF259=0,"",'Phytopl Count'!AF259*'Phytopl Count'!AF$13/'Phytopl Count'!AF$8)</f>
        <v/>
      </c>
    </row>
    <row r="260" spans="1:32" ht="15" customHeight="1">
      <c r="E260" s="10" t="s">
        <v>6</v>
      </c>
      <c r="F260" s="11" t="s">
        <v>11</v>
      </c>
      <c r="G260" s="31" t="str">
        <f>IF('Phytopl Count'!G260=0,"",'Phytopl Count'!G260*'Phytopl Count'!G$13/'Phytopl Count'!G$8)</f>
        <v/>
      </c>
      <c r="H260" s="31" t="str">
        <f>IF('Phytopl Count'!H260=0,"",'Phytopl Count'!H260*'Phytopl Count'!H$13/'Phytopl Count'!H$8)</f>
        <v/>
      </c>
      <c r="I260" s="31">
        <f>IF('Phytopl Count'!I260=0,"",'Phytopl Count'!I260*'Phytopl Count'!I$13/'Phytopl Count'!I$8)</f>
        <v>0.22421828460745002</v>
      </c>
      <c r="J260" s="31">
        <f>IF('Phytopl Count'!J260=0,"",'Phytopl Count'!J260*'Phytopl Count'!J$13/'Phytopl Count'!J$8)</f>
        <v>4.0038979394187504E-2</v>
      </c>
      <c r="K260" s="31">
        <f>IF('Phytopl Count'!K260=0,"",'Phytopl Count'!K260*'Phytopl Count'!K$13/'Phytopl Count'!K$8)</f>
        <v>0.28828065163815003</v>
      </c>
      <c r="L260" s="31">
        <f>IF('Phytopl Count'!L260=0,"",'Phytopl Count'!L260*'Phytopl Count'!L$13/'Phytopl Count'!L$8)</f>
        <v>0.14414032581907502</v>
      </c>
      <c r="M260" s="31" t="str">
        <f>IF('Phytopl Count'!M260=0,"",'Phytopl Count'!M260*'Phytopl Count'!M$13/'Phytopl Count'!M$8)</f>
        <v/>
      </c>
      <c r="N260" s="31">
        <f>IF('Phytopl Count'!N260=0,"",'Phytopl Count'!N260*'Phytopl Count'!N$13/'Phytopl Count'!N$8)</f>
        <v>4.8046775273025012E-2</v>
      </c>
      <c r="O260" s="31" t="str">
        <f>IF('Phytopl Count'!O260=0,"",'Phytopl Count'!O260*'Phytopl Count'!O$13/'Phytopl Count'!O$8)</f>
        <v/>
      </c>
      <c r="P260" s="31">
        <f>IF('Phytopl Count'!P260=0,"",'Phytopl Count'!P260*'Phytopl Count'!P$13/'Phytopl Count'!P$8)</f>
        <v>3.2031183515350004E-2</v>
      </c>
      <c r="Q260" s="31">
        <f>IF('Phytopl Count'!Q260=0,"",'Phytopl Count'!Q260*'Phytopl Count'!Q$13/'Phytopl Count'!Q$8)</f>
        <v>0.16015591757675002</v>
      </c>
      <c r="R260" s="31">
        <f>IF('Phytopl Count'!R260=0,"",'Phytopl Count'!R260*'Phytopl Count'!R$13/'Phytopl Count'!R$8)</f>
        <v>3.2031183515350004E-2</v>
      </c>
      <c r="S260" s="31">
        <f>IF('Phytopl Count'!S260=0,"",'Phytopl Count'!S260*'Phytopl Count'!S$13/'Phytopl Count'!S$8)</f>
        <v>4.8046775273025012E-2</v>
      </c>
      <c r="T260" s="31">
        <f>IF('Phytopl Count'!T260=0,"",'Phytopl Count'!T260*'Phytopl Count'!T$13/'Phytopl Count'!T$8)</f>
        <v>9.6093550546050024E-2</v>
      </c>
      <c r="U260" s="31" t="str">
        <f>IF('Phytopl Count'!U260=0,"",'Phytopl Count'!U260*'Phytopl Count'!U$13/'Phytopl Count'!U$8)</f>
        <v/>
      </c>
      <c r="V260" s="31" t="str">
        <f>IF('Phytopl Count'!V260=0,"",'Phytopl Count'!V260*'Phytopl Count'!V$13/'Phytopl Count'!V$8)</f>
        <v/>
      </c>
      <c r="W260" s="31" t="str">
        <f>IF('Phytopl Count'!W260=0,"",'Phytopl Count'!W260*'Phytopl Count'!W$13/'Phytopl Count'!W$8)</f>
        <v/>
      </c>
      <c r="X260" s="31">
        <f>IF('Phytopl Count'!X260=0,"",'Phytopl Count'!X260*'Phytopl Count'!X$13/'Phytopl Count'!X$8)</f>
        <v>3.2031183515350004E-2</v>
      </c>
      <c r="Y260" s="31" t="str">
        <f>IF('Phytopl Count'!Y260=0,"",'Phytopl Count'!Y260*'Phytopl Count'!Y$13/'Phytopl Count'!Y$8)</f>
        <v/>
      </c>
      <c r="Z260" s="31">
        <f>IF('Phytopl Count'!Z260=0,"",'Phytopl Count'!Z260*'Phytopl Count'!Z$13/'Phytopl Count'!Z$8)</f>
        <v>0.10410134642488751</v>
      </c>
      <c r="AA260" s="31" t="str">
        <f>IF('Phytopl Count'!AA260=0,"",'Phytopl Count'!AA260*'Phytopl Count'!AA$13/'Phytopl Count'!AA$8)</f>
        <v/>
      </c>
      <c r="AB260" s="31">
        <f>IF('Phytopl Count'!AB260=0,"",'Phytopl Count'!AB260*'Phytopl Count'!AB$13/'Phytopl Count'!AB$8)</f>
        <v>4.0038979394187504E-2</v>
      </c>
      <c r="AC260" s="31" t="str">
        <f>IF('Phytopl Count'!AC260=0,"",'Phytopl Count'!AC260*'Phytopl Count'!AC$13/'Phytopl Count'!AC$8)</f>
        <v/>
      </c>
      <c r="AD260" s="31">
        <f>IF('Phytopl Count'!AD260=0,"",'Phytopl Count'!AD260*'Phytopl Count'!AD$13/'Phytopl Count'!AD$8)</f>
        <v>0.12812473406140001</v>
      </c>
      <c r="AE260" s="31" t="str">
        <f>IF('Phytopl Count'!AE260=0,"",'Phytopl Count'!AE260*'Phytopl Count'!AE$13/'Phytopl Count'!AE$8)</f>
        <v/>
      </c>
      <c r="AF260" s="31" t="str">
        <f>IF('Phytopl Count'!AF260=0,"",'Phytopl Count'!AF260*'Phytopl Count'!AF$13/'Phytopl Count'!AF$8)</f>
        <v/>
      </c>
    </row>
    <row r="261" spans="1:32" ht="15" hidden="1" customHeight="1">
      <c r="E261" s="10"/>
      <c r="F261" s="11" t="s">
        <v>315</v>
      </c>
      <c r="G261" s="31" t="str">
        <f>IF('Phytopl Count'!G261=0,"",'Phytopl Count'!G261*'Phytopl Count'!G$13/'Phytopl Count'!G$8)</f>
        <v/>
      </c>
      <c r="H261" s="31" t="str">
        <f>IF('Phytopl Count'!H261=0,"",'Phytopl Count'!H261*'Phytopl Count'!H$13/'Phytopl Count'!H$8)</f>
        <v/>
      </c>
      <c r="I261" s="31" t="str">
        <f>IF('Phytopl Count'!I261=0,"",'Phytopl Count'!I261*'Phytopl Count'!I$13/'Phytopl Count'!I$8)</f>
        <v/>
      </c>
      <c r="J261" s="31" t="str">
        <f>IF('Phytopl Count'!J261=0,"",'Phytopl Count'!J261*'Phytopl Count'!J$13/'Phytopl Count'!J$8)</f>
        <v/>
      </c>
      <c r="K261" s="31" t="str">
        <f>IF('Phytopl Count'!K261=0,"",'Phytopl Count'!K261*'Phytopl Count'!K$13/'Phytopl Count'!K$8)</f>
        <v/>
      </c>
      <c r="L261" s="31" t="str">
        <f>IF('Phytopl Count'!L261=0,"",'Phytopl Count'!L261*'Phytopl Count'!L$13/'Phytopl Count'!L$8)</f>
        <v/>
      </c>
      <c r="M261" s="31" t="str">
        <f>IF('Phytopl Count'!M261=0,"",'Phytopl Count'!M261*'Phytopl Count'!M$13/'Phytopl Count'!M$8)</f>
        <v/>
      </c>
      <c r="N261" s="31" t="str">
        <f>IF('Phytopl Count'!N261=0,"",'Phytopl Count'!N261*'Phytopl Count'!N$13/'Phytopl Count'!N$8)</f>
        <v/>
      </c>
      <c r="O261" s="31" t="str">
        <f>IF('Phytopl Count'!O261=0,"",'Phytopl Count'!O261*'Phytopl Count'!O$13/'Phytopl Count'!O$8)</f>
        <v/>
      </c>
      <c r="P261" s="31" t="str">
        <f>IF('Phytopl Count'!P261=0,"",'Phytopl Count'!P261*'Phytopl Count'!P$13/'Phytopl Count'!P$8)</f>
        <v/>
      </c>
      <c r="Q261" s="31" t="str">
        <f>IF('Phytopl Count'!Q261=0,"",'Phytopl Count'!Q261*'Phytopl Count'!Q$13/'Phytopl Count'!Q$8)</f>
        <v/>
      </c>
      <c r="R261" s="31" t="str">
        <f>IF('Phytopl Count'!R261=0,"",'Phytopl Count'!R261*'Phytopl Count'!R$13/'Phytopl Count'!R$8)</f>
        <v/>
      </c>
      <c r="S261" s="31" t="str">
        <f>IF('Phytopl Count'!S261=0,"",'Phytopl Count'!S261*'Phytopl Count'!S$13/'Phytopl Count'!S$8)</f>
        <v/>
      </c>
      <c r="T261" s="31" t="str">
        <f>IF('Phytopl Count'!T261=0,"",'Phytopl Count'!T261*'Phytopl Count'!T$13/'Phytopl Count'!T$8)</f>
        <v/>
      </c>
      <c r="U261" s="31" t="str">
        <f>IF('Phytopl Count'!U261=0,"",'Phytopl Count'!U261*'Phytopl Count'!U$13/'Phytopl Count'!U$8)</f>
        <v/>
      </c>
      <c r="V261" s="31" t="str">
        <f>IF('Phytopl Count'!V261=0,"",'Phytopl Count'!V261*'Phytopl Count'!V$13/'Phytopl Count'!V$8)</f>
        <v/>
      </c>
      <c r="W261" s="31" t="str">
        <f>IF('Phytopl Count'!W261=0,"",'Phytopl Count'!W261*'Phytopl Count'!W$13/'Phytopl Count'!W$8)</f>
        <v/>
      </c>
      <c r="X261" s="31" t="str">
        <f>IF('Phytopl Count'!X261=0,"",'Phytopl Count'!X261*'Phytopl Count'!X$13/'Phytopl Count'!X$8)</f>
        <v/>
      </c>
      <c r="Y261" s="31" t="str">
        <f>IF('Phytopl Count'!Y261=0,"",'Phytopl Count'!Y261*'Phytopl Count'!Y$13/'Phytopl Count'!Y$8)</f>
        <v/>
      </c>
      <c r="Z261" s="31" t="str">
        <f>IF('Phytopl Count'!Z261=0,"",'Phytopl Count'!Z261*'Phytopl Count'!Z$13/'Phytopl Count'!Z$8)</f>
        <v/>
      </c>
      <c r="AA261" s="31" t="str">
        <f>IF('Phytopl Count'!AA261=0,"",'Phytopl Count'!AA261*'Phytopl Count'!AA$13/'Phytopl Count'!AA$8)</f>
        <v/>
      </c>
      <c r="AB261" s="31" t="str">
        <f>IF('Phytopl Count'!AB261=0,"",'Phytopl Count'!AB261*'Phytopl Count'!AB$13/'Phytopl Count'!AB$8)</f>
        <v/>
      </c>
      <c r="AC261" s="31" t="str">
        <f>IF('Phytopl Count'!AC261=0,"",'Phytopl Count'!AC261*'Phytopl Count'!AC$13/'Phytopl Count'!AC$8)</f>
        <v/>
      </c>
      <c r="AD261" s="31" t="str">
        <f>IF('Phytopl Count'!AD261=0,"",'Phytopl Count'!AD261*'Phytopl Count'!AD$13/'Phytopl Count'!AD$8)</f>
        <v/>
      </c>
      <c r="AE261" s="31" t="str">
        <f>IF('Phytopl Count'!AE261=0,"",'Phytopl Count'!AE261*'Phytopl Count'!AE$13/'Phytopl Count'!AE$8)</f>
        <v/>
      </c>
      <c r="AF261" s="31" t="str">
        <f>IF('Phytopl Count'!AF261=0,"",'Phytopl Count'!AF261*'Phytopl Count'!AF$13/'Phytopl Count'!AF$8)</f>
        <v/>
      </c>
    </row>
    <row r="262" spans="1:32" ht="15" customHeight="1">
      <c r="A262" s="10"/>
      <c r="B262" s="10"/>
      <c r="C262" s="10"/>
      <c r="D262" s="10" t="s">
        <v>5</v>
      </c>
      <c r="E262" s="5" t="s">
        <v>156</v>
      </c>
      <c r="F262" s="9"/>
      <c r="G262" s="31" t="str">
        <f>IF('Phytopl Count'!G262=0,"",'Phytopl Count'!G262*'Phytopl Count'!G$13/'Phytopl Count'!G$8)</f>
        <v/>
      </c>
      <c r="H262" s="31" t="str">
        <f>IF('Phytopl Count'!H262=0,"",'Phytopl Count'!H262*'Phytopl Count'!H$13/'Phytopl Count'!H$8)</f>
        <v/>
      </c>
      <c r="I262" s="31" t="str">
        <f>IF('Phytopl Count'!I262=0,"",'Phytopl Count'!I262*'Phytopl Count'!I$13/'Phytopl Count'!I$8)</f>
        <v/>
      </c>
      <c r="J262" s="31" t="str">
        <f>IF('Phytopl Count'!J262=0,"",'Phytopl Count'!J262*'Phytopl Count'!J$13/'Phytopl Count'!J$8)</f>
        <v/>
      </c>
      <c r="K262" s="31" t="str">
        <f>IF('Phytopl Count'!K262=0,"",'Phytopl Count'!K262*'Phytopl Count'!K$13/'Phytopl Count'!K$8)</f>
        <v/>
      </c>
      <c r="L262" s="31" t="str">
        <f>IF('Phytopl Count'!L262=0,"",'Phytopl Count'!L262*'Phytopl Count'!L$13/'Phytopl Count'!L$8)</f>
        <v/>
      </c>
      <c r="M262" s="31" t="str">
        <f>IF('Phytopl Count'!M262=0,"",'Phytopl Count'!M262*'Phytopl Count'!M$13/'Phytopl Count'!M$8)</f>
        <v/>
      </c>
      <c r="N262" s="31" t="str">
        <f>IF('Phytopl Count'!N262=0,"",'Phytopl Count'!N262*'Phytopl Count'!N$13/'Phytopl Count'!N$8)</f>
        <v/>
      </c>
      <c r="O262" s="31" t="str">
        <f>IF('Phytopl Count'!O262=0,"",'Phytopl Count'!O262*'Phytopl Count'!O$13/'Phytopl Count'!O$8)</f>
        <v/>
      </c>
      <c r="P262" s="31" t="str">
        <f>IF('Phytopl Count'!P262=0,"",'Phytopl Count'!P262*'Phytopl Count'!P$13/'Phytopl Count'!P$8)</f>
        <v/>
      </c>
      <c r="Q262" s="31" t="str">
        <f>IF('Phytopl Count'!Q262=0,"",'Phytopl Count'!Q262*'Phytopl Count'!Q$13/'Phytopl Count'!Q$8)</f>
        <v/>
      </c>
      <c r="R262" s="31" t="str">
        <f>IF('Phytopl Count'!R262=0,"",'Phytopl Count'!R262*'Phytopl Count'!R$13/'Phytopl Count'!R$8)</f>
        <v/>
      </c>
      <c r="S262" s="31" t="str">
        <f>IF('Phytopl Count'!S262=0,"",'Phytopl Count'!S262*'Phytopl Count'!S$13/'Phytopl Count'!S$8)</f>
        <v/>
      </c>
      <c r="T262" s="31" t="str">
        <f>IF('Phytopl Count'!T262=0,"",'Phytopl Count'!T262*'Phytopl Count'!T$13/'Phytopl Count'!T$8)</f>
        <v/>
      </c>
      <c r="U262" s="31" t="str">
        <f>IF('Phytopl Count'!U262=0,"",'Phytopl Count'!U262*'Phytopl Count'!U$13/'Phytopl Count'!U$8)</f>
        <v/>
      </c>
      <c r="V262" s="31" t="str">
        <f>IF('Phytopl Count'!V262=0,"",'Phytopl Count'!V262*'Phytopl Count'!V$13/'Phytopl Count'!V$8)</f>
        <v/>
      </c>
      <c r="W262" s="31" t="str">
        <f>IF('Phytopl Count'!W262=0,"",'Phytopl Count'!W262*'Phytopl Count'!W$13/'Phytopl Count'!W$8)</f>
        <v/>
      </c>
      <c r="X262" s="31" t="str">
        <f>IF('Phytopl Count'!X262=0,"",'Phytopl Count'!X262*'Phytopl Count'!X$13/'Phytopl Count'!X$8)</f>
        <v/>
      </c>
      <c r="Y262" s="31" t="str">
        <f>IF('Phytopl Count'!Y262=0,"",'Phytopl Count'!Y262*'Phytopl Count'!Y$13/'Phytopl Count'!Y$8)</f>
        <v/>
      </c>
      <c r="Z262" s="31" t="str">
        <f>IF('Phytopl Count'!Z262=0,"",'Phytopl Count'!Z262*'Phytopl Count'!Z$13/'Phytopl Count'!Z$8)</f>
        <v/>
      </c>
      <c r="AA262" s="31" t="str">
        <f>IF('Phytopl Count'!AA262=0,"",'Phytopl Count'!AA262*'Phytopl Count'!AA$13/'Phytopl Count'!AA$8)</f>
        <v/>
      </c>
      <c r="AB262" s="31" t="str">
        <f>IF('Phytopl Count'!AB262=0,"",'Phytopl Count'!AB262*'Phytopl Count'!AB$13/'Phytopl Count'!AB$8)</f>
        <v/>
      </c>
      <c r="AC262" s="31" t="str">
        <f>IF('Phytopl Count'!AC262=0,"",'Phytopl Count'!AC262*'Phytopl Count'!AC$13/'Phytopl Count'!AC$8)</f>
        <v/>
      </c>
      <c r="AD262" s="31" t="str">
        <f>IF('Phytopl Count'!AD262=0,"",'Phytopl Count'!AD262*'Phytopl Count'!AD$13/'Phytopl Count'!AD$8)</f>
        <v/>
      </c>
      <c r="AE262" s="31" t="str">
        <f>IF('Phytopl Count'!AE262=0,"",'Phytopl Count'!AE262*'Phytopl Count'!AE$13/'Phytopl Count'!AE$8)</f>
        <v/>
      </c>
      <c r="AF262" s="31" t="str">
        <f>IF('Phytopl Count'!AF262=0,"",'Phytopl Count'!AF262*'Phytopl Count'!AF$13/'Phytopl Count'!AF$8)</f>
        <v/>
      </c>
    </row>
    <row r="263" spans="1:32" ht="15" hidden="1" customHeight="1">
      <c r="F263" s="11" t="s">
        <v>415</v>
      </c>
      <c r="G263" s="31" t="str">
        <f>IF('Phytopl Count'!G263=0,"",'Phytopl Count'!G263*'Phytopl Count'!G$13/'Phytopl Count'!G$8)</f>
        <v/>
      </c>
      <c r="H263" s="31" t="str">
        <f>IF('Phytopl Count'!H263=0,"",'Phytopl Count'!H263*'Phytopl Count'!H$13/'Phytopl Count'!H$8)</f>
        <v/>
      </c>
      <c r="I263" s="31" t="str">
        <f>IF('Phytopl Count'!I263=0,"",'Phytopl Count'!I263*'Phytopl Count'!I$13/'Phytopl Count'!I$8)</f>
        <v/>
      </c>
      <c r="J263" s="31" t="str">
        <f>IF('Phytopl Count'!J263=0,"",'Phytopl Count'!J263*'Phytopl Count'!J$13/'Phytopl Count'!J$8)</f>
        <v/>
      </c>
      <c r="K263" s="31" t="str">
        <f>IF('Phytopl Count'!K263=0,"",'Phytopl Count'!K263*'Phytopl Count'!K$13/'Phytopl Count'!K$8)</f>
        <v/>
      </c>
      <c r="L263" s="31" t="str">
        <f>IF('Phytopl Count'!L263=0,"",'Phytopl Count'!L263*'Phytopl Count'!L$13/'Phytopl Count'!L$8)</f>
        <v/>
      </c>
      <c r="M263" s="31" t="str">
        <f>IF('Phytopl Count'!M263=0,"",'Phytopl Count'!M263*'Phytopl Count'!M$13/'Phytopl Count'!M$8)</f>
        <v/>
      </c>
      <c r="N263" s="31" t="str">
        <f>IF('Phytopl Count'!N263=0,"",'Phytopl Count'!N263*'Phytopl Count'!N$13/'Phytopl Count'!N$8)</f>
        <v/>
      </c>
      <c r="O263" s="31" t="str">
        <f>IF('Phytopl Count'!O263=0,"",'Phytopl Count'!O263*'Phytopl Count'!O$13/'Phytopl Count'!O$8)</f>
        <v/>
      </c>
      <c r="P263" s="31" t="str">
        <f>IF('Phytopl Count'!P263=0,"",'Phytopl Count'!P263*'Phytopl Count'!P$13/'Phytopl Count'!P$8)</f>
        <v/>
      </c>
      <c r="Q263" s="31" t="str">
        <f>IF('Phytopl Count'!Q263=0,"",'Phytopl Count'!Q263*'Phytopl Count'!Q$13/'Phytopl Count'!Q$8)</f>
        <v/>
      </c>
      <c r="R263" s="31" t="str">
        <f>IF('Phytopl Count'!R263=0,"",'Phytopl Count'!R263*'Phytopl Count'!R$13/'Phytopl Count'!R$8)</f>
        <v/>
      </c>
      <c r="S263" s="31" t="str">
        <f>IF('Phytopl Count'!S263=0,"",'Phytopl Count'!S263*'Phytopl Count'!S$13/'Phytopl Count'!S$8)</f>
        <v/>
      </c>
      <c r="T263" s="31" t="str">
        <f>IF('Phytopl Count'!T263=0,"",'Phytopl Count'!T263*'Phytopl Count'!T$13/'Phytopl Count'!T$8)</f>
        <v/>
      </c>
      <c r="U263" s="31" t="str">
        <f>IF('Phytopl Count'!U263=0,"",'Phytopl Count'!U263*'Phytopl Count'!U$13/'Phytopl Count'!U$8)</f>
        <v/>
      </c>
      <c r="V263" s="31" t="str">
        <f>IF('Phytopl Count'!V263=0,"",'Phytopl Count'!V263*'Phytopl Count'!V$13/'Phytopl Count'!V$8)</f>
        <v/>
      </c>
      <c r="W263" s="31" t="str">
        <f>IF('Phytopl Count'!W263=0,"",'Phytopl Count'!W263*'Phytopl Count'!W$13/'Phytopl Count'!W$8)</f>
        <v/>
      </c>
      <c r="X263" s="31" t="str">
        <f>IF('Phytopl Count'!X263=0,"",'Phytopl Count'!X263*'Phytopl Count'!X$13/'Phytopl Count'!X$8)</f>
        <v/>
      </c>
      <c r="Y263" s="31" t="str">
        <f>IF('Phytopl Count'!Y263=0,"",'Phytopl Count'!Y263*'Phytopl Count'!Y$13/'Phytopl Count'!Y$8)</f>
        <v/>
      </c>
      <c r="Z263" s="31" t="str">
        <f>IF('Phytopl Count'!Z263=0,"",'Phytopl Count'!Z263*'Phytopl Count'!Z$13/'Phytopl Count'!Z$8)</f>
        <v/>
      </c>
      <c r="AA263" s="31" t="str">
        <f>IF('Phytopl Count'!AA263=0,"",'Phytopl Count'!AA263*'Phytopl Count'!AA$13/'Phytopl Count'!AA$8)</f>
        <v/>
      </c>
      <c r="AB263" s="31" t="str">
        <f>IF('Phytopl Count'!AB263=0,"",'Phytopl Count'!AB263*'Phytopl Count'!AB$13/'Phytopl Count'!AB$8)</f>
        <v/>
      </c>
      <c r="AC263" s="31" t="str">
        <f>IF('Phytopl Count'!AC263=0,"",'Phytopl Count'!AC263*'Phytopl Count'!AC$13/'Phytopl Count'!AC$8)</f>
        <v/>
      </c>
      <c r="AD263" s="31" t="str">
        <f>IF('Phytopl Count'!AD263=0,"",'Phytopl Count'!AD263*'Phytopl Count'!AD$13/'Phytopl Count'!AD$8)</f>
        <v/>
      </c>
      <c r="AE263" s="31" t="str">
        <f>IF('Phytopl Count'!AE263=0,"",'Phytopl Count'!AE263*'Phytopl Count'!AE$13/'Phytopl Count'!AE$8)</f>
        <v/>
      </c>
      <c r="AF263" s="31" t="str">
        <f>IF('Phytopl Count'!AF263=0,"",'Phytopl Count'!AF263*'Phytopl Count'!AF$13/'Phytopl Count'!AF$8)</f>
        <v/>
      </c>
    </row>
    <row r="264" spans="1:32" ht="15" customHeight="1">
      <c r="A264" s="4"/>
      <c r="E264" s="10" t="s">
        <v>6</v>
      </c>
      <c r="F264" s="11" t="s">
        <v>411</v>
      </c>
      <c r="G264" s="31" t="str">
        <f>IF('Phytopl Count'!G264=0,"",'Phytopl Count'!G264*'Phytopl Count'!G$13/'Phytopl Count'!G$8)</f>
        <v/>
      </c>
      <c r="H264" s="31" t="str">
        <f>IF('Phytopl Count'!H264=0,"",'Phytopl Count'!H264*'Phytopl Count'!H$13/'Phytopl Count'!H$8)</f>
        <v/>
      </c>
      <c r="I264" s="31" t="str">
        <f>IF('Phytopl Count'!I264=0,"",'Phytopl Count'!I264*'Phytopl Count'!I$13/'Phytopl Count'!I$8)</f>
        <v/>
      </c>
      <c r="J264" s="31" t="str">
        <f>IF('Phytopl Count'!J264=0,"",'Phytopl Count'!J264*'Phytopl Count'!J$13/'Phytopl Count'!J$8)</f>
        <v/>
      </c>
      <c r="K264" s="31" t="str">
        <f>IF('Phytopl Count'!K264=0,"",'Phytopl Count'!K264*'Phytopl Count'!K$13/'Phytopl Count'!K$8)</f>
        <v/>
      </c>
      <c r="L264" s="31" t="str">
        <f>IF('Phytopl Count'!L264=0,"",'Phytopl Count'!L264*'Phytopl Count'!L$13/'Phytopl Count'!L$8)</f>
        <v/>
      </c>
      <c r="M264" s="31" t="str">
        <f>IF('Phytopl Count'!M264=0,"",'Phytopl Count'!M264*'Phytopl Count'!M$13/'Phytopl Count'!M$8)</f>
        <v/>
      </c>
      <c r="N264" s="31" t="str">
        <f>IF('Phytopl Count'!N264=0,"",'Phytopl Count'!N264*'Phytopl Count'!N$13/'Phytopl Count'!N$8)</f>
        <v/>
      </c>
      <c r="O264" s="31" t="str">
        <f>IF('Phytopl Count'!O264=0,"",'Phytopl Count'!O264*'Phytopl Count'!O$13/'Phytopl Count'!O$8)</f>
        <v/>
      </c>
      <c r="P264" s="31" t="str">
        <f>IF('Phytopl Count'!P264=0,"",'Phytopl Count'!P264*'Phytopl Count'!P$13/'Phytopl Count'!P$8)</f>
        <v/>
      </c>
      <c r="Q264" s="31" t="str">
        <f>IF('Phytopl Count'!Q264=0,"",'Phytopl Count'!Q264*'Phytopl Count'!Q$13/'Phytopl Count'!Q$8)</f>
        <v/>
      </c>
      <c r="R264" s="31" t="str">
        <f>IF('Phytopl Count'!R264=0,"",'Phytopl Count'!R264*'Phytopl Count'!R$13/'Phytopl Count'!R$8)</f>
        <v/>
      </c>
      <c r="S264" s="31" t="str">
        <f>IF('Phytopl Count'!S264=0,"",'Phytopl Count'!S264*'Phytopl Count'!S$13/'Phytopl Count'!S$8)</f>
        <v/>
      </c>
      <c r="T264" s="31" t="str">
        <f>IF('Phytopl Count'!T264=0,"",'Phytopl Count'!T264*'Phytopl Count'!T$13/'Phytopl Count'!T$8)</f>
        <v/>
      </c>
      <c r="U264" s="31" t="str">
        <f>IF('Phytopl Count'!U264=0,"",'Phytopl Count'!U264*'Phytopl Count'!U$13/'Phytopl Count'!U$8)</f>
        <v/>
      </c>
      <c r="V264" s="31" t="str">
        <f>IF('Phytopl Count'!V264=0,"",'Phytopl Count'!V264*'Phytopl Count'!V$13/'Phytopl Count'!V$8)</f>
        <v/>
      </c>
      <c r="W264" s="31" t="str">
        <f>IF('Phytopl Count'!W264=0,"",'Phytopl Count'!W264*'Phytopl Count'!W$13/'Phytopl Count'!W$8)</f>
        <v/>
      </c>
      <c r="X264" s="31" t="str">
        <f>IF('Phytopl Count'!X264=0,"",'Phytopl Count'!X264*'Phytopl Count'!X$13/'Phytopl Count'!X$8)</f>
        <v/>
      </c>
      <c r="Y264" s="31" t="str">
        <f>IF('Phytopl Count'!Y264=0,"",'Phytopl Count'!Y264*'Phytopl Count'!Y$13/'Phytopl Count'!Y$8)</f>
        <v/>
      </c>
      <c r="Z264" s="31" t="str">
        <f>IF('Phytopl Count'!Z264=0,"",'Phytopl Count'!Z264*'Phytopl Count'!Z$13/'Phytopl Count'!Z$8)</f>
        <v/>
      </c>
      <c r="AA264" s="31" t="str">
        <f>IF('Phytopl Count'!AA264=0,"",'Phytopl Count'!AA264*'Phytopl Count'!AA$13/'Phytopl Count'!AA$8)</f>
        <v/>
      </c>
      <c r="AB264" s="31">
        <f>IF('Phytopl Count'!AB264=0,"",'Phytopl Count'!AB264*'Phytopl Count'!AB$13/'Phytopl Count'!AB$8)</f>
        <v>4.0038979394187504E-2</v>
      </c>
      <c r="AC264" s="31" t="str">
        <f>IF('Phytopl Count'!AC264=0,"",'Phytopl Count'!AC264*'Phytopl Count'!AC$13/'Phytopl Count'!AC$8)</f>
        <v/>
      </c>
      <c r="AD264" s="31" t="str">
        <f>IF('Phytopl Count'!AD264=0,"",'Phytopl Count'!AD264*'Phytopl Count'!AD$13/'Phytopl Count'!AD$8)</f>
        <v/>
      </c>
      <c r="AE264" s="31" t="str">
        <f>IF('Phytopl Count'!AE264=0,"",'Phytopl Count'!AE264*'Phytopl Count'!AE$13/'Phytopl Count'!AE$8)</f>
        <v/>
      </c>
      <c r="AF264" s="31" t="str">
        <f>IF('Phytopl Count'!AF264=0,"",'Phytopl Count'!AF264*'Phytopl Count'!AF$13/'Phytopl Count'!AF$8)</f>
        <v/>
      </c>
    </row>
    <row r="265" spans="1:32" ht="15" customHeight="1">
      <c r="E265" s="10"/>
      <c r="F265" s="11" t="s">
        <v>115</v>
      </c>
      <c r="G265" s="31" t="str">
        <f>IF('Phytopl Count'!G265=0,"",'Phytopl Count'!G265*'Phytopl Count'!G$13/'Phytopl Count'!G$8)</f>
        <v/>
      </c>
      <c r="H265" s="31">
        <f>IF('Phytopl Count'!H265=0,"",'Phytopl Count'!H265*'Phytopl Count'!H$13/'Phytopl Count'!H$8)</f>
        <v>1.4414032581907503</v>
      </c>
      <c r="I265" s="31" t="str">
        <f>IF('Phytopl Count'!I265=0,"",'Phytopl Count'!I265*'Phytopl Count'!I$13/'Phytopl Count'!I$8)</f>
        <v/>
      </c>
      <c r="J265" s="31">
        <f>IF('Phytopl Count'!J265=0,"",'Phytopl Count'!J265*'Phytopl Count'!J$13/'Phytopl Count'!J$8)</f>
        <v>0.16015591757675002</v>
      </c>
      <c r="K265" s="31">
        <f>IF('Phytopl Count'!K265=0,"",'Phytopl Count'!K265*'Phytopl Count'!K$13/'Phytopl Count'!K$8)</f>
        <v>9.6093550546050024E-2</v>
      </c>
      <c r="L265" s="31">
        <f>IF('Phytopl Count'!L265=0,"",'Phytopl Count'!L265*'Phytopl Count'!L$13/'Phytopl Count'!L$8)</f>
        <v>9.6093550546050024E-2</v>
      </c>
      <c r="M265" s="31">
        <f>IF('Phytopl Count'!M265=0,"",'Phytopl Count'!M265*'Phytopl Count'!M$13/'Phytopl Count'!M$8)</f>
        <v>0.20019489697093754</v>
      </c>
      <c r="N265" s="31">
        <f>IF('Phytopl Count'!N265=0,"",'Phytopl Count'!N265*'Phytopl Count'!N$13/'Phytopl Count'!N$8)</f>
        <v>4.8046775273025012E-2</v>
      </c>
      <c r="O265" s="31">
        <f>IF('Phytopl Count'!O265=0,"",'Phytopl Count'!O265*'Phytopl Count'!O$13/'Phytopl Count'!O$8)</f>
        <v>0.22421828460745002</v>
      </c>
      <c r="P265" s="31">
        <f>IF('Phytopl Count'!P265=0,"",'Phytopl Count'!P265*'Phytopl Count'!P$13/'Phytopl Count'!P$8)</f>
        <v>3.2031183515350004E-2</v>
      </c>
      <c r="Q265" s="31">
        <f>IF('Phytopl Count'!Q265=0,"",'Phytopl Count'!Q265*'Phytopl Count'!Q$13/'Phytopl Count'!Q$8)</f>
        <v>8.0077958788375009E-2</v>
      </c>
      <c r="R265" s="31" t="str">
        <f>IF('Phytopl Count'!R265=0,"",'Phytopl Count'!R265*'Phytopl Count'!R$13/'Phytopl Count'!R$8)</f>
        <v/>
      </c>
      <c r="S265" s="31">
        <f>IF('Phytopl Count'!S265=0,"",'Phytopl Count'!S265*'Phytopl Count'!S$13/'Phytopl Count'!S$8)</f>
        <v>0.19218710109210005</v>
      </c>
      <c r="T265" s="31">
        <f>IF('Phytopl Count'!T265=0,"",'Phytopl Count'!T265*'Phytopl Count'!T$13/'Phytopl Count'!T$8)</f>
        <v>0.48046775273025011</v>
      </c>
      <c r="U265" s="31">
        <f>IF('Phytopl Count'!U265=0,"",'Phytopl Count'!U265*'Phytopl Count'!U$13/'Phytopl Count'!U$8)</f>
        <v>0.28828065163815003</v>
      </c>
      <c r="V265" s="31">
        <f>IF('Phytopl Count'!V265=0,"",'Phytopl Count'!V265*'Phytopl Count'!V$13/'Phytopl Count'!V$8)</f>
        <v>0.12011693818256251</v>
      </c>
      <c r="W265" s="31">
        <f>IF('Phytopl Count'!W265=0,"",'Phytopl Count'!W265*'Phytopl Count'!W$13/'Phytopl Count'!W$8)</f>
        <v>4.8046775273025012E-2</v>
      </c>
      <c r="X265" s="31">
        <f>IF('Phytopl Count'!X265=0,"",'Phytopl Count'!X265*'Phytopl Count'!X$13/'Phytopl Count'!X$8)</f>
        <v>9.6093550546050024E-2</v>
      </c>
      <c r="Y265" s="31">
        <f>IF('Phytopl Count'!Y265=0,"",'Phytopl Count'!Y265*'Phytopl Count'!Y$13/'Phytopl Count'!Y$8)</f>
        <v>0.28828065163815003</v>
      </c>
      <c r="Z265" s="31">
        <f>IF('Phytopl Count'!Z265=0,"",'Phytopl Count'!Z265*'Phytopl Count'!Z$13/'Phytopl Count'!Z$8)</f>
        <v>2.0820269284977502</v>
      </c>
      <c r="AA265" s="31">
        <f>IF('Phytopl Count'!AA265=0,"",'Phytopl Count'!AA265*'Phytopl Count'!AA$13/'Phytopl Count'!AA$8)</f>
        <v>0.19218710109210005</v>
      </c>
      <c r="AB265" s="31">
        <f>IF('Phytopl Count'!AB265=0,"",'Phytopl Count'!AB265*'Phytopl Count'!AB$13/'Phytopl Count'!AB$8)</f>
        <v>0.24023387636512503</v>
      </c>
      <c r="AC265" s="31">
        <f>IF('Phytopl Count'!AC265=0,"",'Phytopl Count'!AC265*'Phytopl Count'!AC$13/'Phytopl Count'!AC$8)</f>
        <v>0.51249893624560006</v>
      </c>
      <c r="AD265" s="31">
        <f>IF('Phytopl Count'!AD265=0,"",'Phytopl Count'!AD265*'Phytopl Count'!AD$13/'Phytopl Count'!AD$8)</f>
        <v>0.32031183515350004</v>
      </c>
      <c r="AE265" s="31">
        <f>IF('Phytopl Count'!AE265=0,"",'Phytopl Count'!AE265*'Phytopl Count'!AE$13/'Phytopl Count'!AE$8)</f>
        <v>7.2070162909537508E-2</v>
      </c>
      <c r="AF265" s="31">
        <f>IF('Phytopl Count'!AF265=0,"",'Phytopl Count'!AF265*'Phytopl Count'!AF$13/'Phytopl Count'!AF$8)</f>
        <v>4.0999914899648005</v>
      </c>
    </row>
    <row r="266" spans="1:32" ht="15" customHeight="1">
      <c r="A266" s="4"/>
      <c r="B266" s="4"/>
      <c r="C266" s="16" t="s">
        <v>73</v>
      </c>
      <c r="D266" s="4" t="s">
        <v>283</v>
      </c>
      <c r="E266" s="10"/>
      <c r="F266" s="9"/>
      <c r="G266" s="31" t="str">
        <f>IF('Phytopl Count'!G266=0,"",'Phytopl Count'!G266*'Phytopl Count'!G$13/'Phytopl Count'!G$8)</f>
        <v/>
      </c>
      <c r="H266" s="31" t="str">
        <f>IF('Phytopl Count'!H266=0,"",'Phytopl Count'!H266*'Phytopl Count'!H$13/'Phytopl Count'!H$8)</f>
        <v/>
      </c>
      <c r="I266" s="31" t="str">
        <f>IF('Phytopl Count'!I266=0,"",'Phytopl Count'!I266*'Phytopl Count'!I$13/'Phytopl Count'!I$8)</f>
        <v/>
      </c>
      <c r="J266" s="31" t="str">
        <f>IF('Phytopl Count'!J266=0,"",'Phytopl Count'!J266*'Phytopl Count'!J$13/'Phytopl Count'!J$8)</f>
        <v/>
      </c>
      <c r="K266" s="31" t="str">
        <f>IF('Phytopl Count'!K266=0,"",'Phytopl Count'!K266*'Phytopl Count'!K$13/'Phytopl Count'!K$8)</f>
        <v/>
      </c>
      <c r="L266" s="31" t="str">
        <f>IF('Phytopl Count'!L266=0,"",'Phytopl Count'!L266*'Phytopl Count'!L$13/'Phytopl Count'!L$8)</f>
        <v/>
      </c>
      <c r="M266" s="31" t="str">
        <f>IF('Phytopl Count'!M266=0,"",'Phytopl Count'!M266*'Phytopl Count'!M$13/'Phytopl Count'!M$8)</f>
        <v/>
      </c>
      <c r="N266" s="31" t="str">
        <f>IF('Phytopl Count'!N266=0,"",'Phytopl Count'!N266*'Phytopl Count'!N$13/'Phytopl Count'!N$8)</f>
        <v/>
      </c>
      <c r="O266" s="31" t="str">
        <f>IF('Phytopl Count'!O266=0,"",'Phytopl Count'!O266*'Phytopl Count'!O$13/'Phytopl Count'!O$8)</f>
        <v/>
      </c>
      <c r="P266" s="31" t="str">
        <f>IF('Phytopl Count'!P266=0,"",'Phytopl Count'!P266*'Phytopl Count'!P$13/'Phytopl Count'!P$8)</f>
        <v/>
      </c>
      <c r="Q266" s="31" t="str">
        <f>IF('Phytopl Count'!Q266=0,"",'Phytopl Count'!Q266*'Phytopl Count'!Q$13/'Phytopl Count'!Q$8)</f>
        <v/>
      </c>
      <c r="R266" s="31" t="str">
        <f>IF('Phytopl Count'!R266=0,"",'Phytopl Count'!R266*'Phytopl Count'!R$13/'Phytopl Count'!R$8)</f>
        <v/>
      </c>
      <c r="S266" s="31" t="str">
        <f>IF('Phytopl Count'!S266=0,"",'Phytopl Count'!S266*'Phytopl Count'!S$13/'Phytopl Count'!S$8)</f>
        <v/>
      </c>
      <c r="T266" s="31" t="str">
        <f>IF('Phytopl Count'!T266=0,"",'Phytopl Count'!T266*'Phytopl Count'!T$13/'Phytopl Count'!T$8)</f>
        <v/>
      </c>
      <c r="U266" s="31" t="str">
        <f>IF('Phytopl Count'!U266=0,"",'Phytopl Count'!U266*'Phytopl Count'!U$13/'Phytopl Count'!U$8)</f>
        <v/>
      </c>
      <c r="V266" s="31" t="str">
        <f>IF('Phytopl Count'!V266=0,"",'Phytopl Count'!V266*'Phytopl Count'!V$13/'Phytopl Count'!V$8)</f>
        <v/>
      </c>
      <c r="W266" s="31" t="str">
        <f>IF('Phytopl Count'!W266=0,"",'Phytopl Count'!W266*'Phytopl Count'!W$13/'Phytopl Count'!W$8)</f>
        <v/>
      </c>
      <c r="X266" s="31" t="str">
        <f>IF('Phytopl Count'!X266=0,"",'Phytopl Count'!X266*'Phytopl Count'!X$13/'Phytopl Count'!X$8)</f>
        <v/>
      </c>
      <c r="Y266" s="31" t="str">
        <f>IF('Phytopl Count'!Y266=0,"",'Phytopl Count'!Y266*'Phytopl Count'!Y$13/'Phytopl Count'!Y$8)</f>
        <v/>
      </c>
      <c r="Z266" s="31" t="str">
        <f>IF('Phytopl Count'!Z266=0,"",'Phytopl Count'!Z266*'Phytopl Count'!Z$13/'Phytopl Count'!Z$8)</f>
        <v/>
      </c>
      <c r="AA266" s="31" t="str">
        <f>IF('Phytopl Count'!AA266=0,"",'Phytopl Count'!AA266*'Phytopl Count'!AA$13/'Phytopl Count'!AA$8)</f>
        <v/>
      </c>
      <c r="AB266" s="31" t="str">
        <f>IF('Phytopl Count'!AB266=0,"",'Phytopl Count'!AB266*'Phytopl Count'!AB$13/'Phytopl Count'!AB$8)</f>
        <v/>
      </c>
      <c r="AC266" s="31" t="str">
        <f>IF('Phytopl Count'!AC266=0,"",'Phytopl Count'!AC266*'Phytopl Count'!AC$13/'Phytopl Count'!AC$8)</f>
        <v/>
      </c>
      <c r="AD266" s="31" t="str">
        <f>IF('Phytopl Count'!AD266=0,"",'Phytopl Count'!AD266*'Phytopl Count'!AD$13/'Phytopl Count'!AD$8)</f>
        <v/>
      </c>
      <c r="AE266" s="31" t="str">
        <f>IF('Phytopl Count'!AE266=0,"",'Phytopl Count'!AE266*'Phytopl Count'!AE$13/'Phytopl Count'!AE$8)</f>
        <v/>
      </c>
      <c r="AF266" s="31" t="str">
        <f>IF('Phytopl Count'!AF266=0,"",'Phytopl Count'!AF266*'Phytopl Count'!AF$13/'Phytopl Count'!AF$8)</f>
        <v/>
      </c>
    </row>
    <row r="267" spans="1:32" ht="15" hidden="1" customHeight="1">
      <c r="A267" s="4"/>
      <c r="D267" s="10" t="s">
        <v>5</v>
      </c>
      <c r="E267" s="115" t="s">
        <v>306</v>
      </c>
      <c r="F267" s="11"/>
      <c r="G267" s="31" t="str">
        <f>IF('Phytopl Count'!G267=0,"",'Phytopl Count'!G267*'Phytopl Count'!G$13/'Phytopl Count'!G$8)</f>
        <v/>
      </c>
      <c r="H267" s="31" t="str">
        <f>IF('Phytopl Count'!H267=0,"",'Phytopl Count'!H267*'Phytopl Count'!H$13/'Phytopl Count'!H$8)</f>
        <v/>
      </c>
      <c r="I267" s="31" t="str">
        <f>IF('Phytopl Count'!I267=0,"",'Phytopl Count'!I267*'Phytopl Count'!I$13/'Phytopl Count'!I$8)</f>
        <v/>
      </c>
      <c r="J267" s="31" t="str">
        <f>IF('Phytopl Count'!J267=0,"",'Phytopl Count'!J267*'Phytopl Count'!J$13/'Phytopl Count'!J$8)</f>
        <v/>
      </c>
      <c r="K267" s="31" t="str">
        <f>IF('Phytopl Count'!K267=0,"",'Phytopl Count'!K267*'Phytopl Count'!K$13/'Phytopl Count'!K$8)</f>
        <v/>
      </c>
      <c r="L267" s="31" t="str">
        <f>IF('Phytopl Count'!L267=0,"",'Phytopl Count'!L267*'Phytopl Count'!L$13/'Phytopl Count'!L$8)</f>
        <v/>
      </c>
      <c r="M267" s="31" t="str">
        <f>IF('Phytopl Count'!M267=0,"",'Phytopl Count'!M267*'Phytopl Count'!M$13/'Phytopl Count'!M$8)</f>
        <v/>
      </c>
      <c r="N267" s="31" t="str">
        <f>IF('Phytopl Count'!N267=0,"",'Phytopl Count'!N267*'Phytopl Count'!N$13/'Phytopl Count'!N$8)</f>
        <v/>
      </c>
      <c r="O267" s="31" t="str">
        <f>IF('Phytopl Count'!O267=0,"",'Phytopl Count'!O267*'Phytopl Count'!O$13/'Phytopl Count'!O$8)</f>
        <v/>
      </c>
      <c r="P267" s="31" t="str">
        <f>IF('Phytopl Count'!P267=0,"",'Phytopl Count'!P267*'Phytopl Count'!P$13/'Phytopl Count'!P$8)</f>
        <v/>
      </c>
      <c r="Q267" s="31" t="str">
        <f>IF('Phytopl Count'!Q267=0,"",'Phytopl Count'!Q267*'Phytopl Count'!Q$13/'Phytopl Count'!Q$8)</f>
        <v/>
      </c>
      <c r="R267" s="31" t="str">
        <f>IF('Phytopl Count'!R267=0,"",'Phytopl Count'!R267*'Phytopl Count'!R$13/'Phytopl Count'!R$8)</f>
        <v/>
      </c>
      <c r="S267" s="31" t="str">
        <f>IF('Phytopl Count'!S267=0,"",'Phytopl Count'!S267*'Phytopl Count'!S$13/'Phytopl Count'!S$8)</f>
        <v/>
      </c>
      <c r="T267" s="31" t="str">
        <f>IF('Phytopl Count'!T267=0,"",'Phytopl Count'!T267*'Phytopl Count'!T$13/'Phytopl Count'!T$8)</f>
        <v/>
      </c>
      <c r="U267" s="31" t="str">
        <f>IF('Phytopl Count'!U267=0,"",'Phytopl Count'!U267*'Phytopl Count'!U$13/'Phytopl Count'!U$8)</f>
        <v/>
      </c>
      <c r="V267" s="31" t="str">
        <f>IF('Phytopl Count'!V267=0,"",'Phytopl Count'!V267*'Phytopl Count'!V$13/'Phytopl Count'!V$8)</f>
        <v/>
      </c>
      <c r="W267" s="31" t="str">
        <f>IF('Phytopl Count'!W267=0,"",'Phytopl Count'!W267*'Phytopl Count'!W$13/'Phytopl Count'!W$8)</f>
        <v/>
      </c>
      <c r="X267" s="31" t="str">
        <f>IF('Phytopl Count'!X267=0,"",'Phytopl Count'!X267*'Phytopl Count'!X$13/'Phytopl Count'!X$8)</f>
        <v/>
      </c>
      <c r="Y267" s="31" t="str">
        <f>IF('Phytopl Count'!Y267=0,"",'Phytopl Count'!Y267*'Phytopl Count'!Y$13/'Phytopl Count'!Y$8)</f>
        <v/>
      </c>
      <c r="Z267" s="31" t="str">
        <f>IF('Phytopl Count'!Z267=0,"",'Phytopl Count'!Z267*'Phytopl Count'!Z$13/'Phytopl Count'!Z$8)</f>
        <v/>
      </c>
      <c r="AA267" s="31" t="str">
        <f>IF('Phytopl Count'!AA267=0,"",'Phytopl Count'!AA267*'Phytopl Count'!AA$13/'Phytopl Count'!AA$8)</f>
        <v/>
      </c>
      <c r="AB267" s="31" t="str">
        <f>IF('Phytopl Count'!AB267=0,"",'Phytopl Count'!AB267*'Phytopl Count'!AB$13/'Phytopl Count'!AB$8)</f>
        <v/>
      </c>
      <c r="AC267" s="31" t="str">
        <f>IF('Phytopl Count'!AC267=0,"",'Phytopl Count'!AC267*'Phytopl Count'!AC$13/'Phytopl Count'!AC$8)</f>
        <v/>
      </c>
      <c r="AD267" s="31" t="str">
        <f>IF('Phytopl Count'!AD267=0,"",'Phytopl Count'!AD267*'Phytopl Count'!AD$13/'Phytopl Count'!AD$8)</f>
        <v/>
      </c>
      <c r="AE267" s="31" t="str">
        <f>IF('Phytopl Count'!AE267=0,"",'Phytopl Count'!AE267*'Phytopl Count'!AE$13/'Phytopl Count'!AE$8)</f>
        <v/>
      </c>
      <c r="AF267" s="31" t="str">
        <f>IF('Phytopl Count'!AF267=0,"",'Phytopl Count'!AF267*'Phytopl Count'!AF$13/'Phytopl Count'!AF$8)</f>
        <v/>
      </c>
    </row>
    <row r="268" spans="1:32" ht="15" hidden="1" customHeight="1">
      <c r="A268" s="4"/>
      <c r="E268" s="10" t="s">
        <v>6</v>
      </c>
      <c r="F268" s="11" t="s">
        <v>284</v>
      </c>
      <c r="G268" s="31" t="str">
        <f>IF('Phytopl Count'!G268=0,"",'Phytopl Count'!G268*'Phytopl Count'!G$13/'Phytopl Count'!G$8)</f>
        <v/>
      </c>
      <c r="H268" s="31" t="str">
        <f>IF('Phytopl Count'!H268=0,"",'Phytopl Count'!H268*'Phytopl Count'!H$13/'Phytopl Count'!H$8)</f>
        <v/>
      </c>
      <c r="I268" s="31" t="str">
        <f>IF('Phytopl Count'!I268=0,"",'Phytopl Count'!I268*'Phytopl Count'!I$13/'Phytopl Count'!I$8)</f>
        <v/>
      </c>
      <c r="J268" s="31" t="str">
        <f>IF('Phytopl Count'!J268=0,"",'Phytopl Count'!J268*'Phytopl Count'!J$13/'Phytopl Count'!J$8)</f>
        <v/>
      </c>
      <c r="K268" s="31" t="str">
        <f>IF('Phytopl Count'!K268=0,"",'Phytopl Count'!K268*'Phytopl Count'!K$13/'Phytopl Count'!K$8)</f>
        <v/>
      </c>
      <c r="L268" s="31" t="str">
        <f>IF('Phytopl Count'!L268=0,"",'Phytopl Count'!L268*'Phytopl Count'!L$13/'Phytopl Count'!L$8)</f>
        <v/>
      </c>
      <c r="M268" s="31" t="str">
        <f>IF('Phytopl Count'!M268=0,"",'Phytopl Count'!M268*'Phytopl Count'!M$13/'Phytopl Count'!M$8)</f>
        <v/>
      </c>
      <c r="N268" s="31" t="str">
        <f>IF('Phytopl Count'!N268=0,"",'Phytopl Count'!N268*'Phytopl Count'!N$13/'Phytopl Count'!N$8)</f>
        <v/>
      </c>
      <c r="O268" s="31" t="str">
        <f>IF('Phytopl Count'!O268=0,"",'Phytopl Count'!O268*'Phytopl Count'!O$13/'Phytopl Count'!O$8)</f>
        <v/>
      </c>
      <c r="P268" s="31" t="str">
        <f>IF('Phytopl Count'!P268=0,"",'Phytopl Count'!P268*'Phytopl Count'!P$13/'Phytopl Count'!P$8)</f>
        <v/>
      </c>
      <c r="Q268" s="31" t="str">
        <f>IF('Phytopl Count'!Q268=0,"",'Phytopl Count'!Q268*'Phytopl Count'!Q$13/'Phytopl Count'!Q$8)</f>
        <v/>
      </c>
      <c r="R268" s="31" t="str">
        <f>IF('Phytopl Count'!R268=0,"",'Phytopl Count'!R268*'Phytopl Count'!R$13/'Phytopl Count'!R$8)</f>
        <v/>
      </c>
      <c r="S268" s="31" t="str">
        <f>IF('Phytopl Count'!S268=0,"",'Phytopl Count'!S268*'Phytopl Count'!S$13/'Phytopl Count'!S$8)</f>
        <v/>
      </c>
      <c r="T268" s="31" t="str">
        <f>IF('Phytopl Count'!T268=0,"",'Phytopl Count'!T268*'Phytopl Count'!T$13/'Phytopl Count'!T$8)</f>
        <v/>
      </c>
      <c r="U268" s="31" t="str">
        <f>IF('Phytopl Count'!U268=0,"",'Phytopl Count'!U268*'Phytopl Count'!U$13/'Phytopl Count'!U$8)</f>
        <v/>
      </c>
      <c r="V268" s="31" t="str">
        <f>IF('Phytopl Count'!V268=0,"",'Phytopl Count'!V268*'Phytopl Count'!V$13/'Phytopl Count'!V$8)</f>
        <v/>
      </c>
      <c r="W268" s="31" t="str">
        <f>IF('Phytopl Count'!W268=0,"",'Phytopl Count'!W268*'Phytopl Count'!W$13/'Phytopl Count'!W$8)</f>
        <v/>
      </c>
      <c r="X268" s="31" t="str">
        <f>IF('Phytopl Count'!X268=0,"",'Phytopl Count'!X268*'Phytopl Count'!X$13/'Phytopl Count'!X$8)</f>
        <v/>
      </c>
      <c r="Y268" s="31" t="str">
        <f>IF('Phytopl Count'!Y268=0,"",'Phytopl Count'!Y268*'Phytopl Count'!Y$13/'Phytopl Count'!Y$8)</f>
        <v/>
      </c>
      <c r="Z268" s="31" t="str">
        <f>IF('Phytopl Count'!Z268=0,"",'Phytopl Count'!Z268*'Phytopl Count'!Z$13/'Phytopl Count'!Z$8)</f>
        <v/>
      </c>
      <c r="AA268" s="31" t="str">
        <f>IF('Phytopl Count'!AA268=0,"",'Phytopl Count'!AA268*'Phytopl Count'!AA$13/'Phytopl Count'!AA$8)</f>
        <v/>
      </c>
      <c r="AB268" s="31" t="str">
        <f>IF('Phytopl Count'!AB268=0,"",'Phytopl Count'!AB268*'Phytopl Count'!AB$13/'Phytopl Count'!AB$8)</f>
        <v/>
      </c>
      <c r="AC268" s="31" t="str">
        <f>IF('Phytopl Count'!AC268=0,"",'Phytopl Count'!AC268*'Phytopl Count'!AC$13/'Phytopl Count'!AC$8)</f>
        <v/>
      </c>
      <c r="AD268" s="31" t="str">
        <f>IF('Phytopl Count'!AD268=0,"",'Phytopl Count'!AD268*'Phytopl Count'!AD$13/'Phytopl Count'!AD$8)</f>
        <v/>
      </c>
      <c r="AE268" s="31" t="str">
        <f>IF('Phytopl Count'!AE268=0,"",'Phytopl Count'!AE268*'Phytopl Count'!AE$13/'Phytopl Count'!AE$8)</f>
        <v/>
      </c>
      <c r="AF268" s="31" t="str">
        <f>IF('Phytopl Count'!AF268=0,"",'Phytopl Count'!AF268*'Phytopl Count'!AF$13/'Phytopl Count'!AF$8)</f>
        <v/>
      </c>
    </row>
    <row r="269" spans="1:32" ht="15" hidden="1" customHeight="1">
      <c r="A269" s="4"/>
      <c r="E269" s="10"/>
      <c r="F269" s="11" t="s">
        <v>354</v>
      </c>
      <c r="G269" s="31" t="str">
        <f>IF('Phytopl Count'!G269=0,"",'Phytopl Count'!G269*'Phytopl Count'!G$13/'Phytopl Count'!G$8)</f>
        <v/>
      </c>
      <c r="H269" s="31" t="str">
        <f>IF('Phytopl Count'!H269=0,"",'Phytopl Count'!H269*'Phytopl Count'!H$13/'Phytopl Count'!H$8)</f>
        <v/>
      </c>
      <c r="I269" s="31" t="str">
        <f>IF('Phytopl Count'!I269=0,"",'Phytopl Count'!I269*'Phytopl Count'!I$13/'Phytopl Count'!I$8)</f>
        <v/>
      </c>
      <c r="J269" s="31" t="str">
        <f>IF('Phytopl Count'!J269=0,"",'Phytopl Count'!J269*'Phytopl Count'!J$13/'Phytopl Count'!J$8)</f>
        <v/>
      </c>
      <c r="K269" s="31" t="str">
        <f>IF('Phytopl Count'!K269=0,"",'Phytopl Count'!K269*'Phytopl Count'!K$13/'Phytopl Count'!K$8)</f>
        <v/>
      </c>
      <c r="L269" s="31" t="str">
        <f>IF('Phytopl Count'!L269=0,"",'Phytopl Count'!L269*'Phytopl Count'!L$13/'Phytopl Count'!L$8)</f>
        <v/>
      </c>
      <c r="M269" s="31" t="str">
        <f>IF('Phytopl Count'!M269=0,"",'Phytopl Count'!M269*'Phytopl Count'!M$13/'Phytopl Count'!M$8)</f>
        <v/>
      </c>
      <c r="N269" s="31" t="str">
        <f>IF('Phytopl Count'!N269=0,"",'Phytopl Count'!N269*'Phytopl Count'!N$13/'Phytopl Count'!N$8)</f>
        <v/>
      </c>
      <c r="O269" s="31" t="str">
        <f>IF('Phytopl Count'!O269=0,"",'Phytopl Count'!O269*'Phytopl Count'!O$13/'Phytopl Count'!O$8)</f>
        <v/>
      </c>
      <c r="P269" s="31" t="str">
        <f>IF('Phytopl Count'!P269=0,"",'Phytopl Count'!P269*'Phytopl Count'!P$13/'Phytopl Count'!P$8)</f>
        <v/>
      </c>
      <c r="Q269" s="31" t="str">
        <f>IF('Phytopl Count'!Q269=0,"",'Phytopl Count'!Q269*'Phytopl Count'!Q$13/'Phytopl Count'!Q$8)</f>
        <v/>
      </c>
      <c r="R269" s="31" t="str">
        <f>IF('Phytopl Count'!R269=0,"",'Phytopl Count'!R269*'Phytopl Count'!R$13/'Phytopl Count'!R$8)</f>
        <v/>
      </c>
      <c r="S269" s="31" t="str">
        <f>IF('Phytopl Count'!S269=0,"",'Phytopl Count'!S269*'Phytopl Count'!S$13/'Phytopl Count'!S$8)</f>
        <v/>
      </c>
      <c r="T269" s="31" t="str">
        <f>IF('Phytopl Count'!T269=0,"",'Phytopl Count'!T269*'Phytopl Count'!T$13/'Phytopl Count'!T$8)</f>
        <v/>
      </c>
      <c r="U269" s="31" t="str">
        <f>IF('Phytopl Count'!U269=0,"",'Phytopl Count'!U269*'Phytopl Count'!U$13/'Phytopl Count'!U$8)</f>
        <v/>
      </c>
      <c r="V269" s="31" t="str">
        <f>IF('Phytopl Count'!V269=0,"",'Phytopl Count'!V269*'Phytopl Count'!V$13/'Phytopl Count'!V$8)</f>
        <v/>
      </c>
      <c r="W269" s="31" t="str">
        <f>IF('Phytopl Count'!W269=0,"",'Phytopl Count'!W269*'Phytopl Count'!W$13/'Phytopl Count'!W$8)</f>
        <v/>
      </c>
      <c r="X269" s="31" t="str">
        <f>IF('Phytopl Count'!X269=0,"",'Phytopl Count'!X269*'Phytopl Count'!X$13/'Phytopl Count'!X$8)</f>
        <v/>
      </c>
      <c r="Y269" s="31" t="str">
        <f>IF('Phytopl Count'!Y269=0,"",'Phytopl Count'!Y269*'Phytopl Count'!Y$13/'Phytopl Count'!Y$8)</f>
        <v/>
      </c>
      <c r="Z269" s="31" t="str">
        <f>IF('Phytopl Count'!Z269=0,"",'Phytopl Count'!Z269*'Phytopl Count'!Z$13/'Phytopl Count'!Z$8)</f>
        <v/>
      </c>
      <c r="AA269" s="31" t="str">
        <f>IF('Phytopl Count'!AA269=0,"",'Phytopl Count'!AA269*'Phytopl Count'!AA$13/'Phytopl Count'!AA$8)</f>
        <v/>
      </c>
      <c r="AB269" s="31" t="str">
        <f>IF('Phytopl Count'!AB269=0,"",'Phytopl Count'!AB269*'Phytopl Count'!AB$13/'Phytopl Count'!AB$8)</f>
        <v/>
      </c>
      <c r="AC269" s="31" t="str">
        <f>IF('Phytopl Count'!AC269=0,"",'Phytopl Count'!AC269*'Phytopl Count'!AC$13/'Phytopl Count'!AC$8)</f>
        <v/>
      </c>
      <c r="AD269" s="31" t="str">
        <f>IF('Phytopl Count'!AD269=0,"",'Phytopl Count'!AD269*'Phytopl Count'!AD$13/'Phytopl Count'!AD$8)</f>
        <v/>
      </c>
      <c r="AE269" s="31" t="str">
        <f>IF('Phytopl Count'!AE269=0,"",'Phytopl Count'!AE269*'Phytopl Count'!AE$13/'Phytopl Count'!AE$8)</f>
        <v/>
      </c>
      <c r="AF269" s="31" t="str">
        <f>IF('Phytopl Count'!AF269=0,"",'Phytopl Count'!AF269*'Phytopl Count'!AF$13/'Phytopl Count'!AF$8)</f>
        <v/>
      </c>
    </row>
    <row r="270" spans="1:32" ht="15" customHeight="1">
      <c r="A270" s="4"/>
      <c r="D270" s="10" t="s">
        <v>5</v>
      </c>
      <c r="E270" s="176" t="s">
        <v>403</v>
      </c>
      <c r="F270" s="11"/>
      <c r="G270" s="31" t="str">
        <f>IF('Phytopl Count'!G270=0,"",'Phytopl Count'!G270*'Phytopl Count'!G$13/'Phytopl Count'!G$8)</f>
        <v/>
      </c>
      <c r="H270" s="31" t="str">
        <f>IF('Phytopl Count'!H270=0,"",'Phytopl Count'!H270*'Phytopl Count'!H$13/'Phytopl Count'!H$8)</f>
        <v/>
      </c>
      <c r="I270" s="31" t="str">
        <f>IF('Phytopl Count'!I270=0,"",'Phytopl Count'!I270*'Phytopl Count'!I$13/'Phytopl Count'!I$8)</f>
        <v/>
      </c>
      <c r="J270" s="31" t="str">
        <f>IF('Phytopl Count'!J270=0,"",'Phytopl Count'!J270*'Phytopl Count'!J$13/'Phytopl Count'!J$8)</f>
        <v/>
      </c>
      <c r="K270" s="31" t="str">
        <f>IF('Phytopl Count'!K270=0,"",'Phytopl Count'!K270*'Phytopl Count'!K$13/'Phytopl Count'!K$8)</f>
        <v/>
      </c>
      <c r="L270" s="31" t="str">
        <f>IF('Phytopl Count'!L270=0,"",'Phytopl Count'!L270*'Phytopl Count'!L$13/'Phytopl Count'!L$8)</f>
        <v/>
      </c>
      <c r="M270" s="31" t="str">
        <f>IF('Phytopl Count'!M270=0,"",'Phytopl Count'!M270*'Phytopl Count'!M$13/'Phytopl Count'!M$8)</f>
        <v/>
      </c>
      <c r="N270" s="31" t="str">
        <f>IF('Phytopl Count'!N270=0,"",'Phytopl Count'!N270*'Phytopl Count'!N$13/'Phytopl Count'!N$8)</f>
        <v/>
      </c>
      <c r="O270" s="31" t="str">
        <f>IF('Phytopl Count'!O270=0,"",'Phytopl Count'!O270*'Phytopl Count'!O$13/'Phytopl Count'!O$8)</f>
        <v/>
      </c>
      <c r="P270" s="31" t="str">
        <f>IF('Phytopl Count'!P270=0,"",'Phytopl Count'!P270*'Phytopl Count'!P$13/'Phytopl Count'!P$8)</f>
        <v/>
      </c>
      <c r="Q270" s="31" t="str">
        <f>IF('Phytopl Count'!Q270=0,"",'Phytopl Count'!Q270*'Phytopl Count'!Q$13/'Phytopl Count'!Q$8)</f>
        <v/>
      </c>
      <c r="R270" s="31" t="str">
        <f>IF('Phytopl Count'!R270=0,"",'Phytopl Count'!R270*'Phytopl Count'!R$13/'Phytopl Count'!R$8)</f>
        <v/>
      </c>
      <c r="S270" s="31" t="str">
        <f>IF('Phytopl Count'!S270=0,"",'Phytopl Count'!S270*'Phytopl Count'!S$13/'Phytopl Count'!S$8)</f>
        <v/>
      </c>
      <c r="T270" s="31" t="str">
        <f>IF('Phytopl Count'!T270=0,"",'Phytopl Count'!T270*'Phytopl Count'!T$13/'Phytopl Count'!T$8)</f>
        <v/>
      </c>
      <c r="U270" s="31" t="str">
        <f>IF('Phytopl Count'!U270=0,"",'Phytopl Count'!U270*'Phytopl Count'!U$13/'Phytopl Count'!U$8)</f>
        <v/>
      </c>
      <c r="V270" s="31" t="str">
        <f>IF('Phytopl Count'!V270=0,"",'Phytopl Count'!V270*'Phytopl Count'!V$13/'Phytopl Count'!V$8)</f>
        <v/>
      </c>
      <c r="W270" s="31" t="str">
        <f>IF('Phytopl Count'!W270=0,"",'Phytopl Count'!W270*'Phytopl Count'!W$13/'Phytopl Count'!W$8)</f>
        <v/>
      </c>
      <c r="X270" s="31" t="str">
        <f>IF('Phytopl Count'!X270=0,"",'Phytopl Count'!X270*'Phytopl Count'!X$13/'Phytopl Count'!X$8)</f>
        <v/>
      </c>
      <c r="Y270" s="31" t="str">
        <f>IF('Phytopl Count'!Y270=0,"",'Phytopl Count'!Y270*'Phytopl Count'!Y$13/'Phytopl Count'!Y$8)</f>
        <v/>
      </c>
      <c r="Z270" s="31" t="str">
        <f>IF('Phytopl Count'!Z270=0,"",'Phytopl Count'!Z270*'Phytopl Count'!Z$13/'Phytopl Count'!Z$8)</f>
        <v/>
      </c>
      <c r="AA270" s="31" t="str">
        <f>IF('Phytopl Count'!AA270=0,"",'Phytopl Count'!AA270*'Phytopl Count'!AA$13/'Phytopl Count'!AA$8)</f>
        <v/>
      </c>
      <c r="AB270" s="31" t="str">
        <f>IF('Phytopl Count'!AB270=0,"",'Phytopl Count'!AB270*'Phytopl Count'!AB$13/'Phytopl Count'!AB$8)</f>
        <v/>
      </c>
      <c r="AC270" s="31" t="str">
        <f>IF('Phytopl Count'!AC270=0,"",'Phytopl Count'!AC270*'Phytopl Count'!AC$13/'Phytopl Count'!AC$8)</f>
        <v/>
      </c>
      <c r="AD270" s="31" t="str">
        <f>IF('Phytopl Count'!AD270=0,"",'Phytopl Count'!AD270*'Phytopl Count'!AD$13/'Phytopl Count'!AD$8)</f>
        <v/>
      </c>
      <c r="AE270" s="31" t="str">
        <f>IF('Phytopl Count'!AE270=0,"",'Phytopl Count'!AE270*'Phytopl Count'!AE$13/'Phytopl Count'!AE$8)</f>
        <v/>
      </c>
      <c r="AF270" s="31" t="str">
        <f>IF('Phytopl Count'!AF270=0,"",'Phytopl Count'!AF270*'Phytopl Count'!AF$13/'Phytopl Count'!AF$8)</f>
        <v/>
      </c>
    </row>
    <row r="271" spans="1:32" ht="15" customHeight="1">
      <c r="A271" s="4"/>
      <c r="E271" s="10" t="s">
        <v>6</v>
      </c>
      <c r="F271" s="11" t="s">
        <v>412</v>
      </c>
      <c r="G271" s="31">
        <f>IF('Phytopl Count'!G271=0,"",'Phytopl Count'!G271*'Phytopl Count'!G$13/'Phytopl Count'!G$8)</f>
        <v>4.2708244687133343E-2</v>
      </c>
      <c r="H271" s="31">
        <f>IF('Phytopl Count'!H271=0,"",'Phytopl Count'!H271*'Phytopl Count'!H$13/'Phytopl Count'!H$8)</f>
        <v>0.33632742691117506</v>
      </c>
      <c r="I271" s="31" t="str">
        <f>IF('Phytopl Count'!I271=0,"",'Phytopl Count'!I271*'Phytopl Count'!I$13/'Phytopl Count'!I$8)</f>
        <v/>
      </c>
      <c r="J271" s="31">
        <f>IF('Phytopl Count'!J271=0,"",'Phytopl Count'!J271*'Phytopl Count'!J$13/'Phytopl Count'!J$8)</f>
        <v>0.12011693818256251</v>
      </c>
      <c r="K271" s="31">
        <f>IF('Phytopl Count'!K271=0,"",'Phytopl Count'!K271*'Phytopl Count'!K$13/'Phytopl Count'!K$8)</f>
        <v>0.12812473406140001</v>
      </c>
      <c r="L271" s="31">
        <f>IF('Phytopl Count'!L271=0,"",'Phytopl Count'!L271*'Phytopl Count'!L$13/'Phytopl Count'!L$8)</f>
        <v>2.4023387636512506E-2</v>
      </c>
      <c r="M271" s="31">
        <f>IF('Phytopl Count'!M271=0,"",'Phytopl Count'!M271*'Phytopl Count'!M$13/'Phytopl Count'!M$8)</f>
        <v>0.12011693818256251</v>
      </c>
      <c r="N271" s="31">
        <f>IF('Phytopl Count'!N271=0,"",'Phytopl Count'!N271*'Phytopl Count'!N$13/'Phytopl Count'!N$8)</f>
        <v>4.8046775273025012E-2</v>
      </c>
      <c r="O271" s="31" t="str">
        <f>IF('Phytopl Count'!O271=0,"",'Phytopl Count'!O271*'Phytopl Count'!O$13/'Phytopl Count'!O$8)</f>
        <v/>
      </c>
      <c r="P271" s="31">
        <f>IF('Phytopl Count'!P271=0,"",'Phytopl Count'!P271*'Phytopl Count'!P$13/'Phytopl Count'!P$8)</f>
        <v>3.2031183515350004E-2</v>
      </c>
      <c r="Q271" s="31">
        <f>IF('Phytopl Count'!Q271=0,"",'Phytopl Count'!Q271*'Phytopl Count'!Q$13/'Phytopl Count'!Q$8)</f>
        <v>0.12011693818256251</v>
      </c>
      <c r="R271" s="31">
        <f>IF('Phytopl Count'!R271=0,"",'Phytopl Count'!R271*'Phytopl Count'!R$13/'Phytopl Count'!R$8)</f>
        <v>0.12812473406140001</v>
      </c>
      <c r="S271" s="31">
        <f>IF('Phytopl Count'!S271=0,"",'Phytopl Count'!S271*'Phytopl Count'!S$13/'Phytopl Count'!S$8)</f>
        <v>0.14414032581907502</v>
      </c>
      <c r="T271" s="31" t="str">
        <f>IF('Phytopl Count'!T271=0,"",'Phytopl Count'!T271*'Phytopl Count'!T$13/'Phytopl Count'!T$8)</f>
        <v/>
      </c>
      <c r="U271" s="31">
        <f>IF('Phytopl Count'!U271=0,"",'Phytopl Count'!U271*'Phytopl Count'!U$13/'Phytopl Count'!U$8)</f>
        <v>0.51249893624560006</v>
      </c>
      <c r="V271" s="31">
        <f>IF('Phytopl Count'!V271=0,"",'Phytopl Count'!V271*'Phytopl Count'!V$13/'Phytopl Count'!V$8)</f>
        <v>0.20019489697093754</v>
      </c>
      <c r="W271" s="31">
        <f>IF('Phytopl Count'!W271=0,"",'Phytopl Count'!W271*'Phytopl Count'!W$13/'Phytopl Count'!W$8)</f>
        <v>9.6093550546050024E-2</v>
      </c>
      <c r="X271" s="31">
        <f>IF('Phytopl Count'!X271=0,"",'Phytopl Count'!X271*'Phytopl Count'!X$13/'Phytopl Count'!X$8)</f>
        <v>9.6093550546050024E-2</v>
      </c>
      <c r="Y271" s="31">
        <f>IF('Phytopl Count'!Y271=0,"",'Phytopl Count'!Y271*'Phytopl Count'!Y$13/'Phytopl Count'!Y$8)</f>
        <v>2.4023387636512506E-2</v>
      </c>
      <c r="Z271" s="31">
        <f>IF('Phytopl Count'!Z271=0,"",'Phytopl Count'!Z271*'Phytopl Count'!Z$13/'Phytopl Count'!Z$8)</f>
        <v>0.20820269284977502</v>
      </c>
      <c r="AA271" s="31">
        <f>IF('Phytopl Count'!AA271=0,"",'Phytopl Count'!AA271*'Phytopl Count'!AA$13/'Phytopl Count'!AA$8)</f>
        <v>0.19218710109210005</v>
      </c>
      <c r="AB271" s="31" t="str">
        <f>IF('Phytopl Count'!AB271=0,"",'Phytopl Count'!AB271*'Phytopl Count'!AB$13/'Phytopl Count'!AB$8)</f>
        <v/>
      </c>
      <c r="AC271" s="31">
        <f>IF('Phytopl Count'!AC271=0,"",'Phytopl Count'!AC271*'Phytopl Count'!AC$13/'Phytopl Count'!AC$8)</f>
        <v>0.25624946812280003</v>
      </c>
      <c r="AD271" s="31">
        <f>IF('Phytopl Count'!AD271=0,"",'Phytopl Count'!AD271*'Phytopl Count'!AD$13/'Phytopl Count'!AD$8)</f>
        <v>0.32031183515350004</v>
      </c>
      <c r="AE271" s="31">
        <f>IF('Phytopl Count'!AE271=0,"",'Phytopl Count'!AE271*'Phytopl Count'!AE$13/'Phytopl Count'!AE$8)</f>
        <v>2.4023387636512506E-2</v>
      </c>
      <c r="AF271" s="31">
        <f>IF('Phytopl Count'!AF271=0,"",'Phytopl Count'!AF271*'Phytopl Count'!AF$13/'Phytopl Count'!AF$8)</f>
        <v>0.32031183515350004</v>
      </c>
    </row>
    <row r="272" spans="1:32" ht="15" hidden="1" customHeight="1">
      <c r="A272" s="4"/>
      <c r="E272" s="10"/>
      <c r="F272" s="11" t="s">
        <v>404</v>
      </c>
      <c r="G272" s="31" t="str">
        <f>IF('Phytopl Count'!G272=0,"",'Phytopl Count'!G272*'Phytopl Count'!G$13/'Phytopl Count'!G$8)</f>
        <v/>
      </c>
      <c r="H272" s="31" t="str">
        <f>IF('Phytopl Count'!H272=0,"",'Phytopl Count'!H272*'Phytopl Count'!H$13/'Phytopl Count'!H$8)</f>
        <v/>
      </c>
      <c r="I272" s="31" t="str">
        <f>IF('Phytopl Count'!I272=0,"",'Phytopl Count'!I272*'Phytopl Count'!I$13/'Phytopl Count'!I$8)</f>
        <v/>
      </c>
      <c r="J272" s="31" t="str">
        <f>IF('Phytopl Count'!J272=0,"",'Phytopl Count'!J272*'Phytopl Count'!J$13/'Phytopl Count'!J$8)</f>
        <v/>
      </c>
      <c r="K272" s="31" t="str">
        <f>IF('Phytopl Count'!K272=0,"",'Phytopl Count'!K272*'Phytopl Count'!K$13/'Phytopl Count'!K$8)</f>
        <v/>
      </c>
      <c r="L272" s="31" t="str">
        <f>IF('Phytopl Count'!L272=0,"",'Phytopl Count'!L272*'Phytopl Count'!L$13/'Phytopl Count'!L$8)</f>
        <v/>
      </c>
      <c r="M272" s="31" t="str">
        <f>IF('Phytopl Count'!M272=0,"",'Phytopl Count'!M272*'Phytopl Count'!M$13/'Phytopl Count'!M$8)</f>
        <v/>
      </c>
      <c r="N272" s="31" t="str">
        <f>IF('Phytopl Count'!N272=0,"",'Phytopl Count'!N272*'Phytopl Count'!N$13/'Phytopl Count'!N$8)</f>
        <v/>
      </c>
      <c r="O272" s="31" t="str">
        <f>IF('Phytopl Count'!O272=0,"",'Phytopl Count'!O272*'Phytopl Count'!O$13/'Phytopl Count'!O$8)</f>
        <v/>
      </c>
      <c r="P272" s="31" t="str">
        <f>IF('Phytopl Count'!P272=0,"",'Phytopl Count'!P272*'Phytopl Count'!P$13/'Phytopl Count'!P$8)</f>
        <v/>
      </c>
      <c r="Q272" s="31" t="str">
        <f>IF('Phytopl Count'!Q272=0,"",'Phytopl Count'!Q272*'Phytopl Count'!Q$13/'Phytopl Count'!Q$8)</f>
        <v/>
      </c>
      <c r="R272" s="31" t="str">
        <f>IF('Phytopl Count'!R272=0,"",'Phytopl Count'!R272*'Phytopl Count'!R$13/'Phytopl Count'!R$8)</f>
        <v/>
      </c>
      <c r="S272" s="31" t="str">
        <f>IF('Phytopl Count'!S272=0,"",'Phytopl Count'!S272*'Phytopl Count'!S$13/'Phytopl Count'!S$8)</f>
        <v/>
      </c>
      <c r="T272" s="31" t="str">
        <f>IF('Phytopl Count'!T272=0,"",'Phytopl Count'!T272*'Phytopl Count'!T$13/'Phytopl Count'!T$8)</f>
        <v/>
      </c>
      <c r="U272" s="31" t="str">
        <f>IF('Phytopl Count'!U272=0,"",'Phytopl Count'!U272*'Phytopl Count'!U$13/'Phytopl Count'!U$8)</f>
        <v/>
      </c>
      <c r="V272" s="31" t="str">
        <f>IF('Phytopl Count'!V272=0,"",'Phytopl Count'!V272*'Phytopl Count'!V$13/'Phytopl Count'!V$8)</f>
        <v/>
      </c>
      <c r="W272" s="31" t="str">
        <f>IF('Phytopl Count'!W272=0,"",'Phytopl Count'!W272*'Phytopl Count'!W$13/'Phytopl Count'!W$8)</f>
        <v/>
      </c>
      <c r="X272" s="31" t="str">
        <f>IF('Phytopl Count'!X272=0,"",'Phytopl Count'!X272*'Phytopl Count'!X$13/'Phytopl Count'!X$8)</f>
        <v/>
      </c>
      <c r="Y272" s="31" t="str">
        <f>IF('Phytopl Count'!Y272=0,"",'Phytopl Count'!Y272*'Phytopl Count'!Y$13/'Phytopl Count'!Y$8)</f>
        <v/>
      </c>
      <c r="Z272" s="31" t="str">
        <f>IF('Phytopl Count'!Z272=0,"",'Phytopl Count'!Z272*'Phytopl Count'!Z$13/'Phytopl Count'!Z$8)</f>
        <v/>
      </c>
      <c r="AA272" s="31" t="str">
        <f>IF('Phytopl Count'!AA272=0,"",'Phytopl Count'!AA272*'Phytopl Count'!AA$13/'Phytopl Count'!AA$8)</f>
        <v/>
      </c>
      <c r="AB272" s="31" t="str">
        <f>IF('Phytopl Count'!AB272=0,"",'Phytopl Count'!AB272*'Phytopl Count'!AB$13/'Phytopl Count'!AB$8)</f>
        <v/>
      </c>
      <c r="AC272" s="31" t="str">
        <f>IF('Phytopl Count'!AC272=0,"",'Phytopl Count'!AC272*'Phytopl Count'!AC$13/'Phytopl Count'!AC$8)</f>
        <v/>
      </c>
      <c r="AD272" s="31" t="str">
        <f>IF('Phytopl Count'!AD272=0,"",'Phytopl Count'!AD272*'Phytopl Count'!AD$13/'Phytopl Count'!AD$8)</f>
        <v/>
      </c>
      <c r="AE272" s="31" t="str">
        <f>IF('Phytopl Count'!AE272=0,"",'Phytopl Count'!AE272*'Phytopl Count'!AE$13/'Phytopl Count'!AE$8)</f>
        <v/>
      </c>
      <c r="AF272" s="31" t="str">
        <f>IF('Phytopl Count'!AF272=0,"",'Phytopl Count'!AF272*'Phytopl Count'!AF$13/'Phytopl Count'!AF$8)</f>
        <v/>
      </c>
    </row>
    <row r="273" spans="1:32" ht="15" hidden="1" customHeight="1">
      <c r="A273" s="4"/>
      <c r="B273" s="4"/>
      <c r="C273" s="16" t="s">
        <v>73</v>
      </c>
      <c r="D273" s="4" t="s">
        <v>405</v>
      </c>
      <c r="E273" s="10"/>
      <c r="F273" s="9"/>
      <c r="G273" s="31" t="str">
        <f>IF('Phytopl Count'!G273=0,"",'Phytopl Count'!G273*'Phytopl Count'!G$13/'Phytopl Count'!G$8)</f>
        <v/>
      </c>
      <c r="H273" s="31" t="str">
        <f>IF('Phytopl Count'!H273=0,"",'Phytopl Count'!H273*'Phytopl Count'!H$13/'Phytopl Count'!H$8)</f>
        <v/>
      </c>
      <c r="I273" s="31" t="str">
        <f>IF('Phytopl Count'!I273=0,"",'Phytopl Count'!I273*'Phytopl Count'!I$13/'Phytopl Count'!I$8)</f>
        <v/>
      </c>
      <c r="J273" s="31" t="str">
        <f>IF('Phytopl Count'!J273=0,"",'Phytopl Count'!J273*'Phytopl Count'!J$13/'Phytopl Count'!J$8)</f>
        <v/>
      </c>
      <c r="K273" s="31" t="str">
        <f>IF('Phytopl Count'!K273=0,"",'Phytopl Count'!K273*'Phytopl Count'!K$13/'Phytopl Count'!K$8)</f>
        <v/>
      </c>
      <c r="L273" s="31" t="str">
        <f>IF('Phytopl Count'!L273=0,"",'Phytopl Count'!L273*'Phytopl Count'!L$13/'Phytopl Count'!L$8)</f>
        <v/>
      </c>
      <c r="M273" s="31" t="str">
        <f>IF('Phytopl Count'!M273=0,"",'Phytopl Count'!M273*'Phytopl Count'!M$13/'Phytopl Count'!M$8)</f>
        <v/>
      </c>
      <c r="N273" s="31" t="str">
        <f>IF('Phytopl Count'!N273=0,"",'Phytopl Count'!N273*'Phytopl Count'!N$13/'Phytopl Count'!N$8)</f>
        <v/>
      </c>
      <c r="O273" s="31" t="str">
        <f>IF('Phytopl Count'!O273=0,"",'Phytopl Count'!O273*'Phytopl Count'!O$13/'Phytopl Count'!O$8)</f>
        <v/>
      </c>
      <c r="P273" s="31" t="str">
        <f>IF('Phytopl Count'!P273=0,"",'Phytopl Count'!P273*'Phytopl Count'!P$13/'Phytopl Count'!P$8)</f>
        <v/>
      </c>
      <c r="Q273" s="31" t="str">
        <f>IF('Phytopl Count'!Q273=0,"",'Phytopl Count'!Q273*'Phytopl Count'!Q$13/'Phytopl Count'!Q$8)</f>
        <v/>
      </c>
      <c r="R273" s="31" t="str">
        <f>IF('Phytopl Count'!R273=0,"",'Phytopl Count'!R273*'Phytopl Count'!R$13/'Phytopl Count'!R$8)</f>
        <v/>
      </c>
      <c r="S273" s="31" t="str">
        <f>IF('Phytopl Count'!S273=0,"",'Phytopl Count'!S273*'Phytopl Count'!S$13/'Phytopl Count'!S$8)</f>
        <v/>
      </c>
      <c r="T273" s="31" t="str">
        <f>IF('Phytopl Count'!T273=0,"",'Phytopl Count'!T273*'Phytopl Count'!T$13/'Phytopl Count'!T$8)</f>
        <v/>
      </c>
      <c r="U273" s="31" t="str">
        <f>IF('Phytopl Count'!U273=0,"",'Phytopl Count'!U273*'Phytopl Count'!U$13/'Phytopl Count'!U$8)</f>
        <v/>
      </c>
      <c r="V273" s="31" t="str">
        <f>IF('Phytopl Count'!V273=0,"",'Phytopl Count'!V273*'Phytopl Count'!V$13/'Phytopl Count'!V$8)</f>
        <v/>
      </c>
      <c r="W273" s="31" t="str">
        <f>IF('Phytopl Count'!W273=0,"",'Phytopl Count'!W273*'Phytopl Count'!W$13/'Phytopl Count'!W$8)</f>
        <v/>
      </c>
      <c r="X273" s="31" t="str">
        <f>IF('Phytopl Count'!X273=0,"",'Phytopl Count'!X273*'Phytopl Count'!X$13/'Phytopl Count'!X$8)</f>
        <v/>
      </c>
      <c r="Y273" s="31" t="str">
        <f>IF('Phytopl Count'!Y273=0,"",'Phytopl Count'!Y273*'Phytopl Count'!Y$13/'Phytopl Count'!Y$8)</f>
        <v/>
      </c>
      <c r="Z273" s="31" t="str">
        <f>IF('Phytopl Count'!Z273=0,"",'Phytopl Count'!Z273*'Phytopl Count'!Z$13/'Phytopl Count'!Z$8)</f>
        <v/>
      </c>
      <c r="AA273" s="31" t="str">
        <f>IF('Phytopl Count'!AA273=0,"",'Phytopl Count'!AA273*'Phytopl Count'!AA$13/'Phytopl Count'!AA$8)</f>
        <v/>
      </c>
      <c r="AB273" s="31" t="str">
        <f>IF('Phytopl Count'!AB273=0,"",'Phytopl Count'!AB273*'Phytopl Count'!AB$13/'Phytopl Count'!AB$8)</f>
        <v/>
      </c>
      <c r="AC273" s="31" t="str">
        <f>IF('Phytopl Count'!AC273=0,"",'Phytopl Count'!AC273*'Phytopl Count'!AC$13/'Phytopl Count'!AC$8)</f>
        <v/>
      </c>
      <c r="AD273" s="31" t="str">
        <f>IF('Phytopl Count'!AD273=0,"",'Phytopl Count'!AD273*'Phytopl Count'!AD$13/'Phytopl Count'!AD$8)</f>
        <v/>
      </c>
      <c r="AE273" s="31" t="str">
        <f>IF('Phytopl Count'!AE273=0,"",'Phytopl Count'!AE273*'Phytopl Count'!AE$13/'Phytopl Count'!AE$8)</f>
        <v/>
      </c>
      <c r="AF273" s="31" t="str">
        <f>IF('Phytopl Count'!AF273=0,"",'Phytopl Count'!AF273*'Phytopl Count'!AF$13/'Phytopl Count'!AF$8)</f>
        <v/>
      </c>
    </row>
    <row r="274" spans="1:32" ht="15" hidden="1" customHeight="1">
      <c r="A274" s="4"/>
      <c r="D274" s="10" t="s">
        <v>5</v>
      </c>
      <c r="E274" s="177" t="s">
        <v>406</v>
      </c>
      <c r="F274" s="11"/>
      <c r="G274" s="31" t="str">
        <f>IF('Phytopl Count'!G274=0,"",'Phytopl Count'!G274*'Phytopl Count'!G$13/'Phytopl Count'!G$8)</f>
        <v/>
      </c>
      <c r="H274" s="31" t="str">
        <f>IF('Phytopl Count'!H274=0,"",'Phytopl Count'!H274*'Phytopl Count'!H$13/'Phytopl Count'!H$8)</f>
        <v/>
      </c>
      <c r="I274" s="31" t="str">
        <f>IF('Phytopl Count'!I274=0,"",'Phytopl Count'!I274*'Phytopl Count'!I$13/'Phytopl Count'!I$8)</f>
        <v/>
      </c>
      <c r="J274" s="31" t="str">
        <f>IF('Phytopl Count'!J274=0,"",'Phytopl Count'!J274*'Phytopl Count'!J$13/'Phytopl Count'!J$8)</f>
        <v/>
      </c>
      <c r="K274" s="31" t="str">
        <f>IF('Phytopl Count'!K274=0,"",'Phytopl Count'!K274*'Phytopl Count'!K$13/'Phytopl Count'!K$8)</f>
        <v/>
      </c>
      <c r="L274" s="31" t="str">
        <f>IF('Phytopl Count'!L274=0,"",'Phytopl Count'!L274*'Phytopl Count'!L$13/'Phytopl Count'!L$8)</f>
        <v/>
      </c>
      <c r="M274" s="31" t="str">
        <f>IF('Phytopl Count'!M274=0,"",'Phytopl Count'!M274*'Phytopl Count'!M$13/'Phytopl Count'!M$8)</f>
        <v/>
      </c>
      <c r="N274" s="31" t="str">
        <f>IF('Phytopl Count'!N274=0,"",'Phytopl Count'!N274*'Phytopl Count'!N$13/'Phytopl Count'!N$8)</f>
        <v/>
      </c>
      <c r="O274" s="31" t="str">
        <f>IF('Phytopl Count'!O274=0,"",'Phytopl Count'!O274*'Phytopl Count'!O$13/'Phytopl Count'!O$8)</f>
        <v/>
      </c>
      <c r="P274" s="31" t="str">
        <f>IF('Phytopl Count'!P274=0,"",'Phytopl Count'!P274*'Phytopl Count'!P$13/'Phytopl Count'!P$8)</f>
        <v/>
      </c>
      <c r="Q274" s="31" t="str">
        <f>IF('Phytopl Count'!Q274=0,"",'Phytopl Count'!Q274*'Phytopl Count'!Q$13/'Phytopl Count'!Q$8)</f>
        <v/>
      </c>
      <c r="R274" s="31" t="str">
        <f>IF('Phytopl Count'!R274=0,"",'Phytopl Count'!R274*'Phytopl Count'!R$13/'Phytopl Count'!R$8)</f>
        <v/>
      </c>
      <c r="S274" s="31" t="str">
        <f>IF('Phytopl Count'!S274=0,"",'Phytopl Count'!S274*'Phytopl Count'!S$13/'Phytopl Count'!S$8)</f>
        <v/>
      </c>
      <c r="T274" s="31" t="str">
        <f>IF('Phytopl Count'!T274=0,"",'Phytopl Count'!T274*'Phytopl Count'!T$13/'Phytopl Count'!T$8)</f>
        <v/>
      </c>
      <c r="U274" s="31" t="str">
        <f>IF('Phytopl Count'!U274=0,"",'Phytopl Count'!U274*'Phytopl Count'!U$13/'Phytopl Count'!U$8)</f>
        <v/>
      </c>
      <c r="V274" s="31" t="str">
        <f>IF('Phytopl Count'!V274=0,"",'Phytopl Count'!V274*'Phytopl Count'!V$13/'Phytopl Count'!V$8)</f>
        <v/>
      </c>
      <c r="W274" s="31" t="str">
        <f>IF('Phytopl Count'!W274=0,"",'Phytopl Count'!W274*'Phytopl Count'!W$13/'Phytopl Count'!W$8)</f>
        <v/>
      </c>
      <c r="X274" s="31" t="str">
        <f>IF('Phytopl Count'!X274=0,"",'Phytopl Count'!X274*'Phytopl Count'!X$13/'Phytopl Count'!X$8)</f>
        <v/>
      </c>
      <c r="Y274" s="31" t="str">
        <f>IF('Phytopl Count'!Y274=0,"",'Phytopl Count'!Y274*'Phytopl Count'!Y$13/'Phytopl Count'!Y$8)</f>
        <v/>
      </c>
      <c r="Z274" s="31" t="str">
        <f>IF('Phytopl Count'!Z274=0,"",'Phytopl Count'!Z274*'Phytopl Count'!Z$13/'Phytopl Count'!Z$8)</f>
        <v/>
      </c>
      <c r="AA274" s="31" t="str">
        <f>IF('Phytopl Count'!AA274=0,"",'Phytopl Count'!AA274*'Phytopl Count'!AA$13/'Phytopl Count'!AA$8)</f>
        <v/>
      </c>
      <c r="AB274" s="31" t="str">
        <f>IF('Phytopl Count'!AB274=0,"",'Phytopl Count'!AB274*'Phytopl Count'!AB$13/'Phytopl Count'!AB$8)</f>
        <v/>
      </c>
      <c r="AC274" s="31" t="str">
        <f>IF('Phytopl Count'!AC274=0,"",'Phytopl Count'!AC274*'Phytopl Count'!AC$13/'Phytopl Count'!AC$8)</f>
        <v/>
      </c>
      <c r="AD274" s="31" t="str">
        <f>IF('Phytopl Count'!AD274=0,"",'Phytopl Count'!AD274*'Phytopl Count'!AD$13/'Phytopl Count'!AD$8)</f>
        <v/>
      </c>
      <c r="AE274" s="31" t="str">
        <f>IF('Phytopl Count'!AE274=0,"",'Phytopl Count'!AE274*'Phytopl Count'!AE$13/'Phytopl Count'!AE$8)</f>
        <v/>
      </c>
      <c r="AF274" s="31" t="str">
        <f>IF('Phytopl Count'!AF274=0,"",'Phytopl Count'!AF274*'Phytopl Count'!AF$13/'Phytopl Count'!AF$8)</f>
        <v/>
      </c>
    </row>
    <row r="275" spans="1:32" ht="15" hidden="1" customHeight="1">
      <c r="A275" s="4"/>
      <c r="E275" s="10" t="s">
        <v>6</v>
      </c>
      <c r="F275" s="11" t="s">
        <v>407</v>
      </c>
      <c r="G275" s="31" t="str">
        <f>IF('Phytopl Count'!G275=0,"",'Phytopl Count'!G275*'Phytopl Count'!G$13/'Phytopl Count'!G$8)</f>
        <v/>
      </c>
      <c r="H275" s="31" t="str">
        <f>IF('Phytopl Count'!H275=0,"",'Phytopl Count'!H275*'Phytopl Count'!H$13/'Phytopl Count'!H$8)</f>
        <v/>
      </c>
      <c r="I275" s="31" t="str">
        <f>IF('Phytopl Count'!I275=0,"",'Phytopl Count'!I275*'Phytopl Count'!I$13/'Phytopl Count'!I$8)</f>
        <v/>
      </c>
      <c r="J275" s="31" t="str">
        <f>IF('Phytopl Count'!J275=0,"",'Phytopl Count'!J275*'Phytopl Count'!J$13/'Phytopl Count'!J$8)</f>
        <v/>
      </c>
      <c r="K275" s="31" t="str">
        <f>IF('Phytopl Count'!K275=0,"",'Phytopl Count'!K275*'Phytopl Count'!K$13/'Phytopl Count'!K$8)</f>
        <v/>
      </c>
      <c r="L275" s="31" t="str">
        <f>IF('Phytopl Count'!L275=0,"",'Phytopl Count'!L275*'Phytopl Count'!L$13/'Phytopl Count'!L$8)</f>
        <v/>
      </c>
      <c r="M275" s="31" t="str">
        <f>IF('Phytopl Count'!M275=0,"",'Phytopl Count'!M275*'Phytopl Count'!M$13/'Phytopl Count'!M$8)</f>
        <v/>
      </c>
      <c r="N275" s="31" t="str">
        <f>IF('Phytopl Count'!N275=0,"",'Phytopl Count'!N275*'Phytopl Count'!N$13/'Phytopl Count'!N$8)</f>
        <v/>
      </c>
      <c r="O275" s="31" t="str">
        <f>IF('Phytopl Count'!O275=0,"",'Phytopl Count'!O275*'Phytopl Count'!O$13/'Phytopl Count'!O$8)</f>
        <v/>
      </c>
      <c r="P275" s="31" t="str">
        <f>IF('Phytopl Count'!P275=0,"",'Phytopl Count'!P275*'Phytopl Count'!P$13/'Phytopl Count'!P$8)</f>
        <v/>
      </c>
      <c r="Q275" s="31" t="str">
        <f>IF('Phytopl Count'!Q275=0,"",'Phytopl Count'!Q275*'Phytopl Count'!Q$13/'Phytopl Count'!Q$8)</f>
        <v/>
      </c>
      <c r="R275" s="31" t="str">
        <f>IF('Phytopl Count'!R275=0,"",'Phytopl Count'!R275*'Phytopl Count'!R$13/'Phytopl Count'!R$8)</f>
        <v/>
      </c>
      <c r="S275" s="31" t="str">
        <f>IF('Phytopl Count'!S275=0,"",'Phytopl Count'!S275*'Phytopl Count'!S$13/'Phytopl Count'!S$8)</f>
        <v/>
      </c>
      <c r="T275" s="31" t="str">
        <f>IF('Phytopl Count'!T275=0,"",'Phytopl Count'!T275*'Phytopl Count'!T$13/'Phytopl Count'!T$8)</f>
        <v/>
      </c>
      <c r="U275" s="31" t="str">
        <f>IF('Phytopl Count'!U275=0,"",'Phytopl Count'!U275*'Phytopl Count'!U$13/'Phytopl Count'!U$8)</f>
        <v/>
      </c>
      <c r="V275" s="31" t="str">
        <f>IF('Phytopl Count'!V275=0,"",'Phytopl Count'!V275*'Phytopl Count'!V$13/'Phytopl Count'!V$8)</f>
        <v/>
      </c>
      <c r="W275" s="31" t="str">
        <f>IF('Phytopl Count'!W275=0,"",'Phytopl Count'!W275*'Phytopl Count'!W$13/'Phytopl Count'!W$8)</f>
        <v/>
      </c>
      <c r="X275" s="31" t="str">
        <f>IF('Phytopl Count'!X275=0,"",'Phytopl Count'!X275*'Phytopl Count'!X$13/'Phytopl Count'!X$8)</f>
        <v/>
      </c>
      <c r="Y275" s="31" t="str">
        <f>IF('Phytopl Count'!Y275=0,"",'Phytopl Count'!Y275*'Phytopl Count'!Y$13/'Phytopl Count'!Y$8)</f>
        <v/>
      </c>
      <c r="Z275" s="31" t="str">
        <f>IF('Phytopl Count'!Z275=0,"",'Phytopl Count'!Z275*'Phytopl Count'!Z$13/'Phytopl Count'!Z$8)</f>
        <v/>
      </c>
      <c r="AA275" s="31" t="str">
        <f>IF('Phytopl Count'!AA275=0,"",'Phytopl Count'!AA275*'Phytopl Count'!AA$13/'Phytopl Count'!AA$8)</f>
        <v/>
      </c>
      <c r="AB275" s="31" t="str">
        <f>IF('Phytopl Count'!AB275=0,"",'Phytopl Count'!AB275*'Phytopl Count'!AB$13/'Phytopl Count'!AB$8)</f>
        <v/>
      </c>
      <c r="AC275" s="31" t="str">
        <f>IF('Phytopl Count'!AC275=0,"",'Phytopl Count'!AC275*'Phytopl Count'!AC$13/'Phytopl Count'!AC$8)</f>
        <v/>
      </c>
      <c r="AD275" s="31" t="str">
        <f>IF('Phytopl Count'!AD275=0,"",'Phytopl Count'!AD275*'Phytopl Count'!AD$13/'Phytopl Count'!AD$8)</f>
        <v/>
      </c>
      <c r="AE275" s="31" t="str">
        <f>IF('Phytopl Count'!AE275=0,"",'Phytopl Count'!AE275*'Phytopl Count'!AE$13/'Phytopl Count'!AE$8)</f>
        <v/>
      </c>
      <c r="AF275" s="31" t="str">
        <f>IF('Phytopl Count'!AF275=0,"",'Phytopl Count'!AF275*'Phytopl Count'!AF$13/'Phytopl Count'!AF$8)</f>
        <v/>
      </c>
    </row>
    <row r="276" spans="1:32" ht="15" hidden="1" customHeight="1">
      <c r="A276" s="4"/>
      <c r="E276" s="10"/>
      <c r="F276" s="11"/>
      <c r="G276" s="31" t="str">
        <f>IF('Phytopl Count'!G276=0,"",'Phytopl Count'!G276*'Phytopl Count'!G$13/'Phytopl Count'!G$8)</f>
        <v/>
      </c>
      <c r="H276" s="31" t="str">
        <f>IF('Phytopl Count'!H276=0,"",'Phytopl Count'!H276*'Phytopl Count'!H$13/'Phytopl Count'!H$8)</f>
        <v/>
      </c>
      <c r="I276" s="31" t="str">
        <f>IF('Phytopl Count'!I276=0,"",'Phytopl Count'!I276*'Phytopl Count'!I$13/'Phytopl Count'!I$8)</f>
        <v/>
      </c>
      <c r="J276" s="31" t="str">
        <f>IF('Phytopl Count'!J276=0,"",'Phytopl Count'!J276*'Phytopl Count'!J$13/'Phytopl Count'!J$8)</f>
        <v/>
      </c>
      <c r="K276" s="31" t="str">
        <f>IF('Phytopl Count'!K276=0,"",'Phytopl Count'!K276*'Phytopl Count'!K$13/'Phytopl Count'!K$8)</f>
        <v/>
      </c>
      <c r="L276" s="31" t="str">
        <f>IF('Phytopl Count'!L276=0,"",'Phytopl Count'!L276*'Phytopl Count'!L$13/'Phytopl Count'!L$8)</f>
        <v/>
      </c>
      <c r="M276" s="31" t="str">
        <f>IF('Phytopl Count'!M276=0,"",'Phytopl Count'!M276*'Phytopl Count'!M$13/'Phytopl Count'!M$8)</f>
        <v/>
      </c>
      <c r="N276" s="31" t="str">
        <f>IF('Phytopl Count'!N276=0,"",'Phytopl Count'!N276*'Phytopl Count'!N$13/'Phytopl Count'!N$8)</f>
        <v/>
      </c>
      <c r="O276" s="31" t="str">
        <f>IF('Phytopl Count'!O276=0,"",'Phytopl Count'!O276*'Phytopl Count'!O$13/'Phytopl Count'!O$8)</f>
        <v/>
      </c>
      <c r="P276" s="31" t="str">
        <f>IF('Phytopl Count'!P276=0,"",'Phytopl Count'!P276*'Phytopl Count'!P$13/'Phytopl Count'!P$8)</f>
        <v/>
      </c>
      <c r="Q276" s="31" t="str">
        <f>IF('Phytopl Count'!Q276=0,"",'Phytopl Count'!Q276*'Phytopl Count'!Q$13/'Phytopl Count'!Q$8)</f>
        <v/>
      </c>
      <c r="R276" s="31" t="str">
        <f>IF('Phytopl Count'!R276=0,"",'Phytopl Count'!R276*'Phytopl Count'!R$13/'Phytopl Count'!R$8)</f>
        <v/>
      </c>
      <c r="S276" s="31" t="str">
        <f>IF('Phytopl Count'!S276=0,"",'Phytopl Count'!S276*'Phytopl Count'!S$13/'Phytopl Count'!S$8)</f>
        <v/>
      </c>
      <c r="T276" s="31" t="str">
        <f>IF('Phytopl Count'!T276=0,"",'Phytopl Count'!T276*'Phytopl Count'!T$13/'Phytopl Count'!T$8)</f>
        <v/>
      </c>
      <c r="U276" s="31" t="str">
        <f>IF('Phytopl Count'!U276=0,"",'Phytopl Count'!U276*'Phytopl Count'!U$13/'Phytopl Count'!U$8)</f>
        <v/>
      </c>
      <c r="V276" s="31" t="str">
        <f>IF('Phytopl Count'!V276=0,"",'Phytopl Count'!V276*'Phytopl Count'!V$13/'Phytopl Count'!V$8)</f>
        <v/>
      </c>
      <c r="W276" s="31" t="str">
        <f>IF('Phytopl Count'!W276=0,"",'Phytopl Count'!W276*'Phytopl Count'!W$13/'Phytopl Count'!W$8)</f>
        <v/>
      </c>
      <c r="X276" s="31" t="str">
        <f>IF('Phytopl Count'!X276=0,"",'Phytopl Count'!X276*'Phytopl Count'!X$13/'Phytopl Count'!X$8)</f>
        <v/>
      </c>
      <c r="Y276" s="31" t="str">
        <f>IF('Phytopl Count'!Y276=0,"",'Phytopl Count'!Y276*'Phytopl Count'!Y$13/'Phytopl Count'!Y$8)</f>
        <v/>
      </c>
      <c r="Z276" s="31" t="str">
        <f>IF('Phytopl Count'!Z276=0,"",'Phytopl Count'!Z276*'Phytopl Count'!Z$13/'Phytopl Count'!Z$8)</f>
        <v/>
      </c>
      <c r="AA276" s="31" t="str">
        <f>IF('Phytopl Count'!AA276=0,"",'Phytopl Count'!AA276*'Phytopl Count'!AA$13/'Phytopl Count'!AA$8)</f>
        <v/>
      </c>
      <c r="AB276" s="31" t="str">
        <f>IF('Phytopl Count'!AB276=0,"",'Phytopl Count'!AB276*'Phytopl Count'!AB$13/'Phytopl Count'!AB$8)</f>
        <v/>
      </c>
      <c r="AC276" s="31" t="str">
        <f>IF('Phytopl Count'!AC276=0,"",'Phytopl Count'!AC276*'Phytopl Count'!AC$13/'Phytopl Count'!AC$8)</f>
        <v/>
      </c>
      <c r="AD276" s="31" t="str">
        <f>IF('Phytopl Count'!AD276=0,"",'Phytopl Count'!AD276*'Phytopl Count'!AD$13/'Phytopl Count'!AD$8)</f>
        <v/>
      </c>
      <c r="AE276" s="31" t="str">
        <f>IF('Phytopl Count'!AE276=0,"",'Phytopl Count'!AE276*'Phytopl Count'!AE$13/'Phytopl Count'!AE$8)</f>
        <v/>
      </c>
      <c r="AF276" s="31" t="str">
        <f>IF('Phytopl Count'!AF276=0,"",'Phytopl Count'!AF276*'Phytopl Count'!AF$13/'Phytopl Count'!AF$8)</f>
        <v/>
      </c>
    </row>
    <row r="277" spans="1:32" ht="15" hidden="1" customHeight="1">
      <c r="A277" s="16" t="s">
        <v>4</v>
      </c>
      <c r="B277" s="4" t="s">
        <v>316</v>
      </c>
      <c r="C277" s="16"/>
      <c r="D277" s="4"/>
      <c r="E277" s="4"/>
      <c r="F277" s="59"/>
      <c r="G277" s="31" t="str">
        <f>IF('Phytopl Count'!G277=0,"",'Phytopl Count'!G277*'Phytopl Count'!G$13/'Phytopl Count'!G$8)</f>
        <v/>
      </c>
      <c r="H277" s="31" t="str">
        <f>IF('Phytopl Count'!H277=0,"",'Phytopl Count'!H277*'Phytopl Count'!H$13/'Phytopl Count'!H$8)</f>
        <v/>
      </c>
      <c r="I277" s="31" t="str">
        <f>IF('Phytopl Count'!I277=0,"",'Phytopl Count'!I277*'Phytopl Count'!I$13/'Phytopl Count'!I$8)</f>
        <v/>
      </c>
      <c r="J277" s="31" t="str">
        <f>IF('Phytopl Count'!J277=0,"",'Phytopl Count'!J277*'Phytopl Count'!J$13/'Phytopl Count'!J$8)</f>
        <v/>
      </c>
      <c r="K277" s="31" t="str">
        <f>IF('Phytopl Count'!K277=0,"",'Phytopl Count'!K277*'Phytopl Count'!K$13/'Phytopl Count'!K$8)</f>
        <v/>
      </c>
      <c r="L277" s="31" t="str">
        <f>IF('Phytopl Count'!L277=0,"",'Phytopl Count'!L277*'Phytopl Count'!L$13/'Phytopl Count'!L$8)</f>
        <v/>
      </c>
      <c r="M277" s="31" t="str">
        <f>IF('Phytopl Count'!M277=0,"",'Phytopl Count'!M277*'Phytopl Count'!M$13/'Phytopl Count'!M$8)</f>
        <v/>
      </c>
      <c r="N277" s="31" t="str">
        <f>IF('Phytopl Count'!N277=0,"",'Phytopl Count'!N277*'Phytopl Count'!N$13/'Phytopl Count'!N$8)</f>
        <v/>
      </c>
      <c r="O277" s="31" t="str">
        <f>IF('Phytopl Count'!O277=0,"",'Phytopl Count'!O277*'Phytopl Count'!O$13/'Phytopl Count'!O$8)</f>
        <v/>
      </c>
      <c r="P277" s="31" t="str">
        <f>IF('Phytopl Count'!P277=0,"",'Phytopl Count'!P277*'Phytopl Count'!P$13/'Phytopl Count'!P$8)</f>
        <v/>
      </c>
      <c r="Q277" s="31" t="str">
        <f>IF('Phytopl Count'!Q277=0,"",'Phytopl Count'!Q277*'Phytopl Count'!Q$13/'Phytopl Count'!Q$8)</f>
        <v/>
      </c>
      <c r="R277" s="31" t="str">
        <f>IF('Phytopl Count'!R277=0,"",'Phytopl Count'!R277*'Phytopl Count'!R$13/'Phytopl Count'!R$8)</f>
        <v/>
      </c>
      <c r="S277" s="31" t="str">
        <f>IF('Phytopl Count'!S277=0,"",'Phytopl Count'!S277*'Phytopl Count'!S$13/'Phytopl Count'!S$8)</f>
        <v/>
      </c>
      <c r="T277" s="31" t="str">
        <f>IF('Phytopl Count'!T277=0,"",'Phytopl Count'!T277*'Phytopl Count'!T$13/'Phytopl Count'!T$8)</f>
        <v/>
      </c>
      <c r="U277" s="31" t="str">
        <f>IF('Phytopl Count'!U277=0,"",'Phytopl Count'!U277*'Phytopl Count'!U$13/'Phytopl Count'!U$8)</f>
        <v/>
      </c>
      <c r="V277" s="31" t="str">
        <f>IF('Phytopl Count'!V277=0,"",'Phytopl Count'!V277*'Phytopl Count'!V$13/'Phytopl Count'!V$8)</f>
        <v/>
      </c>
      <c r="W277" s="31" t="str">
        <f>IF('Phytopl Count'!W277=0,"",'Phytopl Count'!W277*'Phytopl Count'!W$13/'Phytopl Count'!W$8)</f>
        <v/>
      </c>
      <c r="X277" s="31" t="str">
        <f>IF('Phytopl Count'!X277=0,"",'Phytopl Count'!X277*'Phytopl Count'!X$13/'Phytopl Count'!X$8)</f>
        <v/>
      </c>
      <c r="Y277" s="31" t="str">
        <f>IF('Phytopl Count'!Y277=0,"",'Phytopl Count'!Y277*'Phytopl Count'!Y$13/'Phytopl Count'!Y$8)</f>
        <v/>
      </c>
      <c r="Z277" s="31" t="str">
        <f>IF('Phytopl Count'!Z277=0,"",'Phytopl Count'!Z277*'Phytopl Count'!Z$13/'Phytopl Count'!Z$8)</f>
        <v/>
      </c>
      <c r="AA277" s="31" t="str">
        <f>IF('Phytopl Count'!AA277=0,"",'Phytopl Count'!AA277*'Phytopl Count'!AA$13/'Phytopl Count'!AA$8)</f>
        <v/>
      </c>
      <c r="AB277" s="31" t="str">
        <f>IF('Phytopl Count'!AB277=0,"",'Phytopl Count'!AB277*'Phytopl Count'!AB$13/'Phytopl Count'!AB$8)</f>
        <v/>
      </c>
      <c r="AC277" s="31" t="str">
        <f>IF('Phytopl Count'!AC277=0,"",'Phytopl Count'!AC277*'Phytopl Count'!AC$13/'Phytopl Count'!AC$8)</f>
        <v/>
      </c>
      <c r="AD277" s="31" t="str">
        <f>IF('Phytopl Count'!AD277=0,"",'Phytopl Count'!AD277*'Phytopl Count'!AD$13/'Phytopl Count'!AD$8)</f>
        <v/>
      </c>
      <c r="AE277" s="31" t="str">
        <f>IF('Phytopl Count'!AE277=0,"",'Phytopl Count'!AE277*'Phytopl Count'!AE$13/'Phytopl Count'!AE$8)</f>
        <v/>
      </c>
      <c r="AF277" s="31" t="str">
        <f>IF('Phytopl Count'!AF277=0,"",'Phytopl Count'!AF277*'Phytopl Count'!AF$13/'Phytopl Count'!AF$8)</f>
        <v/>
      </c>
    </row>
    <row r="278" spans="1:32" ht="15" hidden="1" customHeight="1">
      <c r="A278" s="16"/>
      <c r="B278" s="16" t="s">
        <v>72</v>
      </c>
      <c r="C278" s="28" t="s">
        <v>317</v>
      </c>
      <c r="D278" s="4"/>
      <c r="E278" s="4"/>
      <c r="F278" s="59"/>
      <c r="G278" s="31" t="str">
        <f>IF('Phytopl Count'!G278=0,"",'Phytopl Count'!G278*'Phytopl Count'!G$13/'Phytopl Count'!G$8)</f>
        <v/>
      </c>
      <c r="H278" s="31" t="str">
        <f>IF('Phytopl Count'!H278=0,"",'Phytopl Count'!H278*'Phytopl Count'!H$13/'Phytopl Count'!H$8)</f>
        <v/>
      </c>
      <c r="I278" s="31" t="str">
        <f>IF('Phytopl Count'!I278=0,"",'Phytopl Count'!I278*'Phytopl Count'!I$13/'Phytopl Count'!I$8)</f>
        <v/>
      </c>
      <c r="J278" s="31" t="str">
        <f>IF('Phytopl Count'!J278=0,"",'Phytopl Count'!J278*'Phytopl Count'!J$13/'Phytopl Count'!J$8)</f>
        <v/>
      </c>
      <c r="K278" s="31" t="str">
        <f>IF('Phytopl Count'!K278=0,"",'Phytopl Count'!K278*'Phytopl Count'!K$13/'Phytopl Count'!K$8)</f>
        <v/>
      </c>
      <c r="L278" s="31" t="str">
        <f>IF('Phytopl Count'!L278=0,"",'Phytopl Count'!L278*'Phytopl Count'!L$13/'Phytopl Count'!L$8)</f>
        <v/>
      </c>
      <c r="M278" s="31" t="str">
        <f>IF('Phytopl Count'!M278=0,"",'Phytopl Count'!M278*'Phytopl Count'!M$13/'Phytopl Count'!M$8)</f>
        <v/>
      </c>
      <c r="N278" s="31" t="str">
        <f>IF('Phytopl Count'!N278=0,"",'Phytopl Count'!N278*'Phytopl Count'!N$13/'Phytopl Count'!N$8)</f>
        <v/>
      </c>
      <c r="O278" s="31" t="str">
        <f>IF('Phytopl Count'!O278=0,"",'Phytopl Count'!O278*'Phytopl Count'!O$13/'Phytopl Count'!O$8)</f>
        <v/>
      </c>
      <c r="P278" s="31" t="str">
        <f>IF('Phytopl Count'!P278=0,"",'Phytopl Count'!P278*'Phytopl Count'!P$13/'Phytopl Count'!P$8)</f>
        <v/>
      </c>
      <c r="Q278" s="31" t="str">
        <f>IF('Phytopl Count'!Q278=0,"",'Phytopl Count'!Q278*'Phytopl Count'!Q$13/'Phytopl Count'!Q$8)</f>
        <v/>
      </c>
      <c r="R278" s="31" t="str">
        <f>IF('Phytopl Count'!R278=0,"",'Phytopl Count'!R278*'Phytopl Count'!R$13/'Phytopl Count'!R$8)</f>
        <v/>
      </c>
      <c r="S278" s="31" t="str">
        <f>IF('Phytopl Count'!S278=0,"",'Phytopl Count'!S278*'Phytopl Count'!S$13/'Phytopl Count'!S$8)</f>
        <v/>
      </c>
      <c r="T278" s="31" t="str">
        <f>IF('Phytopl Count'!T278=0,"",'Phytopl Count'!T278*'Phytopl Count'!T$13/'Phytopl Count'!T$8)</f>
        <v/>
      </c>
      <c r="U278" s="31" t="str">
        <f>IF('Phytopl Count'!U278=0,"",'Phytopl Count'!U278*'Phytopl Count'!U$13/'Phytopl Count'!U$8)</f>
        <v/>
      </c>
      <c r="V278" s="31" t="str">
        <f>IF('Phytopl Count'!V278=0,"",'Phytopl Count'!V278*'Phytopl Count'!V$13/'Phytopl Count'!V$8)</f>
        <v/>
      </c>
      <c r="W278" s="31" t="str">
        <f>IF('Phytopl Count'!W278=0,"",'Phytopl Count'!W278*'Phytopl Count'!W$13/'Phytopl Count'!W$8)</f>
        <v/>
      </c>
      <c r="X278" s="31" t="str">
        <f>IF('Phytopl Count'!X278=0,"",'Phytopl Count'!X278*'Phytopl Count'!X$13/'Phytopl Count'!X$8)</f>
        <v/>
      </c>
      <c r="Y278" s="31" t="str">
        <f>IF('Phytopl Count'!Y278=0,"",'Phytopl Count'!Y278*'Phytopl Count'!Y$13/'Phytopl Count'!Y$8)</f>
        <v/>
      </c>
      <c r="Z278" s="31" t="str">
        <f>IF('Phytopl Count'!Z278=0,"",'Phytopl Count'!Z278*'Phytopl Count'!Z$13/'Phytopl Count'!Z$8)</f>
        <v/>
      </c>
      <c r="AA278" s="31" t="str">
        <f>IF('Phytopl Count'!AA278=0,"",'Phytopl Count'!AA278*'Phytopl Count'!AA$13/'Phytopl Count'!AA$8)</f>
        <v/>
      </c>
      <c r="AB278" s="31" t="str">
        <f>IF('Phytopl Count'!AB278=0,"",'Phytopl Count'!AB278*'Phytopl Count'!AB$13/'Phytopl Count'!AB$8)</f>
        <v/>
      </c>
      <c r="AC278" s="31" t="str">
        <f>IF('Phytopl Count'!AC278=0,"",'Phytopl Count'!AC278*'Phytopl Count'!AC$13/'Phytopl Count'!AC$8)</f>
        <v/>
      </c>
      <c r="AD278" s="31" t="str">
        <f>IF('Phytopl Count'!AD278=0,"",'Phytopl Count'!AD278*'Phytopl Count'!AD$13/'Phytopl Count'!AD$8)</f>
        <v/>
      </c>
      <c r="AE278" s="31" t="str">
        <f>IF('Phytopl Count'!AE278=0,"",'Phytopl Count'!AE278*'Phytopl Count'!AE$13/'Phytopl Count'!AE$8)</f>
        <v/>
      </c>
      <c r="AF278" s="31" t="str">
        <f>IF('Phytopl Count'!AF278=0,"",'Phytopl Count'!AF278*'Phytopl Count'!AF$13/'Phytopl Count'!AF$8)</f>
        <v/>
      </c>
    </row>
    <row r="279" spans="1:32" ht="15" hidden="1" customHeight="1">
      <c r="A279" s="16"/>
      <c r="B279" s="4"/>
      <c r="C279" s="16" t="s">
        <v>73</v>
      </c>
      <c r="D279" s="4" t="s">
        <v>318</v>
      </c>
      <c r="E279" s="92"/>
      <c r="F279" s="11"/>
      <c r="G279" s="31" t="str">
        <f>IF('Phytopl Count'!G279=0,"",'Phytopl Count'!G279*'Phytopl Count'!G$13/'Phytopl Count'!G$8)</f>
        <v/>
      </c>
      <c r="H279" s="31" t="str">
        <f>IF('Phytopl Count'!H279=0,"",'Phytopl Count'!H279*'Phytopl Count'!H$13/'Phytopl Count'!H$8)</f>
        <v/>
      </c>
      <c r="I279" s="31" t="str">
        <f>IF('Phytopl Count'!I279=0,"",'Phytopl Count'!I279*'Phytopl Count'!I$13/'Phytopl Count'!I$8)</f>
        <v/>
      </c>
      <c r="J279" s="31" t="str">
        <f>IF('Phytopl Count'!J279=0,"",'Phytopl Count'!J279*'Phytopl Count'!J$13/'Phytopl Count'!J$8)</f>
        <v/>
      </c>
      <c r="K279" s="31" t="str">
        <f>IF('Phytopl Count'!K279=0,"",'Phytopl Count'!K279*'Phytopl Count'!K$13/'Phytopl Count'!K$8)</f>
        <v/>
      </c>
      <c r="L279" s="31" t="str">
        <f>IF('Phytopl Count'!L279=0,"",'Phytopl Count'!L279*'Phytopl Count'!L$13/'Phytopl Count'!L$8)</f>
        <v/>
      </c>
      <c r="M279" s="31" t="str">
        <f>IF('Phytopl Count'!M279=0,"",'Phytopl Count'!M279*'Phytopl Count'!M$13/'Phytopl Count'!M$8)</f>
        <v/>
      </c>
      <c r="N279" s="31" t="str">
        <f>IF('Phytopl Count'!N279=0,"",'Phytopl Count'!N279*'Phytopl Count'!N$13/'Phytopl Count'!N$8)</f>
        <v/>
      </c>
      <c r="O279" s="31" t="str">
        <f>IF('Phytopl Count'!O279=0,"",'Phytopl Count'!O279*'Phytopl Count'!O$13/'Phytopl Count'!O$8)</f>
        <v/>
      </c>
      <c r="P279" s="31" t="str">
        <f>IF('Phytopl Count'!P279=0,"",'Phytopl Count'!P279*'Phytopl Count'!P$13/'Phytopl Count'!P$8)</f>
        <v/>
      </c>
      <c r="Q279" s="31" t="str">
        <f>IF('Phytopl Count'!Q279=0,"",'Phytopl Count'!Q279*'Phytopl Count'!Q$13/'Phytopl Count'!Q$8)</f>
        <v/>
      </c>
      <c r="R279" s="31" t="str">
        <f>IF('Phytopl Count'!R279=0,"",'Phytopl Count'!R279*'Phytopl Count'!R$13/'Phytopl Count'!R$8)</f>
        <v/>
      </c>
      <c r="S279" s="31" t="str">
        <f>IF('Phytopl Count'!S279=0,"",'Phytopl Count'!S279*'Phytopl Count'!S$13/'Phytopl Count'!S$8)</f>
        <v/>
      </c>
      <c r="T279" s="31" t="str">
        <f>IF('Phytopl Count'!T279=0,"",'Phytopl Count'!T279*'Phytopl Count'!T$13/'Phytopl Count'!T$8)</f>
        <v/>
      </c>
      <c r="U279" s="31" t="str">
        <f>IF('Phytopl Count'!U279=0,"",'Phytopl Count'!U279*'Phytopl Count'!U$13/'Phytopl Count'!U$8)</f>
        <v/>
      </c>
      <c r="V279" s="31" t="str">
        <f>IF('Phytopl Count'!V279=0,"",'Phytopl Count'!V279*'Phytopl Count'!V$13/'Phytopl Count'!V$8)</f>
        <v/>
      </c>
      <c r="W279" s="31" t="str">
        <f>IF('Phytopl Count'!W279=0,"",'Phytopl Count'!W279*'Phytopl Count'!W$13/'Phytopl Count'!W$8)</f>
        <v/>
      </c>
      <c r="X279" s="31" t="str">
        <f>IF('Phytopl Count'!X279=0,"",'Phytopl Count'!X279*'Phytopl Count'!X$13/'Phytopl Count'!X$8)</f>
        <v/>
      </c>
      <c r="Y279" s="31" t="str">
        <f>IF('Phytopl Count'!Y279=0,"",'Phytopl Count'!Y279*'Phytopl Count'!Y$13/'Phytopl Count'!Y$8)</f>
        <v/>
      </c>
      <c r="Z279" s="31" t="str">
        <f>IF('Phytopl Count'!Z279=0,"",'Phytopl Count'!Z279*'Phytopl Count'!Z$13/'Phytopl Count'!Z$8)</f>
        <v/>
      </c>
      <c r="AA279" s="31" t="str">
        <f>IF('Phytopl Count'!AA279=0,"",'Phytopl Count'!AA279*'Phytopl Count'!AA$13/'Phytopl Count'!AA$8)</f>
        <v/>
      </c>
      <c r="AB279" s="31" t="str">
        <f>IF('Phytopl Count'!AB279=0,"",'Phytopl Count'!AB279*'Phytopl Count'!AB$13/'Phytopl Count'!AB$8)</f>
        <v/>
      </c>
      <c r="AC279" s="31" t="str">
        <f>IF('Phytopl Count'!AC279=0,"",'Phytopl Count'!AC279*'Phytopl Count'!AC$13/'Phytopl Count'!AC$8)</f>
        <v/>
      </c>
      <c r="AD279" s="31" t="str">
        <f>IF('Phytopl Count'!AD279=0,"",'Phytopl Count'!AD279*'Phytopl Count'!AD$13/'Phytopl Count'!AD$8)</f>
        <v/>
      </c>
      <c r="AE279" s="31" t="str">
        <f>IF('Phytopl Count'!AE279=0,"",'Phytopl Count'!AE279*'Phytopl Count'!AE$13/'Phytopl Count'!AE$8)</f>
        <v/>
      </c>
      <c r="AF279" s="31" t="str">
        <f>IF('Phytopl Count'!AF279=0,"",'Phytopl Count'!AF279*'Phytopl Count'!AF$13/'Phytopl Count'!AF$8)</f>
        <v/>
      </c>
    </row>
    <row r="280" spans="1:32" ht="15" hidden="1" customHeight="1">
      <c r="A280" s="4"/>
      <c r="B280" s="92"/>
      <c r="C280" s="92"/>
      <c r="D280" s="93" t="s">
        <v>5</v>
      </c>
      <c r="E280" s="154" t="s">
        <v>319</v>
      </c>
      <c r="F280" s="11"/>
      <c r="G280" s="31" t="str">
        <f>IF('Phytopl Count'!G280=0,"",'Phytopl Count'!G280*'Phytopl Count'!G$13/'Phytopl Count'!G$8)</f>
        <v/>
      </c>
      <c r="H280" s="31" t="str">
        <f>IF('Phytopl Count'!H280=0,"",'Phytopl Count'!H280*'Phytopl Count'!H$13/'Phytopl Count'!H$8)</f>
        <v/>
      </c>
      <c r="I280" s="31" t="str">
        <f>IF('Phytopl Count'!I280=0,"",'Phytopl Count'!I280*'Phytopl Count'!I$13/'Phytopl Count'!I$8)</f>
        <v/>
      </c>
      <c r="J280" s="31" t="str">
        <f>IF('Phytopl Count'!J280=0,"",'Phytopl Count'!J280*'Phytopl Count'!J$13/'Phytopl Count'!J$8)</f>
        <v/>
      </c>
      <c r="K280" s="31" t="str">
        <f>IF('Phytopl Count'!K280=0,"",'Phytopl Count'!K280*'Phytopl Count'!K$13/'Phytopl Count'!K$8)</f>
        <v/>
      </c>
      <c r="L280" s="31" t="str">
        <f>IF('Phytopl Count'!L280=0,"",'Phytopl Count'!L280*'Phytopl Count'!L$13/'Phytopl Count'!L$8)</f>
        <v/>
      </c>
      <c r="M280" s="31" t="str">
        <f>IF('Phytopl Count'!M280=0,"",'Phytopl Count'!M280*'Phytopl Count'!M$13/'Phytopl Count'!M$8)</f>
        <v/>
      </c>
      <c r="N280" s="31" t="str">
        <f>IF('Phytopl Count'!N280=0,"",'Phytopl Count'!N280*'Phytopl Count'!N$13/'Phytopl Count'!N$8)</f>
        <v/>
      </c>
      <c r="O280" s="31" t="str">
        <f>IF('Phytopl Count'!O280=0,"",'Phytopl Count'!O280*'Phytopl Count'!O$13/'Phytopl Count'!O$8)</f>
        <v/>
      </c>
      <c r="P280" s="31" t="str">
        <f>IF('Phytopl Count'!P280=0,"",'Phytopl Count'!P280*'Phytopl Count'!P$13/'Phytopl Count'!P$8)</f>
        <v/>
      </c>
      <c r="Q280" s="31" t="str">
        <f>IF('Phytopl Count'!Q280=0,"",'Phytopl Count'!Q280*'Phytopl Count'!Q$13/'Phytopl Count'!Q$8)</f>
        <v/>
      </c>
      <c r="R280" s="31" t="str">
        <f>IF('Phytopl Count'!R280=0,"",'Phytopl Count'!R280*'Phytopl Count'!R$13/'Phytopl Count'!R$8)</f>
        <v/>
      </c>
      <c r="S280" s="31" t="str">
        <f>IF('Phytopl Count'!S280=0,"",'Phytopl Count'!S280*'Phytopl Count'!S$13/'Phytopl Count'!S$8)</f>
        <v/>
      </c>
      <c r="T280" s="31" t="str">
        <f>IF('Phytopl Count'!T280=0,"",'Phytopl Count'!T280*'Phytopl Count'!T$13/'Phytopl Count'!T$8)</f>
        <v/>
      </c>
      <c r="U280" s="31" t="str">
        <f>IF('Phytopl Count'!U280=0,"",'Phytopl Count'!U280*'Phytopl Count'!U$13/'Phytopl Count'!U$8)</f>
        <v/>
      </c>
      <c r="V280" s="31" t="str">
        <f>IF('Phytopl Count'!V280=0,"",'Phytopl Count'!V280*'Phytopl Count'!V$13/'Phytopl Count'!V$8)</f>
        <v/>
      </c>
      <c r="W280" s="31" t="str">
        <f>IF('Phytopl Count'!W280=0,"",'Phytopl Count'!W280*'Phytopl Count'!W$13/'Phytopl Count'!W$8)</f>
        <v/>
      </c>
      <c r="X280" s="31" t="str">
        <f>IF('Phytopl Count'!X280=0,"",'Phytopl Count'!X280*'Phytopl Count'!X$13/'Phytopl Count'!X$8)</f>
        <v/>
      </c>
      <c r="Y280" s="31" t="str">
        <f>IF('Phytopl Count'!Y280=0,"",'Phytopl Count'!Y280*'Phytopl Count'!Y$13/'Phytopl Count'!Y$8)</f>
        <v/>
      </c>
      <c r="Z280" s="31" t="str">
        <f>IF('Phytopl Count'!Z280=0,"",'Phytopl Count'!Z280*'Phytopl Count'!Z$13/'Phytopl Count'!Z$8)</f>
        <v/>
      </c>
      <c r="AA280" s="31" t="str">
        <f>IF('Phytopl Count'!AA280=0,"",'Phytopl Count'!AA280*'Phytopl Count'!AA$13/'Phytopl Count'!AA$8)</f>
        <v/>
      </c>
      <c r="AB280" s="31" t="str">
        <f>IF('Phytopl Count'!AB280=0,"",'Phytopl Count'!AB280*'Phytopl Count'!AB$13/'Phytopl Count'!AB$8)</f>
        <v/>
      </c>
      <c r="AC280" s="31" t="str">
        <f>IF('Phytopl Count'!AC280=0,"",'Phytopl Count'!AC280*'Phytopl Count'!AC$13/'Phytopl Count'!AC$8)</f>
        <v/>
      </c>
      <c r="AD280" s="31" t="str">
        <f>IF('Phytopl Count'!AD280=0,"",'Phytopl Count'!AD280*'Phytopl Count'!AD$13/'Phytopl Count'!AD$8)</f>
        <v/>
      </c>
      <c r="AE280" s="31" t="str">
        <f>IF('Phytopl Count'!AE280=0,"",'Phytopl Count'!AE280*'Phytopl Count'!AE$13/'Phytopl Count'!AE$8)</f>
        <v/>
      </c>
      <c r="AF280" s="31" t="str">
        <f>IF('Phytopl Count'!AF280=0,"",'Phytopl Count'!AF280*'Phytopl Count'!AF$13/'Phytopl Count'!AF$8)</f>
        <v/>
      </c>
    </row>
    <row r="281" spans="1:32" ht="15" hidden="1" customHeight="1">
      <c r="A281" s="4"/>
      <c r="B281" s="92"/>
      <c r="C281" s="92"/>
      <c r="D281" s="92"/>
      <c r="E281" s="93" t="s">
        <v>6</v>
      </c>
      <c r="F281" s="11" t="s">
        <v>320</v>
      </c>
      <c r="G281" s="31" t="str">
        <f>IF('Phytopl Count'!G281=0,"",'Phytopl Count'!G281*'Phytopl Count'!G$13/'Phytopl Count'!G$8)</f>
        <v/>
      </c>
      <c r="H281" s="31" t="str">
        <f>IF('Phytopl Count'!H281=0,"",'Phytopl Count'!H281*'Phytopl Count'!H$13/'Phytopl Count'!H$8)</f>
        <v/>
      </c>
      <c r="I281" s="31" t="str">
        <f>IF('Phytopl Count'!I281=0,"",'Phytopl Count'!I281*'Phytopl Count'!I$13/'Phytopl Count'!I$8)</f>
        <v/>
      </c>
      <c r="J281" s="31" t="str">
        <f>IF('Phytopl Count'!J281=0,"",'Phytopl Count'!J281*'Phytopl Count'!J$13/'Phytopl Count'!J$8)</f>
        <v/>
      </c>
      <c r="K281" s="31" t="str">
        <f>IF('Phytopl Count'!K281=0,"",'Phytopl Count'!K281*'Phytopl Count'!K$13/'Phytopl Count'!K$8)</f>
        <v/>
      </c>
      <c r="L281" s="31" t="str">
        <f>IF('Phytopl Count'!L281=0,"",'Phytopl Count'!L281*'Phytopl Count'!L$13/'Phytopl Count'!L$8)</f>
        <v/>
      </c>
      <c r="M281" s="31" t="str">
        <f>IF('Phytopl Count'!M281=0,"",'Phytopl Count'!M281*'Phytopl Count'!M$13/'Phytopl Count'!M$8)</f>
        <v/>
      </c>
      <c r="N281" s="31" t="str">
        <f>IF('Phytopl Count'!N281=0,"",'Phytopl Count'!N281*'Phytopl Count'!N$13/'Phytopl Count'!N$8)</f>
        <v/>
      </c>
      <c r="O281" s="31" t="str">
        <f>IF('Phytopl Count'!O281=0,"",'Phytopl Count'!O281*'Phytopl Count'!O$13/'Phytopl Count'!O$8)</f>
        <v/>
      </c>
      <c r="P281" s="31" t="str">
        <f>IF('Phytopl Count'!P281=0,"",'Phytopl Count'!P281*'Phytopl Count'!P$13/'Phytopl Count'!P$8)</f>
        <v/>
      </c>
      <c r="Q281" s="31" t="str">
        <f>IF('Phytopl Count'!Q281=0,"",'Phytopl Count'!Q281*'Phytopl Count'!Q$13/'Phytopl Count'!Q$8)</f>
        <v/>
      </c>
      <c r="R281" s="31" t="str">
        <f>IF('Phytopl Count'!R281=0,"",'Phytopl Count'!R281*'Phytopl Count'!R$13/'Phytopl Count'!R$8)</f>
        <v/>
      </c>
      <c r="S281" s="31" t="str">
        <f>IF('Phytopl Count'!S281=0,"",'Phytopl Count'!S281*'Phytopl Count'!S$13/'Phytopl Count'!S$8)</f>
        <v/>
      </c>
      <c r="T281" s="31" t="str">
        <f>IF('Phytopl Count'!T281=0,"",'Phytopl Count'!T281*'Phytopl Count'!T$13/'Phytopl Count'!T$8)</f>
        <v/>
      </c>
      <c r="U281" s="31" t="str">
        <f>IF('Phytopl Count'!U281=0,"",'Phytopl Count'!U281*'Phytopl Count'!U$13/'Phytopl Count'!U$8)</f>
        <v/>
      </c>
      <c r="V281" s="31" t="str">
        <f>IF('Phytopl Count'!V281=0,"",'Phytopl Count'!V281*'Phytopl Count'!V$13/'Phytopl Count'!V$8)</f>
        <v/>
      </c>
      <c r="W281" s="31" t="str">
        <f>IF('Phytopl Count'!W281=0,"",'Phytopl Count'!W281*'Phytopl Count'!W$13/'Phytopl Count'!W$8)</f>
        <v/>
      </c>
      <c r="X281" s="31" t="str">
        <f>IF('Phytopl Count'!X281=0,"",'Phytopl Count'!X281*'Phytopl Count'!X$13/'Phytopl Count'!X$8)</f>
        <v/>
      </c>
      <c r="Y281" s="31" t="str">
        <f>IF('Phytopl Count'!Y281=0,"",'Phytopl Count'!Y281*'Phytopl Count'!Y$13/'Phytopl Count'!Y$8)</f>
        <v/>
      </c>
      <c r="Z281" s="31" t="str">
        <f>IF('Phytopl Count'!Z281=0,"",'Phytopl Count'!Z281*'Phytopl Count'!Z$13/'Phytopl Count'!Z$8)</f>
        <v/>
      </c>
      <c r="AA281" s="31" t="str">
        <f>IF('Phytopl Count'!AA281=0,"",'Phytopl Count'!AA281*'Phytopl Count'!AA$13/'Phytopl Count'!AA$8)</f>
        <v/>
      </c>
      <c r="AB281" s="31" t="str">
        <f>IF('Phytopl Count'!AB281=0,"",'Phytopl Count'!AB281*'Phytopl Count'!AB$13/'Phytopl Count'!AB$8)</f>
        <v/>
      </c>
      <c r="AC281" s="31" t="str">
        <f>IF('Phytopl Count'!AC281=0,"",'Phytopl Count'!AC281*'Phytopl Count'!AC$13/'Phytopl Count'!AC$8)</f>
        <v/>
      </c>
      <c r="AD281" s="31" t="str">
        <f>IF('Phytopl Count'!AD281=0,"",'Phytopl Count'!AD281*'Phytopl Count'!AD$13/'Phytopl Count'!AD$8)</f>
        <v/>
      </c>
      <c r="AE281" s="31" t="str">
        <f>IF('Phytopl Count'!AE281=0,"",'Phytopl Count'!AE281*'Phytopl Count'!AE$13/'Phytopl Count'!AE$8)</f>
        <v/>
      </c>
      <c r="AF281" s="31" t="str">
        <f>IF('Phytopl Count'!AF281=0,"",'Phytopl Count'!AF281*'Phytopl Count'!AF$13/'Phytopl Count'!AF$8)</f>
        <v/>
      </c>
    </row>
    <row r="282" spans="1:32" ht="15" hidden="1" customHeight="1">
      <c r="A282" s="4"/>
      <c r="B282" s="92"/>
      <c r="C282" s="92"/>
      <c r="D282" s="93" t="s">
        <v>5</v>
      </c>
      <c r="E282" s="154" t="s">
        <v>327</v>
      </c>
      <c r="F282" s="11"/>
      <c r="G282" s="31" t="str">
        <f>IF('Phytopl Count'!G282=0,"",'Phytopl Count'!G282*'Phytopl Count'!G$13/'Phytopl Count'!G$8)</f>
        <v/>
      </c>
      <c r="H282" s="31" t="str">
        <f>IF('Phytopl Count'!H282=0,"",'Phytopl Count'!H282*'Phytopl Count'!H$13/'Phytopl Count'!H$8)</f>
        <v/>
      </c>
      <c r="I282" s="31" t="str">
        <f>IF('Phytopl Count'!I282=0,"",'Phytopl Count'!I282*'Phytopl Count'!I$13/'Phytopl Count'!I$8)</f>
        <v/>
      </c>
      <c r="J282" s="31" t="str">
        <f>IF('Phytopl Count'!J282=0,"",'Phytopl Count'!J282*'Phytopl Count'!J$13/'Phytopl Count'!J$8)</f>
        <v/>
      </c>
      <c r="K282" s="31" t="str">
        <f>IF('Phytopl Count'!K282=0,"",'Phytopl Count'!K282*'Phytopl Count'!K$13/'Phytopl Count'!K$8)</f>
        <v/>
      </c>
      <c r="L282" s="31" t="str">
        <f>IF('Phytopl Count'!L282=0,"",'Phytopl Count'!L282*'Phytopl Count'!L$13/'Phytopl Count'!L$8)</f>
        <v/>
      </c>
      <c r="M282" s="31" t="str">
        <f>IF('Phytopl Count'!M282=0,"",'Phytopl Count'!M282*'Phytopl Count'!M$13/'Phytopl Count'!M$8)</f>
        <v/>
      </c>
      <c r="N282" s="31" t="str">
        <f>IF('Phytopl Count'!N282=0,"",'Phytopl Count'!N282*'Phytopl Count'!N$13/'Phytopl Count'!N$8)</f>
        <v/>
      </c>
      <c r="O282" s="31" t="str">
        <f>IF('Phytopl Count'!O282=0,"",'Phytopl Count'!O282*'Phytopl Count'!O$13/'Phytopl Count'!O$8)</f>
        <v/>
      </c>
      <c r="P282" s="31" t="str">
        <f>IF('Phytopl Count'!P282=0,"",'Phytopl Count'!P282*'Phytopl Count'!P$13/'Phytopl Count'!P$8)</f>
        <v/>
      </c>
      <c r="Q282" s="31" t="str">
        <f>IF('Phytopl Count'!Q282=0,"",'Phytopl Count'!Q282*'Phytopl Count'!Q$13/'Phytopl Count'!Q$8)</f>
        <v/>
      </c>
      <c r="R282" s="31" t="str">
        <f>IF('Phytopl Count'!R282=0,"",'Phytopl Count'!R282*'Phytopl Count'!R$13/'Phytopl Count'!R$8)</f>
        <v/>
      </c>
      <c r="S282" s="31" t="str">
        <f>IF('Phytopl Count'!S282=0,"",'Phytopl Count'!S282*'Phytopl Count'!S$13/'Phytopl Count'!S$8)</f>
        <v/>
      </c>
      <c r="T282" s="31" t="str">
        <f>IF('Phytopl Count'!T282=0,"",'Phytopl Count'!T282*'Phytopl Count'!T$13/'Phytopl Count'!T$8)</f>
        <v/>
      </c>
      <c r="U282" s="31" t="str">
        <f>IF('Phytopl Count'!U282=0,"",'Phytopl Count'!U282*'Phytopl Count'!U$13/'Phytopl Count'!U$8)</f>
        <v/>
      </c>
      <c r="V282" s="31" t="str">
        <f>IF('Phytopl Count'!V282=0,"",'Phytopl Count'!V282*'Phytopl Count'!V$13/'Phytopl Count'!V$8)</f>
        <v/>
      </c>
      <c r="W282" s="31" t="str">
        <f>IF('Phytopl Count'!W282=0,"",'Phytopl Count'!W282*'Phytopl Count'!W$13/'Phytopl Count'!W$8)</f>
        <v/>
      </c>
      <c r="X282" s="31" t="str">
        <f>IF('Phytopl Count'!X282=0,"",'Phytopl Count'!X282*'Phytopl Count'!X$13/'Phytopl Count'!X$8)</f>
        <v/>
      </c>
      <c r="Y282" s="31" t="str">
        <f>IF('Phytopl Count'!Y282=0,"",'Phytopl Count'!Y282*'Phytopl Count'!Y$13/'Phytopl Count'!Y$8)</f>
        <v/>
      </c>
      <c r="Z282" s="31" t="str">
        <f>IF('Phytopl Count'!Z282=0,"",'Phytopl Count'!Z282*'Phytopl Count'!Z$13/'Phytopl Count'!Z$8)</f>
        <v/>
      </c>
      <c r="AA282" s="31" t="str">
        <f>IF('Phytopl Count'!AA282=0,"",'Phytopl Count'!AA282*'Phytopl Count'!AA$13/'Phytopl Count'!AA$8)</f>
        <v/>
      </c>
      <c r="AB282" s="31" t="str">
        <f>IF('Phytopl Count'!AB282=0,"",'Phytopl Count'!AB282*'Phytopl Count'!AB$13/'Phytopl Count'!AB$8)</f>
        <v/>
      </c>
      <c r="AC282" s="31" t="str">
        <f>IF('Phytopl Count'!AC282=0,"",'Phytopl Count'!AC282*'Phytopl Count'!AC$13/'Phytopl Count'!AC$8)</f>
        <v/>
      </c>
      <c r="AD282" s="31" t="str">
        <f>IF('Phytopl Count'!AD282=0,"",'Phytopl Count'!AD282*'Phytopl Count'!AD$13/'Phytopl Count'!AD$8)</f>
        <v/>
      </c>
      <c r="AE282" s="31" t="str">
        <f>IF('Phytopl Count'!AE282=0,"",'Phytopl Count'!AE282*'Phytopl Count'!AE$13/'Phytopl Count'!AE$8)</f>
        <v/>
      </c>
      <c r="AF282" s="31" t="str">
        <f>IF('Phytopl Count'!AF282=0,"",'Phytopl Count'!AF282*'Phytopl Count'!AF$13/'Phytopl Count'!AF$8)</f>
        <v/>
      </c>
    </row>
    <row r="283" spans="1:32" ht="15" hidden="1" customHeight="1">
      <c r="A283" s="4"/>
      <c r="B283" s="92"/>
      <c r="C283" s="92"/>
      <c r="D283" s="92"/>
      <c r="E283" s="93" t="s">
        <v>6</v>
      </c>
      <c r="F283" s="11" t="s">
        <v>328</v>
      </c>
      <c r="G283" s="31" t="str">
        <f>IF('Phytopl Count'!G283=0,"",'Phytopl Count'!G283*'Phytopl Count'!G$13/'Phytopl Count'!G$8)</f>
        <v/>
      </c>
      <c r="H283" s="31" t="str">
        <f>IF('Phytopl Count'!H283=0,"",'Phytopl Count'!H283*'Phytopl Count'!H$13/'Phytopl Count'!H$8)</f>
        <v/>
      </c>
      <c r="I283" s="31" t="str">
        <f>IF('Phytopl Count'!I283=0,"",'Phytopl Count'!I283*'Phytopl Count'!I$13/'Phytopl Count'!I$8)</f>
        <v/>
      </c>
      <c r="J283" s="31" t="str">
        <f>IF('Phytopl Count'!J283=0,"",'Phytopl Count'!J283*'Phytopl Count'!J$13/'Phytopl Count'!J$8)</f>
        <v/>
      </c>
      <c r="K283" s="31" t="str">
        <f>IF('Phytopl Count'!K283=0,"",'Phytopl Count'!K283*'Phytopl Count'!K$13/'Phytopl Count'!K$8)</f>
        <v/>
      </c>
      <c r="L283" s="31" t="str">
        <f>IF('Phytopl Count'!L283=0,"",'Phytopl Count'!L283*'Phytopl Count'!L$13/'Phytopl Count'!L$8)</f>
        <v/>
      </c>
      <c r="M283" s="31" t="str">
        <f>IF('Phytopl Count'!M283=0,"",'Phytopl Count'!M283*'Phytopl Count'!M$13/'Phytopl Count'!M$8)</f>
        <v/>
      </c>
      <c r="N283" s="31" t="str">
        <f>IF('Phytopl Count'!N283=0,"",'Phytopl Count'!N283*'Phytopl Count'!N$13/'Phytopl Count'!N$8)</f>
        <v/>
      </c>
      <c r="O283" s="31" t="str">
        <f>IF('Phytopl Count'!O283=0,"",'Phytopl Count'!O283*'Phytopl Count'!O$13/'Phytopl Count'!O$8)</f>
        <v/>
      </c>
      <c r="P283" s="31" t="str">
        <f>IF('Phytopl Count'!P283=0,"",'Phytopl Count'!P283*'Phytopl Count'!P$13/'Phytopl Count'!P$8)</f>
        <v/>
      </c>
      <c r="Q283" s="31" t="str">
        <f>IF('Phytopl Count'!Q283=0,"",'Phytopl Count'!Q283*'Phytopl Count'!Q$13/'Phytopl Count'!Q$8)</f>
        <v/>
      </c>
      <c r="R283" s="31" t="str">
        <f>IF('Phytopl Count'!R283=0,"",'Phytopl Count'!R283*'Phytopl Count'!R$13/'Phytopl Count'!R$8)</f>
        <v/>
      </c>
      <c r="S283" s="31" t="str">
        <f>IF('Phytopl Count'!S283=0,"",'Phytopl Count'!S283*'Phytopl Count'!S$13/'Phytopl Count'!S$8)</f>
        <v/>
      </c>
      <c r="T283" s="31" t="str">
        <f>IF('Phytopl Count'!T283=0,"",'Phytopl Count'!T283*'Phytopl Count'!T$13/'Phytopl Count'!T$8)</f>
        <v/>
      </c>
      <c r="U283" s="31" t="str">
        <f>IF('Phytopl Count'!U283=0,"",'Phytopl Count'!U283*'Phytopl Count'!U$13/'Phytopl Count'!U$8)</f>
        <v/>
      </c>
      <c r="V283" s="31" t="str">
        <f>IF('Phytopl Count'!V283=0,"",'Phytopl Count'!V283*'Phytopl Count'!V$13/'Phytopl Count'!V$8)</f>
        <v/>
      </c>
      <c r="W283" s="31" t="str">
        <f>IF('Phytopl Count'!W283=0,"",'Phytopl Count'!W283*'Phytopl Count'!W$13/'Phytopl Count'!W$8)</f>
        <v/>
      </c>
      <c r="X283" s="31" t="str">
        <f>IF('Phytopl Count'!X283=0,"",'Phytopl Count'!X283*'Phytopl Count'!X$13/'Phytopl Count'!X$8)</f>
        <v/>
      </c>
      <c r="Y283" s="31" t="str">
        <f>IF('Phytopl Count'!Y283=0,"",'Phytopl Count'!Y283*'Phytopl Count'!Y$13/'Phytopl Count'!Y$8)</f>
        <v/>
      </c>
      <c r="Z283" s="31" t="str">
        <f>IF('Phytopl Count'!Z283=0,"",'Phytopl Count'!Z283*'Phytopl Count'!Z$13/'Phytopl Count'!Z$8)</f>
        <v/>
      </c>
      <c r="AA283" s="31" t="str">
        <f>IF('Phytopl Count'!AA283=0,"",'Phytopl Count'!AA283*'Phytopl Count'!AA$13/'Phytopl Count'!AA$8)</f>
        <v/>
      </c>
      <c r="AB283" s="31" t="str">
        <f>IF('Phytopl Count'!AB283=0,"",'Phytopl Count'!AB283*'Phytopl Count'!AB$13/'Phytopl Count'!AB$8)</f>
        <v/>
      </c>
      <c r="AC283" s="31" t="str">
        <f>IF('Phytopl Count'!AC283=0,"",'Phytopl Count'!AC283*'Phytopl Count'!AC$13/'Phytopl Count'!AC$8)</f>
        <v/>
      </c>
      <c r="AD283" s="31" t="str">
        <f>IF('Phytopl Count'!AD283=0,"",'Phytopl Count'!AD283*'Phytopl Count'!AD$13/'Phytopl Count'!AD$8)</f>
        <v/>
      </c>
      <c r="AE283" s="31" t="str">
        <f>IF('Phytopl Count'!AE283=0,"",'Phytopl Count'!AE283*'Phytopl Count'!AE$13/'Phytopl Count'!AE$8)</f>
        <v/>
      </c>
      <c r="AF283" s="31" t="str">
        <f>IF('Phytopl Count'!AF283=0,"",'Phytopl Count'!AF283*'Phytopl Count'!AF$13/'Phytopl Count'!AF$8)</f>
        <v/>
      </c>
    </row>
    <row r="284" spans="1:32" ht="15" hidden="1" customHeight="1">
      <c r="A284" s="4"/>
      <c r="B284" s="92"/>
      <c r="C284" s="92"/>
      <c r="D284" s="92"/>
      <c r="E284" s="93"/>
      <c r="F284" s="11" t="s">
        <v>355</v>
      </c>
      <c r="G284" s="31" t="str">
        <f>IF('Phytopl Count'!G284=0,"",'Phytopl Count'!G284*'Phytopl Count'!G$13/'Phytopl Count'!G$8)</f>
        <v/>
      </c>
      <c r="H284" s="31" t="str">
        <f>IF('Phytopl Count'!H284=0,"",'Phytopl Count'!H284*'Phytopl Count'!H$13/'Phytopl Count'!H$8)</f>
        <v/>
      </c>
      <c r="I284" s="31" t="str">
        <f>IF('Phytopl Count'!I284=0,"",'Phytopl Count'!I284*'Phytopl Count'!I$13/'Phytopl Count'!I$8)</f>
        <v/>
      </c>
      <c r="J284" s="31" t="str">
        <f>IF('Phytopl Count'!J284=0,"",'Phytopl Count'!J284*'Phytopl Count'!J$13/'Phytopl Count'!J$8)</f>
        <v/>
      </c>
      <c r="K284" s="31" t="str">
        <f>IF('Phytopl Count'!K284=0,"",'Phytopl Count'!K284*'Phytopl Count'!K$13/'Phytopl Count'!K$8)</f>
        <v/>
      </c>
      <c r="L284" s="31" t="str">
        <f>IF('Phytopl Count'!L284=0,"",'Phytopl Count'!L284*'Phytopl Count'!L$13/'Phytopl Count'!L$8)</f>
        <v/>
      </c>
      <c r="M284" s="31" t="str">
        <f>IF('Phytopl Count'!M284=0,"",'Phytopl Count'!M284*'Phytopl Count'!M$13/'Phytopl Count'!M$8)</f>
        <v/>
      </c>
      <c r="N284" s="31" t="str">
        <f>IF('Phytopl Count'!N284=0,"",'Phytopl Count'!N284*'Phytopl Count'!N$13/'Phytopl Count'!N$8)</f>
        <v/>
      </c>
      <c r="O284" s="31" t="str">
        <f>IF('Phytopl Count'!O284=0,"",'Phytopl Count'!O284*'Phytopl Count'!O$13/'Phytopl Count'!O$8)</f>
        <v/>
      </c>
      <c r="P284" s="31" t="str">
        <f>IF('Phytopl Count'!P284=0,"",'Phytopl Count'!P284*'Phytopl Count'!P$13/'Phytopl Count'!P$8)</f>
        <v/>
      </c>
      <c r="Q284" s="31" t="str">
        <f>IF('Phytopl Count'!Q284=0,"",'Phytopl Count'!Q284*'Phytopl Count'!Q$13/'Phytopl Count'!Q$8)</f>
        <v/>
      </c>
      <c r="R284" s="31" t="str">
        <f>IF('Phytopl Count'!R284=0,"",'Phytopl Count'!R284*'Phytopl Count'!R$13/'Phytopl Count'!R$8)</f>
        <v/>
      </c>
      <c r="S284" s="31" t="str">
        <f>IF('Phytopl Count'!S284=0,"",'Phytopl Count'!S284*'Phytopl Count'!S$13/'Phytopl Count'!S$8)</f>
        <v/>
      </c>
      <c r="T284" s="31" t="str">
        <f>IF('Phytopl Count'!T284=0,"",'Phytopl Count'!T284*'Phytopl Count'!T$13/'Phytopl Count'!T$8)</f>
        <v/>
      </c>
      <c r="U284" s="31" t="str">
        <f>IF('Phytopl Count'!U284=0,"",'Phytopl Count'!U284*'Phytopl Count'!U$13/'Phytopl Count'!U$8)</f>
        <v/>
      </c>
      <c r="V284" s="31" t="str">
        <f>IF('Phytopl Count'!V284=0,"",'Phytopl Count'!V284*'Phytopl Count'!V$13/'Phytopl Count'!V$8)</f>
        <v/>
      </c>
      <c r="W284" s="31" t="str">
        <f>IF('Phytopl Count'!W284=0,"",'Phytopl Count'!W284*'Phytopl Count'!W$13/'Phytopl Count'!W$8)</f>
        <v/>
      </c>
      <c r="X284" s="31" t="str">
        <f>IF('Phytopl Count'!X284=0,"",'Phytopl Count'!X284*'Phytopl Count'!X$13/'Phytopl Count'!X$8)</f>
        <v/>
      </c>
      <c r="Y284" s="31" t="str">
        <f>IF('Phytopl Count'!Y284=0,"",'Phytopl Count'!Y284*'Phytopl Count'!Y$13/'Phytopl Count'!Y$8)</f>
        <v/>
      </c>
      <c r="Z284" s="31" t="str">
        <f>IF('Phytopl Count'!Z284=0,"",'Phytopl Count'!Z284*'Phytopl Count'!Z$13/'Phytopl Count'!Z$8)</f>
        <v/>
      </c>
      <c r="AA284" s="31" t="str">
        <f>IF('Phytopl Count'!AA284=0,"",'Phytopl Count'!AA284*'Phytopl Count'!AA$13/'Phytopl Count'!AA$8)</f>
        <v/>
      </c>
      <c r="AB284" s="31" t="str">
        <f>IF('Phytopl Count'!AB284=0,"",'Phytopl Count'!AB284*'Phytopl Count'!AB$13/'Phytopl Count'!AB$8)</f>
        <v/>
      </c>
      <c r="AC284" s="31" t="str">
        <f>IF('Phytopl Count'!AC284=0,"",'Phytopl Count'!AC284*'Phytopl Count'!AC$13/'Phytopl Count'!AC$8)</f>
        <v/>
      </c>
      <c r="AD284" s="31" t="str">
        <f>IF('Phytopl Count'!AD284=0,"",'Phytopl Count'!AD284*'Phytopl Count'!AD$13/'Phytopl Count'!AD$8)</f>
        <v/>
      </c>
      <c r="AE284" s="31" t="str">
        <f>IF('Phytopl Count'!AE284=0,"",'Phytopl Count'!AE284*'Phytopl Count'!AE$13/'Phytopl Count'!AE$8)</f>
        <v/>
      </c>
      <c r="AF284" s="31" t="str">
        <f>IF('Phytopl Count'!AF284=0,"",'Phytopl Count'!AF284*'Phytopl Count'!AF$13/'Phytopl Count'!AF$8)</f>
        <v/>
      </c>
    </row>
    <row r="285" spans="1:32" ht="15" hidden="1" customHeight="1">
      <c r="A285" s="4"/>
      <c r="B285" s="92"/>
      <c r="C285" s="92"/>
      <c r="D285" s="93" t="s">
        <v>5</v>
      </c>
      <c r="E285" s="154" t="s">
        <v>334</v>
      </c>
      <c r="F285" s="11"/>
      <c r="G285" s="31" t="str">
        <f>IF('Phytopl Count'!G285=0,"",'Phytopl Count'!G285*'Phytopl Count'!G$13/'Phytopl Count'!G$8)</f>
        <v/>
      </c>
      <c r="H285" s="31" t="str">
        <f>IF('Phytopl Count'!H285=0,"",'Phytopl Count'!H285*'Phytopl Count'!H$13/'Phytopl Count'!H$8)</f>
        <v/>
      </c>
      <c r="I285" s="31" t="str">
        <f>IF('Phytopl Count'!I285=0,"",'Phytopl Count'!I285*'Phytopl Count'!I$13/'Phytopl Count'!I$8)</f>
        <v/>
      </c>
      <c r="J285" s="31" t="str">
        <f>IF('Phytopl Count'!J285=0,"",'Phytopl Count'!J285*'Phytopl Count'!J$13/'Phytopl Count'!J$8)</f>
        <v/>
      </c>
      <c r="K285" s="31" t="str">
        <f>IF('Phytopl Count'!K285=0,"",'Phytopl Count'!K285*'Phytopl Count'!K$13/'Phytopl Count'!K$8)</f>
        <v/>
      </c>
      <c r="L285" s="31" t="str">
        <f>IF('Phytopl Count'!L285=0,"",'Phytopl Count'!L285*'Phytopl Count'!L$13/'Phytopl Count'!L$8)</f>
        <v/>
      </c>
      <c r="M285" s="31" t="str">
        <f>IF('Phytopl Count'!M285=0,"",'Phytopl Count'!M285*'Phytopl Count'!M$13/'Phytopl Count'!M$8)</f>
        <v/>
      </c>
      <c r="N285" s="31" t="str">
        <f>IF('Phytopl Count'!N285=0,"",'Phytopl Count'!N285*'Phytopl Count'!N$13/'Phytopl Count'!N$8)</f>
        <v/>
      </c>
      <c r="O285" s="31" t="str">
        <f>IF('Phytopl Count'!O285=0,"",'Phytopl Count'!O285*'Phytopl Count'!O$13/'Phytopl Count'!O$8)</f>
        <v/>
      </c>
      <c r="P285" s="31" t="str">
        <f>IF('Phytopl Count'!P285=0,"",'Phytopl Count'!P285*'Phytopl Count'!P$13/'Phytopl Count'!P$8)</f>
        <v/>
      </c>
      <c r="Q285" s="31" t="str">
        <f>IF('Phytopl Count'!Q285=0,"",'Phytopl Count'!Q285*'Phytopl Count'!Q$13/'Phytopl Count'!Q$8)</f>
        <v/>
      </c>
      <c r="R285" s="31" t="str">
        <f>IF('Phytopl Count'!R285=0,"",'Phytopl Count'!R285*'Phytopl Count'!R$13/'Phytopl Count'!R$8)</f>
        <v/>
      </c>
      <c r="S285" s="31" t="str">
        <f>IF('Phytopl Count'!S285=0,"",'Phytopl Count'!S285*'Phytopl Count'!S$13/'Phytopl Count'!S$8)</f>
        <v/>
      </c>
      <c r="T285" s="31" t="str">
        <f>IF('Phytopl Count'!T285=0,"",'Phytopl Count'!T285*'Phytopl Count'!T$13/'Phytopl Count'!T$8)</f>
        <v/>
      </c>
      <c r="U285" s="31" t="str">
        <f>IF('Phytopl Count'!U285=0,"",'Phytopl Count'!U285*'Phytopl Count'!U$13/'Phytopl Count'!U$8)</f>
        <v/>
      </c>
      <c r="V285" s="31" t="str">
        <f>IF('Phytopl Count'!V285=0,"",'Phytopl Count'!V285*'Phytopl Count'!V$13/'Phytopl Count'!V$8)</f>
        <v/>
      </c>
      <c r="W285" s="31" t="str">
        <f>IF('Phytopl Count'!W285=0,"",'Phytopl Count'!W285*'Phytopl Count'!W$13/'Phytopl Count'!W$8)</f>
        <v/>
      </c>
      <c r="X285" s="31" t="str">
        <f>IF('Phytopl Count'!X285=0,"",'Phytopl Count'!X285*'Phytopl Count'!X$13/'Phytopl Count'!X$8)</f>
        <v/>
      </c>
      <c r="Y285" s="31" t="str">
        <f>IF('Phytopl Count'!Y285=0,"",'Phytopl Count'!Y285*'Phytopl Count'!Y$13/'Phytopl Count'!Y$8)</f>
        <v/>
      </c>
      <c r="Z285" s="31" t="str">
        <f>IF('Phytopl Count'!Z285=0,"",'Phytopl Count'!Z285*'Phytopl Count'!Z$13/'Phytopl Count'!Z$8)</f>
        <v/>
      </c>
      <c r="AA285" s="31" t="str">
        <f>IF('Phytopl Count'!AA285=0,"",'Phytopl Count'!AA285*'Phytopl Count'!AA$13/'Phytopl Count'!AA$8)</f>
        <v/>
      </c>
      <c r="AB285" s="31" t="str">
        <f>IF('Phytopl Count'!AB285=0,"",'Phytopl Count'!AB285*'Phytopl Count'!AB$13/'Phytopl Count'!AB$8)</f>
        <v/>
      </c>
      <c r="AC285" s="31" t="str">
        <f>IF('Phytopl Count'!AC285=0,"",'Phytopl Count'!AC285*'Phytopl Count'!AC$13/'Phytopl Count'!AC$8)</f>
        <v/>
      </c>
      <c r="AD285" s="31" t="str">
        <f>IF('Phytopl Count'!AD285=0,"",'Phytopl Count'!AD285*'Phytopl Count'!AD$13/'Phytopl Count'!AD$8)</f>
        <v/>
      </c>
      <c r="AE285" s="31" t="str">
        <f>IF('Phytopl Count'!AE285=0,"",'Phytopl Count'!AE285*'Phytopl Count'!AE$13/'Phytopl Count'!AE$8)</f>
        <v/>
      </c>
      <c r="AF285" s="31" t="str">
        <f>IF('Phytopl Count'!AF285=0,"",'Phytopl Count'!AF285*'Phytopl Count'!AF$13/'Phytopl Count'!AF$8)</f>
        <v/>
      </c>
    </row>
    <row r="286" spans="1:32" ht="15" hidden="1" customHeight="1">
      <c r="A286" s="4"/>
      <c r="B286" s="92"/>
      <c r="C286" s="92"/>
      <c r="D286" s="92"/>
      <c r="E286" s="93" t="s">
        <v>6</v>
      </c>
      <c r="F286" s="11" t="s">
        <v>335</v>
      </c>
      <c r="G286" s="31" t="str">
        <f>IF('Phytopl Count'!G286=0,"",'Phytopl Count'!G286*'Phytopl Count'!G$13/'Phytopl Count'!G$8)</f>
        <v/>
      </c>
      <c r="H286" s="31" t="str">
        <f>IF('Phytopl Count'!H286=0,"",'Phytopl Count'!H286*'Phytopl Count'!H$13/'Phytopl Count'!H$8)</f>
        <v/>
      </c>
      <c r="I286" s="31" t="str">
        <f>IF('Phytopl Count'!I286=0,"",'Phytopl Count'!I286*'Phytopl Count'!I$13/'Phytopl Count'!I$8)</f>
        <v/>
      </c>
      <c r="J286" s="31" t="str">
        <f>IF('Phytopl Count'!J286=0,"",'Phytopl Count'!J286*'Phytopl Count'!J$13/'Phytopl Count'!J$8)</f>
        <v/>
      </c>
      <c r="K286" s="31" t="str">
        <f>IF('Phytopl Count'!K286=0,"",'Phytopl Count'!K286*'Phytopl Count'!K$13/'Phytopl Count'!K$8)</f>
        <v/>
      </c>
      <c r="L286" s="31" t="str">
        <f>IF('Phytopl Count'!L286=0,"",'Phytopl Count'!L286*'Phytopl Count'!L$13/'Phytopl Count'!L$8)</f>
        <v/>
      </c>
      <c r="M286" s="31" t="str">
        <f>IF('Phytopl Count'!M286=0,"",'Phytopl Count'!M286*'Phytopl Count'!M$13/'Phytopl Count'!M$8)</f>
        <v/>
      </c>
      <c r="N286" s="31" t="str">
        <f>IF('Phytopl Count'!N286=0,"",'Phytopl Count'!N286*'Phytopl Count'!N$13/'Phytopl Count'!N$8)</f>
        <v/>
      </c>
      <c r="O286" s="31" t="str">
        <f>IF('Phytopl Count'!O286=0,"",'Phytopl Count'!O286*'Phytopl Count'!O$13/'Phytopl Count'!O$8)</f>
        <v/>
      </c>
      <c r="P286" s="31" t="str">
        <f>IF('Phytopl Count'!P286=0,"",'Phytopl Count'!P286*'Phytopl Count'!P$13/'Phytopl Count'!P$8)</f>
        <v/>
      </c>
      <c r="Q286" s="31" t="str">
        <f>IF('Phytopl Count'!Q286=0,"",'Phytopl Count'!Q286*'Phytopl Count'!Q$13/'Phytopl Count'!Q$8)</f>
        <v/>
      </c>
      <c r="R286" s="31" t="str">
        <f>IF('Phytopl Count'!R286=0,"",'Phytopl Count'!R286*'Phytopl Count'!R$13/'Phytopl Count'!R$8)</f>
        <v/>
      </c>
      <c r="S286" s="31" t="str">
        <f>IF('Phytopl Count'!S286=0,"",'Phytopl Count'!S286*'Phytopl Count'!S$13/'Phytopl Count'!S$8)</f>
        <v/>
      </c>
      <c r="T286" s="31" t="str">
        <f>IF('Phytopl Count'!T286=0,"",'Phytopl Count'!T286*'Phytopl Count'!T$13/'Phytopl Count'!T$8)</f>
        <v/>
      </c>
      <c r="U286" s="31" t="str">
        <f>IF('Phytopl Count'!U286=0,"",'Phytopl Count'!U286*'Phytopl Count'!U$13/'Phytopl Count'!U$8)</f>
        <v/>
      </c>
      <c r="V286" s="31" t="str">
        <f>IF('Phytopl Count'!V286=0,"",'Phytopl Count'!V286*'Phytopl Count'!V$13/'Phytopl Count'!V$8)</f>
        <v/>
      </c>
      <c r="W286" s="31" t="str">
        <f>IF('Phytopl Count'!W286=0,"",'Phytopl Count'!W286*'Phytopl Count'!W$13/'Phytopl Count'!W$8)</f>
        <v/>
      </c>
      <c r="X286" s="31" t="str">
        <f>IF('Phytopl Count'!X286=0,"",'Phytopl Count'!X286*'Phytopl Count'!X$13/'Phytopl Count'!X$8)</f>
        <v/>
      </c>
      <c r="Y286" s="31" t="str">
        <f>IF('Phytopl Count'!Y286=0,"",'Phytopl Count'!Y286*'Phytopl Count'!Y$13/'Phytopl Count'!Y$8)</f>
        <v/>
      </c>
      <c r="Z286" s="31" t="str">
        <f>IF('Phytopl Count'!Z286=0,"",'Phytopl Count'!Z286*'Phytopl Count'!Z$13/'Phytopl Count'!Z$8)</f>
        <v/>
      </c>
      <c r="AA286" s="31" t="str">
        <f>IF('Phytopl Count'!AA286=0,"",'Phytopl Count'!AA286*'Phytopl Count'!AA$13/'Phytopl Count'!AA$8)</f>
        <v/>
      </c>
      <c r="AB286" s="31" t="str">
        <f>IF('Phytopl Count'!AB286=0,"",'Phytopl Count'!AB286*'Phytopl Count'!AB$13/'Phytopl Count'!AB$8)</f>
        <v/>
      </c>
      <c r="AC286" s="31" t="str">
        <f>IF('Phytopl Count'!AC286=0,"",'Phytopl Count'!AC286*'Phytopl Count'!AC$13/'Phytopl Count'!AC$8)</f>
        <v/>
      </c>
      <c r="AD286" s="31" t="str">
        <f>IF('Phytopl Count'!AD286=0,"",'Phytopl Count'!AD286*'Phytopl Count'!AD$13/'Phytopl Count'!AD$8)</f>
        <v/>
      </c>
      <c r="AE286" s="31" t="str">
        <f>IF('Phytopl Count'!AE286=0,"",'Phytopl Count'!AE286*'Phytopl Count'!AE$13/'Phytopl Count'!AE$8)</f>
        <v/>
      </c>
      <c r="AF286" s="31" t="str">
        <f>IF('Phytopl Count'!AF286=0,"",'Phytopl Count'!AF286*'Phytopl Count'!AF$13/'Phytopl Count'!AF$8)</f>
        <v/>
      </c>
    </row>
    <row r="287" spans="1:32" ht="15" hidden="1" customHeight="1">
      <c r="A287" s="4"/>
      <c r="B287" s="92"/>
      <c r="C287" s="92"/>
      <c r="D287" s="93" t="s">
        <v>5</v>
      </c>
      <c r="E287" s="173" t="s">
        <v>398</v>
      </c>
      <c r="F287" s="11"/>
      <c r="G287" s="31" t="str">
        <f>IF('Phytopl Count'!G287=0,"",'Phytopl Count'!G287*'Phytopl Count'!G$13/'Phytopl Count'!G$8)</f>
        <v/>
      </c>
      <c r="H287" s="31" t="str">
        <f>IF('Phytopl Count'!H287=0,"",'Phytopl Count'!H287*'Phytopl Count'!H$13/'Phytopl Count'!H$8)</f>
        <v/>
      </c>
      <c r="I287" s="31" t="str">
        <f>IF('Phytopl Count'!I287=0,"",'Phytopl Count'!I287*'Phytopl Count'!I$13/'Phytopl Count'!I$8)</f>
        <v/>
      </c>
      <c r="J287" s="31" t="str">
        <f>IF('Phytopl Count'!J287=0,"",'Phytopl Count'!J287*'Phytopl Count'!J$13/'Phytopl Count'!J$8)</f>
        <v/>
      </c>
      <c r="K287" s="31" t="str">
        <f>IF('Phytopl Count'!K287=0,"",'Phytopl Count'!K287*'Phytopl Count'!K$13/'Phytopl Count'!K$8)</f>
        <v/>
      </c>
      <c r="L287" s="31" t="str">
        <f>IF('Phytopl Count'!L287=0,"",'Phytopl Count'!L287*'Phytopl Count'!L$13/'Phytopl Count'!L$8)</f>
        <v/>
      </c>
      <c r="M287" s="31" t="str">
        <f>IF('Phytopl Count'!M287=0,"",'Phytopl Count'!M287*'Phytopl Count'!M$13/'Phytopl Count'!M$8)</f>
        <v/>
      </c>
      <c r="N287" s="31" t="str">
        <f>IF('Phytopl Count'!N287=0,"",'Phytopl Count'!N287*'Phytopl Count'!N$13/'Phytopl Count'!N$8)</f>
        <v/>
      </c>
      <c r="O287" s="31" t="str">
        <f>IF('Phytopl Count'!O287=0,"",'Phytopl Count'!O287*'Phytopl Count'!O$13/'Phytopl Count'!O$8)</f>
        <v/>
      </c>
      <c r="P287" s="31" t="str">
        <f>IF('Phytopl Count'!P287=0,"",'Phytopl Count'!P287*'Phytopl Count'!P$13/'Phytopl Count'!P$8)</f>
        <v/>
      </c>
      <c r="Q287" s="31" t="str">
        <f>IF('Phytopl Count'!Q287=0,"",'Phytopl Count'!Q287*'Phytopl Count'!Q$13/'Phytopl Count'!Q$8)</f>
        <v/>
      </c>
      <c r="R287" s="31" t="str">
        <f>IF('Phytopl Count'!R287=0,"",'Phytopl Count'!R287*'Phytopl Count'!R$13/'Phytopl Count'!R$8)</f>
        <v/>
      </c>
      <c r="S287" s="31" t="str">
        <f>IF('Phytopl Count'!S287=0,"",'Phytopl Count'!S287*'Phytopl Count'!S$13/'Phytopl Count'!S$8)</f>
        <v/>
      </c>
      <c r="T287" s="31" t="str">
        <f>IF('Phytopl Count'!T287=0,"",'Phytopl Count'!T287*'Phytopl Count'!T$13/'Phytopl Count'!T$8)</f>
        <v/>
      </c>
      <c r="U287" s="31" t="str">
        <f>IF('Phytopl Count'!U287=0,"",'Phytopl Count'!U287*'Phytopl Count'!U$13/'Phytopl Count'!U$8)</f>
        <v/>
      </c>
      <c r="V287" s="31" t="str">
        <f>IF('Phytopl Count'!V287=0,"",'Phytopl Count'!V287*'Phytopl Count'!V$13/'Phytopl Count'!V$8)</f>
        <v/>
      </c>
      <c r="W287" s="31" t="str">
        <f>IF('Phytopl Count'!W287=0,"",'Phytopl Count'!W287*'Phytopl Count'!W$13/'Phytopl Count'!W$8)</f>
        <v/>
      </c>
      <c r="X287" s="31" t="str">
        <f>IF('Phytopl Count'!X287=0,"",'Phytopl Count'!X287*'Phytopl Count'!X$13/'Phytopl Count'!X$8)</f>
        <v/>
      </c>
      <c r="Y287" s="31" t="str">
        <f>IF('Phytopl Count'!Y287=0,"",'Phytopl Count'!Y287*'Phytopl Count'!Y$13/'Phytopl Count'!Y$8)</f>
        <v/>
      </c>
      <c r="Z287" s="31" t="str">
        <f>IF('Phytopl Count'!Z287=0,"",'Phytopl Count'!Z287*'Phytopl Count'!Z$13/'Phytopl Count'!Z$8)</f>
        <v/>
      </c>
      <c r="AA287" s="31" t="str">
        <f>IF('Phytopl Count'!AA287=0,"",'Phytopl Count'!AA287*'Phytopl Count'!AA$13/'Phytopl Count'!AA$8)</f>
        <v/>
      </c>
      <c r="AB287" s="31" t="str">
        <f>IF('Phytopl Count'!AB287=0,"",'Phytopl Count'!AB287*'Phytopl Count'!AB$13/'Phytopl Count'!AB$8)</f>
        <v/>
      </c>
      <c r="AC287" s="31" t="str">
        <f>IF('Phytopl Count'!AC287=0,"",'Phytopl Count'!AC287*'Phytopl Count'!AC$13/'Phytopl Count'!AC$8)</f>
        <v/>
      </c>
      <c r="AD287" s="31" t="str">
        <f>IF('Phytopl Count'!AD287=0,"",'Phytopl Count'!AD287*'Phytopl Count'!AD$13/'Phytopl Count'!AD$8)</f>
        <v/>
      </c>
      <c r="AE287" s="31" t="str">
        <f>IF('Phytopl Count'!AE287=0,"",'Phytopl Count'!AE287*'Phytopl Count'!AE$13/'Phytopl Count'!AE$8)</f>
        <v/>
      </c>
      <c r="AF287" s="31" t="str">
        <f>IF('Phytopl Count'!AF287=0,"",'Phytopl Count'!AF287*'Phytopl Count'!AF$13/'Phytopl Count'!AF$8)</f>
        <v/>
      </c>
    </row>
    <row r="288" spans="1:32" ht="15" hidden="1" customHeight="1">
      <c r="A288" s="4"/>
      <c r="B288" s="92"/>
      <c r="C288" s="92"/>
      <c r="D288" s="92"/>
      <c r="E288" s="93" t="s">
        <v>6</v>
      </c>
      <c r="F288" s="11" t="s">
        <v>399</v>
      </c>
      <c r="G288" s="31" t="str">
        <f>IF('Phytopl Count'!G288=0,"",'Phytopl Count'!G288*'Phytopl Count'!G$13/'Phytopl Count'!G$8)</f>
        <v/>
      </c>
      <c r="H288" s="31" t="str">
        <f>IF('Phytopl Count'!H288=0,"",'Phytopl Count'!H288*'Phytopl Count'!H$13/'Phytopl Count'!H$8)</f>
        <v/>
      </c>
      <c r="I288" s="31" t="str">
        <f>IF('Phytopl Count'!I288=0,"",'Phytopl Count'!I288*'Phytopl Count'!I$13/'Phytopl Count'!I$8)</f>
        <v/>
      </c>
      <c r="J288" s="31" t="str">
        <f>IF('Phytopl Count'!J288=0,"",'Phytopl Count'!J288*'Phytopl Count'!J$13/'Phytopl Count'!J$8)</f>
        <v/>
      </c>
      <c r="K288" s="31" t="str">
        <f>IF('Phytopl Count'!K288=0,"",'Phytopl Count'!K288*'Phytopl Count'!K$13/'Phytopl Count'!K$8)</f>
        <v/>
      </c>
      <c r="L288" s="31" t="str">
        <f>IF('Phytopl Count'!L288=0,"",'Phytopl Count'!L288*'Phytopl Count'!L$13/'Phytopl Count'!L$8)</f>
        <v/>
      </c>
      <c r="M288" s="31" t="str">
        <f>IF('Phytopl Count'!M288=0,"",'Phytopl Count'!M288*'Phytopl Count'!M$13/'Phytopl Count'!M$8)</f>
        <v/>
      </c>
      <c r="N288" s="31" t="str">
        <f>IF('Phytopl Count'!N288=0,"",'Phytopl Count'!N288*'Phytopl Count'!N$13/'Phytopl Count'!N$8)</f>
        <v/>
      </c>
      <c r="O288" s="31" t="str">
        <f>IF('Phytopl Count'!O288=0,"",'Phytopl Count'!O288*'Phytopl Count'!O$13/'Phytopl Count'!O$8)</f>
        <v/>
      </c>
      <c r="P288" s="31" t="str">
        <f>IF('Phytopl Count'!P288=0,"",'Phytopl Count'!P288*'Phytopl Count'!P$13/'Phytopl Count'!P$8)</f>
        <v/>
      </c>
      <c r="Q288" s="31" t="str">
        <f>IF('Phytopl Count'!Q288=0,"",'Phytopl Count'!Q288*'Phytopl Count'!Q$13/'Phytopl Count'!Q$8)</f>
        <v/>
      </c>
      <c r="R288" s="31" t="str">
        <f>IF('Phytopl Count'!R288=0,"",'Phytopl Count'!R288*'Phytopl Count'!R$13/'Phytopl Count'!R$8)</f>
        <v/>
      </c>
      <c r="S288" s="31" t="str">
        <f>IF('Phytopl Count'!S288=0,"",'Phytopl Count'!S288*'Phytopl Count'!S$13/'Phytopl Count'!S$8)</f>
        <v/>
      </c>
      <c r="T288" s="31" t="str">
        <f>IF('Phytopl Count'!T288=0,"",'Phytopl Count'!T288*'Phytopl Count'!T$13/'Phytopl Count'!T$8)</f>
        <v/>
      </c>
      <c r="U288" s="31" t="str">
        <f>IF('Phytopl Count'!U288=0,"",'Phytopl Count'!U288*'Phytopl Count'!U$13/'Phytopl Count'!U$8)</f>
        <v/>
      </c>
      <c r="V288" s="31" t="str">
        <f>IF('Phytopl Count'!V288=0,"",'Phytopl Count'!V288*'Phytopl Count'!V$13/'Phytopl Count'!V$8)</f>
        <v/>
      </c>
      <c r="W288" s="31" t="str">
        <f>IF('Phytopl Count'!W288=0,"",'Phytopl Count'!W288*'Phytopl Count'!W$13/'Phytopl Count'!W$8)</f>
        <v/>
      </c>
      <c r="X288" s="31" t="str">
        <f>IF('Phytopl Count'!X288=0,"",'Phytopl Count'!X288*'Phytopl Count'!X$13/'Phytopl Count'!X$8)</f>
        <v/>
      </c>
      <c r="Y288" s="31" t="str">
        <f>IF('Phytopl Count'!Y288=0,"",'Phytopl Count'!Y288*'Phytopl Count'!Y$13/'Phytopl Count'!Y$8)</f>
        <v/>
      </c>
      <c r="Z288" s="31" t="str">
        <f>IF('Phytopl Count'!Z288=0,"",'Phytopl Count'!Z288*'Phytopl Count'!Z$13/'Phytopl Count'!Z$8)</f>
        <v/>
      </c>
      <c r="AA288" s="31" t="str">
        <f>IF('Phytopl Count'!AA288=0,"",'Phytopl Count'!AA288*'Phytopl Count'!AA$13/'Phytopl Count'!AA$8)</f>
        <v/>
      </c>
      <c r="AB288" s="31" t="str">
        <f>IF('Phytopl Count'!AB288=0,"",'Phytopl Count'!AB288*'Phytopl Count'!AB$13/'Phytopl Count'!AB$8)</f>
        <v/>
      </c>
      <c r="AC288" s="31" t="str">
        <f>IF('Phytopl Count'!AC288=0,"",'Phytopl Count'!AC288*'Phytopl Count'!AC$13/'Phytopl Count'!AC$8)</f>
        <v/>
      </c>
      <c r="AD288" s="31" t="str">
        <f>IF('Phytopl Count'!AD288=0,"",'Phytopl Count'!AD288*'Phytopl Count'!AD$13/'Phytopl Count'!AD$8)</f>
        <v/>
      </c>
      <c r="AE288" s="31" t="str">
        <f>IF('Phytopl Count'!AE288=0,"",'Phytopl Count'!AE288*'Phytopl Count'!AE$13/'Phytopl Count'!AE$8)</f>
        <v/>
      </c>
      <c r="AF288" s="31" t="str">
        <f>IF('Phytopl Count'!AF288=0,"",'Phytopl Count'!AF288*'Phytopl Count'!AF$13/'Phytopl Count'!AF$8)</f>
        <v/>
      </c>
    </row>
    <row r="289" spans="1:32" ht="15" hidden="1" customHeight="1">
      <c r="A289" s="16"/>
      <c r="B289" s="4"/>
      <c r="C289" s="16" t="s">
        <v>73</v>
      </c>
      <c r="D289" s="4" t="s">
        <v>338</v>
      </c>
      <c r="E289" s="92"/>
      <c r="F289" s="11"/>
      <c r="G289" s="31" t="str">
        <f>IF('Phytopl Count'!G289=0,"",'Phytopl Count'!G289*'Phytopl Count'!G$13/'Phytopl Count'!G$8)</f>
        <v/>
      </c>
      <c r="H289" s="31" t="str">
        <f>IF('Phytopl Count'!H289=0,"",'Phytopl Count'!H289*'Phytopl Count'!H$13/'Phytopl Count'!H$8)</f>
        <v/>
      </c>
      <c r="I289" s="31" t="str">
        <f>IF('Phytopl Count'!I289=0,"",'Phytopl Count'!I289*'Phytopl Count'!I$13/'Phytopl Count'!I$8)</f>
        <v/>
      </c>
      <c r="J289" s="31" t="str">
        <f>IF('Phytopl Count'!J289=0,"",'Phytopl Count'!J289*'Phytopl Count'!J$13/'Phytopl Count'!J$8)</f>
        <v/>
      </c>
      <c r="K289" s="31" t="str">
        <f>IF('Phytopl Count'!K289=0,"",'Phytopl Count'!K289*'Phytopl Count'!K$13/'Phytopl Count'!K$8)</f>
        <v/>
      </c>
      <c r="L289" s="31" t="str">
        <f>IF('Phytopl Count'!L289=0,"",'Phytopl Count'!L289*'Phytopl Count'!L$13/'Phytopl Count'!L$8)</f>
        <v/>
      </c>
      <c r="M289" s="31" t="str">
        <f>IF('Phytopl Count'!M289=0,"",'Phytopl Count'!M289*'Phytopl Count'!M$13/'Phytopl Count'!M$8)</f>
        <v/>
      </c>
      <c r="N289" s="31" t="str">
        <f>IF('Phytopl Count'!N289=0,"",'Phytopl Count'!N289*'Phytopl Count'!N$13/'Phytopl Count'!N$8)</f>
        <v/>
      </c>
      <c r="O289" s="31" t="str">
        <f>IF('Phytopl Count'!O289=0,"",'Phytopl Count'!O289*'Phytopl Count'!O$13/'Phytopl Count'!O$8)</f>
        <v/>
      </c>
      <c r="P289" s="31" t="str">
        <f>IF('Phytopl Count'!P289=0,"",'Phytopl Count'!P289*'Phytopl Count'!P$13/'Phytopl Count'!P$8)</f>
        <v/>
      </c>
      <c r="Q289" s="31" t="str">
        <f>IF('Phytopl Count'!Q289=0,"",'Phytopl Count'!Q289*'Phytopl Count'!Q$13/'Phytopl Count'!Q$8)</f>
        <v/>
      </c>
      <c r="R289" s="31" t="str">
        <f>IF('Phytopl Count'!R289=0,"",'Phytopl Count'!R289*'Phytopl Count'!R$13/'Phytopl Count'!R$8)</f>
        <v/>
      </c>
      <c r="S289" s="31" t="str">
        <f>IF('Phytopl Count'!S289=0,"",'Phytopl Count'!S289*'Phytopl Count'!S$13/'Phytopl Count'!S$8)</f>
        <v/>
      </c>
      <c r="T289" s="31" t="str">
        <f>IF('Phytopl Count'!T289=0,"",'Phytopl Count'!T289*'Phytopl Count'!T$13/'Phytopl Count'!T$8)</f>
        <v/>
      </c>
      <c r="U289" s="31" t="str">
        <f>IF('Phytopl Count'!U289=0,"",'Phytopl Count'!U289*'Phytopl Count'!U$13/'Phytopl Count'!U$8)</f>
        <v/>
      </c>
      <c r="V289" s="31" t="str">
        <f>IF('Phytopl Count'!V289=0,"",'Phytopl Count'!V289*'Phytopl Count'!V$13/'Phytopl Count'!V$8)</f>
        <v/>
      </c>
      <c r="W289" s="31" t="str">
        <f>IF('Phytopl Count'!W289=0,"",'Phytopl Count'!W289*'Phytopl Count'!W$13/'Phytopl Count'!W$8)</f>
        <v/>
      </c>
      <c r="X289" s="31" t="str">
        <f>IF('Phytopl Count'!X289=0,"",'Phytopl Count'!X289*'Phytopl Count'!X$13/'Phytopl Count'!X$8)</f>
        <v/>
      </c>
      <c r="Y289" s="31" t="str">
        <f>IF('Phytopl Count'!Y289=0,"",'Phytopl Count'!Y289*'Phytopl Count'!Y$13/'Phytopl Count'!Y$8)</f>
        <v/>
      </c>
      <c r="Z289" s="31" t="str">
        <f>IF('Phytopl Count'!Z289=0,"",'Phytopl Count'!Z289*'Phytopl Count'!Z$13/'Phytopl Count'!Z$8)</f>
        <v/>
      </c>
      <c r="AA289" s="31" t="str">
        <f>IF('Phytopl Count'!AA289=0,"",'Phytopl Count'!AA289*'Phytopl Count'!AA$13/'Phytopl Count'!AA$8)</f>
        <v/>
      </c>
      <c r="AB289" s="31" t="str">
        <f>IF('Phytopl Count'!AB289=0,"",'Phytopl Count'!AB289*'Phytopl Count'!AB$13/'Phytopl Count'!AB$8)</f>
        <v/>
      </c>
      <c r="AC289" s="31" t="str">
        <f>IF('Phytopl Count'!AC289=0,"",'Phytopl Count'!AC289*'Phytopl Count'!AC$13/'Phytopl Count'!AC$8)</f>
        <v/>
      </c>
      <c r="AD289" s="31" t="str">
        <f>IF('Phytopl Count'!AD289=0,"",'Phytopl Count'!AD289*'Phytopl Count'!AD$13/'Phytopl Count'!AD$8)</f>
        <v/>
      </c>
      <c r="AE289" s="31" t="str">
        <f>IF('Phytopl Count'!AE289=0,"",'Phytopl Count'!AE289*'Phytopl Count'!AE$13/'Phytopl Count'!AE$8)</f>
        <v/>
      </c>
      <c r="AF289" s="31" t="str">
        <f>IF('Phytopl Count'!AF289=0,"",'Phytopl Count'!AF289*'Phytopl Count'!AF$13/'Phytopl Count'!AF$8)</f>
        <v/>
      </c>
    </row>
    <row r="290" spans="1:32" ht="15" hidden="1" customHeight="1">
      <c r="A290" s="4"/>
      <c r="B290" s="92"/>
      <c r="C290" s="92"/>
      <c r="D290" s="93" t="s">
        <v>5</v>
      </c>
      <c r="E290" s="154" t="s">
        <v>322</v>
      </c>
      <c r="F290" s="11"/>
      <c r="G290" s="31" t="str">
        <f>IF('Phytopl Count'!G290=0,"",'Phytopl Count'!G290*'Phytopl Count'!G$13/'Phytopl Count'!G$8)</f>
        <v/>
      </c>
      <c r="H290" s="31" t="str">
        <f>IF('Phytopl Count'!H290=0,"",'Phytopl Count'!H290*'Phytopl Count'!H$13/'Phytopl Count'!H$8)</f>
        <v/>
      </c>
      <c r="I290" s="31" t="str">
        <f>IF('Phytopl Count'!I290=0,"",'Phytopl Count'!I290*'Phytopl Count'!I$13/'Phytopl Count'!I$8)</f>
        <v/>
      </c>
      <c r="J290" s="31" t="str">
        <f>IF('Phytopl Count'!J290=0,"",'Phytopl Count'!J290*'Phytopl Count'!J$13/'Phytopl Count'!J$8)</f>
        <v/>
      </c>
      <c r="K290" s="31" t="str">
        <f>IF('Phytopl Count'!K290=0,"",'Phytopl Count'!K290*'Phytopl Count'!K$13/'Phytopl Count'!K$8)</f>
        <v/>
      </c>
      <c r="L290" s="31" t="str">
        <f>IF('Phytopl Count'!L290=0,"",'Phytopl Count'!L290*'Phytopl Count'!L$13/'Phytopl Count'!L$8)</f>
        <v/>
      </c>
      <c r="M290" s="31" t="str">
        <f>IF('Phytopl Count'!M290=0,"",'Phytopl Count'!M290*'Phytopl Count'!M$13/'Phytopl Count'!M$8)</f>
        <v/>
      </c>
      <c r="N290" s="31" t="str">
        <f>IF('Phytopl Count'!N290=0,"",'Phytopl Count'!N290*'Phytopl Count'!N$13/'Phytopl Count'!N$8)</f>
        <v/>
      </c>
      <c r="O290" s="31" t="str">
        <f>IF('Phytopl Count'!O290=0,"",'Phytopl Count'!O290*'Phytopl Count'!O$13/'Phytopl Count'!O$8)</f>
        <v/>
      </c>
      <c r="P290" s="31" t="str">
        <f>IF('Phytopl Count'!P290=0,"",'Phytopl Count'!P290*'Phytopl Count'!P$13/'Phytopl Count'!P$8)</f>
        <v/>
      </c>
      <c r="Q290" s="31" t="str">
        <f>IF('Phytopl Count'!Q290=0,"",'Phytopl Count'!Q290*'Phytopl Count'!Q$13/'Phytopl Count'!Q$8)</f>
        <v/>
      </c>
      <c r="R290" s="31" t="str">
        <f>IF('Phytopl Count'!R290=0,"",'Phytopl Count'!R290*'Phytopl Count'!R$13/'Phytopl Count'!R$8)</f>
        <v/>
      </c>
      <c r="S290" s="31" t="str">
        <f>IF('Phytopl Count'!S290=0,"",'Phytopl Count'!S290*'Phytopl Count'!S$13/'Phytopl Count'!S$8)</f>
        <v/>
      </c>
      <c r="T290" s="31" t="str">
        <f>IF('Phytopl Count'!T290=0,"",'Phytopl Count'!T290*'Phytopl Count'!T$13/'Phytopl Count'!T$8)</f>
        <v/>
      </c>
      <c r="U290" s="31" t="str">
        <f>IF('Phytopl Count'!U290=0,"",'Phytopl Count'!U290*'Phytopl Count'!U$13/'Phytopl Count'!U$8)</f>
        <v/>
      </c>
      <c r="V290" s="31" t="str">
        <f>IF('Phytopl Count'!V290=0,"",'Phytopl Count'!V290*'Phytopl Count'!V$13/'Phytopl Count'!V$8)</f>
        <v/>
      </c>
      <c r="W290" s="31" t="str">
        <f>IF('Phytopl Count'!W290=0,"",'Phytopl Count'!W290*'Phytopl Count'!W$13/'Phytopl Count'!W$8)</f>
        <v/>
      </c>
      <c r="X290" s="31" t="str">
        <f>IF('Phytopl Count'!X290=0,"",'Phytopl Count'!X290*'Phytopl Count'!X$13/'Phytopl Count'!X$8)</f>
        <v/>
      </c>
      <c r="Y290" s="31" t="str">
        <f>IF('Phytopl Count'!Y290=0,"",'Phytopl Count'!Y290*'Phytopl Count'!Y$13/'Phytopl Count'!Y$8)</f>
        <v/>
      </c>
      <c r="Z290" s="31" t="str">
        <f>IF('Phytopl Count'!Z290=0,"",'Phytopl Count'!Z290*'Phytopl Count'!Z$13/'Phytopl Count'!Z$8)</f>
        <v/>
      </c>
      <c r="AA290" s="31" t="str">
        <f>IF('Phytopl Count'!AA290=0,"",'Phytopl Count'!AA290*'Phytopl Count'!AA$13/'Phytopl Count'!AA$8)</f>
        <v/>
      </c>
      <c r="AB290" s="31" t="str">
        <f>IF('Phytopl Count'!AB290=0,"",'Phytopl Count'!AB290*'Phytopl Count'!AB$13/'Phytopl Count'!AB$8)</f>
        <v/>
      </c>
      <c r="AC290" s="31" t="str">
        <f>IF('Phytopl Count'!AC290=0,"",'Phytopl Count'!AC290*'Phytopl Count'!AC$13/'Phytopl Count'!AC$8)</f>
        <v/>
      </c>
      <c r="AD290" s="31" t="str">
        <f>IF('Phytopl Count'!AD290=0,"",'Phytopl Count'!AD290*'Phytopl Count'!AD$13/'Phytopl Count'!AD$8)</f>
        <v/>
      </c>
      <c r="AE290" s="31" t="str">
        <f>IF('Phytopl Count'!AE290=0,"",'Phytopl Count'!AE290*'Phytopl Count'!AE$13/'Phytopl Count'!AE$8)</f>
        <v/>
      </c>
      <c r="AF290" s="31" t="str">
        <f>IF('Phytopl Count'!AF290=0,"",'Phytopl Count'!AF290*'Phytopl Count'!AF$13/'Phytopl Count'!AF$8)</f>
        <v/>
      </c>
    </row>
    <row r="291" spans="1:32" ht="15" hidden="1" customHeight="1">
      <c r="A291" s="4"/>
      <c r="B291" s="92"/>
      <c r="C291" s="92"/>
      <c r="D291" s="92"/>
      <c r="E291" s="93" t="s">
        <v>6</v>
      </c>
      <c r="F291" s="11" t="s">
        <v>323</v>
      </c>
      <c r="G291" s="31" t="str">
        <f>IF('Phytopl Count'!G291=0,"",'Phytopl Count'!G291*'Phytopl Count'!G$13/'Phytopl Count'!G$8)</f>
        <v/>
      </c>
      <c r="H291" s="31" t="str">
        <f>IF('Phytopl Count'!H291=0,"",'Phytopl Count'!H291*'Phytopl Count'!H$13/'Phytopl Count'!H$8)</f>
        <v/>
      </c>
      <c r="I291" s="31" t="str">
        <f>IF('Phytopl Count'!I291=0,"",'Phytopl Count'!I291*'Phytopl Count'!I$13/'Phytopl Count'!I$8)</f>
        <v/>
      </c>
      <c r="J291" s="31" t="str">
        <f>IF('Phytopl Count'!J291=0,"",'Phytopl Count'!J291*'Phytopl Count'!J$13/'Phytopl Count'!J$8)</f>
        <v/>
      </c>
      <c r="K291" s="31" t="str">
        <f>IF('Phytopl Count'!K291=0,"",'Phytopl Count'!K291*'Phytopl Count'!K$13/'Phytopl Count'!K$8)</f>
        <v/>
      </c>
      <c r="L291" s="31" t="str">
        <f>IF('Phytopl Count'!L291=0,"",'Phytopl Count'!L291*'Phytopl Count'!L$13/'Phytopl Count'!L$8)</f>
        <v/>
      </c>
      <c r="M291" s="31" t="str">
        <f>IF('Phytopl Count'!M291=0,"",'Phytopl Count'!M291*'Phytopl Count'!M$13/'Phytopl Count'!M$8)</f>
        <v/>
      </c>
      <c r="N291" s="31" t="str">
        <f>IF('Phytopl Count'!N291=0,"",'Phytopl Count'!N291*'Phytopl Count'!N$13/'Phytopl Count'!N$8)</f>
        <v/>
      </c>
      <c r="O291" s="31" t="str">
        <f>IF('Phytopl Count'!O291=0,"",'Phytopl Count'!O291*'Phytopl Count'!O$13/'Phytopl Count'!O$8)</f>
        <v/>
      </c>
      <c r="P291" s="31" t="str">
        <f>IF('Phytopl Count'!P291=0,"",'Phytopl Count'!P291*'Phytopl Count'!P$13/'Phytopl Count'!P$8)</f>
        <v/>
      </c>
      <c r="Q291" s="31" t="str">
        <f>IF('Phytopl Count'!Q291=0,"",'Phytopl Count'!Q291*'Phytopl Count'!Q$13/'Phytopl Count'!Q$8)</f>
        <v/>
      </c>
      <c r="R291" s="31" t="str">
        <f>IF('Phytopl Count'!R291=0,"",'Phytopl Count'!R291*'Phytopl Count'!R$13/'Phytopl Count'!R$8)</f>
        <v/>
      </c>
      <c r="S291" s="31" t="str">
        <f>IF('Phytopl Count'!S291=0,"",'Phytopl Count'!S291*'Phytopl Count'!S$13/'Phytopl Count'!S$8)</f>
        <v/>
      </c>
      <c r="T291" s="31" t="str">
        <f>IF('Phytopl Count'!T291=0,"",'Phytopl Count'!T291*'Phytopl Count'!T$13/'Phytopl Count'!T$8)</f>
        <v/>
      </c>
      <c r="U291" s="31" t="str">
        <f>IF('Phytopl Count'!U291=0,"",'Phytopl Count'!U291*'Phytopl Count'!U$13/'Phytopl Count'!U$8)</f>
        <v/>
      </c>
      <c r="V291" s="31" t="str">
        <f>IF('Phytopl Count'!V291=0,"",'Phytopl Count'!V291*'Phytopl Count'!V$13/'Phytopl Count'!V$8)</f>
        <v/>
      </c>
      <c r="W291" s="31" t="str">
        <f>IF('Phytopl Count'!W291=0,"",'Phytopl Count'!W291*'Phytopl Count'!W$13/'Phytopl Count'!W$8)</f>
        <v/>
      </c>
      <c r="X291" s="31" t="str">
        <f>IF('Phytopl Count'!X291=0,"",'Phytopl Count'!X291*'Phytopl Count'!X$13/'Phytopl Count'!X$8)</f>
        <v/>
      </c>
      <c r="Y291" s="31" t="str">
        <f>IF('Phytopl Count'!Y291=0,"",'Phytopl Count'!Y291*'Phytopl Count'!Y$13/'Phytopl Count'!Y$8)</f>
        <v/>
      </c>
      <c r="Z291" s="31" t="str">
        <f>IF('Phytopl Count'!Z291=0,"",'Phytopl Count'!Z291*'Phytopl Count'!Z$13/'Phytopl Count'!Z$8)</f>
        <v/>
      </c>
      <c r="AA291" s="31" t="str">
        <f>IF('Phytopl Count'!AA291=0,"",'Phytopl Count'!AA291*'Phytopl Count'!AA$13/'Phytopl Count'!AA$8)</f>
        <v/>
      </c>
      <c r="AB291" s="31" t="str">
        <f>IF('Phytopl Count'!AB291=0,"",'Phytopl Count'!AB291*'Phytopl Count'!AB$13/'Phytopl Count'!AB$8)</f>
        <v/>
      </c>
      <c r="AC291" s="31" t="str">
        <f>IF('Phytopl Count'!AC291=0,"",'Phytopl Count'!AC291*'Phytopl Count'!AC$13/'Phytopl Count'!AC$8)</f>
        <v/>
      </c>
      <c r="AD291" s="31" t="str">
        <f>IF('Phytopl Count'!AD291=0,"",'Phytopl Count'!AD291*'Phytopl Count'!AD$13/'Phytopl Count'!AD$8)</f>
        <v/>
      </c>
      <c r="AE291" s="31" t="str">
        <f>IF('Phytopl Count'!AE291=0,"",'Phytopl Count'!AE291*'Phytopl Count'!AE$13/'Phytopl Count'!AE$8)</f>
        <v/>
      </c>
      <c r="AF291" s="31" t="str">
        <f>IF('Phytopl Count'!AF291=0,"",'Phytopl Count'!AF291*'Phytopl Count'!AF$13/'Phytopl Count'!AF$8)</f>
        <v/>
      </c>
    </row>
    <row r="292" spans="1:32" ht="15" hidden="1" customHeight="1">
      <c r="E292" s="10"/>
      <c r="F292" s="11"/>
      <c r="G292" s="31" t="str">
        <f>IF('Phytopl Count'!G292=0,"",'Phytopl Count'!G292*'Phytopl Count'!G$13/'Phytopl Count'!G$8)</f>
        <v/>
      </c>
      <c r="H292" s="31" t="str">
        <f>IF('Phytopl Count'!H292=0,"",'Phytopl Count'!H292*'Phytopl Count'!H$13/'Phytopl Count'!H$8)</f>
        <v/>
      </c>
      <c r="I292" s="31" t="str">
        <f>IF('Phytopl Count'!I292=0,"",'Phytopl Count'!I292*'Phytopl Count'!I$13/'Phytopl Count'!I$8)</f>
        <v/>
      </c>
      <c r="J292" s="31" t="str">
        <f>IF('Phytopl Count'!J292=0,"",'Phytopl Count'!J292*'Phytopl Count'!J$13/'Phytopl Count'!J$8)</f>
        <v/>
      </c>
      <c r="K292" s="31" t="str">
        <f>IF('Phytopl Count'!K292=0,"",'Phytopl Count'!K292*'Phytopl Count'!K$13/'Phytopl Count'!K$8)</f>
        <v/>
      </c>
      <c r="L292" s="31" t="str">
        <f>IF('Phytopl Count'!L292=0,"",'Phytopl Count'!L292*'Phytopl Count'!L$13/'Phytopl Count'!L$8)</f>
        <v/>
      </c>
      <c r="M292" s="31" t="str">
        <f>IF('Phytopl Count'!M292=0,"",'Phytopl Count'!M292*'Phytopl Count'!M$13/'Phytopl Count'!M$8)</f>
        <v/>
      </c>
      <c r="N292" s="31" t="str">
        <f>IF('Phytopl Count'!N292=0,"",'Phytopl Count'!N292*'Phytopl Count'!N$13/'Phytopl Count'!N$8)</f>
        <v/>
      </c>
      <c r="O292" s="31" t="str">
        <f>IF('Phytopl Count'!O292=0,"",'Phytopl Count'!O292*'Phytopl Count'!O$13/'Phytopl Count'!O$8)</f>
        <v/>
      </c>
      <c r="P292" s="31" t="str">
        <f>IF('Phytopl Count'!P292=0,"",'Phytopl Count'!P292*'Phytopl Count'!P$13/'Phytopl Count'!P$8)</f>
        <v/>
      </c>
      <c r="Q292" s="31" t="str">
        <f>IF('Phytopl Count'!Q292=0,"",'Phytopl Count'!Q292*'Phytopl Count'!Q$13/'Phytopl Count'!Q$8)</f>
        <v/>
      </c>
      <c r="R292" s="31" t="str">
        <f>IF('Phytopl Count'!R292=0,"",'Phytopl Count'!R292*'Phytopl Count'!R$13/'Phytopl Count'!R$8)</f>
        <v/>
      </c>
      <c r="S292" s="31" t="str">
        <f>IF('Phytopl Count'!S292=0,"",'Phytopl Count'!S292*'Phytopl Count'!S$13/'Phytopl Count'!S$8)</f>
        <v/>
      </c>
      <c r="T292" s="31" t="str">
        <f>IF('Phytopl Count'!T292=0,"",'Phytopl Count'!T292*'Phytopl Count'!T$13/'Phytopl Count'!T$8)</f>
        <v/>
      </c>
      <c r="U292" s="31" t="str">
        <f>IF('Phytopl Count'!U292=0,"",'Phytopl Count'!U292*'Phytopl Count'!U$13/'Phytopl Count'!U$8)</f>
        <v/>
      </c>
      <c r="V292" s="31" t="str">
        <f>IF('Phytopl Count'!V292=0,"",'Phytopl Count'!V292*'Phytopl Count'!V$13/'Phytopl Count'!V$8)</f>
        <v/>
      </c>
      <c r="W292" s="31" t="str">
        <f>IF('Phytopl Count'!W292=0,"",'Phytopl Count'!W292*'Phytopl Count'!W$13/'Phytopl Count'!W$8)</f>
        <v/>
      </c>
      <c r="X292" s="31" t="str">
        <f>IF('Phytopl Count'!X292=0,"",'Phytopl Count'!X292*'Phytopl Count'!X$13/'Phytopl Count'!X$8)</f>
        <v/>
      </c>
      <c r="Y292" s="31" t="str">
        <f>IF('Phytopl Count'!Y292=0,"",'Phytopl Count'!Y292*'Phytopl Count'!Y$13/'Phytopl Count'!Y$8)</f>
        <v/>
      </c>
      <c r="Z292" s="31" t="str">
        <f>IF('Phytopl Count'!Z292=0,"",'Phytopl Count'!Z292*'Phytopl Count'!Z$13/'Phytopl Count'!Z$8)</f>
        <v/>
      </c>
      <c r="AA292" s="31" t="str">
        <f>IF('Phytopl Count'!AA292=0,"",'Phytopl Count'!AA292*'Phytopl Count'!AA$13/'Phytopl Count'!AA$8)</f>
        <v/>
      </c>
      <c r="AB292" s="31" t="str">
        <f>IF('Phytopl Count'!AB292=0,"",'Phytopl Count'!AB292*'Phytopl Count'!AB$13/'Phytopl Count'!AB$8)</f>
        <v/>
      </c>
      <c r="AC292" s="31" t="str">
        <f>IF('Phytopl Count'!AC292=0,"",'Phytopl Count'!AC292*'Phytopl Count'!AC$13/'Phytopl Count'!AC$8)</f>
        <v/>
      </c>
      <c r="AD292" s="31" t="str">
        <f>IF('Phytopl Count'!AD292=0,"",'Phytopl Count'!AD292*'Phytopl Count'!AD$13/'Phytopl Count'!AD$8)</f>
        <v/>
      </c>
      <c r="AE292" s="31" t="str">
        <f>IF('Phytopl Count'!AE292=0,"",'Phytopl Count'!AE292*'Phytopl Count'!AE$13/'Phytopl Count'!AE$8)</f>
        <v/>
      </c>
      <c r="AF292" s="31" t="str">
        <f>IF('Phytopl Count'!AF292=0,"",'Phytopl Count'!AF292*'Phytopl Count'!AF$13/'Phytopl Count'!AF$8)</f>
        <v/>
      </c>
    </row>
    <row r="293" spans="1:32" ht="15" hidden="1" customHeight="1">
      <c r="A293" s="16" t="s">
        <v>4</v>
      </c>
      <c r="B293" s="4" t="s">
        <v>329</v>
      </c>
      <c r="C293" s="16"/>
      <c r="D293" s="4"/>
      <c r="E293" s="4"/>
      <c r="F293" s="59"/>
      <c r="G293" s="31" t="str">
        <f>IF('Phytopl Count'!G293=0,"",'Phytopl Count'!G293*'Phytopl Count'!G$13/'Phytopl Count'!G$8)</f>
        <v/>
      </c>
      <c r="H293" s="31" t="str">
        <f>IF('Phytopl Count'!H293=0,"",'Phytopl Count'!H293*'Phytopl Count'!H$13/'Phytopl Count'!H$8)</f>
        <v/>
      </c>
      <c r="I293" s="31" t="str">
        <f>IF('Phytopl Count'!I293=0,"",'Phytopl Count'!I293*'Phytopl Count'!I$13/'Phytopl Count'!I$8)</f>
        <v/>
      </c>
      <c r="J293" s="31" t="str">
        <f>IF('Phytopl Count'!J293=0,"",'Phytopl Count'!J293*'Phytopl Count'!J$13/'Phytopl Count'!J$8)</f>
        <v/>
      </c>
      <c r="K293" s="31" t="str">
        <f>IF('Phytopl Count'!K293=0,"",'Phytopl Count'!K293*'Phytopl Count'!K$13/'Phytopl Count'!K$8)</f>
        <v/>
      </c>
      <c r="L293" s="31" t="str">
        <f>IF('Phytopl Count'!L293=0,"",'Phytopl Count'!L293*'Phytopl Count'!L$13/'Phytopl Count'!L$8)</f>
        <v/>
      </c>
      <c r="M293" s="31" t="str">
        <f>IF('Phytopl Count'!M293=0,"",'Phytopl Count'!M293*'Phytopl Count'!M$13/'Phytopl Count'!M$8)</f>
        <v/>
      </c>
      <c r="N293" s="31" t="str">
        <f>IF('Phytopl Count'!N293=0,"",'Phytopl Count'!N293*'Phytopl Count'!N$13/'Phytopl Count'!N$8)</f>
        <v/>
      </c>
      <c r="O293" s="31" t="str">
        <f>IF('Phytopl Count'!O293=0,"",'Phytopl Count'!O293*'Phytopl Count'!O$13/'Phytopl Count'!O$8)</f>
        <v/>
      </c>
      <c r="P293" s="31" t="str">
        <f>IF('Phytopl Count'!P293=0,"",'Phytopl Count'!P293*'Phytopl Count'!P$13/'Phytopl Count'!P$8)</f>
        <v/>
      </c>
      <c r="Q293" s="31" t="str">
        <f>IF('Phytopl Count'!Q293=0,"",'Phytopl Count'!Q293*'Phytopl Count'!Q$13/'Phytopl Count'!Q$8)</f>
        <v/>
      </c>
      <c r="R293" s="31" t="str">
        <f>IF('Phytopl Count'!R293=0,"",'Phytopl Count'!R293*'Phytopl Count'!R$13/'Phytopl Count'!R$8)</f>
        <v/>
      </c>
      <c r="S293" s="31" t="str">
        <f>IF('Phytopl Count'!S293=0,"",'Phytopl Count'!S293*'Phytopl Count'!S$13/'Phytopl Count'!S$8)</f>
        <v/>
      </c>
      <c r="T293" s="31" t="str">
        <f>IF('Phytopl Count'!T293=0,"",'Phytopl Count'!T293*'Phytopl Count'!T$13/'Phytopl Count'!T$8)</f>
        <v/>
      </c>
      <c r="U293" s="31" t="str">
        <f>IF('Phytopl Count'!U293=0,"",'Phytopl Count'!U293*'Phytopl Count'!U$13/'Phytopl Count'!U$8)</f>
        <v/>
      </c>
      <c r="V293" s="31" t="str">
        <f>IF('Phytopl Count'!V293=0,"",'Phytopl Count'!V293*'Phytopl Count'!V$13/'Phytopl Count'!V$8)</f>
        <v/>
      </c>
      <c r="W293" s="31" t="str">
        <f>IF('Phytopl Count'!W293=0,"",'Phytopl Count'!W293*'Phytopl Count'!W$13/'Phytopl Count'!W$8)</f>
        <v/>
      </c>
      <c r="X293" s="31" t="str">
        <f>IF('Phytopl Count'!X293=0,"",'Phytopl Count'!X293*'Phytopl Count'!X$13/'Phytopl Count'!X$8)</f>
        <v/>
      </c>
      <c r="Y293" s="31" t="str">
        <f>IF('Phytopl Count'!Y293=0,"",'Phytopl Count'!Y293*'Phytopl Count'!Y$13/'Phytopl Count'!Y$8)</f>
        <v/>
      </c>
      <c r="Z293" s="31" t="str">
        <f>IF('Phytopl Count'!Z293=0,"",'Phytopl Count'!Z293*'Phytopl Count'!Z$13/'Phytopl Count'!Z$8)</f>
        <v/>
      </c>
      <c r="AA293" s="31" t="str">
        <f>IF('Phytopl Count'!AA293=0,"",'Phytopl Count'!AA293*'Phytopl Count'!AA$13/'Phytopl Count'!AA$8)</f>
        <v/>
      </c>
      <c r="AB293" s="31" t="str">
        <f>IF('Phytopl Count'!AB293=0,"",'Phytopl Count'!AB293*'Phytopl Count'!AB$13/'Phytopl Count'!AB$8)</f>
        <v/>
      </c>
      <c r="AC293" s="31" t="str">
        <f>IF('Phytopl Count'!AC293=0,"",'Phytopl Count'!AC293*'Phytopl Count'!AC$13/'Phytopl Count'!AC$8)</f>
        <v/>
      </c>
      <c r="AD293" s="31" t="str">
        <f>IF('Phytopl Count'!AD293=0,"",'Phytopl Count'!AD293*'Phytopl Count'!AD$13/'Phytopl Count'!AD$8)</f>
        <v/>
      </c>
      <c r="AE293" s="31" t="str">
        <f>IF('Phytopl Count'!AE293=0,"",'Phytopl Count'!AE293*'Phytopl Count'!AE$13/'Phytopl Count'!AE$8)</f>
        <v/>
      </c>
      <c r="AF293" s="31" t="str">
        <f>IF('Phytopl Count'!AF293=0,"",'Phytopl Count'!AF293*'Phytopl Count'!AF$13/'Phytopl Count'!AF$8)</f>
        <v/>
      </c>
    </row>
    <row r="294" spans="1:32" ht="15" hidden="1" customHeight="1">
      <c r="A294" s="16"/>
      <c r="B294" s="16" t="s">
        <v>72</v>
      </c>
      <c r="C294" s="28" t="s">
        <v>330</v>
      </c>
      <c r="D294" s="4"/>
      <c r="E294" s="4"/>
      <c r="F294" s="59"/>
      <c r="G294" s="31" t="str">
        <f>IF('Phytopl Count'!G294=0,"",'Phytopl Count'!G294*'Phytopl Count'!G$13/'Phytopl Count'!G$8)</f>
        <v/>
      </c>
      <c r="H294" s="31" t="str">
        <f>IF('Phytopl Count'!H294=0,"",'Phytopl Count'!H294*'Phytopl Count'!H$13/'Phytopl Count'!H$8)</f>
        <v/>
      </c>
      <c r="I294" s="31" t="str">
        <f>IF('Phytopl Count'!I294=0,"",'Phytopl Count'!I294*'Phytopl Count'!I$13/'Phytopl Count'!I$8)</f>
        <v/>
      </c>
      <c r="J294" s="31" t="str">
        <f>IF('Phytopl Count'!J294=0,"",'Phytopl Count'!J294*'Phytopl Count'!J$13/'Phytopl Count'!J$8)</f>
        <v/>
      </c>
      <c r="K294" s="31" t="str">
        <f>IF('Phytopl Count'!K294=0,"",'Phytopl Count'!K294*'Phytopl Count'!K$13/'Phytopl Count'!K$8)</f>
        <v/>
      </c>
      <c r="L294" s="31" t="str">
        <f>IF('Phytopl Count'!L294=0,"",'Phytopl Count'!L294*'Phytopl Count'!L$13/'Phytopl Count'!L$8)</f>
        <v/>
      </c>
      <c r="M294" s="31" t="str">
        <f>IF('Phytopl Count'!M294=0,"",'Phytopl Count'!M294*'Phytopl Count'!M$13/'Phytopl Count'!M$8)</f>
        <v/>
      </c>
      <c r="N294" s="31" t="str">
        <f>IF('Phytopl Count'!N294=0,"",'Phytopl Count'!N294*'Phytopl Count'!N$13/'Phytopl Count'!N$8)</f>
        <v/>
      </c>
      <c r="O294" s="31" t="str">
        <f>IF('Phytopl Count'!O294=0,"",'Phytopl Count'!O294*'Phytopl Count'!O$13/'Phytopl Count'!O$8)</f>
        <v/>
      </c>
      <c r="P294" s="31" t="str">
        <f>IF('Phytopl Count'!P294=0,"",'Phytopl Count'!P294*'Phytopl Count'!P$13/'Phytopl Count'!P$8)</f>
        <v/>
      </c>
      <c r="Q294" s="31" t="str">
        <f>IF('Phytopl Count'!Q294=0,"",'Phytopl Count'!Q294*'Phytopl Count'!Q$13/'Phytopl Count'!Q$8)</f>
        <v/>
      </c>
      <c r="R294" s="31" t="str">
        <f>IF('Phytopl Count'!R294=0,"",'Phytopl Count'!R294*'Phytopl Count'!R$13/'Phytopl Count'!R$8)</f>
        <v/>
      </c>
      <c r="S294" s="31" t="str">
        <f>IF('Phytopl Count'!S294=0,"",'Phytopl Count'!S294*'Phytopl Count'!S$13/'Phytopl Count'!S$8)</f>
        <v/>
      </c>
      <c r="T294" s="31" t="str">
        <f>IF('Phytopl Count'!T294=0,"",'Phytopl Count'!T294*'Phytopl Count'!T$13/'Phytopl Count'!T$8)</f>
        <v/>
      </c>
      <c r="U294" s="31" t="str">
        <f>IF('Phytopl Count'!U294=0,"",'Phytopl Count'!U294*'Phytopl Count'!U$13/'Phytopl Count'!U$8)</f>
        <v/>
      </c>
      <c r="V294" s="31" t="str">
        <f>IF('Phytopl Count'!V294=0,"",'Phytopl Count'!V294*'Phytopl Count'!V$13/'Phytopl Count'!V$8)</f>
        <v/>
      </c>
      <c r="W294" s="31" t="str">
        <f>IF('Phytopl Count'!W294=0,"",'Phytopl Count'!W294*'Phytopl Count'!W$13/'Phytopl Count'!W$8)</f>
        <v/>
      </c>
      <c r="X294" s="31" t="str">
        <f>IF('Phytopl Count'!X294=0,"",'Phytopl Count'!X294*'Phytopl Count'!X$13/'Phytopl Count'!X$8)</f>
        <v/>
      </c>
      <c r="Y294" s="31" t="str">
        <f>IF('Phytopl Count'!Y294=0,"",'Phytopl Count'!Y294*'Phytopl Count'!Y$13/'Phytopl Count'!Y$8)</f>
        <v/>
      </c>
      <c r="Z294" s="31" t="str">
        <f>IF('Phytopl Count'!Z294=0,"",'Phytopl Count'!Z294*'Phytopl Count'!Z$13/'Phytopl Count'!Z$8)</f>
        <v/>
      </c>
      <c r="AA294" s="31" t="str">
        <f>IF('Phytopl Count'!AA294=0,"",'Phytopl Count'!AA294*'Phytopl Count'!AA$13/'Phytopl Count'!AA$8)</f>
        <v/>
      </c>
      <c r="AB294" s="31" t="str">
        <f>IF('Phytopl Count'!AB294=0,"",'Phytopl Count'!AB294*'Phytopl Count'!AB$13/'Phytopl Count'!AB$8)</f>
        <v/>
      </c>
      <c r="AC294" s="31" t="str">
        <f>IF('Phytopl Count'!AC294=0,"",'Phytopl Count'!AC294*'Phytopl Count'!AC$13/'Phytopl Count'!AC$8)</f>
        <v/>
      </c>
      <c r="AD294" s="31" t="str">
        <f>IF('Phytopl Count'!AD294=0,"",'Phytopl Count'!AD294*'Phytopl Count'!AD$13/'Phytopl Count'!AD$8)</f>
        <v/>
      </c>
      <c r="AE294" s="31" t="str">
        <f>IF('Phytopl Count'!AE294=0,"",'Phytopl Count'!AE294*'Phytopl Count'!AE$13/'Phytopl Count'!AE$8)</f>
        <v/>
      </c>
      <c r="AF294" s="31" t="str">
        <f>IF('Phytopl Count'!AF294=0,"",'Phytopl Count'!AF294*'Phytopl Count'!AF$13/'Phytopl Count'!AF$8)</f>
        <v/>
      </c>
    </row>
    <row r="295" spans="1:32" ht="15" hidden="1" customHeight="1">
      <c r="A295" s="16"/>
      <c r="B295" s="16"/>
      <c r="C295" s="16" t="s">
        <v>73</v>
      </c>
      <c r="D295" s="4" t="s">
        <v>331</v>
      </c>
      <c r="E295" s="4"/>
      <c r="F295" s="59"/>
      <c r="G295" s="31" t="str">
        <f>IF('Phytopl Count'!G295=0,"",'Phytopl Count'!G295*'Phytopl Count'!G$13/'Phytopl Count'!G$8)</f>
        <v/>
      </c>
      <c r="H295" s="31" t="str">
        <f>IF('Phytopl Count'!H295=0,"",'Phytopl Count'!H295*'Phytopl Count'!H$13/'Phytopl Count'!H$8)</f>
        <v/>
      </c>
      <c r="I295" s="31" t="str">
        <f>IF('Phytopl Count'!I295=0,"",'Phytopl Count'!I295*'Phytopl Count'!I$13/'Phytopl Count'!I$8)</f>
        <v/>
      </c>
      <c r="J295" s="31" t="str">
        <f>IF('Phytopl Count'!J295=0,"",'Phytopl Count'!J295*'Phytopl Count'!J$13/'Phytopl Count'!J$8)</f>
        <v/>
      </c>
      <c r="K295" s="31" t="str">
        <f>IF('Phytopl Count'!K295=0,"",'Phytopl Count'!K295*'Phytopl Count'!K$13/'Phytopl Count'!K$8)</f>
        <v/>
      </c>
      <c r="L295" s="31" t="str">
        <f>IF('Phytopl Count'!L295=0,"",'Phytopl Count'!L295*'Phytopl Count'!L$13/'Phytopl Count'!L$8)</f>
        <v/>
      </c>
      <c r="M295" s="31" t="str">
        <f>IF('Phytopl Count'!M295=0,"",'Phytopl Count'!M295*'Phytopl Count'!M$13/'Phytopl Count'!M$8)</f>
        <v/>
      </c>
      <c r="N295" s="31" t="str">
        <f>IF('Phytopl Count'!N295=0,"",'Phytopl Count'!N295*'Phytopl Count'!N$13/'Phytopl Count'!N$8)</f>
        <v/>
      </c>
      <c r="O295" s="31" t="str">
        <f>IF('Phytopl Count'!O295=0,"",'Phytopl Count'!O295*'Phytopl Count'!O$13/'Phytopl Count'!O$8)</f>
        <v/>
      </c>
      <c r="P295" s="31" t="str">
        <f>IF('Phytopl Count'!P295=0,"",'Phytopl Count'!P295*'Phytopl Count'!P$13/'Phytopl Count'!P$8)</f>
        <v/>
      </c>
      <c r="Q295" s="31" t="str">
        <f>IF('Phytopl Count'!Q295=0,"",'Phytopl Count'!Q295*'Phytopl Count'!Q$13/'Phytopl Count'!Q$8)</f>
        <v/>
      </c>
      <c r="R295" s="31" t="str">
        <f>IF('Phytopl Count'!R295=0,"",'Phytopl Count'!R295*'Phytopl Count'!R$13/'Phytopl Count'!R$8)</f>
        <v/>
      </c>
      <c r="S295" s="31" t="str">
        <f>IF('Phytopl Count'!S295=0,"",'Phytopl Count'!S295*'Phytopl Count'!S$13/'Phytopl Count'!S$8)</f>
        <v/>
      </c>
      <c r="T295" s="31" t="str">
        <f>IF('Phytopl Count'!T295=0,"",'Phytopl Count'!T295*'Phytopl Count'!T$13/'Phytopl Count'!T$8)</f>
        <v/>
      </c>
      <c r="U295" s="31" t="str">
        <f>IF('Phytopl Count'!U295=0,"",'Phytopl Count'!U295*'Phytopl Count'!U$13/'Phytopl Count'!U$8)</f>
        <v/>
      </c>
      <c r="V295" s="31" t="str">
        <f>IF('Phytopl Count'!V295=0,"",'Phytopl Count'!V295*'Phytopl Count'!V$13/'Phytopl Count'!V$8)</f>
        <v/>
      </c>
      <c r="W295" s="31" t="str">
        <f>IF('Phytopl Count'!W295=0,"",'Phytopl Count'!W295*'Phytopl Count'!W$13/'Phytopl Count'!W$8)</f>
        <v/>
      </c>
      <c r="X295" s="31" t="str">
        <f>IF('Phytopl Count'!X295=0,"",'Phytopl Count'!X295*'Phytopl Count'!X$13/'Phytopl Count'!X$8)</f>
        <v/>
      </c>
      <c r="Y295" s="31" t="str">
        <f>IF('Phytopl Count'!Y295=0,"",'Phytopl Count'!Y295*'Phytopl Count'!Y$13/'Phytopl Count'!Y$8)</f>
        <v/>
      </c>
      <c r="Z295" s="31" t="str">
        <f>IF('Phytopl Count'!Z295=0,"",'Phytopl Count'!Z295*'Phytopl Count'!Z$13/'Phytopl Count'!Z$8)</f>
        <v/>
      </c>
      <c r="AA295" s="31" t="str">
        <f>IF('Phytopl Count'!AA295=0,"",'Phytopl Count'!AA295*'Phytopl Count'!AA$13/'Phytopl Count'!AA$8)</f>
        <v/>
      </c>
      <c r="AB295" s="31" t="str">
        <f>IF('Phytopl Count'!AB295=0,"",'Phytopl Count'!AB295*'Phytopl Count'!AB$13/'Phytopl Count'!AB$8)</f>
        <v/>
      </c>
      <c r="AC295" s="31" t="str">
        <f>IF('Phytopl Count'!AC295=0,"",'Phytopl Count'!AC295*'Phytopl Count'!AC$13/'Phytopl Count'!AC$8)</f>
        <v/>
      </c>
      <c r="AD295" s="31" t="str">
        <f>IF('Phytopl Count'!AD295=0,"",'Phytopl Count'!AD295*'Phytopl Count'!AD$13/'Phytopl Count'!AD$8)</f>
        <v/>
      </c>
      <c r="AE295" s="31" t="str">
        <f>IF('Phytopl Count'!AE295=0,"",'Phytopl Count'!AE295*'Phytopl Count'!AE$13/'Phytopl Count'!AE$8)</f>
        <v/>
      </c>
      <c r="AF295" s="31" t="str">
        <f>IF('Phytopl Count'!AF295=0,"",'Phytopl Count'!AF295*'Phytopl Count'!AF$13/'Phytopl Count'!AF$8)</f>
        <v/>
      </c>
    </row>
    <row r="296" spans="1:32" ht="15" hidden="1" customHeight="1">
      <c r="A296" s="10"/>
      <c r="B296" s="10"/>
      <c r="C296" s="10"/>
      <c r="D296" s="10" t="s">
        <v>5</v>
      </c>
      <c r="E296" s="144" t="s">
        <v>332</v>
      </c>
      <c r="F296" s="9"/>
      <c r="G296" s="31" t="str">
        <f>IF('Phytopl Count'!G296=0,"",'Phytopl Count'!G296*'Phytopl Count'!G$13/'Phytopl Count'!G$8)</f>
        <v/>
      </c>
      <c r="H296" s="31" t="str">
        <f>IF('Phytopl Count'!H296=0,"",'Phytopl Count'!H296*'Phytopl Count'!H$13/'Phytopl Count'!H$8)</f>
        <v/>
      </c>
      <c r="I296" s="31" t="str">
        <f>IF('Phytopl Count'!I296=0,"",'Phytopl Count'!I296*'Phytopl Count'!I$13/'Phytopl Count'!I$8)</f>
        <v/>
      </c>
      <c r="J296" s="31" t="str">
        <f>IF('Phytopl Count'!J296=0,"",'Phytopl Count'!J296*'Phytopl Count'!J$13/'Phytopl Count'!J$8)</f>
        <v/>
      </c>
      <c r="K296" s="31" t="str">
        <f>IF('Phytopl Count'!K296=0,"",'Phytopl Count'!K296*'Phytopl Count'!K$13/'Phytopl Count'!K$8)</f>
        <v/>
      </c>
      <c r="L296" s="31" t="str">
        <f>IF('Phytopl Count'!L296=0,"",'Phytopl Count'!L296*'Phytopl Count'!L$13/'Phytopl Count'!L$8)</f>
        <v/>
      </c>
      <c r="M296" s="31" t="str">
        <f>IF('Phytopl Count'!M296=0,"",'Phytopl Count'!M296*'Phytopl Count'!M$13/'Phytopl Count'!M$8)</f>
        <v/>
      </c>
      <c r="N296" s="31" t="str">
        <f>IF('Phytopl Count'!N296=0,"",'Phytopl Count'!N296*'Phytopl Count'!N$13/'Phytopl Count'!N$8)</f>
        <v/>
      </c>
      <c r="O296" s="31" t="str">
        <f>IF('Phytopl Count'!O296=0,"",'Phytopl Count'!O296*'Phytopl Count'!O$13/'Phytopl Count'!O$8)</f>
        <v/>
      </c>
      <c r="P296" s="31" t="str">
        <f>IF('Phytopl Count'!P296=0,"",'Phytopl Count'!P296*'Phytopl Count'!P$13/'Phytopl Count'!P$8)</f>
        <v/>
      </c>
      <c r="Q296" s="31" t="str">
        <f>IF('Phytopl Count'!Q296=0,"",'Phytopl Count'!Q296*'Phytopl Count'!Q$13/'Phytopl Count'!Q$8)</f>
        <v/>
      </c>
      <c r="R296" s="31" t="str">
        <f>IF('Phytopl Count'!R296=0,"",'Phytopl Count'!R296*'Phytopl Count'!R$13/'Phytopl Count'!R$8)</f>
        <v/>
      </c>
      <c r="S296" s="31" t="str">
        <f>IF('Phytopl Count'!S296=0,"",'Phytopl Count'!S296*'Phytopl Count'!S$13/'Phytopl Count'!S$8)</f>
        <v/>
      </c>
      <c r="T296" s="31" t="str">
        <f>IF('Phytopl Count'!T296=0,"",'Phytopl Count'!T296*'Phytopl Count'!T$13/'Phytopl Count'!T$8)</f>
        <v/>
      </c>
      <c r="U296" s="31" t="str">
        <f>IF('Phytopl Count'!U296=0,"",'Phytopl Count'!U296*'Phytopl Count'!U$13/'Phytopl Count'!U$8)</f>
        <v/>
      </c>
      <c r="V296" s="31" t="str">
        <f>IF('Phytopl Count'!V296=0,"",'Phytopl Count'!V296*'Phytopl Count'!V$13/'Phytopl Count'!V$8)</f>
        <v/>
      </c>
      <c r="W296" s="31" t="str">
        <f>IF('Phytopl Count'!W296=0,"",'Phytopl Count'!W296*'Phytopl Count'!W$13/'Phytopl Count'!W$8)</f>
        <v/>
      </c>
      <c r="X296" s="31" t="str">
        <f>IF('Phytopl Count'!X296=0,"",'Phytopl Count'!X296*'Phytopl Count'!X$13/'Phytopl Count'!X$8)</f>
        <v/>
      </c>
      <c r="Y296" s="31" t="str">
        <f>IF('Phytopl Count'!Y296=0,"",'Phytopl Count'!Y296*'Phytopl Count'!Y$13/'Phytopl Count'!Y$8)</f>
        <v/>
      </c>
      <c r="Z296" s="31" t="str">
        <f>IF('Phytopl Count'!Z296=0,"",'Phytopl Count'!Z296*'Phytopl Count'!Z$13/'Phytopl Count'!Z$8)</f>
        <v/>
      </c>
      <c r="AA296" s="31" t="str">
        <f>IF('Phytopl Count'!AA296=0,"",'Phytopl Count'!AA296*'Phytopl Count'!AA$13/'Phytopl Count'!AA$8)</f>
        <v/>
      </c>
      <c r="AB296" s="31" t="str">
        <f>IF('Phytopl Count'!AB296=0,"",'Phytopl Count'!AB296*'Phytopl Count'!AB$13/'Phytopl Count'!AB$8)</f>
        <v/>
      </c>
      <c r="AC296" s="31" t="str">
        <f>IF('Phytopl Count'!AC296=0,"",'Phytopl Count'!AC296*'Phytopl Count'!AC$13/'Phytopl Count'!AC$8)</f>
        <v/>
      </c>
      <c r="AD296" s="31" t="str">
        <f>IF('Phytopl Count'!AD296=0,"",'Phytopl Count'!AD296*'Phytopl Count'!AD$13/'Phytopl Count'!AD$8)</f>
        <v/>
      </c>
      <c r="AE296" s="31" t="str">
        <f>IF('Phytopl Count'!AE296=0,"",'Phytopl Count'!AE296*'Phytopl Count'!AE$13/'Phytopl Count'!AE$8)</f>
        <v/>
      </c>
      <c r="AF296" s="31" t="str">
        <f>IF('Phytopl Count'!AF296=0,"",'Phytopl Count'!AF296*'Phytopl Count'!AF$13/'Phytopl Count'!AF$8)</f>
        <v/>
      </c>
    </row>
    <row r="297" spans="1:32" ht="15" hidden="1" customHeight="1">
      <c r="E297" s="10" t="s">
        <v>6</v>
      </c>
      <c r="F297" s="11" t="s">
        <v>333</v>
      </c>
      <c r="G297" s="31" t="str">
        <f>IF('Phytopl Count'!G297=0,"",'Phytopl Count'!G297*'Phytopl Count'!G$13/'Phytopl Count'!G$8)</f>
        <v/>
      </c>
      <c r="H297" s="31" t="str">
        <f>IF('Phytopl Count'!H297=0,"",'Phytopl Count'!H297*'Phytopl Count'!H$13/'Phytopl Count'!H$8)</f>
        <v/>
      </c>
      <c r="I297" s="31" t="str">
        <f>IF('Phytopl Count'!I297=0,"",'Phytopl Count'!I297*'Phytopl Count'!I$13/'Phytopl Count'!I$8)</f>
        <v/>
      </c>
      <c r="J297" s="31" t="str">
        <f>IF('Phytopl Count'!J297=0,"",'Phytopl Count'!J297*'Phytopl Count'!J$13/'Phytopl Count'!J$8)</f>
        <v/>
      </c>
      <c r="K297" s="31" t="str">
        <f>IF('Phytopl Count'!K297=0,"",'Phytopl Count'!K297*'Phytopl Count'!K$13/'Phytopl Count'!K$8)</f>
        <v/>
      </c>
      <c r="L297" s="31" t="str">
        <f>IF('Phytopl Count'!L297=0,"",'Phytopl Count'!L297*'Phytopl Count'!L$13/'Phytopl Count'!L$8)</f>
        <v/>
      </c>
      <c r="M297" s="31" t="str">
        <f>IF('Phytopl Count'!M297=0,"",'Phytopl Count'!M297*'Phytopl Count'!M$13/'Phytopl Count'!M$8)</f>
        <v/>
      </c>
      <c r="N297" s="31" t="str">
        <f>IF('Phytopl Count'!N297=0,"",'Phytopl Count'!N297*'Phytopl Count'!N$13/'Phytopl Count'!N$8)</f>
        <v/>
      </c>
      <c r="O297" s="31" t="str">
        <f>IF('Phytopl Count'!O297=0,"",'Phytopl Count'!O297*'Phytopl Count'!O$13/'Phytopl Count'!O$8)</f>
        <v/>
      </c>
      <c r="P297" s="31" t="str">
        <f>IF('Phytopl Count'!P297=0,"",'Phytopl Count'!P297*'Phytopl Count'!P$13/'Phytopl Count'!P$8)</f>
        <v/>
      </c>
      <c r="Q297" s="31" t="str">
        <f>IF('Phytopl Count'!Q297=0,"",'Phytopl Count'!Q297*'Phytopl Count'!Q$13/'Phytopl Count'!Q$8)</f>
        <v/>
      </c>
      <c r="R297" s="31" t="str">
        <f>IF('Phytopl Count'!R297=0,"",'Phytopl Count'!R297*'Phytopl Count'!R$13/'Phytopl Count'!R$8)</f>
        <v/>
      </c>
      <c r="S297" s="31" t="str">
        <f>IF('Phytopl Count'!S297=0,"",'Phytopl Count'!S297*'Phytopl Count'!S$13/'Phytopl Count'!S$8)</f>
        <v/>
      </c>
      <c r="T297" s="31" t="str">
        <f>IF('Phytopl Count'!T297=0,"",'Phytopl Count'!T297*'Phytopl Count'!T$13/'Phytopl Count'!T$8)</f>
        <v/>
      </c>
      <c r="U297" s="31" t="str">
        <f>IF('Phytopl Count'!U297=0,"",'Phytopl Count'!U297*'Phytopl Count'!U$13/'Phytopl Count'!U$8)</f>
        <v/>
      </c>
      <c r="V297" s="31" t="str">
        <f>IF('Phytopl Count'!V297=0,"",'Phytopl Count'!V297*'Phytopl Count'!V$13/'Phytopl Count'!V$8)</f>
        <v/>
      </c>
      <c r="W297" s="31" t="str">
        <f>IF('Phytopl Count'!W297=0,"",'Phytopl Count'!W297*'Phytopl Count'!W$13/'Phytopl Count'!W$8)</f>
        <v/>
      </c>
      <c r="X297" s="31" t="str">
        <f>IF('Phytopl Count'!X297=0,"",'Phytopl Count'!X297*'Phytopl Count'!X$13/'Phytopl Count'!X$8)</f>
        <v/>
      </c>
      <c r="Y297" s="31" t="str">
        <f>IF('Phytopl Count'!Y297=0,"",'Phytopl Count'!Y297*'Phytopl Count'!Y$13/'Phytopl Count'!Y$8)</f>
        <v/>
      </c>
      <c r="Z297" s="31" t="str">
        <f>IF('Phytopl Count'!Z297=0,"",'Phytopl Count'!Z297*'Phytopl Count'!Z$13/'Phytopl Count'!Z$8)</f>
        <v/>
      </c>
      <c r="AA297" s="31" t="str">
        <f>IF('Phytopl Count'!AA297=0,"",'Phytopl Count'!AA297*'Phytopl Count'!AA$13/'Phytopl Count'!AA$8)</f>
        <v/>
      </c>
      <c r="AB297" s="31" t="str">
        <f>IF('Phytopl Count'!AB297=0,"",'Phytopl Count'!AB297*'Phytopl Count'!AB$13/'Phytopl Count'!AB$8)</f>
        <v/>
      </c>
      <c r="AC297" s="31" t="str">
        <f>IF('Phytopl Count'!AC297=0,"",'Phytopl Count'!AC297*'Phytopl Count'!AC$13/'Phytopl Count'!AC$8)</f>
        <v/>
      </c>
      <c r="AD297" s="31" t="str">
        <f>IF('Phytopl Count'!AD297=0,"",'Phytopl Count'!AD297*'Phytopl Count'!AD$13/'Phytopl Count'!AD$8)</f>
        <v/>
      </c>
      <c r="AE297" s="31" t="str">
        <f>IF('Phytopl Count'!AE297=0,"",'Phytopl Count'!AE297*'Phytopl Count'!AE$13/'Phytopl Count'!AE$8)</f>
        <v/>
      </c>
      <c r="AF297" s="31" t="str">
        <f>IF('Phytopl Count'!AF297=0,"",'Phytopl Count'!AF297*'Phytopl Count'!AF$13/'Phytopl Count'!AF$8)</f>
        <v/>
      </c>
    </row>
    <row r="298" spans="1:32" ht="15" hidden="1" customHeight="1">
      <c r="A298" s="10"/>
      <c r="B298" s="10"/>
      <c r="C298" s="10"/>
      <c r="D298" s="10" t="s">
        <v>5</v>
      </c>
      <c r="E298" s="144" t="s">
        <v>336</v>
      </c>
      <c r="F298" s="9"/>
      <c r="G298" s="31" t="str">
        <f>IF('Phytopl Count'!G298=0,"",'Phytopl Count'!G298*'Phytopl Count'!G$13/'Phytopl Count'!G$8)</f>
        <v/>
      </c>
      <c r="H298" s="31" t="str">
        <f>IF('Phytopl Count'!H298=0,"",'Phytopl Count'!H298*'Phytopl Count'!H$13/'Phytopl Count'!H$8)</f>
        <v/>
      </c>
      <c r="I298" s="31" t="str">
        <f>IF('Phytopl Count'!I298=0,"",'Phytopl Count'!I298*'Phytopl Count'!I$13/'Phytopl Count'!I$8)</f>
        <v/>
      </c>
      <c r="J298" s="31" t="str">
        <f>IF('Phytopl Count'!J298=0,"",'Phytopl Count'!J298*'Phytopl Count'!J$13/'Phytopl Count'!J$8)</f>
        <v/>
      </c>
      <c r="K298" s="31" t="str">
        <f>IF('Phytopl Count'!K298=0,"",'Phytopl Count'!K298*'Phytopl Count'!K$13/'Phytopl Count'!K$8)</f>
        <v/>
      </c>
      <c r="L298" s="31" t="str">
        <f>IF('Phytopl Count'!L298=0,"",'Phytopl Count'!L298*'Phytopl Count'!L$13/'Phytopl Count'!L$8)</f>
        <v/>
      </c>
      <c r="M298" s="31" t="str">
        <f>IF('Phytopl Count'!M298=0,"",'Phytopl Count'!M298*'Phytopl Count'!M$13/'Phytopl Count'!M$8)</f>
        <v/>
      </c>
      <c r="N298" s="31" t="str">
        <f>IF('Phytopl Count'!N298=0,"",'Phytopl Count'!N298*'Phytopl Count'!N$13/'Phytopl Count'!N$8)</f>
        <v/>
      </c>
      <c r="O298" s="31" t="str">
        <f>IF('Phytopl Count'!O298=0,"",'Phytopl Count'!O298*'Phytopl Count'!O$13/'Phytopl Count'!O$8)</f>
        <v/>
      </c>
      <c r="P298" s="31" t="str">
        <f>IF('Phytopl Count'!P298=0,"",'Phytopl Count'!P298*'Phytopl Count'!P$13/'Phytopl Count'!P$8)</f>
        <v/>
      </c>
      <c r="Q298" s="31" t="str">
        <f>IF('Phytopl Count'!Q298=0,"",'Phytopl Count'!Q298*'Phytopl Count'!Q$13/'Phytopl Count'!Q$8)</f>
        <v/>
      </c>
      <c r="R298" s="31" t="str">
        <f>IF('Phytopl Count'!R298=0,"",'Phytopl Count'!R298*'Phytopl Count'!R$13/'Phytopl Count'!R$8)</f>
        <v/>
      </c>
      <c r="S298" s="31" t="str">
        <f>IF('Phytopl Count'!S298=0,"",'Phytopl Count'!S298*'Phytopl Count'!S$13/'Phytopl Count'!S$8)</f>
        <v/>
      </c>
      <c r="T298" s="31" t="str">
        <f>IF('Phytopl Count'!T298=0,"",'Phytopl Count'!T298*'Phytopl Count'!T$13/'Phytopl Count'!T$8)</f>
        <v/>
      </c>
      <c r="U298" s="31" t="str">
        <f>IF('Phytopl Count'!U298=0,"",'Phytopl Count'!U298*'Phytopl Count'!U$13/'Phytopl Count'!U$8)</f>
        <v/>
      </c>
      <c r="V298" s="31" t="str">
        <f>IF('Phytopl Count'!V298=0,"",'Phytopl Count'!V298*'Phytopl Count'!V$13/'Phytopl Count'!V$8)</f>
        <v/>
      </c>
      <c r="W298" s="31" t="str">
        <f>IF('Phytopl Count'!W298=0,"",'Phytopl Count'!W298*'Phytopl Count'!W$13/'Phytopl Count'!W$8)</f>
        <v/>
      </c>
      <c r="X298" s="31" t="str">
        <f>IF('Phytopl Count'!X298=0,"",'Phytopl Count'!X298*'Phytopl Count'!X$13/'Phytopl Count'!X$8)</f>
        <v/>
      </c>
      <c r="Y298" s="31" t="str">
        <f>IF('Phytopl Count'!Y298=0,"",'Phytopl Count'!Y298*'Phytopl Count'!Y$13/'Phytopl Count'!Y$8)</f>
        <v/>
      </c>
      <c r="Z298" s="31" t="str">
        <f>IF('Phytopl Count'!Z298=0,"",'Phytopl Count'!Z298*'Phytopl Count'!Z$13/'Phytopl Count'!Z$8)</f>
        <v/>
      </c>
      <c r="AA298" s="31" t="str">
        <f>IF('Phytopl Count'!AA298=0,"",'Phytopl Count'!AA298*'Phytopl Count'!AA$13/'Phytopl Count'!AA$8)</f>
        <v/>
      </c>
      <c r="AB298" s="31" t="str">
        <f>IF('Phytopl Count'!AB298=0,"",'Phytopl Count'!AB298*'Phytopl Count'!AB$13/'Phytopl Count'!AB$8)</f>
        <v/>
      </c>
      <c r="AC298" s="31" t="str">
        <f>IF('Phytopl Count'!AC298=0,"",'Phytopl Count'!AC298*'Phytopl Count'!AC$13/'Phytopl Count'!AC$8)</f>
        <v/>
      </c>
      <c r="AD298" s="31" t="str">
        <f>IF('Phytopl Count'!AD298=0,"",'Phytopl Count'!AD298*'Phytopl Count'!AD$13/'Phytopl Count'!AD$8)</f>
        <v/>
      </c>
      <c r="AE298" s="31" t="str">
        <f>IF('Phytopl Count'!AE298=0,"",'Phytopl Count'!AE298*'Phytopl Count'!AE$13/'Phytopl Count'!AE$8)</f>
        <v/>
      </c>
      <c r="AF298" s="31" t="str">
        <f>IF('Phytopl Count'!AF298=0,"",'Phytopl Count'!AF298*'Phytopl Count'!AF$13/'Phytopl Count'!AF$8)</f>
        <v/>
      </c>
    </row>
    <row r="299" spans="1:32" ht="15" hidden="1" customHeight="1">
      <c r="E299" s="10" t="s">
        <v>6</v>
      </c>
      <c r="F299" s="11" t="s">
        <v>337</v>
      </c>
      <c r="G299" s="31" t="str">
        <f>IF('Phytopl Count'!G299=0,"",'Phytopl Count'!G299*'Phytopl Count'!G$13/'Phytopl Count'!G$8)</f>
        <v/>
      </c>
      <c r="H299" s="31" t="str">
        <f>IF('Phytopl Count'!H299=0,"",'Phytopl Count'!H299*'Phytopl Count'!H$13/'Phytopl Count'!H$8)</f>
        <v/>
      </c>
      <c r="I299" s="31" t="str">
        <f>IF('Phytopl Count'!I299=0,"",'Phytopl Count'!I299*'Phytopl Count'!I$13/'Phytopl Count'!I$8)</f>
        <v/>
      </c>
      <c r="J299" s="31" t="str">
        <f>IF('Phytopl Count'!J299=0,"",'Phytopl Count'!J299*'Phytopl Count'!J$13/'Phytopl Count'!J$8)</f>
        <v/>
      </c>
      <c r="K299" s="31" t="str">
        <f>IF('Phytopl Count'!K299=0,"",'Phytopl Count'!K299*'Phytopl Count'!K$13/'Phytopl Count'!K$8)</f>
        <v/>
      </c>
      <c r="L299" s="31" t="str">
        <f>IF('Phytopl Count'!L299=0,"",'Phytopl Count'!L299*'Phytopl Count'!L$13/'Phytopl Count'!L$8)</f>
        <v/>
      </c>
      <c r="M299" s="31" t="str">
        <f>IF('Phytopl Count'!M299=0,"",'Phytopl Count'!M299*'Phytopl Count'!M$13/'Phytopl Count'!M$8)</f>
        <v/>
      </c>
      <c r="N299" s="31" t="str">
        <f>IF('Phytopl Count'!N299=0,"",'Phytopl Count'!N299*'Phytopl Count'!N$13/'Phytopl Count'!N$8)</f>
        <v/>
      </c>
      <c r="O299" s="31" t="str">
        <f>IF('Phytopl Count'!O299=0,"",'Phytopl Count'!O299*'Phytopl Count'!O$13/'Phytopl Count'!O$8)</f>
        <v/>
      </c>
      <c r="P299" s="31" t="str">
        <f>IF('Phytopl Count'!P299=0,"",'Phytopl Count'!P299*'Phytopl Count'!P$13/'Phytopl Count'!P$8)</f>
        <v/>
      </c>
      <c r="Q299" s="31" t="str">
        <f>IF('Phytopl Count'!Q299=0,"",'Phytopl Count'!Q299*'Phytopl Count'!Q$13/'Phytopl Count'!Q$8)</f>
        <v/>
      </c>
      <c r="R299" s="31" t="str">
        <f>IF('Phytopl Count'!R299=0,"",'Phytopl Count'!R299*'Phytopl Count'!R$13/'Phytopl Count'!R$8)</f>
        <v/>
      </c>
      <c r="S299" s="31" t="str">
        <f>IF('Phytopl Count'!S299=0,"",'Phytopl Count'!S299*'Phytopl Count'!S$13/'Phytopl Count'!S$8)</f>
        <v/>
      </c>
      <c r="T299" s="31" t="str">
        <f>IF('Phytopl Count'!T299=0,"",'Phytopl Count'!T299*'Phytopl Count'!T$13/'Phytopl Count'!T$8)</f>
        <v/>
      </c>
      <c r="U299" s="31" t="str">
        <f>IF('Phytopl Count'!U299=0,"",'Phytopl Count'!U299*'Phytopl Count'!U$13/'Phytopl Count'!U$8)</f>
        <v/>
      </c>
      <c r="V299" s="31" t="str">
        <f>IF('Phytopl Count'!V299=0,"",'Phytopl Count'!V299*'Phytopl Count'!V$13/'Phytopl Count'!V$8)</f>
        <v/>
      </c>
      <c r="W299" s="31" t="str">
        <f>IF('Phytopl Count'!W299=0,"",'Phytopl Count'!W299*'Phytopl Count'!W$13/'Phytopl Count'!W$8)</f>
        <v/>
      </c>
      <c r="X299" s="31" t="str">
        <f>IF('Phytopl Count'!X299=0,"",'Phytopl Count'!X299*'Phytopl Count'!X$13/'Phytopl Count'!X$8)</f>
        <v/>
      </c>
      <c r="Y299" s="31" t="str">
        <f>IF('Phytopl Count'!Y299=0,"",'Phytopl Count'!Y299*'Phytopl Count'!Y$13/'Phytopl Count'!Y$8)</f>
        <v/>
      </c>
      <c r="Z299" s="31" t="str">
        <f>IF('Phytopl Count'!Z299=0,"",'Phytopl Count'!Z299*'Phytopl Count'!Z$13/'Phytopl Count'!Z$8)</f>
        <v/>
      </c>
      <c r="AA299" s="31" t="str">
        <f>IF('Phytopl Count'!AA299=0,"",'Phytopl Count'!AA299*'Phytopl Count'!AA$13/'Phytopl Count'!AA$8)</f>
        <v/>
      </c>
      <c r="AB299" s="31" t="str">
        <f>IF('Phytopl Count'!AB299=0,"",'Phytopl Count'!AB299*'Phytopl Count'!AB$13/'Phytopl Count'!AB$8)</f>
        <v/>
      </c>
      <c r="AC299" s="31" t="str">
        <f>IF('Phytopl Count'!AC299=0,"",'Phytopl Count'!AC299*'Phytopl Count'!AC$13/'Phytopl Count'!AC$8)</f>
        <v/>
      </c>
      <c r="AD299" s="31" t="str">
        <f>IF('Phytopl Count'!AD299=0,"",'Phytopl Count'!AD299*'Phytopl Count'!AD$13/'Phytopl Count'!AD$8)</f>
        <v/>
      </c>
      <c r="AE299" s="31" t="str">
        <f>IF('Phytopl Count'!AE299=0,"",'Phytopl Count'!AE299*'Phytopl Count'!AE$13/'Phytopl Count'!AE$8)</f>
        <v/>
      </c>
      <c r="AF299" s="31" t="str">
        <f>IF('Phytopl Count'!AF299=0,"",'Phytopl Count'!AF299*'Phytopl Count'!AF$13/'Phytopl Count'!AF$8)</f>
        <v/>
      </c>
    </row>
    <row r="300" spans="1:32" ht="15" hidden="1" customHeight="1">
      <c r="E300" s="10"/>
      <c r="F300" s="11"/>
      <c r="G300" s="31" t="str">
        <f>IF('Phytopl Count'!G300=0,"",'Phytopl Count'!G300*'Phytopl Count'!G$13/'Phytopl Count'!G$8)</f>
        <v/>
      </c>
      <c r="H300" s="31" t="str">
        <f>IF('Phytopl Count'!H300=0,"",'Phytopl Count'!H300*'Phytopl Count'!H$13/'Phytopl Count'!H$8)</f>
        <v/>
      </c>
      <c r="I300" s="31" t="str">
        <f>IF('Phytopl Count'!I300=0,"",'Phytopl Count'!I300*'Phytopl Count'!I$13/'Phytopl Count'!I$8)</f>
        <v/>
      </c>
      <c r="J300" s="31" t="str">
        <f>IF('Phytopl Count'!J300=0,"",'Phytopl Count'!J300*'Phytopl Count'!J$13/'Phytopl Count'!J$8)</f>
        <v/>
      </c>
      <c r="K300" s="31" t="str">
        <f>IF('Phytopl Count'!K300=0,"",'Phytopl Count'!K300*'Phytopl Count'!K$13/'Phytopl Count'!K$8)</f>
        <v/>
      </c>
      <c r="L300" s="31" t="str">
        <f>IF('Phytopl Count'!L300=0,"",'Phytopl Count'!L300*'Phytopl Count'!L$13/'Phytopl Count'!L$8)</f>
        <v/>
      </c>
      <c r="M300" s="31" t="str">
        <f>IF('Phytopl Count'!M300=0,"",'Phytopl Count'!M300*'Phytopl Count'!M$13/'Phytopl Count'!M$8)</f>
        <v/>
      </c>
      <c r="N300" s="31" t="str">
        <f>IF('Phytopl Count'!N300=0,"",'Phytopl Count'!N300*'Phytopl Count'!N$13/'Phytopl Count'!N$8)</f>
        <v/>
      </c>
      <c r="O300" s="31" t="str">
        <f>IF('Phytopl Count'!O300=0,"",'Phytopl Count'!O300*'Phytopl Count'!O$13/'Phytopl Count'!O$8)</f>
        <v/>
      </c>
      <c r="P300" s="31" t="str">
        <f>IF('Phytopl Count'!P300=0,"",'Phytopl Count'!P300*'Phytopl Count'!P$13/'Phytopl Count'!P$8)</f>
        <v/>
      </c>
      <c r="Q300" s="31" t="str">
        <f>IF('Phytopl Count'!Q300=0,"",'Phytopl Count'!Q300*'Phytopl Count'!Q$13/'Phytopl Count'!Q$8)</f>
        <v/>
      </c>
      <c r="R300" s="31" t="str">
        <f>IF('Phytopl Count'!R300=0,"",'Phytopl Count'!R300*'Phytopl Count'!R$13/'Phytopl Count'!R$8)</f>
        <v/>
      </c>
      <c r="S300" s="31" t="str">
        <f>IF('Phytopl Count'!S300=0,"",'Phytopl Count'!S300*'Phytopl Count'!S$13/'Phytopl Count'!S$8)</f>
        <v/>
      </c>
      <c r="T300" s="31" t="str">
        <f>IF('Phytopl Count'!T300=0,"",'Phytopl Count'!T300*'Phytopl Count'!T$13/'Phytopl Count'!T$8)</f>
        <v/>
      </c>
      <c r="U300" s="31" t="str">
        <f>IF('Phytopl Count'!U300=0,"",'Phytopl Count'!U300*'Phytopl Count'!U$13/'Phytopl Count'!U$8)</f>
        <v/>
      </c>
      <c r="V300" s="31" t="str">
        <f>IF('Phytopl Count'!V300=0,"",'Phytopl Count'!V300*'Phytopl Count'!V$13/'Phytopl Count'!V$8)</f>
        <v/>
      </c>
      <c r="W300" s="31" t="str">
        <f>IF('Phytopl Count'!W300=0,"",'Phytopl Count'!W300*'Phytopl Count'!W$13/'Phytopl Count'!W$8)</f>
        <v/>
      </c>
      <c r="X300" s="31" t="str">
        <f>IF('Phytopl Count'!X300=0,"",'Phytopl Count'!X300*'Phytopl Count'!X$13/'Phytopl Count'!X$8)</f>
        <v/>
      </c>
      <c r="Y300" s="31" t="str">
        <f>IF('Phytopl Count'!Y300=0,"",'Phytopl Count'!Y300*'Phytopl Count'!Y$13/'Phytopl Count'!Y$8)</f>
        <v/>
      </c>
      <c r="Z300" s="31" t="str">
        <f>IF('Phytopl Count'!Z300=0,"",'Phytopl Count'!Z300*'Phytopl Count'!Z$13/'Phytopl Count'!Z$8)</f>
        <v/>
      </c>
      <c r="AA300" s="31" t="str">
        <f>IF('Phytopl Count'!AA300=0,"",'Phytopl Count'!AA300*'Phytopl Count'!AA$13/'Phytopl Count'!AA$8)</f>
        <v/>
      </c>
      <c r="AB300" s="31" t="str">
        <f>IF('Phytopl Count'!AB300=0,"",'Phytopl Count'!AB300*'Phytopl Count'!AB$13/'Phytopl Count'!AB$8)</f>
        <v/>
      </c>
      <c r="AC300" s="31" t="str">
        <f>IF('Phytopl Count'!AC300=0,"",'Phytopl Count'!AC300*'Phytopl Count'!AC$13/'Phytopl Count'!AC$8)</f>
        <v/>
      </c>
      <c r="AD300" s="31" t="str">
        <f>IF('Phytopl Count'!AD300=0,"",'Phytopl Count'!AD300*'Phytopl Count'!AD$13/'Phytopl Count'!AD$8)</f>
        <v/>
      </c>
      <c r="AE300" s="31" t="str">
        <f>IF('Phytopl Count'!AE300=0,"",'Phytopl Count'!AE300*'Phytopl Count'!AE$13/'Phytopl Count'!AE$8)</f>
        <v/>
      </c>
      <c r="AF300" s="31" t="str">
        <f>IF('Phytopl Count'!AF300=0,"",'Phytopl Count'!AF300*'Phytopl Count'!AF$13/'Phytopl Count'!AF$8)</f>
        <v/>
      </c>
    </row>
    <row r="301" spans="1:32" ht="15.75" hidden="1" customHeight="1">
      <c r="A301" s="101"/>
      <c r="B301" s="16" t="s">
        <v>268</v>
      </c>
      <c r="C301" s="4"/>
      <c r="D301" s="101"/>
      <c r="E301" s="102"/>
      <c r="F301" s="126"/>
      <c r="G301" s="31" t="str">
        <f>IF('Phytopl Count'!G301=0,"",'Phytopl Count'!G301*'Phytopl Count'!G$13/'Phytopl Count'!G$8)</f>
        <v/>
      </c>
      <c r="H301" s="31" t="str">
        <f>IF('Phytopl Count'!H301=0,"",'Phytopl Count'!H301*'Phytopl Count'!H$13/'Phytopl Count'!H$8)</f>
        <v/>
      </c>
      <c r="I301" s="31" t="str">
        <f>IF('Phytopl Count'!I301=0,"",'Phytopl Count'!I301*'Phytopl Count'!I$13/'Phytopl Count'!I$8)</f>
        <v/>
      </c>
      <c r="J301" s="31" t="str">
        <f>IF('Phytopl Count'!J301=0,"",'Phytopl Count'!J301*'Phytopl Count'!J$13/'Phytopl Count'!J$8)</f>
        <v/>
      </c>
      <c r="K301" s="31" t="str">
        <f>IF('Phytopl Count'!K301=0,"",'Phytopl Count'!K301*'Phytopl Count'!K$13/'Phytopl Count'!K$8)</f>
        <v/>
      </c>
      <c r="L301" s="31" t="str">
        <f>IF('Phytopl Count'!L301=0,"",'Phytopl Count'!L301*'Phytopl Count'!L$13/'Phytopl Count'!L$8)</f>
        <v/>
      </c>
      <c r="M301" s="31" t="str">
        <f>IF('Phytopl Count'!M301=0,"",'Phytopl Count'!M301*'Phytopl Count'!M$13/'Phytopl Count'!M$8)</f>
        <v/>
      </c>
      <c r="N301" s="31" t="str">
        <f>IF('Phytopl Count'!N301=0,"",'Phytopl Count'!N301*'Phytopl Count'!N$13/'Phytopl Count'!N$8)</f>
        <v/>
      </c>
      <c r="O301" s="31" t="str">
        <f>IF('Phytopl Count'!O301=0,"",'Phytopl Count'!O301*'Phytopl Count'!O$13/'Phytopl Count'!O$8)</f>
        <v/>
      </c>
      <c r="P301" s="31" t="str">
        <f>IF('Phytopl Count'!P301=0,"",'Phytopl Count'!P301*'Phytopl Count'!P$13/'Phytopl Count'!P$8)</f>
        <v/>
      </c>
      <c r="Q301" s="31" t="str">
        <f>IF('Phytopl Count'!Q301=0,"",'Phytopl Count'!Q301*'Phytopl Count'!Q$13/'Phytopl Count'!Q$8)</f>
        <v/>
      </c>
      <c r="R301" s="31" t="str">
        <f>IF('Phytopl Count'!R301=0,"",'Phytopl Count'!R301*'Phytopl Count'!R$13/'Phytopl Count'!R$8)</f>
        <v/>
      </c>
      <c r="S301" s="31" t="str">
        <f>IF('Phytopl Count'!S301=0,"",'Phytopl Count'!S301*'Phytopl Count'!S$13/'Phytopl Count'!S$8)</f>
        <v/>
      </c>
      <c r="T301" s="31" t="str">
        <f>IF('Phytopl Count'!T301=0,"",'Phytopl Count'!T301*'Phytopl Count'!T$13/'Phytopl Count'!T$8)</f>
        <v/>
      </c>
      <c r="U301" s="31" t="str">
        <f>IF('Phytopl Count'!U301=0,"",'Phytopl Count'!U301*'Phytopl Count'!U$13/'Phytopl Count'!U$8)</f>
        <v/>
      </c>
      <c r="V301" s="31" t="str">
        <f>IF('Phytopl Count'!V301=0,"",'Phytopl Count'!V301*'Phytopl Count'!V$13/'Phytopl Count'!V$8)</f>
        <v/>
      </c>
      <c r="W301" s="31" t="str">
        <f>IF('Phytopl Count'!W301=0,"",'Phytopl Count'!W301*'Phytopl Count'!W$13/'Phytopl Count'!W$8)</f>
        <v/>
      </c>
      <c r="X301" s="31" t="str">
        <f>IF('Phytopl Count'!X301=0,"",'Phytopl Count'!X301*'Phytopl Count'!X$13/'Phytopl Count'!X$8)</f>
        <v/>
      </c>
      <c r="Y301" s="31" t="str">
        <f>IF('Phytopl Count'!Y301=0,"",'Phytopl Count'!Y301*'Phytopl Count'!Y$13/'Phytopl Count'!Y$8)</f>
        <v/>
      </c>
      <c r="Z301" s="31" t="str">
        <f>IF('Phytopl Count'!Z301=0,"",'Phytopl Count'!Z301*'Phytopl Count'!Z$13/'Phytopl Count'!Z$8)</f>
        <v/>
      </c>
      <c r="AA301" s="31" t="str">
        <f>IF('Phytopl Count'!AA301=0,"",'Phytopl Count'!AA301*'Phytopl Count'!AA$13/'Phytopl Count'!AA$8)</f>
        <v/>
      </c>
      <c r="AB301" s="31" t="str">
        <f>IF('Phytopl Count'!AB301=0,"",'Phytopl Count'!AB301*'Phytopl Count'!AB$13/'Phytopl Count'!AB$8)</f>
        <v/>
      </c>
      <c r="AC301" s="31" t="str">
        <f>IF('Phytopl Count'!AC301=0,"",'Phytopl Count'!AC301*'Phytopl Count'!AC$13/'Phytopl Count'!AC$8)</f>
        <v/>
      </c>
      <c r="AD301" s="31" t="str">
        <f>IF('Phytopl Count'!AD301=0,"",'Phytopl Count'!AD301*'Phytopl Count'!AD$13/'Phytopl Count'!AD$8)</f>
        <v/>
      </c>
      <c r="AE301" s="31" t="str">
        <f>IF('Phytopl Count'!AE301=0,"",'Phytopl Count'!AE301*'Phytopl Count'!AE$13/'Phytopl Count'!AE$8)</f>
        <v/>
      </c>
      <c r="AF301" s="31" t="str">
        <f>IF('Phytopl Count'!AF301=0,"",'Phytopl Count'!AF301*'Phytopl Count'!AF$13/'Phytopl Count'!AF$8)</f>
        <v/>
      </c>
    </row>
    <row r="302" spans="1:32" ht="15" thickBot="1">
      <c r="F302" s="9"/>
      <c r="G302" s="31" t="str">
        <f>IF('Phytopl Count'!G302=0,"",'Phytopl Count'!G302*'Phytopl Count'!G$13/'Phytopl Count'!G$8)</f>
        <v/>
      </c>
      <c r="H302" s="31" t="str">
        <f>IF('Phytopl Count'!H302=0,"",'Phytopl Count'!H302*'Phytopl Count'!H$13/'Phytopl Count'!H$8)</f>
        <v/>
      </c>
      <c r="I302" s="31" t="str">
        <f>IF('Phytopl Count'!I302=0,"",'Phytopl Count'!I302*'Phytopl Count'!I$13/'Phytopl Count'!I$8)</f>
        <v/>
      </c>
      <c r="J302" s="31" t="str">
        <f>IF('Phytopl Count'!J302=0,"",'Phytopl Count'!J302*'Phytopl Count'!J$13/'Phytopl Count'!J$8)</f>
        <v/>
      </c>
      <c r="K302" s="31" t="str">
        <f>IF('Phytopl Count'!K302=0,"",'Phytopl Count'!K302*'Phytopl Count'!K$13/'Phytopl Count'!K$8)</f>
        <v/>
      </c>
      <c r="L302" s="31" t="str">
        <f>IF('Phytopl Count'!L302=0,"",'Phytopl Count'!L302*'Phytopl Count'!L$13/'Phytopl Count'!L$8)</f>
        <v/>
      </c>
      <c r="M302" s="31" t="str">
        <f>IF('Phytopl Count'!M302=0,"",'Phytopl Count'!M302*'Phytopl Count'!M$13/'Phytopl Count'!M$8)</f>
        <v/>
      </c>
      <c r="N302" s="31" t="str">
        <f>IF('Phytopl Count'!N302=0,"",'Phytopl Count'!N302*'Phytopl Count'!N$13/'Phytopl Count'!N$8)</f>
        <v/>
      </c>
      <c r="O302" s="31" t="str">
        <f>IF('Phytopl Count'!O302=0,"",'Phytopl Count'!O302*'Phytopl Count'!O$13/'Phytopl Count'!O$8)</f>
        <v/>
      </c>
      <c r="P302" s="31" t="str">
        <f>IF('Phytopl Count'!P302=0,"",'Phytopl Count'!P302*'Phytopl Count'!P$13/'Phytopl Count'!P$8)</f>
        <v/>
      </c>
      <c r="Q302" s="31" t="str">
        <f>IF('Phytopl Count'!Q302=0,"",'Phytopl Count'!Q302*'Phytopl Count'!Q$13/'Phytopl Count'!Q$8)</f>
        <v/>
      </c>
      <c r="R302" s="31" t="str">
        <f>IF('Phytopl Count'!R302=0,"",'Phytopl Count'!R302*'Phytopl Count'!R$13/'Phytopl Count'!R$8)</f>
        <v/>
      </c>
      <c r="S302" s="31" t="str">
        <f>IF('Phytopl Count'!S302=0,"",'Phytopl Count'!S302*'Phytopl Count'!S$13/'Phytopl Count'!S$8)</f>
        <v/>
      </c>
      <c r="T302" s="31" t="str">
        <f>IF('Phytopl Count'!T302=0,"",'Phytopl Count'!T302*'Phytopl Count'!T$13/'Phytopl Count'!T$8)</f>
        <v/>
      </c>
      <c r="U302" s="31" t="str">
        <f>IF('Phytopl Count'!U302=0,"",'Phytopl Count'!U302*'Phytopl Count'!U$13/'Phytopl Count'!U$8)</f>
        <v/>
      </c>
      <c r="V302" s="31" t="str">
        <f>IF('Phytopl Count'!V302=0,"",'Phytopl Count'!V302*'Phytopl Count'!V$13/'Phytopl Count'!V$8)</f>
        <v/>
      </c>
      <c r="W302" s="31" t="str">
        <f>IF('Phytopl Count'!W302=0,"",'Phytopl Count'!W302*'Phytopl Count'!W$13/'Phytopl Count'!W$8)</f>
        <v/>
      </c>
      <c r="X302" s="31" t="str">
        <f>IF('Phytopl Count'!X302=0,"",'Phytopl Count'!X302*'Phytopl Count'!X$13/'Phytopl Count'!X$8)</f>
        <v/>
      </c>
      <c r="Y302" s="31" t="str">
        <f>IF('Phytopl Count'!Y302=0,"",'Phytopl Count'!Y302*'Phytopl Count'!Y$13/'Phytopl Count'!Y$8)</f>
        <v/>
      </c>
      <c r="Z302" s="31" t="str">
        <f>IF('Phytopl Count'!Z302=0,"",'Phytopl Count'!Z302*'Phytopl Count'!Z$13/'Phytopl Count'!Z$8)</f>
        <v/>
      </c>
      <c r="AA302" s="31" t="str">
        <f>IF('Phytopl Count'!AA302=0,"",'Phytopl Count'!AA302*'Phytopl Count'!AA$13/'Phytopl Count'!AA$8)</f>
        <v/>
      </c>
      <c r="AB302" s="31" t="str">
        <f>IF('Phytopl Count'!AB302=0,"",'Phytopl Count'!AB302*'Phytopl Count'!AB$13/'Phytopl Count'!AB$8)</f>
        <v/>
      </c>
      <c r="AC302" s="31" t="str">
        <f>IF('Phytopl Count'!AC302=0,"",'Phytopl Count'!AC302*'Phytopl Count'!AC$13/'Phytopl Count'!AC$8)</f>
        <v/>
      </c>
      <c r="AD302" s="31" t="str">
        <f>IF('Phytopl Count'!AD302=0,"",'Phytopl Count'!AD302*'Phytopl Count'!AD$13/'Phytopl Count'!AD$8)</f>
        <v/>
      </c>
      <c r="AE302" s="31" t="str">
        <f>IF('Phytopl Count'!AE302=0,"",'Phytopl Count'!AE302*'Phytopl Count'!AE$13/'Phytopl Count'!AE$8)</f>
        <v/>
      </c>
      <c r="AF302" s="31" t="str">
        <f>IF('Phytopl Count'!AF302=0,"",'Phytopl Count'!AF302*'Phytopl Count'!AF$13/'Phytopl Count'!AF$8)</f>
        <v/>
      </c>
    </row>
    <row r="303" spans="1:32" s="13" customFormat="1" ht="15" thickBot="1">
      <c r="F303" s="14" t="s">
        <v>7</v>
      </c>
      <c r="G303" s="32">
        <f t="shared" ref="G303:AF303" si="0">COUNT(G14:G302)</f>
        <v>13</v>
      </c>
      <c r="H303" s="32">
        <f t="shared" si="0"/>
        <v>14</v>
      </c>
      <c r="I303" s="32">
        <f t="shared" si="0"/>
        <v>12</v>
      </c>
      <c r="J303" s="32">
        <f t="shared" si="0"/>
        <v>20</v>
      </c>
      <c r="K303" s="32">
        <f t="shared" si="0"/>
        <v>21</v>
      </c>
      <c r="L303" s="32">
        <f t="shared" si="0"/>
        <v>14</v>
      </c>
      <c r="M303" s="32">
        <f t="shared" si="0"/>
        <v>16</v>
      </c>
      <c r="N303" s="32">
        <f t="shared" si="0"/>
        <v>20</v>
      </c>
      <c r="O303" s="32">
        <f t="shared" si="0"/>
        <v>20</v>
      </c>
      <c r="P303" s="32">
        <f t="shared" si="0"/>
        <v>17</v>
      </c>
      <c r="Q303" s="32">
        <f t="shared" si="0"/>
        <v>22</v>
      </c>
      <c r="R303" s="32">
        <f t="shared" si="0"/>
        <v>22</v>
      </c>
      <c r="S303" s="32">
        <f t="shared" si="0"/>
        <v>14</v>
      </c>
      <c r="T303" s="32">
        <f t="shared" si="0"/>
        <v>17</v>
      </c>
      <c r="U303" s="32">
        <f t="shared" si="0"/>
        <v>21</v>
      </c>
      <c r="V303" s="32">
        <f t="shared" si="0"/>
        <v>28</v>
      </c>
      <c r="W303" s="32">
        <f t="shared" si="0"/>
        <v>17</v>
      </c>
      <c r="X303" s="32">
        <f t="shared" si="0"/>
        <v>15</v>
      </c>
      <c r="Y303" s="32">
        <f t="shared" si="0"/>
        <v>13</v>
      </c>
      <c r="Z303" s="32">
        <f t="shared" si="0"/>
        <v>16</v>
      </c>
      <c r="AA303" s="32">
        <f t="shared" si="0"/>
        <v>18</v>
      </c>
      <c r="AB303" s="32">
        <f t="shared" si="0"/>
        <v>15</v>
      </c>
      <c r="AC303" s="32">
        <f t="shared" si="0"/>
        <v>16</v>
      </c>
      <c r="AD303" s="32">
        <f t="shared" si="0"/>
        <v>19</v>
      </c>
      <c r="AE303" s="32">
        <f t="shared" si="0"/>
        <v>19</v>
      </c>
      <c r="AF303" s="32">
        <f t="shared" si="0"/>
        <v>21</v>
      </c>
    </row>
    <row r="304" spans="1:32">
      <c r="F304" s="6" t="s">
        <v>312</v>
      </c>
      <c r="G304" s="31">
        <f t="shared" ref="G304:AF304" si="1">SUM(G14:G302)</f>
        <v>3.8650961441855674</v>
      </c>
      <c r="H304" s="31">
        <f t="shared" si="1"/>
        <v>9.8495889309701266</v>
      </c>
      <c r="I304" s="31">
        <f t="shared" si="1"/>
        <v>2.5224557018338123</v>
      </c>
      <c r="J304" s="31">
        <f t="shared" si="1"/>
        <v>4.0839758982071261</v>
      </c>
      <c r="K304" s="31">
        <f t="shared" si="1"/>
        <v>4.2921785910569001</v>
      </c>
      <c r="L304" s="31">
        <f t="shared" si="1"/>
        <v>2.8107363534719623</v>
      </c>
      <c r="M304" s="31">
        <f t="shared" si="1"/>
        <v>2.8027285575931256</v>
      </c>
      <c r="N304" s="31">
        <f t="shared" si="1"/>
        <v>5.6214727069439245</v>
      </c>
      <c r="O304" s="31">
        <f t="shared" si="1"/>
        <v>4.7726463437871507</v>
      </c>
      <c r="P304" s="31">
        <f t="shared" si="1"/>
        <v>6.9507668228309534</v>
      </c>
      <c r="Q304" s="31">
        <f t="shared" si="1"/>
        <v>4.2441318157838754</v>
      </c>
      <c r="R304" s="31">
        <f t="shared" si="1"/>
        <v>3.4593678196577997</v>
      </c>
      <c r="S304" s="31">
        <f t="shared" si="1"/>
        <v>2.1621048872861253</v>
      </c>
      <c r="T304" s="31">
        <f t="shared" si="1"/>
        <v>11.194898638614827</v>
      </c>
      <c r="U304" s="31">
        <f t="shared" si="1"/>
        <v>5.8617065833090525</v>
      </c>
      <c r="V304" s="31">
        <f t="shared" si="1"/>
        <v>5.3652232388211232</v>
      </c>
      <c r="W304" s="31">
        <f t="shared" si="1"/>
        <v>3.6996016960229259</v>
      </c>
      <c r="X304" s="31">
        <f t="shared" si="1"/>
        <v>4.5163968756643538</v>
      </c>
      <c r="Y304" s="31">
        <f t="shared" si="1"/>
        <v>2.0660113367400754</v>
      </c>
      <c r="Z304" s="31">
        <f t="shared" si="1"/>
        <v>31.855012006015574</v>
      </c>
      <c r="AA304" s="31">
        <f t="shared" si="1"/>
        <v>4.7085839767564499</v>
      </c>
      <c r="AB304" s="31">
        <f t="shared" si="1"/>
        <v>2.322260804862875</v>
      </c>
      <c r="AC304" s="31">
        <f t="shared" si="1"/>
        <v>5.2851452800327525</v>
      </c>
      <c r="AD304" s="31">
        <f t="shared" si="1"/>
        <v>7.3671722085305014</v>
      </c>
      <c r="AE304" s="31">
        <f t="shared" si="1"/>
        <v>2.4984323141972999</v>
      </c>
      <c r="AF304" s="31">
        <f t="shared" si="1"/>
        <v>16.335903592828505</v>
      </c>
    </row>
    <row r="305" spans="6:32">
      <c r="F305" s="6" t="s">
        <v>53</v>
      </c>
      <c r="G305" s="31">
        <f>IF(G303=0,"",(G304*LN(G304)-'Ln Data'!G303)/G304)</f>
        <v>1.8738266124045315</v>
      </c>
      <c r="H305" s="31">
        <f>IF(H303=0,"",(H304*LN(H304)-'Ln Data'!H303)/H304)</f>
        <v>2.2179330764950547</v>
      </c>
      <c r="I305" s="31">
        <f>IF(I303=0,"",(I304*LN(I304)-'Ln Data'!I303)/I304)</f>
        <v>1.872658978318364</v>
      </c>
      <c r="J305" s="31">
        <f>IF(J303=0,"",(J304*LN(J304)-'Ln Data'!J303)/J304)</f>
        <v>2.2264705581087139</v>
      </c>
      <c r="K305" s="31">
        <f>IF(K303=0,"",(K304*LN(K304)-'Ln Data'!K303)/K304)</f>
        <v>2.5182872820464932</v>
      </c>
      <c r="L305" s="31">
        <f>IF(L303=0,"",(L304*LN(L304)-'Ln Data'!L303)/L304)</f>
        <v>1.9762829008444647</v>
      </c>
      <c r="M305" s="31">
        <f>IF(M303=0,"",(M304*LN(M304)-'Ln Data'!M303)/M304)</f>
        <v>2.0811257706427955</v>
      </c>
      <c r="N305" s="31">
        <f>IF(N303=0,"",(N304*LN(N304)-'Ln Data'!N303)/N304)</f>
        <v>2.1746793717487081</v>
      </c>
      <c r="O305" s="31">
        <f>IF(O303=0,"",(O304*LN(O304)-'Ln Data'!O303)/O304)</f>
        <v>2.4581469873723663</v>
      </c>
      <c r="P305" s="31">
        <f>IF(P303=0,"",(P304*LN(P304)-'Ln Data'!P303)/P304)</f>
        <v>2.0338977137018235</v>
      </c>
      <c r="Q305" s="31">
        <f>IF(Q303=0,"",(Q304*LN(Q304)-'Ln Data'!Q303)/Q304)</f>
        <v>2.4699565125505409</v>
      </c>
      <c r="R305" s="31">
        <f>IF(R303=0,"",(R304*LN(R304)-'Ln Data'!R303)/R304)</f>
        <v>2.3070692483892947</v>
      </c>
      <c r="S305" s="31">
        <f>IF(S303=0,"",(S304*LN(S304)-'Ln Data'!S303)/S304)</f>
        <v>2.3638766814097165</v>
      </c>
      <c r="T305" s="31">
        <f>IF(T303=0,"",(T304*LN(T304)-'Ln Data'!T303)/T304)</f>
        <v>1.6200203487277862</v>
      </c>
      <c r="U305" s="31">
        <f>IF(U303=0,"",(U304*LN(U304)-'Ln Data'!U303)/U304)</f>
        <v>2.3844362990172692</v>
      </c>
      <c r="V305" s="31">
        <f>IF(V303=0,"",(V304*LN(V304)-'Ln Data'!V303)/V304)</f>
        <v>2.6616900345034193</v>
      </c>
      <c r="W305" s="31">
        <f>IF(W303=0,"",(W304*LN(W304)-'Ln Data'!W303)/W304)</f>
        <v>2.0724687927436318</v>
      </c>
      <c r="X305" s="31">
        <f>IF(X303=0,"",(X304*LN(X304)-'Ln Data'!X303)/X304)</f>
        <v>1.9876302853695207</v>
      </c>
      <c r="Y305" s="31">
        <f>IF(Y303=0,"",(Y304*LN(Y304)-'Ln Data'!Y303)/Y304)</f>
        <v>1.9756504643730484</v>
      </c>
      <c r="Z305" s="31">
        <f>IF(Z303=0,"",(Z304*LN(Z304)-'Ln Data'!Z303)/Z304)</f>
        <v>1.0536449176609182</v>
      </c>
      <c r="AA305" s="31">
        <f>IF(AA303=0,"",(AA304*LN(AA304)-'Ln Data'!AA303)/AA304)</f>
        <v>2.266577084361201</v>
      </c>
      <c r="AB305" s="31">
        <f>IF(AB303=0,"",(AB304*LN(AB304)-'Ln Data'!AB303)/AB304)</f>
        <v>2.1035139667001976</v>
      </c>
      <c r="AC305" s="31">
        <f>IF(AC303=0,"",(AC304*LN(AC304)-'Ln Data'!AC303)/AC304)</f>
        <v>2.2681547285176622</v>
      </c>
      <c r="AD305" s="31">
        <f>IF(AD303=0,"",(AD304*LN(AD304)-'Ln Data'!AD303)/AD304)</f>
        <v>2.2798330265287352</v>
      </c>
      <c r="AE305" s="31">
        <f>IF(AE303=0,"",(AE304*LN(AE304)-'Ln Data'!AE303)/AE304)</f>
        <v>2.0679389246723328</v>
      </c>
      <c r="AF305" s="31">
        <f>IF(AF303=0,"",(AF304*LN(AF304)-'Ln Data'!AF303)/AF304)</f>
        <v>2.2336026743252009</v>
      </c>
    </row>
    <row r="306" spans="6:32">
      <c r="F306" s="6" t="s">
        <v>54</v>
      </c>
      <c r="G306" s="31">
        <f t="shared" ref="G306:I306" si="2">IF(G303=0,"",G305/LN(G303))</f>
        <v>0.73055111476314238</v>
      </c>
      <c r="H306" s="31">
        <f t="shared" si="2"/>
        <v>0.840426258120888</v>
      </c>
      <c r="I306" s="31">
        <f t="shared" si="2"/>
        <v>0.75361341178676866</v>
      </c>
      <c r="J306" s="31">
        <f t="shared" ref="J306:M306" si="3">IF(J303=0,"",J305/LN(J303))</f>
        <v>0.74321413090340605</v>
      </c>
      <c r="K306" s="31">
        <f t="shared" si="3"/>
        <v>0.82715346447884019</v>
      </c>
      <c r="L306" s="31">
        <f t="shared" si="3"/>
        <v>0.74885940470743095</v>
      </c>
      <c r="M306" s="31">
        <f t="shared" si="3"/>
        <v>0.75060745719314581</v>
      </c>
      <c r="N306" s="31">
        <f t="shared" ref="N306:AF306" si="4">IF(N303=0,"",N305/LN(N303))</f>
        <v>0.7259258081726957</v>
      </c>
      <c r="O306" s="31">
        <f t="shared" si="4"/>
        <v>0.82054962289942568</v>
      </c>
      <c r="P306" s="31">
        <f t="shared" si="4"/>
        <v>0.71787665336559536</v>
      </c>
      <c r="Q306" s="31">
        <f t="shared" si="4"/>
        <v>0.79906910041530299</v>
      </c>
      <c r="R306" s="31">
        <f t="shared" si="4"/>
        <v>0.74637255333802999</v>
      </c>
      <c r="S306" s="31">
        <f t="shared" si="4"/>
        <v>0.89572767324245295</v>
      </c>
      <c r="T306" s="31">
        <f t="shared" si="4"/>
        <v>0.57179610286899807</v>
      </c>
      <c r="U306" s="31">
        <f t="shared" si="4"/>
        <v>0.78318893941220513</v>
      </c>
      <c r="V306" s="31">
        <f t="shared" si="4"/>
        <v>0.79877751391779683</v>
      </c>
      <c r="W306" s="31">
        <f t="shared" si="4"/>
        <v>0.73149055191747336</v>
      </c>
      <c r="X306" s="31">
        <f t="shared" si="4"/>
        <v>0.73397098937107241</v>
      </c>
      <c r="Y306" s="31">
        <f t="shared" si="4"/>
        <v>0.77024930672639003</v>
      </c>
      <c r="Z306" s="31">
        <f t="shared" si="4"/>
        <v>0.38002207439181673</v>
      </c>
      <c r="AA306" s="31">
        <f t="shared" si="4"/>
        <v>0.78418185417469988</v>
      </c>
      <c r="AB306" s="31">
        <f t="shared" si="4"/>
        <v>0.77676328372496251</v>
      </c>
      <c r="AC306" s="31">
        <f t="shared" si="4"/>
        <v>0.81806389470032115</v>
      </c>
      <c r="AD306" s="31">
        <f t="shared" si="4"/>
        <v>0.77428435184421707</v>
      </c>
      <c r="AE306" s="31">
        <f t="shared" si="4"/>
        <v>0.7023201836764702</v>
      </c>
      <c r="AF306" s="31">
        <f t="shared" si="4"/>
        <v>0.73364631728429741</v>
      </c>
    </row>
    <row r="320" spans="6:32">
      <c r="I320" s="86" t="s">
        <v>231</v>
      </c>
    </row>
  </sheetData>
  <phoneticPr fontId="48" type="noConversion"/>
  <pageMargins left="0.55118110236220474" right="0.31496062992125984" top="0.72" bottom="0.94" header="0.35433070866141736" footer="0.51181102362204722"/>
  <pageSetup paperSize="9" scale="90" fitToWidth="2" fitToHeight="2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6"/>
  <sheetViews>
    <sheetView topLeftCell="A227" zoomScale="80" zoomScaleNormal="80" zoomScalePageLayoutView="125" workbookViewId="0">
      <selection activeCell="Q20" sqref="Q20"/>
    </sheetView>
  </sheetViews>
  <sheetFormatPr defaultColWidth="10.8984375" defaultRowHeight="15.6"/>
  <cols>
    <col min="1" max="1" width="8.59765625" style="1" customWidth="1"/>
    <col min="2" max="3" width="2.09765625" style="1" customWidth="1"/>
    <col min="4" max="5" width="2.09765625" customWidth="1"/>
    <col min="6" max="6" width="18.59765625" customWidth="1"/>
    <col min="7" max="32" width="12.296875" customWidth="1"/>
  </cols>
  <sheetData>
    <row r="1" spans="1:32" s="1" customFormat="1">
      <c r="A1" s="4" t="s">
        <v>62</v>
      </c>
      <c r="B1" s="4"/>
      <c r="C1" s="4"/>
      <c r="D1" s="4"/>
      <c r="E1" s="4"/>
      <c r="F1" s="4"/>
      <c r="G1" s="4"/>
      <c r="H1" s="4"/>
      <c r="I1" s="4"/>
    </row>
    <row r="2" spans="1:32" s="1" customFormat="1">
      <c r="A2" s="4"/>
      <c r="B2" s="4"/>
      <c r="C2" s="4"/>
      <c r="D2" s="4"/>
      <c r="E2" s="4"/>
      <c r="F2" s="4"/>
      <c r="G2" s="4"/>
      <c r="H2" s="4"/>
      <c r="I2" s="4"/>
    </row>
    <row r="3" spans="1:32" s="1" customFormat="1">
      <c r="A3" s="4"/>
      <c r="B3" s="4"/>
      <c r="C3" s="4"/>
      <c r="D3" s="4"/>
      <c r="E3" s="4"/>
      <c r="F3" s="4"/>
      <c r="G3" s="4"/>
      <c r="H3" s="4"/>
      <c r="I3" s="4"/>
    </row>
    <row r="4" spans="1:32">
      <c r="A4" s="4"/>
      <c r="B4" s="4"/>
      <c r="C4" s="4"/>
      <c r="D4" s="5"/>
      <c r="E4" s="5"/>
      <c r="F4" s="5"/>
      <c r="G4" s="5"/>
      <c r="H4" s="5"/>
      <c r="I4" s="5"/>
    </row>
    <row r="5" spans="1:32" s="1" customFormat="1">
      <c r="A5" s="4"/>
      <c r="B5" s="4"/>
      <c r="C5" s="4"/>
      <c r="D5" s="4"/>
      <c r="E5" s="4"/>
      <c r="F5" s="6" t="str">
        <f>'Phytopl Count'!F4</f>
        <v>Sample Marking:</v>
      </c>
      <c r="G5" s="75" t="str">
        <f>'Phytopl Count'!G4</f>
        <v>S1</v>
      </c>
      <c r="H5" s="75" t="str">
        <f>'Phytopl Count'!H4</f>
        <v>S2</v>
      </c>
      <c r="I5" s="75" t="str">
        <f>'Phytopl Count'!I4</f>
        <v>S3</v>
      </c>
      <c r="J5" s="75" t="str">
        <f>'Phytopl Count'!J4</f>
        <v>S4</v>
      </c>
      <c r="K5" s="75" t="str">
        <f>'Phytopl Count'!K4</f>
        <v>S5</v>
      </c>
      <c r="L5" s="75" t="str">
        <f>'Phytopl Count'!L4</f>
        <v>S6</v>
      </c>
      <c r="M5" s="75" t="str">
        <f>'Phytopl Count'!M4</f>
        <v>S7</v>
      </c>
      <c r="N5" s="75" t="str">
        <f>'Phytopl Count'!N4</f>
        <v>S8</v>
      </c>
      <c r="O5" s="75" t="str">
        <f>'Phytopl Count'!O4</f>
        <v>S9</v>
      </c>
      <c r="P5" s="75" t="str">
        <f>'Phytopl Count'!P4</f>
        <v>S10</v>
      </c>
      <c r="Q5" s="75" t="str">
        <f>'Phytopl Count'!Q4</f>
        <v>S11</v>
      </c>
      <c r="R5" s="75" t="str">
        <f>'Phytopl Count'!R4</f>
        <v>S12</v>
      </c>
      <c r="S5" s="75" t="str">
        <f>'Phytopl Count'!S4</f>
        <v>S13</v>
      </c>
      <c r="T5" s="75" t="str">
        <f>'Phytopl Count'!T4</f>
        <v>S14</v>
      </c>
      <c r="U5" s="75" t="str">
        <f>'Phytopl Count'!U4</f>
        <v>S15</v>
      </c>
      <c r="V5" s="75" t="str">
        <f>'Phytopl Count'!V4</f>
        <v>S16</v>
      </c>
      <c r="W5" s="75" t="str">
        <f>'Phytopl Count'!W4</f>
        <v>S17</v>
      </c>
      <c r="X5" s="75" t="str">
        <f>'Phytopl Count'!X4</f>
        <v>S18</v>
      </c>
      <c r="Y5" s="75" t="str">
        <f>'Phytopl Count'!Y4</f>
        <v>S19</v>
      </c>
      <c r="Z5" s="75" t="str">
        <f>'Phytopl Count'!Z4</f>
        <v>S20</v>
      </c>
      <c r="AA5" s="75" t="str">
        <f>'Phytopl Count'!AA4</f>
        <v>S21</v>
      </c>
      <c r="AB5" s="75" t="str">
        <f>'Phytopl Count'!AB4</f>
        <v>S22</v>
      </c>
      <c r="AC5" s="75" t="str">
        <f>'Phytopl Count'!AC4</f>
        <v>S23</v>
      </c>
      <c r="AD5" s="75" t="str">
        <f>'Phytopl Count'!AD4</f>
        <v>S24</v>
      </c>
      <c r="AE5" s="75" t="str">
        <f>'Phytopl Count'!AE4</f>
        <v>S25</v>
      </c>
      <c r="AF5" s="75" t="str">
        <f>'Phytopl Count'!AF4</f>
        <v>S26</v>
      </c>
    </row>
    <row r="6" spans="1:32" s="1" customFormat="1" hidden="1">
      <c r="A6" s="4"/>
      <c r="B6" s="4"/>
      <c r="C6" s="4"/>
      <c r="D6" s="4"/>
      <c r="E6" s="4"/>
      <c r="F6" s="6" t="s">
        <v>0</v>
      </c>
      <c r="G6" s="19">
        <v>42337</v>
      </c>
      <c r="H6" s="19">
        <v>42337</v>
      </c>
      <c r="I6" s="19">
        <v>42337</v>
      </c>
      <c r="J6" s="19">
        <v>42337</v>
      </c>
      <c r="K6" s="19">
        <v>42337</v>
      </c>
      <c r="L6" s="19">
        <v>42337</v>
      </c>
      <c r="M6" s="19">
        <v>42337</v>
      </c>
      <c r="N6" s="19">
        <v>42337</v>
      </c>
      <c r="O6" s="19">
        <v>42337</v>
      </c>
      <c r="P6" s="19">
        <v>42337</v>
      </c>
      <c r="Q6" s="19">
        <v>42337</v>
      </c>
      <c r="R6" s="19">
        <v>42337</v>
      </c>
      <c r="S6" s="19">
        <v>42337</v>
      </c>
      <c r="T6" s="19">
        <v>42337</v>
      </c>
      <c r="U6" s="19">
        <v>42337</v>
      </c>
      <c r="V6" s="19">
        <v>42337</v>
      </c>
      <c r="W6" s="19">
        <v>42337</v>
      </c>
      <c r="X6" s="19">
        <v>42337</v>
      </c>
      <c r="Y6" s="19">
        <v>42337</v>
      </c>
      <c r="Z6" s="19">
        <v>42337</v>
      </c>
      <c r="AA6" s="19">
        <v>42337</v>
      </c>
      <c r="AB6" s="19">
        <v>42337</v>
      </c>
      <c r="AC6" s="19">
        <v>42337</v>
      </c>
      <c r="AD6" s="19">
        <v>42337</v>
      </c>
      <c r="AE6" s="19">
        <v>42337</v>
      </c>
      <c r="AF6" s="19">
        <v>42337</v>
      </c>
    </row>
    <row r="7" spans="1:32" s="1" customFormat="1" hidden="1">
      <c r="A7" s="4"/>
      <c r="B7" s="4"/>
      <c r="C7" s="4"/>
      <c r="D7" s="4"/>
      <c r="E7" s="4"/>
      <c r="F7" s="6" t="s">
        <v>1</v>
      </c>
      <c r="G7" s="20" t="e">
        <f>'Phytopl Analysis'!#REF!</f>
        <v>#REF!</v>
      </c>
      <c r="H7" s="20" t="e">
        <f>'Phytopl Analysis'!#REF!</f>
        <v>#REF!</v>
      </c>
      <c r="I7" s="20" t="e">
        <f>'Phytopl Analysis'!#REF!</f>
        <v>#REF!</v>
      </c>
      <c r="J7" s="20" t="e">
        <f>'Phytopl Analysis'!#REF!</f>
        <v>#REF!</v>
      </c>
      <c r="K7" s="20" t="e">
        <f>'Phytopl Analysis'!#REF!</f>
        <v>#REF!</v>
      </c>
      <c r="L7" s="20" t="e">
        <f>'Phytopl Analysis'!#REF!</f>
        <v>#REF!</v>
      </c>
      <c r="M7" s="20" t="e">
        <f>'Phytopl Analysis'!#REF!</f>
        <v>#REF!</v>
      </c>
      <c r="N7" s="20" t="e">
        <f>'Phytopl Analysis'!#REF!</f>
        <v>#REF!</v>
      </c>
      <c r="O7" s="20" t="e">
        <f>'Phytopl Analysis'!#REF!</f>
        <v>#REF!</v>
      </c>
      <c r="P7" s="20" t="e">
        <f>'Phytopl Analysis'!#REF!</f>
        <v>#REF!</v>
      </c>
      <c r="Q7" s="20" t="e">
        <f>'Phytopl Analysis'!#REF!</f>
        <v>#REF!</v>
      </c>
      <c r="R7" s="20" t="e">
        <f>'Phytopl Analysis'!#REF!</f>
        <v>#REF!</v>
      </c>
      <c r="S7" s="20" t="e">
        <f>'Phytopl Analysis'!#REF!</f>
        <v>#REF!</v>
      </c>
      <c r="T7" s="20" t="e">
        <f>'Phytopl Analysis'!#REF!</f>
        <v>#REF!</v>
      </c>
      <c r="U7" s="20" t="e">
        <f>'Phytopl Analysis'!#REF!</f>
        <v>#REF!</v>
      </c>
      <c r="V7" s="20" t="e">
        <f>'Phytopl Analysis'!#REF!</f>
        <v>#REF!</v>
      </c>
      <c r="W7" s="20" t="e">
        <f>'Phytopl Analysis'!#REF!</f>
        <v>#REF!</v>
      </c>
      <c r="X7" s="20" t="e">
        <f>'Phytopl Analysis'!#REF!</f>
        <v>#REF!</v>
      </c>
      <c r="Y7" s="20" t="e">
        <f>'Phytopl Analysis'!#REF!</f>
        <v>#REF!</v>
      </c>
      <c r="Z7" s="20" t="e">
        <f>'Phytopl Analysis'!#REF!</f>
        <v>#REF!</v>
      </c>
      <c r="AA7" s="20" t="e">
        <f>'Phytopl Analysis'!#REF!</f>
        <v>#REF!</v>
      </c>
      <c r="AB7" s="20" t="e">
        <f>'Phytopl Analysis'!#REF!</f>
        <v>#REF!</v>
      </c>
      <c r="AC7" s="20" t="e">
        <f>'Phytopl Analysis'!#REF!</f>
        <v>#REF!</v>
      </c>
      <c r="AD7" s="20" t="e">
        <f>'Phytopl Analysis'!#REF!</f>
        <v>#REF!</v>
      </c>
      <c r="AE7" s="20" t="e">
        <f>'Phytopl Analysis'!#REF!</f>
        <v>#REF!</v>
      </c>
      <c r="AF7" s="20" t="e">
        <f>'Phytopl Analysis'!#REF!</f>
        <v>#REF!</v>
      </c>
    </row>
    <row r="8" spans="1:32" s="1" customFormat="1" hidden="1">
      <c r="A8" s="4"/>
      <c r="B8" s="4"/>
      <c r="C8" s="4"/>
      <c r="D8" s="4"/>
      <c r="E8" s="4"/>
      <c r="F8" s="6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s="1" customFormat="1" hidden="1">
      <c r="A9" s="4"/>
      <c r="B9" s="4"/>
      <c r="C9" s="4"/>
      <c r="D9" s="4"/>
      <c r="E9" s="4"/>
      <c r="F9" s="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 s="1" customFormat="1" hidden="1">
      <c r="A10" s="4"/>
      <c r="B10" s="4"/>
      <c r="C10" s="4"/>
      <c r="D10" s="4"/>
      <c r="E10" s="4"/>
      <c r="F10" s="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s="3" customFormat="1" ht="16.2" thickBot="1">
      <c r="A11" s="7"/>
      <c r="B11" s="7"/>
      <c r="C11" s="7"/>
      <c r="D11" s="7"/>
      <c r="E11" s="7"/>
      <c r="F11" s="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</row>
    <row r="12" spans="1:32" s="1" customFormat="1" ht="16.2" hidden="1" thickTop="1">
      <c r="A12" s="4"/>
      <c r="B12" s="4"/>
      <c r="C12" s="4"/>
      <c r="D12" s="4"/>
      <c r="E12" s="4"/>
      <c r="F12" s="6"/>
      <c r="G12" s="132"/>
      <c r="H12" s="133"/>
      <c r="I12" s="132"/>
      <c r="J12" s="132"/>
      <c r="K12" s="132"/>
      <c r="L12" s="133"/>
      <c r="M12" s="132"/>
      <c r="N12" s="132"/>
      <c r="O12" s="132"/>
      <c r="P12" s="133"/>
      <c r="Q12" s="132"/>
      <c r="R12" s="132"/>
      <c r="S12" s="132"/>
      <c r="T12" s="133"/>
      <c r="U12" s="132"/>
      <c r="V12" s="132"/>
      <c r="W12" s="132"/>
      <c r="X12" s="133"/>
      <c r="Y12" s="132"/>
      <c r="Z12" s="132"/>
      <c r="AA12" s="132"/>
      <c r="AB12" s="133"/>
      <c r="AC12" s="132"/>
      <c r="AD12" s="132"/>
      <c r="AE12" s="132"/>
      <c r="AF12" s="133"/>
    </row>
    <row r="13" spans="1:32" s="1" customFormat="1" ht="16.2" hidden="1" thickTop="1">
      <c r="A13" s="4"/>
      <c r="B13" s="4"/>
      <c r="C13" s="4"/>
      <c r="D13" s="4"/>
      <c r="E13" s="4"/>
      <c r="F13" s="6"/>
      <c r="G13" s="30"/>
      <c r="I13" s="30"/>
      <c r="J13" s="30"/>
      <c r="K13" s="30"/>
      <c r="M13" s="30"/>
      <c r="N13" s="30"/>
      <c r="O13" s="30"/>
      <c r="Q13" s="30"/>
      <c r="R13" s="30"/>
      <c r="S13" s="30"/>
      <c r="U13" s="30"/>
      <c r="V13" s="30"/>
      <c r="W13" s="30"/>
      <c r="Y13" s="30"/>
      <c r="Z13" s="30"/>
      <c r="AA13" s="30"/>
      <c r="AC13" s="30"/>
      <c r="AD13" s="30"/>
      <c r="AE13" s="30"/>
    </row>
    <row r="14" spans="1:32" s="1" customFormat="1" ht="16.2" thickTop="1">
      <c r="A14" s="16" t="s">
        <v>4</v>
      </c>
      <c r="B14" s="4" t="s">
        <v>299</v>
      </c>
      <c r="C14" s="16"/>
      <c r="D14" s="4"/>
      <c r="E14" s="5"/>
      <c r="F14" s="9"/>
      <c r="G14" s="21" t="str">
        <f>IF('Phytopl Count'!G14=0,"",('Phytopl Analysis'!G14*LN('Phytopl Analysis'!G14)))</f>
        <v/>
      </c>
      <c r="H14" s="21" t="str">
        <f>IF('Phytopl Count'!H14=0,"",('Phytopl Analysis'!H14*LN('Phytopl Analysis'!H14)))</f>
        <v/>
      </c>
      <c r="I14" s="58" t="str">
        <f>IF('Phytopl Count'!I14=0,"",('Phytopl Analysis'!I14*LN('Phytopl Analysis'!I14)))</f>
        <v/>
      </c>
      <c r="J14" s="58" t="str">
        <f>IF('Phytopl Count'!J14=0,"",('Phytopl Analysis'!J14*LN('Phytopl Analysis'!J14)))</f>
        <v/>
      </c>
      <c r="K14" s="21" t="str">
        <f>IF('Phytopl Count'!K14=0,"",('Phytopl Analysis'!K14*LN('Phytopl Analysis'!K14)))</f>
        <v/>
      </c>
      <c r="L14" s="21" t="str">
        <f>IF('Phytopl Count'!L14=0,"",('Phytopl Analysis'!L14*LN('Phytopl Analysis'!L14)))</f>
        <v/>
      </c>
      <c r="M14" s="58" t="str">
        <f>IF('Phytopl Count'!M14=0,"",('Phytopl Analysis'!M14*LN('Phytopl Analysis'!M14)))</f>
        <v/>
      </c>
      <c r="N14" s="58" t="str">
        <f>IF('Phytopl Count'!N14=0,"",('Phytopl Analysis'!N14*LN('Phytopl Analysis'!N14)))</f>
        <v/>
      </c>
      <c r="O14" s="21" t="str">
        <f>IF('Phytopl Count'!O14=0,"",('Phytopl Analysis'!O14*LN('Phytopl Analysis'!O14)))</f>
        <v/>
      </c>
      <c r="P14" s="21" t="str">
        <f>IF('Phytopl Count'!P14=0,"",('Phytopl Analysis'!P14*LN('Phytopl Analysis'!P14)))</f>
        <v/>
      </c>
      <c r="Q14" s="58" t="str">
        <f>IF('Phytopl Count'!Q14=0,"",('Phytopl Analysis'!Q14*LN('Phytopl Analysis'!Q14)))</f>
        <v/>
      </c>
      <c r="R14" s="58" t="str">
        <f>IF('Phytopl Count'!R14=0,"",('Phytopl Analysis'!R14*LN('Phytopl Analysis'!R14)))</f>
        <v/>
      </c>
      <c r="S14" s="21" t="str">
        <f>IF('Phytopl Count'!S14=0,"",('Phytopl Analysis'!S14*LN('Phytopl Analysis'!S14)))</f>
        <v/>
      </c>
      <c r="T14" s="21" t="str">
        <f>IF('Phytopl Count'!T14=0,"",('Phytopl Analysis'!T14*LN('Phytopl Analysis'!T14)))</f>
        <v/>
      </c>
      <c r="U14" s="58" t="str">
        <f>IF('Phytopl Count'!U14=0,"",('Phytopl Analysis'!U14*LN('Phytopl Analysis'!U14)))</f>
        <v/>
      </c>
      <c r="V14" s="58" t="str">
        <f>IF('Phytopl Count'!V14=0,"",('Phytopl Analysis'!V14*LN('Phytopl Analysis'!V14)))</f>
        <v/>
      </c>
      <c r="W14" s="21" t="str">
        <f>IF('Phytopl Count'!W14=0,"",('Phytopl Analysis'!W14*LN('Phytopl Analysis'!W14)))</f>
        <v/>
      </c>
      <c r="X14" s="21" t="str">
        <f>IF('Phytopl Count'!X14=0,"",('Phytopl Analysis'!X14*LN('Phytopl Analysis'!X14)))</f>
        <v/>
      </c>
      <c r="Y14" s="58" t="str">
        <f>IF('Phytopl Count'!Y14=0,"",('Phytopl Analysis'!Y14*LN('Phytopl Analysis'!Y14)))</f>
        <v/>
      </c>
      <c r="Z14" s="58" t="str">
        <f>IF('Phytopl Count'!Z14=0,"",('Phytopl Analysis'!Z14*LN('Phytopl Analysis'!Z14)))</f>
        <v/>
      </c>
      <c r="AA14" s="21" t="str">
        <f>IF('Phytopl Count'!AA14=0,"",('Phytopl Analysis'!AA14*LN('Phytopl Analysis'!AA14)))</f>
        <v/>
      </c>
      <c r="AB14" s="21" t="str">
        <f>IF('Phytopl Count'!AB14=0,"",('Phytopl Analysis'!AB14*LN('Phytopl Analysis'!AB14)))</f>
        <v/>
      </c>
      <c r="AC14" s="58" t="str">
        <f>IF('Phytopl Count'!AC14=0,"",('Phytopl Analysis'!AC14*LN('Phytopl Analysis'!AC14)))</f>
        <v/>
      </c>
      <c r="AD14" s="58" t="str">
        <f>IF('Phytopl Count'!AD14=0,"",('Phytopl Analysis'!AD14*LN('Phytopl Analysis'!AD14)))</f>
        <v/>
      </c>
      <c r="AE14" s="21" t="str">
        <f>IF('Phytopl Count'!AE14=0,"",('Phytopl Analysis'!AE14*LN('Phytopl Analysis'!AE14)))</f>
        <v/>
      </c>
      <c r="AF14" s="58" t="str">
        <f>IF('Phytopl Count'!AF14=0,"",('Phytopl Analysis'!AF14*LN('Phytopl Analysis'!AF14)))</f>
        <v/>
      </c>
    </row>
    <row r="15" spans="1:32" s="1" customFormat="1">
      <c r="A15" s="16"/>
      <c r="B15" s="16" t="s">
        <v>72</v>
      </c>
      <c r="C15" s="4" t="s">
        <v>13</v>
      </c>
      <c r="D15" s="4"/>
      <c r="E15" s="5"/>
      <c r="F15" s="9"/>
      <c r="G15" s="21" t="str">
        <f>IF('Phytopl Count'!G15=0,"",('Phytopl Analysis'!G15*LN('Phytopl Analysis'!G15)))</f>
        <v/>
      </c>
      <c r="H15" s="21" t="str">
        <f>IF('Phytopl Count'!H15=0,"",('Phytopl Analysis'!H15*LN('Phytopl Analysis'!H15)))</f>
        <v/>
      </c>
      <c r="I15" s="58" t="str">
        <f>IF('Phytopl Count'!I15=0,"",('Phytopl Analysis'!I15*LN('Phytopl Analysis'!I15)))</f>
        <v/>
      </c>
      <c r="J15" s="58" t="str">
        <f>IF('Phytopl Count'!J15=0,"",('Phytopl Analysis'!J15*LN('Phytopl Analysis'!J15)))</f>
        <v/>
      </c>
      <c r="K15" s="21" t="str">
        <f>IF('Phytopl Count'!K15=0,"",('Phytopl Analysis'!K15*LN('Phytopl Analysis'!K15)))</f>
        <v/>
      </c>
      <c r="L15" s="21" t="str">
        <f>IF('Phytopl Count'!L15=0,"",('Phytopl Analysis'!L15*LN('Phytopl Analysis'!L15)))</f>
        <v/>
      </c>
      <c r="M15" s="58" t="str">
        <f>IF('Phytopl Count'!M15=0,"",('Phytopl Analysis'!M15*LN('Phytopl Analysis'!M15)))</f>
        <v/>
      </c>
      <c r="N15" s="58" t="str">
        <f>IF('Phytopl Count'!N15=0,"",('Phytopl Analysis'!N15*LN('Phytopl Analysis'!N15)))</f>
        <v/>
      </c>
      <c r="O15" s="21" t="str">
        <f>IF('Phytopl Count'!O15=0,"",('Phytopl Analysis'!O15*LN('Phytopl Analysis'!O15)))</f>
        <v/>
      </c>
      <c r="P15" s="21" t="str">
        <f>IF('Phytopl Count'!P15=0,"",('Phytopl Analysis'!P15*LN('Phytopl Analysis'!P15)))</f>
        <v/>
      </c>
      <c r="Q15" s="58" t="str">
        <f>IF('Phytopl Count'!Q15=0,"",('Phytopl Analysis'!Q15*LN('Phytopl Analysis'!Q15)))</f>
        <v/>
      </c>
      <c r="R15" s="58" t="str">
        <f>IF('Phytopl Count'!R15=0,"",('Phytopl Analysis'!R15*LN('Phytopl Analysis'!R15)))</f>
        <v/>
      </c>
      <c r="S15" s="21" t="str">
        <f>IF('Phytopl Count'!S15=0,"",('Phytopl Analysis'!S15*LN('Phytopl Analysis'!S15)))</f>
        <v/>
      </c>
      <c r="T15" s="21" t="str">
        <f>IF('Phytopl Count'!T15=0,"",('Phytopl Analysis'!T15*LN('Phytopl Analysis'!T15)))</f>
        <v/>
      </c>
      <c r="U15" s="58" t="str">
        <f>IF('Phytopl Count'!U15=0,"",('Phytopl Analysis'!U15*LN('Phytopl Analysis'!U15)))</f>
        <v/>
      </c>
      <c r="V15" s="58" t="str">
        <f>IF('Phytopl Count'!V15=0,"",('Phytopl Analysis'!V15*LN('Phytopl Analysis'!V15)))</f>
        <v/>
      </c>
      <c r="W15" s="21" t="str">
        <f>IF('Phytopl Count'!W15=0,"",('Phytopl Analysis'!W15*LN('Phytopl Analysis'!W15)))</f>
        <v/>
      </c>
      <c r="X15" s="21" t="str">
        <f>IF('Phytopl Count'!X15=0,"",('Phytopl Analysis'!X15*LN('Phytopl Analysis'!X15)))</f>
        <v/>
      </c>
      <c r="Y15" s="58" t="str">
        <f>IF('Phytopl Count'!Y15=0,"",('Phytopl Analysis'!Y15*LN('Phytopl Analysis'!Y15)))</f>
        <v/>
      </c>
      <c r="Z15" s="58" t="str">
        <f>IF('Phytopl Count'!Z15=0,"",('Phytopl Analysis'!Z15*LN('Phytopl Analysis'!Z15)))</f>
        <v/>
      </c>
      <c r="AA15" s="21" t="str">
        <f>IF('Phytopl Count'!AA15=0,"",('Phytopl Analysis'!AA15*LN('Phytopl Analysis'!AA15)))</f>
        <v/>
      </c>
      <c r="AB15" s="21" t="str">
        <f>IF('Phytopl Count'!AB15=0,"",('Phytopl Analysis'!AB15*LN('Phytopl Analysis'!AB15)))</f>
        <v/>
      </c>
      <c r="AC15" s="58" t="str">
        <f>IF('Phytopl Count'!AC15=0,"",('Phytopl Analysis'!AC15*LN('Phytopl Analysis'!AC15)))</f>
        <v/>
      </c>
      <c r="AD15" s="58" t="str">
        <f>IF('Phytopl Count'!AD15=0,"",('Phytopl Analysis'!AD15*LN('Phytopl Analysis'!AD15)))</f>
        <v/>
      </c>
      <c r="AE15" s="21" t="str">
        <f>IF('Phytopl Count'!AE15=0,"",('Phytopl Analysis'!AE15*LN('Phytopl Analysis'!AE15)))</f>
        <v/>
      </c>
      <c r="AF15" s="58" t="str">
        <f>IF('Phytopl Count'!AF15=0,"",('Phytopl Analysis'!AF15*LN('Phytopl Analysis'!AF15)))</f>
        <v/>
      </c>
    </row>
    <row r="16" spans="1:32" s="1" customFormat="1">
      <c r="A16" s="16"/>
      <c r="B16" s="16"/>
      <c r="C16" s="16" t="s">
        <v>73</v>
      </c>
      <c r="D16" s="51" t="s">
        <v>89</v>
      </c>
      <c r="E16" s="5"/>
      <c r="F16" s="9"/>
      <c r="G16" s="21" t="str">
        <f>IF('Phytopl Count'!G16=0,"",('Phytopl Analysis'!G16*LN('Phytopl Analysis'!G16)))</f>
        <v/>
      </c>
      <c r="H16" s="21" t="str">
        <f>IF('Phytopl Count'!H16=0,"",('Phytopl Analysis'!H16*LN('Phytopl Analysis'!H16)))</f>
        <v/>
      </c>
      <c r="I16" s="58" t="str">
        <f>IF('Phytopl Count'!I16=0,"",('Phytopl Analysis'!I16*LN('Phytopl Analysis'!I16)))</f>
        <v/>
      </c>
      <c r="J16" s="58" t="str">
        <f>IF('Phytopl Count'!J16=0,"",('Phytopl Analysis'!J16*LN('Phytopl Analysis'!J16)))</f>
        <v/>
      </c>
      <c r="K16" s="21" t="str">
        <f>IF('Phytopl Count'!K16=0,"",('Phytopl Analysis'!K16*LN('Phytopl Analysis'!K16)))</f>
        <v/>
      </c>
      <c r="L16" s="21" t="str">
        <f>IF('Phytopl Count'!L16=0,"",('Phytopl Analysis'!L16*LN('Phytopl Analysis'!L16)))</f>
        <v/>
      </c>
      <c r="M16" s="58" t="str">
        <f>IF('Phytopl Count'!M16=0,"",('Phytopl Analysis'!M16*LN('Phytopl Analysis'!M16)))</f>
        <v/>
      </c>
      <c r="N16" s="58" t="str">
        <f>IF('Phytopl Count'!N16=0,"",('Phytopl Analysis'!N16*LN('Phytopl Analysis'!N16)))</f>
        <v/>
      </c>
      <c r="O16" s="21" t="str">
        <f>IF('Phytopl Count'!O16=0,"",('Phytopl Analysis'!O16*LN('Phytopl Analysis'!O16)))</f>
        <v/>
      </c>
      <c r="P16" s="21" t="str">
        <f>IF('Phytopl Count'!P16=0,"",('Phytopl Analysis'!P16*LN('Phytopl Analysis'!P16)))</f>
        <v/>
      </c>
      <c r="Q16" s="58" t="str">
        <f>IF('Phytopl Count'!Q16=0,"",('Phytopl Analysis'!Q16*LN('Phytopl Analysis'!Q16)))</f>
        <v/>
      </c>
      <c r="R16" s="58" t="str">
        <f>IF('Phytopl Count'!R16=0,"",('Phytopl Analysis'!R16*LN('Phytopl Analysis'!R16)))</f>
        <v/>
      </c>
      <c r="S16" s="21" t="str">
        <f>IF('Phytopl Count'!S16=0,"",('Phytopl Analysis'!S16*LN('Phytopl Analysis'!S16)))</f>
        <v/>
      </c>
      <c r="T16" s="21" t="str">
        <f>IF('Phytopl Count'!T16=0,"",('Phytopl Analysis'!T16*LN('Phytopl Analysis'!T16)))</f>
        <v/>
      </c>
      <c r="U16" s="58" t="str">
        <f>IF('Phytopl Count'!U16=0,"",('Phytopl Analysis'!U16*LN('Phytopl Analysis'!U16)))</f>
        <v/>
      </c>
      <c r="V16" s="58" t="str">
        <f>IF('Phytopl Count'!V16=0,"",('Phytopl Analysis'!V16*LN('Phytopl Analysis'!V16)))</f>
        <v/>
      </c>
      <c r="W16" s="21" t="str">
        <f>IF('Phytopl Count'!W16=0,"",('Phytopl Analysis'!W16*LN('Phytopl Analysis'!W16)))</f>
        <v/>
      </c>
      <c r="X16" s="21" t="str">
        <f>IF('Phytopl Count'!X16=0,"",('Phytopl Analysis'!X16*LN('Phytopl Analysis'!X16)))</f>
        <v/>
      </c>
      <c r="Y16" s="58" t="str">
        <f>IF('Phytopl Count'!Y16=0,"",('Phytopl Analysis'!Y16*LN('Phytopl Analysis'!Y16)))</f>
        <v/>
      </c>
      <c r="Z16" s="58" t="str">
        <f>IF('Phytopl Count'!Z16=0,"",('Phytopl Analysis'!Z16*LN('Phytopl Analysis'!Z16)))</f>
        <v/>
      </c>
      <c r="AA16" s="21" t="str">
        <f>IF('Phytopl Count'!AA16=0,"",('Phytopl Analysis'!AA16*LN('Phytopl Analysis'!AA16)))</f>
        <v/>
      </c>
      <c r="AB16" s="21" t="str">
        <f>IF('Phytopl Count'!AB16=0,"",('Phytopl Analysis'!AB16*LN('Phytopl Analysis'!AB16)))</f>
        <v/>
      </c>
      <c r="AC16" s="58" t="str">
        <f>IF('Phytopl Count'!AC16=0,"",('Phytopl Analysis'!AC16*LN('Phytopl Analysis'!AC16)))</f>
        <v/>
      </c>
      <c r="AD16" s="58" t="str">
        <f>IF('Phytopl Count'!AD16=0,"",('Phytopl Analysis'!AD16*LN('Phytopl Analysis'!AD16)))</f>
        <v/>
      </c>
      <c r="AE16" s="21" t="str">
        <f>IF('Phytopl Count'!AE16=0,"",('Phytopl Analysis'!AE16*LN('Phytopl Analysis'!AE16)))</f>
        <v/>
      </c>
      <c r="AF16" s="58" t="str">
        <f>IF('Phytopl Count'!AF16=0,"",('Phytopl Analysis'!AF16*LN('Phytopl Analysis'!AF16)))</f>
        <v/>
      </c>
    </row>
    <row r="17" spans="1:32" s="1" customFormat="1">
      <c r="A17" s="16"/>
      <c r="B17" s="16"/>
      <c r="C17" s="16"/>
      <c r="D17" s="95" t="s">
        <v>5</v>
      </c>
      <c r="E17" s="161" t="s">
        <v>349</v>
      </c>
      <c r="F17" s="97"/>
      <c r="G17" s="21" t="str">
        <f>IF('Phytopl Count'!G17=0,"",('Phytopl Analysis'!G17*LN('Phytopl Analysis'!G17)))</f>
        <v/>
      </c>
      <c r="H17" s="21" t="str">
        <f>IF('Phytopl Count'!H17=0,"",('Phytopl Analysis'!H17*LN('Phytopl Analysis'!H17)))</f>
        <v/>
      </c>
      <c r="I17" s="58" t="str">
        <f>IF('Phytopl Count'!I17=0,"",('Phytopl Analysis'!I17*LN('Phytopl Analysis'!I17)))</f>
        <v/>
      </c>
      <c r="J17" s="58" t="str">
        <f>IF('Phytopl Count'!J17=0,"",('Phytopl Analysis'!J17*LN('Phytopl Analysis'!J17)))</f>
        <v/>
      </c>
      <c r="K17" s="21" t="str">
        <f>IF('Phytopl Count'!K17=0,"",('Phytopl Analysis'!K17*LN('Phytopl Analysis'!K17)))</f>
        <v/>
      </c>
      <c r="L17" s="21" t="str">
        <f>IF('Phytopl Count'!L17=0,"",('Phytopl Analysis'!L17*LN('Phytopl Analysis'!L17)))</f>
        <v/>
      </c>
      <c r="M17" s="58" t="str">
        <f>IF('Phytopl Count'!M17=0,"",('Phytopl Analysis'!M17*LN('Phytopl Analysis'!M17)))</f>
        <v/>
      </c>
      <c r="N17" s="58" t="str">
        <f>IF('Phytopl Count'!N17=0,"",('Phytopl Analysis'!N17*LN('Phytopl Analysis'!N17)))</f>
        <v/>
      </c>
      <c r="O17" s="21" t="str">
        <f>IF('Phytopl Count'!O17=0,"",('Phytopl Analysis'!O17*LN('Phytopl Analysis'!O17)))</f>
        <v/>
      </c>
      <c r="P17" s="21" t="str">
        <f>IF('Phytopl Count'!P17=0,"",('Phytopl Analysis'!P17*LN('Phytopl Analysis'!P17)))</f>
        <v/>
      </c>
      <c r="Q17" s="58" t="str">
        <f>IF('Phytopl Count'!Q17=0,"",('Phytopl Analysis'!Q17*LN('Phytopl Analysis'!Q17)))</f>
        <v/>
      </c>
      <c r="R17" s="58" t="str">
        <f>IF('Phytopl Count'!R17=0,"",('Phytopl Analysis'!R17*LN('Phytopl Analysis'!R17)))</f>
        <v/>
      </c>
      <c r="S17" s="21" t="str">
        <f>IF('Phytopl Count'!S17=0,"",('Phytopl Analysis'!S17*LN('Phytopl Analysis'!S17)))</f>
        <v/>
      </c>
      <c r="T17" s="21" t="str">
        <f>IF('Phytopl Count'!T17=0,"",('Phytopl Analysis'!T17*LN('Phytopl Analysis'!T17)))</f>
        <v/>
      </c>
      <c r="U17" s="58" t="str">
        <f>IF('Phytopl Count'!U17=0,"",('Phytopl Analysis'!U17*LN('Phytopl Analysis'!U17)))</f>
        <v/>
      </c>
      <c r="V17" s="58" t="str">
        <f>IF('Phytopl Count'!V17=0,"",('Phytopl Analysis'!V17*LN('Phytopl Analysis'!V17)))</f>
        <v/>
      </c>
      <c r="W17" s="21" t="str">
        <f>IF('Phytopl Count'!W17=0,"",('Phytopl Analysis'!W17*LN('Phytopl Analysis'!W17)))</f>
        <v/>
      </c>
      <c r="X17" s="21" t="str">
        <f>IF('Phytopl Count'!X17=0,"",('Phytopl Analysis'!X17*LN('Phytopl Analysis'!X17)))</f>
        <v/>
      </c>
      <c r="Y17" s="58" t="str">
        <f>IF('Phytopl Count'!Y17=0,"",('Phytopl Analysis'!Y17*LN('Phytopl Analysis'!Y17)))</f>
        <v/>
      </c>
      <c r="Z17" s="58" t="str">
        <f>IF('Phytopl Count'!Z17=0,"",('Phytopl Analysis'!Z17*LN('Phytopl Analysis'!Z17)))</f>
        <v/>
      </c>
      <c r="AA17" s="21" t="str">
        <f>IF('Phytopl Count'!AA17=0,"",('Phytopl Analysis'!AA17*LN('Phytopl Analysis'!AA17)))</f>
        <v/>
      </c>
      <c r="AB17" s="21" t="str">
        <f>IF('Phytopl Count'!AB17=0,"",('Phytopl Analysis'!AB17*LN('Phytopl Analysis'!AB17)))</f>
        <v/>
      </c>
      <c r="AC17" s="58" t="str">
        <f>IF('Phytopl Count'!AC17=0,"",('Phytopl Analysis'!AC17*LN('Phytopl Analysis'!AC17)))</f>
        <v/>
      </c>
      <c r="AD17" s="58" t="str">
        <f>IF('Phytopl Count'!AD17=0,"",('Phytopl Analysis'!AD17*LN('Phytopl Analysis'!AD17)))</f>
        <v/>
      </c>
      <c r="AE17" s="21" t="str">
        <f>IF('Phytopl Count'!AE17=0,"",('Phytopl Analysis'!AE17*LN('Phytopl Analysis'!AE17)))</f>
        <v/>
      </c>
      <c r="AF17" s="58" t="str">
        <f>IF('Phytopl Count'!AF17=0,"",('Phytopl Analysis'!AF17*LN('Phytopl Analysis'!AF17)))</f>
        <v/>
      </c>
    </row>
    <row r="18" spans="1:32" s="1" customFormat="1" hidden="1">
      <c r="A18" s="4"/>
      <c r="B18" s="4"/>
      <c r="C18" s="4"/>
      <c r="D18" s="5"/>
      <c r="F18" s="11" t="s">
        <v>147</v>
      </c>
      <c r="G18" s="21" t="str">
        <f>IF('Phytopl Count'!G18=0,"",('Phytopl Analysis'!G18*LN('Phytopl Analysis'!G18)))</f>
        <v/>
      </c>
      <c r="H18" s="21" t="str">
        <f>IF('Phytopl Count'!H18=0,"",('Phytopl Analysis'!H18*LN('Phytopl Analysis'!H18)))</f>
        <v/>
      </c>
      <c r="I18" s="58" t="str">
        <f>IF('Phytopl Count'!I18=0,"",('Phytopl Analysis'!I18*LN('Phytopl Analysis'!I18)))</f>
        <v/>
      </c>
      <c r="J18" s="58" t="str">
        <f>IF('Phytopl Count'!J18=0,"",('Phytopl Analysis'!J18*LN('Phytopl Analysis'!J18)))</f>
        <v/>
      </c>
      <c r="K18" s="21" t="str">
        <f>IF('Phytopl Count'!K18=0,"",('Phytopl Analysis'!K18*LN('Phytopl Analysis'!K18)))</f>
        <v/>
      </c>
      <c r="L18" s="21" t="str">
        <f>IF('Phytopl Count'!L18=0,"",('Phytopl Analysis'!L18*LN('Phytopl Analysis'!L18)))</f>
        <v/>
      </c>
      <c r="M18" s="58" t="str">
        <f>IF('Phytopl Count'!M18=0,"",('Phytopl Analysis'!M18*LN('Phytopl Analysis'!M18)))</f>
        <v/>
      </c>
      <c r="N18" s="58" t="str">
        <f>IF('Phytopl Count'!N18=0,"",('Phytopl Analysis'!N18*LN('Phytopl Analysis'!N18)))</f>
        <v/>
      </c>
      <c r="O18" s="21" t="str">
        <f>IF('Phytopl Count'!O18=0,"",('Phytopl Analysis'!O18*LN('Phytopl Analysis'!O18)))</f>
        <v/>
      </c>
      <c r="P18" s="21" t="str">
        <f>IF('Phytopl Count'!P18=0,"",('Phytopl Analysis'!P18*LN('Phytopl Analysis'!P18)))</f>
        <v/>
      </c>
      <c r="Q18" s="58" t="str">
        <f>IF('Phytopl Count'!Q18=0,"",('Phytopl Analysis'!Q18*LN('Phytopl Analysis'!Q18)))</f>
        <v/>
      </c>
      <c r="R18" s="58" t="str">
        <f>IF('Phytopl Count'!R18=0,"",('Phytopl Analysis'!R18*LN('Phytopl Analysis'!R18)))</f>
        <v/>
      </c>
      <c r="S18" s="21" t="str">
        <f>IF('Phytopl Count'!S18=0,"",('Phytopl Analysis'!S18*LN('Phytopl Analysis'!S18)))</f>
        <v/>
      </c>
      <c r="T18" s="21" t="str">
        <f>IF('Phytopl Count'!T18=0,"",('Phytopl Analysis'!T18*LN('Phytopl Analysis'!T18)))</f>
        <v/>
      </c>
      <c r="U18" s="58" t="str">
        <f>IF('Phytopl Count'!U18=0,"",('Phytopl Analysis'!U18*LN('Phytopl Analysis'!U18)))</f>
        <v/>
      </c>
      <c r="V18" s="58" t="str">
        <f>IF('Phytopl Count'!V18=0,"",('Phytopl Analysis'!V18*LN('Phytopl Analysis'!V18)))</f>
        <v/>
      </c>
      <c r="W18" s="21" t="str">
        <f>IF('Phytopl Count'!W18=0,"",('Phytopl Analysis'!W18*LN('Phytopl Analysis'!W18)))</f>
        <v/>
      </c>
      <c r="X18" s="21" t="str">
        <f>IF('Phytopl Count'!X18=0,"",('Phytopl Analysis'!X18*LN('Phytopl Analysis'!X18)))</f>
        <v/>
      </c>
      <c r="Y18" s="58" t="str">
        <f>IF('Phytopl Count'!Y18=0,"",('Phytopl Analysis'!Y18*LN('Phytopl Analysis'!Y18)))</f>
        <v/>
      </c>
      <c r="Z18" s="58" t="str">
        <f>IF('Phytopl Count'!Z18=0,"",('Phytopl Analysis'!Z18*LN('Phytopl Analysis'!Z18)))</f>
        <v/>
      </c>
      <c r="AA18" s="21" t="str">
        <f>IF('Phytopl Count'!AA18=0,"",('Phytopl Analysis'!AA18*LN('Phytopl Analysis'!AA18)))</f>
        <v/>
      </c>
      <c r="AB18" s="21" t="str">
        <f>IF('Phytopl Count'!AB18=0,"",('Phytopl Analysis'!AB18*LN('Phytopl Analysis'!AB18)))</f>
        <v/>
      </c>
      <c r="AC18" s="58" t="str">
        <f>IF('Phytopl Count'!AC18=0,"",('Phytopl Analysis'!AC18*LN('Phytopl Analysis'!AC18)))</f>
        <v/>
      </c>
      <c r="AD18" s="58" t="str">
        <f>IF('Phytopl Count'!AD18=0,"",('Phytopl Analysis'!AD18*LN('Phytopl Analysis'!AD18)))</f>
        <v/>
      </c>
      <c r="AE18" s="21" t="str">
        <f>IF('Phytopl Count'!AE18=0,"",('Phytopl Analysis'!AE18*LN('Phytopl Analysis'!AE18)))</f>
        <v/>
      </c>
      <c r="AF18" s="58" t="str">
        <f>IF('Phytopl Count'!AF18=0,"",('Phytopl Analysis'!AF18*LN('Phytopl Analysis'!AF18)))</f>
        <v/>
      </c>
    </row>
    <row r="19" spans="1:32" s="1" customFormat="1">
      <c r="A19" s="4"/>
      <c r="B19" s="4"/>
      <c r="C19" s="4"/>
      <c r="D19" s="5"/>
      <c r="E19" s="10" t="s">
        <v>6</v>
      </c>
      <c r="F19" s="11" t="s">
        <v>265</v>
      </c>
      <c r="G19" s="21" t="str">
        <f>IF('Phytopl Count'!G19=0,"",('Phytopl Analysis'!G19*LN('Phytopl Analysis'!G19)))</f>
        <v/>
      </c>
      <c r="H19" s="21" t="str">
        <f>IF('Phytopl Count'!H19=0,"",('Phytopl Analysis'!H19*LN('Phytopl Analysis'!H19)))</f>
        <v/>
      </c>
      <c r="I19" s="58" t="str">
        <f>IF('Phytopl Count'!I19=0,"",('Phytopl Analysis'!I19*LN('Phytopl Analysis'!I19)))</f>
        <v/>
      </c>
      <c r="J19" s="58" t="str">
        <f>IF('Phytopl Count'!J19=0,"",('Phytopl Analysis'!J19*LN('Phytopl Analysis'!J19)))</f>
        <v/>
      </c>
      <c r="K19" s="21" t="str">
        <f>IF('Phytopl Count'!K19=0,"",('Phytopl Analysis'!K19*LN('Phytopl Analysis'!K19)))</f>
        <v/>
      </c>
      <c r="L19" s="21" t="str">
        <f>IF('Phytopl Count'!L19=0,"",('Phytopl Analysis'!L19*LN('Phytopl Analysis'!L19)))</f>
        <v/>
      </c>
      <c r="M19" s="58" t="str">
        <f>IF('Phytopl Count'!M19=0,"",('Phytopl Analysis'!M19*LN('Phytopl Analysis'!M19)))</f>
        <v/>
      </c>
      <c r="N19" s="58" t="str">
        <f>IF('Phytopl Count'!N19=0,"",('Phytopl Analysis'!N19*LN('Phytopl Analysis'!N19)))</f>
        <v/>
      </c>
      <c r="O19" s="21">
        <f>IF('Phytopl Count'!O19=0,"",('Phytopl Analysis'!O19*LN('Phytopl Analysis'!O19)))</f>
        <v>-0.11022075559754062</v>
      </c>
      <c r="P19" s="21" t="str">
        <f>IF('Phytopl Count'!P19=0,"",('Phytopl Analysis'!P19*LN('Phytopl Analysis'!P19)))</f>
        <v/>
      </c>
      <c r="Q19" s="58" t="str">
        <f>IF('Phytopl Count'!Q19=0,"",('Phytopl Analysis'!Q19*LN('Phytopl Analysis'!Q19)))</f>
        <v/>
      </c>
      <c r="R19" s="58" t="str">
        <f>IF('Phytopl Count'!R19=0,"",('Phytopl Analysis'!R19*LN('Phytopl Analysis'!R19)))</f>
        <v/>
      </c>
      <c r="S19" s="21" t="str">
        <f>IF('Phytopl Count'!S19=0,"",('Phytopl Analysis'!S19*LN('Phytopl Analysis'!S19)))</f>
        <v/>
      </c>
      <c r="T19" s="21" t="str">
        <f>IF('Phytopl Count'!T19=0,"",('Phytopl Analysis'!T19*LN('Phytopl Analysis'!T19)))</f>
        <v/>
      </c>
      <c r="U19" s="58" t="str">
        <f>IF('Phytopl Count'!U19=0,"",('Phytopl Analysis'!U19*LN('Phytopl Analysis'!U19)))</f>
        <v/>
      </c>
      <c r="V19" s="58" t="str">
        <f>IF('Phytopl Count'!V19=0,"",('Phytopl Analysis'!V19*LN('Phytopl Analysis'!V19)))</f>
        <v/>
      </c>
      <c r="W19" s="21" t="str">
        <f>IF('Phytopl Count'!W19=0,"",('Phytopl Analysis'!W19*LN('Phytopl Analysis'!W19)))</f>
        <v/>
      </c>
      <c r="X19" s="21" t="str">
        <f>IF('Phytopl Count'!X19=0,"",('Phytopl Analysis'!X19*LN('Phytopl Analysis'!X19)))</f>
        <v/>
      </c>
      <c r="Y19" s="58" t="str">
        <f>IF('Phytopl Count'!Y19=0,"",('Phytopl Analysis'!Y19*LN('Phytopl Analysis'!Y19)))</f>
        <v/>
      </c>
      <c r="Z19" s="58" t="str">
        <f>IF('Phytopl Count'!Z19=0,"",('Phytopl Analysis'!Z19*LN('Phytopl Analysis'!Z19)))</f>
        <v/>
      </c>
      <c r="AA19" s="21" t="str">
        <f>IF('Phytopl Count'!AA19=0,"",('Phytopl Analysis'!AA19*LN('Phytopl Analysis'!AA19)))</f>
        <v/>
      </c>
      <c r="AB19" s="21" t="str">
        <f>IF('Phytopl Count'!AB19=0,"",('Phytopl Analysis'!AB19*LN('Phytopl Analysis'!AB19)))</f>
        <v/>
      </c>
      <c r="AC19" s="58" t="str">
        <f>IF('Phytopl Count'!AC19=0,"",('Phytopl Analysis'!AC19*LN('Phytopl Analysis'!AC19)))</f>
        <v/>
      </c>
      <c r="AD19" s="58" t="str">
        <f>IF('Phytopl Count'!AD19=0,"",('Phytopl Analysis'!AD19*LN('Phytopl Analysis'!AD19)))</f>
        <v/>
      </c>
      <c r="AE19" s="21" t="str">
        <f>IF('Phytopl Count'!AE19=0,"",('Phytopl Analysis'!AE19*LN('Phytopl Analysis'!AE19)))</f>
        <v/>
      </c>
      <c r="AF19" s="58" t="str">
        <f>IF('Phytopl Count'!AF19=0,"",('Phytopl Analysis'!AF19*LN('Phytopl Analysis'!AF19)))</f>
        <v/>
      </c>
    </row>
    <row r="20" spans="1:32">
      <c r="A20" s="4"/>
      <c r="B20" s="4"/>
      <c r="C20" s="4"/>
      <c r="D20" s="5"/>
      <c r="E20" s="10"/>
      <c r="F20" s="11" t="s">
        <v>171</v>
      </c>
      <c r="G20" s="21" t="str">
        <f>IF('Phytopl Count'!G20=0,"",('Phytopl Analysis'!G20*LN('Phytopl Analysis'!G20)))</f>
        <v/>
      </c>
      <c r="H20" s="21" t="str">
        <f>IF('Phytopl Count'!H20=0,"",('Phytopl Analysis'!H20*LN('Phytopl Analysis'!H20)))</f>
        <v/>
      </c>
      <c r="I20" s="58" t="str">
        <f>IF('Phytopl Count'!I20=0,"",('Phytopl Analysis'!I20*LN('Phytopl Analysis'!I20)))</f>
        <v/>
      </c>
      <c r="J20" s="58" t="str">
        <f>IF('Phytopl Count'!J20=0,"",('Phytopl Analysis'!J20*LN('Phytopl Analysis'!J20)))</f>
        <v/>
      </c>
      <c r="K20" s="21" t="str">
        <f>IF('Phytopl Count'!K20=0,"",('Phytopl Analysis'!K20*LN('Phytopl Analysis'!K20)))</f>
        <v/>
      </c>
      <c r="L20" s="21" t="str">
        <f>IF('Phytopl Count'!L20=0,"",('Phytopl Analysis'!L20*LN('Phytopl Analysis'!L20)))</f>
        <v/>
      </c>
      <c r="M20" s="58" t="str">
        <f>IF('Phytopl Count'!M20=0,"",('Phytopl Analysis'!M20*LN('Phytopl Analysis'!M20)))</f>
        <v/>
      </c>
      <c r="N20" s="58" t="str">
        <f>IF('Phytopl Count'!N20=0,"",('Phytopl Analysis'!N20*LN('Phytopl Analysis'!N20)))</f>
        <v/>
      </c>
      <c r="O20" s="21" t="str">
        <f>IF('Phytopl Count'!O20=0,"",('Phytopl Analysis'!O20*LN('Phytopl Analysis'!O20)))</f>
        <v/>
      </c>
      <c r="P20" s="21" t="str">
        <f>IF('Phytopl Count'!P20=0,"",('Phytopl Analysis'!P20*LN('Phytopl Analysis'!P20)))</f>
        <v/>
      </c>
      <c r="Q20" s="58" t="str">
        <f>IF('Phytopl Count'!Q20=0,"",('Phytopl Analysis'!Q20*LN('Phytopl Analysis'!Q20)))</f>
        <v/>
      </c>
      <c r="R20" s="58" t="str">
        <f>IF('Phytopl Count'!R20=0,"",('Phytopl Analysis'!R20*LN('Phytopl Analysis'!R20)))</f>
        <v/>
      </c>
      <c r="S20" s="21" t="str">
        <f>IF('Phytopl Count'!S20=0,"",('Phytopl Analysis'!S20*LN('Phytopl Analysis'!S20)))</f>
        <v/>
      </c>
      <c r="T20" s="21" t="str">
        <f>IF('Phytopl Count'!T20=0,"",('Phytopl Analysis'!T20*LN('Phytopl Analysis'!T20)))</f>
        <v/>
      </c>
      <c r="U20" s="58" t="str">
        <f>IF('Phytopl Count'!U20=0,"",('Phytopl Analysis'!U20*LN('Phytopl Analysis'!U20)))</f>
        <v/>
      </c>
      <c r="V20" s="58" t="str">
        <f>IF('Phytopl Count'!V20=0,"",('Phytopl Analysis'!V20*LN('Phytopl Analysis'!V20)))</f>
        <v/>
      </c>
      <c r="W20" s="21" t="str">
        <f>IF('Phytopl Count'!W20=0,"",('Phytopl Analysis'!W20*LN('Phytopl Analysis'!W20)))</f>
        <v/>
      </c>
      <c r="X20" s="21" t="str">
        <f>IF('Phytopl Count'!X20=0,"",('Phytopl Analysis'!X20*LN('Phytopl Analysis'!X20)))</f>
        <v/>
      </c>
      <c r="Y20" s="58" t="str">
        <f>IF('Phytopl Count'!Y20=0,"",('Phytopl Analysis'!Y20*LN('Phytopl Analysis'!Y20)))</f>
        <v/>
      </c>
      <c r="Z20" s="58" t="str">
        <f>IF('Phytopl Count'!Z20=0,"",('Phytopl Analysis'!Z20*LN('Phytopl Analysis'!Z20)))</f>
        <v/>
      </c>
      <c r="AA20" s="21" t="str">
        <f>IF('Phytopl Count'!AA20=0,"",('Phytopl Analysis'!AA20*LN('Phytopl Analysis'!AA20)))</f>
        <v/>
      </c>
      <c r="AB20" s="21" t="str">
        <f>IF('Phytopl Count'!AB20=0,"",('Phytopl Analysis'!AB20*LN('Phytopl Analysis'!AB20)))</f>
        <v/>
      </c>
      <c r="AC20" s="58" t="str">
        <f>IF('Phytopl Count'!AC20=0,"",('Phytopl Analysis'!AC20*LN('Phytopl Analysis'!AC20)))</f>
        <v/>
      </c>
      <c r="AD20" s="58" t="str">
        <f>IF('Phytopl Count'!AD20=0,"",('Phytopl Analysis'!AD20*LN('Phytopl Analysis'!AD20)))</f>
        <v/>
      </c>
      <c r="AE20" s="21" t="str">
        <f>IF('Phytopl Count'!AE20=0,"",('Phytopl Analysis'!AE20*LN('Phytopl Analysis'!AE20)))</f>
        <v/>
      </c>
      <c r="AF20" s="58" t="str">
        <f>IF('Phytopl Count'!AF20=0,"",('Phytopl Analysis'!AF20*LN('Phytopl Analysis'!AF20)))</f>
        <v/>
      </c>
    </row>
    <row r="21" spans="1:32">
      <c r="A21" s="4"/>
      <c r="B21" s="4"/>
      <c r="C21" s="4"/>
      <c r="D21" s="5"/>
      <c r="E21" s="10"/>
      <c r="F21" s="11" t="s">
        <v>184</v>
      </c>
      <c r="G21" s="21">
        <f>IF('Phytopl Count'!G21=0,"",('Phytopl Analysis'!G21*LN('Phytopl Analysis'!G21)))</f>
        <v>-0.29676303593732833</v>
      </c>
      <c r="H21" s="21">
        <f>IF('Phytopl Count'!H21=0,"",('Phytopl Analysis'!H21*LN('Phytopl Analysis'!H21)))</f>
        <v>1.9271463620070468</v>
      </c>
      <c r="I21" s="58">
        <f>IF('Phytopl Count'!I21=0,"",('Phytopl Analysis'!I21*LN('Phytopl Analysis'!I21)))</f>
        <v>0.12814377173397345</v>
      </c>
      <c r="J21" s="58">
        <f>IF('Phytopl Count'!J21=0,"",('Phytopl Analysis'!J21*LN('Phytopl Analysis'!J21)))</f>
        <v>-0.33986614965385381</v>
      </c>
      <c r="K21" s="21">
        <f>IF('Phytopl Count'!K21=0,"",('Phytopl Analysis'!K21*LN('Phytopl Analysis'!K21)))</f>
        <v>-0.24664216544621964</v>
      </c>
      <c r="L21" s="21">
        <f>IF('Phytopl Count'!L21=0,"",('Phytopl Analysis'!L21*LN('Phytopl Analysis'!L21)))</f>
        <v>-0.20217432326410978</v>
      </c>
      <c r="M21" s="58">
        <f>IF('Phytopl Count'!M21=0,"",('Phytopl Analysis'!M21*LN('Phytopl Analysis'!M21)))</f>
        <v>-0.20217719752866301</v>
      </c>
      <c r="N21" s="58">
        <f>IF('Phytopl Count'!N21=0,"",('Phytopl Analysis'!N21*LN('Phytopl Analysis'!N21)))</f>
        <v>0.66136293156760706</v>
      </c>
      <c r="O21" s="21">
        <f>IF('Phytopl Count'!O21=0,"",('Phytopl Analysis'!O21*LN('Phytopl Analysis'!O21)))</f>
        <v>-0.15236175441364846</v>
      </c>
      <c r="P21" s="21">
        <f>IF('Phytopl Count'!P21=0,"",('Phytopl Analysis'!P21*LN('Phytopl Analysis'!P21)))</f>
        <v>1.0480972948443956</v>
      </c>
      <c r="Q21" s="58">
        <f>IF('Phytopl Count'!Q21=0,"",('Phytopl Analysis'!Q21*LN('Phytopl Analysis'!Q21)))</f>
        <v>-0.11174502564143436</v>
      </c>
      <c r="R21" s="58">
        <f>IF('Phytopl Count'!R21=0,"",('Phytopl Analysis'!R21*LN('Phytopl Analysis'!R21)))</f>
        <v>-0.36751505615601154</v>
      </c>
      <c r="S21" s="21">
        <f>IF('Phytopl Count'!S21=0,"",('Phytopl Analysis'!S21*LN('Phytopl Analysis'!S21)))</f>
        <v>-0.36648594382978167</v>
      </c>
      <c r="T21" s="21">
        <f>IF('Phytopl Count'!T21=0,"",('Phytopl Analysis'!T21*LN('Phytopl Analysis'!T21)))</f>
        <v>9.8372080109346935</v>
      </c>
      <c r="U21" s="58">
        <f>IF('Phytopl Count'!U21=0,"",('Phytopl Analysis'!U21*LN('Phytopl Analysis'!U21)))</f>
        <v>-0.28527810760952094</v>
      </c>
      <c r="V21" s="58">
        <f>IF('Phytopl Count'!V21=0,"",('Phytopl Analysis'!V21*LN('Phytopl Analysis'!V21)))</f>
        <v>-0.35218053955882889</v>
      </c>
      <c r="W21" s="21">
        <f>IF('Phytopl Count'!W21=0,"",('Phytopl Analysis'!W21*LN('Phytopl Analysis'!W21)))</f>
        <v>0.27797093256799721</v>
      </c>
      <c r="X21" s="21">
        <f>IF('Phytopl Count'!X21=0,"",('Phytopl Analysis'!X21*LN('Phytopl Analysis'!X21)))</f>
        <v>-0.35964076351146662</v>
      </c>
      <c r="Y21" s="58">
        <f>IF('Phytopl Count'!Y21=0,"",('Phytopl Analysis'!Y21*LN('Phytopl Analysis'!Y21)))</f>
        <v>-0.1895528273034891</v>
      </c>
      <c r="Z21" s="58">
        <f>IF('Phytopl Count'!Z21=0,"",('Phytopl Analysis'!Z21*LN('Phytopl Analysis'!Z21)))</f>
        <v>76.906796015304437</v>
      </c>
      <c r="AA21" s="21">
        <f>IF('Phytopl Count'!AA21=0,"",('Phytopl Analysis'!AA21*LN('Phytopl Analysis'!AA21)))</f>
        <v>-0.36466229924139099</v>
      </c>
      <c r="AB21" s="21">
        <f>IF('Phytopl Count'!AB21=0,"",('Phytopl Analysis'!AB21*LN('Phytopl Analysis'!AB21)))</f>
        <v>-0.36648347352158406</v>
      </c>
      <c r="AC21" s="58">
        <f>IF('Phytopl Count'!AC21=0,"",('Phytopl Analysis'!AC21*LN('Phytopl Analysis'!AC21)))</f>
        <v>-9.761643980036773E-2</v>
      </c>
      <c r="AD21" s="58">
        <f>IF('Phytopl Count'!AD21=0,"",('Phytopl Analysis'!AD21*LN('Phytopl Analysis'!AD21)))</f>
        <v>1.7527853943578413</v>
      </c>
      <c r="AE21" s="21">
        <f>IF('Phytopl Count'!AE21=0,"",('Phytopl Analysis'!AE21*LN('Phytopl Analysis'!AE21)))</f>
        <v>-0.1895528273034891</v>
      </c>
      <c r="AF21" s="58">
        <f>IF('Phytopl Count'!AF21=0,"",('Phytopl Analysis'!AF21*LN('Phytopl Analysis'!AF21)))</f>
        <v>-0.26326442604085809</v>
      </c>
    </row>
    <row r="22" spans="1:32">
      <c r="A22" s="16"/>
      <c r="B22" s="16"/>
      <c r="C22" s="16" t="s">
        <v>73</v>
      </c>
      <c r="D22" s="4" t="s">
        <v>300</v>
      </c>
      <c r="E22" s="5"/>
      <c r="F22" s="9"/>
      <c r="G22" s="21" t="str">
        <f>IF('Phytopl Count'!G22=0,"",('Phytopl Analysis'!G22*LN('Phytopl Analysis'!G22)))</f>
        <v/>
      </c>
      <c r="H22" s="21" t="str">
        <f>IF('Phytopl Count'!H22=0,"",('Phytopl Analysis'!H22*LN('Phytopl Analysis'!H22)))</f>
        <v/>
      </c>
      <c r="I22" s="58" t="str">
        <f>IF('Phytopl Count'!I22=0,"",('Phytopl Analysis'!I22*LN('Phytopl Analysis'!I22)))</f>
        <v/>
      </c>
      <c r="J22" s="58" t="str">
        <f>IF('Phytopl Count'!J22=0,"",('Phytopl Analysis'!J22*LN('Phytopl Analysis'!J22)))</f>
        <v/>
      </c>
      <c r="K22" s="21" t="str">
        <f>IF('Phytopl Count'!K22=0,"",('Phytopl Analysis'!K22*LN('Phytopl Analysis'!K22)))</f>
        <v/>
      </c>
      <c r="L22" s="21" t="str">
        <f>IF('Phytopl Count'!L22=0,"",('Phytopl Analysis'!L22*LN('Phytopl Analysis'!L22)))</f>
        <v/>
      </c>
      <c r="M22" s="58" t="str">
        <f>IF('Phytopl Count'!M22=0,"",('Phytopl Analysis'!M22*LN('Phytopl Analysis'!M22)))</f>
        <v/>
      </c>
      <c r="N22" s="58" t="str">
        <f>IF('Phytopl Count'!N22=0,"",('Phytopl Analysis'!N22*LN('Phytopl Analysis'!N22)))</f>
        <v/>
      </c>
      <c r="O22" s="21" t="str">
        <f>IF('Phytopl Count'!O22=0,"",('Phytopl Analysis'!O22*LN('Phytopl Analysis'!O22)))</f>
        <v/>
      </c>
      <c r="P22" s="21" t="str">
        <f>IF('Phytopl Count'!P22=0,"",('Phytopl Analysis'!P22*LN('Phytopl Analysis'!P22)))</f>
        <v/>
      </c>
      <c r="Q22" s="58" t="str">
        <f>IF('Phytopl Count'!Q22=0,"",('Phytopl Analysis'!Q22*LN('Phytopl Analysis'!Q22)))</f>
        <v/>
      </c>
      <c r="R22" s="58" t="str">
        <f>IF('Phytopl Count'!R22=0,"",('Phytopl Analysis'!R22*LN('Phytopl Analysis'!R22)))</f>
        <v/>
      </c>
      <c r="S22" s="21" t="str">
        <f>IF('Phytopl Count'!S22=0,"",('Phytopl Analysis'!S22*LN('Phytopl Analysis'!S22)))</f>
        <v/>
      </c>
      <c r="T22" s="21" t="str">
        <f>IF('Phytopl Count'!T22=0,"",('Phytopl Analysis'!T22*LN('Phytopl Analysis'!T22)))</f>
        <v/>
      </c>
      <c r="U22" s="58" t="str">
        <f>IF('Phytopl Count'!U22=0,"",('Phytopl Analysis'!U22*LN('Phytopl Analysis'!U22)))</f>
        <v/>
      </c>
      <c r="V22" s="58" t="str">
        <f>IF('Phytopl Count'!V22=0,"",('Phytopl Analysis'!V22*LN('Phytopl Analysis'!V22)))</f>
        <v/>
      </c>
      <c r="W22" s="21" t="str">
        <f>IF('Phytopl Count'!W22=0,"",('Phytopl Analysis'!W22*LN('Phytopl Analysis'!W22)))</f>
        <v/>
      </c>
      <c r="X22" s="21" t="str">
        <f>IF('Phytopl Count'!X22=0,"",('Phytopl Analysis'!X22*LN('Phytopl Analysis'!X22)))</f>
        <v/>
      </c>
      <c r="Y22" s="58" t="str">
        <f>IF('Phytopl Count'!Y22=0,"",('Phytopl Analysis'!Y22*LN('Phytopl Analysis'!Y22)))</f>
        <v/>
      </c>
      <c r="Z22" s="58" t="str">
        <f>IF('Phytopl Count'!Z22=0,"",('Phytopl Analysis'!Z22*LN('Phytopl Analysis'!Z22)))</f>
        <v/>
      </c>
      <c r="AA22" s="21" t="str">
        <f>IF('Phytopl Count'!AA22=0,"",('Phytopl Analysis'!AA22*LN('Phytopl Analysis'!AA22)))</f>
        <v/>
      </c>
      <c r="AB22" s="21" t="str">
        <f>IF('Phytopl Count'!AB22=0,"",('Phytopl Analysis'!AB22*LN('Phytopl Analysis'!AB22)))</f>
        <v/>
      </c>
      <c r="AC22" s="58" t="str">
        <f>IF('Phytopl Count'!AC22=0,"",('Phytopl Analysis'!AC22*LN('Phytopl Analysis'!AC22)))</f>
        <v/>
      </c>
      <c r="AD22" s="58" t="str">
        <f>IF('Phytopl Count'!AD22=0,"",('Phytopl Analysis'!AD22*LN('Phytopl Analysis'!AD22)))</f>
        <v/>
      </c>
      <c r="AE22" s="21" t="str">
        <f>IF('Phytopl Count'!AE22=0,"",('Phytopl Analysis'!AE22*LN('Phytopl Analysis'!AE22)))</f>
        <v/>
      </c>
      <c r="AF22" s="58" t="str">
        <f>IF('Phytopl Count'!AF22=0,"",('Phytopl Analysis'!AF22*LN('Phytopl Analysis'!AF22)))</f>
        <v/>
      </c>
    </row>
    <row r="23" spans="1:32">
      <c r="A23" s="16"/>
      <c r="B23" s="16"/>
      <c r="C23" s="16"/>
      <c r="D23" s="95" t="s">
        <v>5</v>
      </c>
      <c r="E23" s="158" t="s">
        <v>342</v>
      </c>
      <c r="F23" s="97"/>
      <c r="G23" s="21" t="str">
        <f>IF('Phytopl Count'!G23=0,"",('Phytopl Analysis'!G23*LN('Phytopl Analysis'!G23)))</f>
        <v/>
      </c>
      <c r="H23" s="21" t="str">
        <f>IF('Phytopl Count'!H23=0,"",('Phytopl Analysis'!H23*LN('Phytopl Analysis'!H23)))</f>
        <v/>
      </c>
      <c r="I23" s="58" t="str">
        <f>IF('Phytopl Count'!I23=0,"",('Phytopl Analysis'!I23*LN('Phytopl Analysis'!I23)))</f>
        <v/>
      </c>
      <c r="J23" s="58" t="str">
        <f>IF('Phytopl Count'!J23=0,"",('Phytopl Analysis'!J23*LN('Phytopl Analysis'!J23)))</f>
        <v/>
      </c>
      <c r="K23" s="21" t="str">
        <f>IF('Phytopl Count'!K23=0,"",('Phytopl Analysis'!K23*LN('Phytopl Analysis'!K23)))</f>
        <v/>
      </c>
      <c r="L23" s="21" t="str">
        <f>IF('Phytopl Count'!L23=0,"",('Phytopl Analysis'!L23*LN('Phytopl Analysis'!L23)))</f>
        <v/>
      </c>
      <c r="M23" s="58" t="str">
        <f>IF('Phytopl Count'!M23=0,"",('Phytopl Analysis'!M23*LN('Phytopl Analysis'!M23)))</f>
        <v/>
      </c>
      <c r="N23" s="58" t="str">
        <f>IF('Phytopl Count'!N23=0,"",('Phytopl Analysis'!N23*LN('Phytopl Analysis'!N23)))</f>
        <v/>
      </c>
      <c r="O23" s="21" t="str">
        <f>IF('Phytopl Count'!O23=0,"",('Phytopl Analysis'!O23*LN('Phytopl Analysis'!O23)))</f>
        <v/>
      </c>
      <c r="P23" s="21" t="str">
        <f>IF('Phytopl Count'!P23=0,"",('Phytopl Analysis'!P23*LN('Phytopl Analysis'!P23)))</f>
        <v/>
      </c>
      <c r="Q23" s="58" t="str">
        <f>IF('Phytopl Count'!Q23=0,"",('Phytopl Analysis'!Q23*LN('Phytopl Analysis'!Q23)))</f>
        <v/>
      </c>
      <c r="R23" s="58" t="str">
        <f>IF('Phytopl Count'!R23=0,"",('Phytopl Analysis'!R23*LN('Phytopl Analysis'!R23)))</f>
        <v/>
      </c>
      <c r="S23" s="21" t="str">
        <f>IF('Phytopl Count'!S23=0,"",('Phytopl Analysis'!S23*LN('Phytopl Analysis'!S23)))</f>
        <v/>
      </c>
      <c r="T23" s="21" t="str">
        <f>IF('Phytopl Count'!T23=0,"",('Phytopl Analysis'!T23*LN('Phytopl Analysis'!T23)))</f>
        <v/>
      </c>
      <c r="U23" s="58" t="str">
        <f>IF('Phytopl Count'!U23=0,"",('Phytopl Analysis'!U23*LN('Phytopl Analysis'!U23)))</f>
        <v/>
      </c>
      <c r="V23" s="58" t="str">
        <f>IF('Phytopl Count'!V23=0,"",('Phytopl Analysis'!V23*LN('Phytopl Analysis'!V23)))</f>
        <v/>
      </c>
      <c r="W23" s="21" t="str">
        <f>IF('Phytopl Count'!W23=0,"",('Phytopl Analysis'!W23*LN('Phytopl Analysis'!W23)))</f>
        <v/>
      </c>
      <c r="X23" s="21" t="str">
        <f>IF('Phytopl Count'!X23=0,"",('Phytopl Analysis'!X23*LN('Phytopl Analysis'!X23)))</f>
        <v/>
      </c>
      <c r="Y23" s="58" t="str">
        <f>IF('Phytopl Count'!Y23=0,"",('Phytopl Analysis'!Y23*LN('Phytopl Analysis'!Y23)))</f>
        <v/>
      </c>
      <c r="Z23" s="58" t="str">
        <f>IF('Phytopl Count'!Z23=0,"",('Phytopl Analysis'!Z23*LN('Phytopl Analysis'!Z23)))</f>
        <v/>
      </c>
      <c r="AA23" s="21" t="str">
        <f>IF('Phytopl Count'!AA23=0,"",('Phytopl Analysis'!AA23*LN('Phytopl Analysis'!AA23)))</f>
        <v/>
      </c>
      <c r="AB23" s="21" t="str">
        <f>IF('Phytopl Count'!AB23=0,"",('Phytopl Analysis'!AB23*LN('Phytopl Analysis'!AB23)))</f>
        <v/>
      </c>
      <c r="AC23" s="58" t="str">
        <f>IF('Phytopl Count'!AC23=0,"",('Phytopl Analysis'!AC23*LN('Phytopl Analysis'!AC23)))</f>
        <v/>
      </c>
      <c r="AD23" s="58" t="str">
        <f>IF('Phytopl Count'!AD23=0,"",('Phytopl Analysis'!AD23*LN('Phytopl Analysis'!AD23)))</f>
        <v/>
      </c>
      <c r="AE23" s="21" t="str">
        <f>IF('Phytopl Count'!AE23=0,"",('Phytopl Analysis'!AE23*LN('Phytopl Analysis'!AE23)))</f>
        <v/>
      </c>
      <c r="AF23" s="58" t="str">
        <f>IF('Phytopl Count'!AF23=0,"",('Phytopl Analysis'!AF23*LN('Phytopl Analysis'!AF23)))</f>
        <v/>
      </c>
    </row>
    <row r="24" spans="1:32">
      <c r="A24" s="16"/>
      <c r="B24" s="4"/>
      <c r="C24" s="4"/>
      <c r="D24" s="101"/>
      <c r="E24" s="102" t="s">
        <v>6</v>
      </c>
      <c r="F24" s="11" t="s">
        <v>343</v>
      </c>
      <c r="G24" s="21" t="str">
        <f>IF('Phytopl Count'!G24=0,"",('Phytopl Analysis'!G24*LN('Phytopl Analysis'!G24)))</f>
        <v/>
      </c>
      <c r="H24" s="21" t="str">
        <f>IF('Phytopl Count'!H24=0,"",('Phytopl Analysis'!H24*LN('Phytopl Analysis'!H24)))</f>
        <v/>
      </c>
      <c r="I24" s="58" t="str">
        <f>IF('Phytopl Count'!I24=0,"",('Phytopl Analysis'!I24*LN('Phytopl Analysis'!I24)))</f>
        <v/>
      </c>
      <c r="J24" s="58" t="str">
        <f>IF('Phytopl Count'!J24=0,"",('Phytopl Analysis'!J24*LN('Phytopl Analysis'!J24)))</f>
        <v/>
      </c>
      <c r="K24" s="21" t="str">
        <f>IF('Phytopl Count'!K24=0,"",('Phytopl Analysis'!K24*LN('Phytopl Analysis'!K24)))</f>
        <v/>
      </c>
      <c r="L24" s="21" t="str">
        <f>IF('Phytopl Count'!L24=0,"",('Phytopl Analysis'!L24*LN('Phytopl Analysis'!L24)))</f>
        <v/>
      </c>
      <c r="M24" s="58" t="str">
        <f>IF('Phytopl Count'!M24=0,"",('Phytopl Analysis'!M24*LN('Phytopl Analysis'!M24)))</f>
        <v/>
      </c>
      <c r="N24" s="58" t="str">
        <f>IF('Phytopl Count'!N24=0,"",('Phytopl Analysis'!N24*LN('Phytopl Analysis'!N24)))</f>
        <v/>
      </c>
      <c r="O24" s="21" t="str">
        <f>IF('Phytopl Count'!O24=0,"",('Phytopl Analysis'!O24*LN('Phytopl Analysis'!O24)))</f>
        <v/>
      </c>
      <c r="P24" s="21" t="str">
        <f>IF('Phytopl Count'!P24=0,"",('Phytopl Analysis'!P24*LN('Phytopl Analysis'!P24)))</f>
        <v/>
      </c>
      <c r="Q24" s="58" t="str">
        <f>IF('Phytopl Count'!Q24=0,"",('Phytopl Analysis'!Q24*LN('Phytopl Analysis'!Q24)))</f>
        <v/>
      </c>
      <c r="R24" s="58" t="str">
        <f>IF('Phytopl Count'!R24=0,"",('Phytopl Analysis'!R24*LN('Phytopl Analysis'!R24)))</f>
        <v/>
      </c>
      <c r="S24" s="21" t="str">
        <f>IF('Phytopl Count'!S24=0,"",('Phytopl Analysis'!S24*LN('Phytopl Analysis'!S24)))</f>
        <v/>
      </c>
      <c r="T24" s="21" t="str">
        <f>IF('Phytopl Count'!T24=0,"",('Phytopl Analysis'!T24*LN('Phytopl Analysis'!T24)))</f>
        <v/>
      </c>
      <c r="U24" s="58" t="str">
        <f>IF('Phytopl Count'!U24=0,"",('Phytopl Analysis'!U24*LN('Phytopl Analysis'!U24)))</f>
        <v/>
      </c>
      <c r="V24" s="58" t="str">
        <f>IF('Phytopl Count'!V24=0,"",('Phytopl Analysis'!V24*LN('Phytopl Analysis'!V24)))</f>
        <v/>
      </c>
      <c r="W24" s="21" t="str">
        <f>IF('Phytopl Count'!W24=0,"",('Phytopl Analysis'!W24*LN('Phytopl Analysis'!W24)))</f>
        <v/>
      </c>
      <c r="X24" s="21" t="str">
        <f>IF('Phytopl Count'!X24=0,"",('Phytopl Analysis'!X24*LN('Phytopl Analysis'!X24)))</f>
        <v/>
      </c>
      <c r="Y24" s="58" t="str">
        <f>IF('Phytopl Count'!Y24=0,"",('Phytopl Analysis'!Y24*LN('Phytopl Analysis'!Y24)))</f>
        <v/>
      </c>
      <c r="Z24" s="58">
        <f>IF('Phytopl Count'!Z24=0,"",('Phytopl Analysis'!Z24*LN('Phytopl Analysis'!Z24)))</f>
        <v>-0.36345259545943021</v>
      </c>
      <c r="AA24" s="21" t="str">
        <f>IF('Phytopl Count'!AA24=0,"",('Phytopl Analysis'!AA24*LN('Phytopl Analysis'!AA24)))</f>
        <v/>
      </c>
      <c r="AB24" s="21" t="str">
        <f>IF('Phytopl Count'!AB24=0,"",('Phytopl Analysis'!AB24*LN('Phytopl Analysis'!AB24)))</f>
        <v/>
      </c>
      <c r="AC24" s="58" t="str">
        <f>IF('Phytopl Count'!AC24=0,"",('Phytopl Analysis'!AC24*LN('Phytopl Analysis'!AC24)))</f>
        <v/>
      </c>
      <c r="AD24" s="58" t="str">
        <f>IF('Phytopl Count'!AD24=0,"",('Phytopl Analysis'!AD24*LN('Phytopl Analysis'!AD24)))</f>
        <v/>
      </c>
      <c r="AE24" s="21" t="str">
        <f>IF('Phytopl Count'!AE24=0,"",('Phytopl Analysis'!AE24*LN('Phytopl Analysis'!AE24)))</f>
        <v/>
      </c>
      <c r="AF24" s="58" t="str">
        <f>IF('Phytopl Count'!AF24=0,"",('Phytopl Analysis'!AF24*LN('Phytopl Analysis'!AF24)))</f>
        <v/>
      </c>
    </row>
    <row r="25" spans="1:32" hidden="1">
      <c r="A25" s="16"/>
      <c r="B25" s="16"/>
      <c r="C25" s="16"/>
      <c r="D25" s="95" t="s">
        <v>5</v>
      </c>
      <c r="E25" s="105" t="s">
        <v>275</v>
      </c>
      <c r="F25" s="97"/>
      <c r="G25" s="21" t="str">
        <f>IF('Phytopl Count'!G25=0,"",('Phytopl Analysis'!G25*LN('Phytopl Analysis'!G25)))</f>
        <v/>
      </c>
      <c r="H25" s="21" t="str">
        <f>IF('Phytopl Count'!H25=0,"",('Phytopl Analysis'!H25*LN('Phytopl Analysis'!H25)))</f>
        <v/>
      </c>
      <c r="I25" s="58" t="str">
        <f>IF('Phytopl Count'!I25=0,"",('Phytopl Analysis'!I25*LN('Phytopl Analysis'!I25)))</f>
        <v/>
      </c>
      <c r="J25" s="58" t="str">
        <f>IF('Phytopl Count'!J25=0,"",('Phytopl Analysis'!J25*LN('Phytopl Analysis'!J25)))</f>
        <v/>
      </c>
      <c r="K25" s="21" t="str">
        <f>IF('Phytopl Count'!K25=0,"",('Phytopl Analysis'!K25*LN('Phytopl Analysis'!K25)))</f>
        <v/>
      </c>
      <c r="L25" s="21" t="str">
        <f>IF('Phytopl Count'!L25=0,"",('Phytopl Analysis'!L25*LN('Phytopl Analysis'!L25)))</f>
        <v/>
      </c>
      <c r="M25" s="58" t="str">
        <f>IF('Phytopl Count'!M25=0,"",('Phytopl Analysis'!M25*LN('Phytopl Analysis'!M25)))</f>
        <v/>
      </c>
      <c r="N25" s="58" t="str">
        <f>IF('Phytopl Count'!N25=0,"",('Phytopl Analysis'!N25*LN('Phytopl Analysis'!N25)))</f>
        <v/>
      </c>
      <c r="O25" s="21" t="str">
        <f>IF('Phytopl Count'!O25=0,"",('Phytopl Analysis'!O25*LN('Phytopl Analysis'!O25)))</f>
        <v/>
      </c>
      <c r="P25" s="21" t="str">
        <f>IF('Phytopl Count'!P25=0,"",('Phytopl Analysis'!P25*LN('Phytopl Analysis'!P25)))</f>
        <v/>
      </c>
      <c r="Q25" s="58" t="str">
        <f>IF('Phytopl Count'!Q25=0,"",('Phytopl Analysis'!Q25*LN('Phytopl Analysis'!Q25)))</f>
        <v/>
      </c>
      <c r="R25" s="58" t="str">
        <f>IF('Phytopl Count'!R25=0,"",('Phytopl Analysis'!R25*LN('Phytopl Analysis'!R25)))</f>
        <v/>
      </c>
      <c r="S25" s="21" t="str">
        <f>IF('Phytopl Count'!S25=0,"",('Phytopl Analysis'!S25*LN('Phytopl Analysis'!S25)))</f>
        <v/>
      </c>
      <c r="T25" s="21" t="str">
        <f>IF('Phytopl Count'!T25=0,"",('Phytopl Analysis'!T25*LN('Phytopl Analysis'!T25)))</f>
        <v/>
      </c>
      <c r="U25" s="58" t="str">
        <f>IF('Phytopl Count'!U25=0,"",('Phytopl Analysis'!U25*LN('Phytopl Analysis'!U25)))</f>
        <v/>
      </c>
      <c r="V25" s="58" t="str">
        <f>IF('Phytopl Count'!V25=0,"",('Phytopl Analysis'!V25*LN('Phytopl Analysis'!V25)))</f>
        <v/>
      </c>
      <c r="W25" s="21" t="str">
        <f>IF('Phytopl Count'!W25=0,"",('Phytopl Analysis'!W25*LN('Phytopl Analysis'!W25)))</f>
        <v/>
      </c>
      <c r="X25" s="21" t="str">
        <f>IF('Phytopl Count'!X25=0,"",('Phytopl Analysis'!X25*LN('Phytopl Analysis'!X25)))</f>
        <v/>
      </c>
      <c r="Y25" s="58" t="str">
        <f>IF('Phytopl Count'!Y25=0,"",('Phytopl Analysis'!Y25*LN('Phytopl Analysis'!Y25)))</f>
        <v/>
      </c>
      <c r="Z25" s="58" t="str">
        <f>IF('Phytopl Count'!Z25=0,"",('Phytopl Analysis'!Z25*LN('Phytopl Analysis'!Z25)))</f>
        <v/>
      </c>
      <c r="AA25" s="21" t="str">
        <f>IF('Phytopl Count'!AA25=0,"",('Phytopl Analysis'!AA25*LN('Phytopl Analysis'!AA25)))</f>
        <v/>
      </c>
      <c r="AB25" s="21" t="str">
        <f>IF('Phytopl Count'!AB25=0,"",('Phytopl Analysis'!AB25*LN('Phytopl Analysis'!AB25)))</f>
        <v/>
      </c>
      <c r="AC25" s="58" t="str">
        <f>IF('Phytopl Count'!AC25=0,"",('Phytopl Analysis'!AC25*LN('Phytopl Analysis'!AC25)))</f>
        <v/>
      </c>
      <c r="AD25" s="58" t="str">
        <f>IF('Phytopl Count'!AD25=0,"",('Phytopl Analysis'!AD25*LN('Phytopl Analysis'!AD25)))</f>
        <v/>
      </c>
      <c r="AE25" s="21" t="str">
        <f>IF('Phytopl Count'!AE25=0,"",('Phytopl Analysis'!AE25*LN('Phytopl Analysis'!AE25)))</f>
        <v/>
      </c>
      <c r="AF25" s="58" t="str">
        <f>IF('Phytopl Count'!AF25=0,"",('Phytopl Analysis'!AF25*LN('Phytopl Analysis'!AF25)))</f>
        <v/>
      </c>
    </row>
    <row r="26" spans="1:32" hidden="1">
      <c r="A26" s="4"/>
      <c r="B26" s="4"/>
      <c r="C26" s="4"/>
      <c r="D26" s="101"/>
      <c r="E26" s="102" t="s">
        <v>6</v>
      </c>
      <c r="F26" s="11" t="s">
        <v>274</v>
      </c>
      <c r="G26" s="21" t="str">
        <f>IF('Phytopl Count'!G26=0,"",('Phytopl Analysis'!G26*LN('Phytopl Analysis'!G26)))</f>
        <v/>
      </c>
      <c r="H26" s="21" t="str">
        <f>IF('Phytopl Count'!H26=0,"",('Phytopl Analysis'!H26*LN('Phytopl Analysis'!H26)))</f>
        <v/>
      </c>
      <c r="I26" s="58" t="str">
        <f>IF('Phytopl Count'!I26=0,"",('Phytopl Analysis'!I26*LN('Phytopl Analysis'!I26)))</f>
        <v/>
      </c>
      <c r="J26" s="58" t="str">
        <f>IF('Phytopl Count'!J26=0,"",('Phytopl Analysis'!J26*LN('Phytopl Analysis'!J26)))</f>
        <v/>
      </c>
      <c r="K26" s="21" t="str">
        <f>IF('Phytopl Count'!K26=0,"",('Phytopl Analysis'!K26*LN('Phytopl Analysis'!K26)))</f>
        <v/>
      </c>
      <c r="L26" s="21" t="str">
        <f>IF('Phytopl Count'!L26=0,"",('Phytopl Analysis'!L26*LN('Phytopl Analysis'!L26)))</f>
        <v/>
      </c>
      <c r="M26" s="58" t="str">
        <f>IF('Phytopl Count'!M26=0,"",('Phytopl Analysis'!M26*LN('Phytopl Analysis'!M26)))</f>
        <v/>
      </c>
      <c r="N26" s="58" t="str">
        <f>IF('Phytopl Count'!N26=0,"",('Phytopl Analysis'!N26*LN('Phytopl Analysis'!N26)))</f>
        <v/>
      </c>
      <c r="O26" s="21" t="str">
        <f>IF('Phytopl Count'!O26=0,"",('Phytopl Analysis'!O26*LN('Phytopl Analysis'!O26)))</f>
        <v/>
      </c>
      <c r="P26" s="21" t="str">
        <f>IF('Phytopl Count'!P26=0,"",('Phytopl Analysis'!P26*LN('Phytopl Analysis'!P26)))</f>
        <v/>
      </c>
      <c r="Q26" s="58" t="str">
        <f>IF('Phytopl Count'!Q26=0,"",('Phytopl Analysis'!Q26*LN('Phytopl Analysis'!Q26)))</f>
        <v/>
      </c>
      <c r="R26" s="58" t="str">
        <f>IF('Phytopl Count'!R26=0,"",('Phytopl Analysis'!R26*LN('Phytopl Analysis'!R26)))</f>
        <v/>
      </c>
      <c r="S26" s="21" t="str">
        <f>IF('Phytopl Count'!S26=0,"",('Phytopl Analysis'!S26*LN('Phytopl Analysis'!S26)))</f>
        <v/>
      </c>
      <c r="T26" s="21" t="str">
        <f>IF('Phytopl Count'!T26=0,"",('Phytopl Analysis'!T26*LN('Phytopl Analysis'!T26)))</f>
        <v/>
      </c>
      <c r="U26" s="58" t="str">
        <f>IF('Phytopl Count'!U26=0,"",('Phytopl Analysis'!U26*LN('Phytopl Analysis'!U26)))</f>
        <v/>
      </c>
      <c r="V26" s="58" t="str">
        <f>IF('Phytopl Count'!V26=0,"",('Phytopl Analysis'!V26*LN('Phytopl Analysis'!V26)))</f>
        <v/>
      </c>
      <c r="W26" s="21" t="str">
        <f>IF('Phytopl Count'!W26=0,"",('Phytopl Analysis'!W26*LN('Phytopl Analysis'!W26)))</f>
        <v/>
      </c>
      <c r="X26" s="21" t="str">
        <f>IF('Phytopl Count'!X26=0,"",('Phytopl Analysis'!X26*LN('Phytopl Analysis'!X26)))</f>
        <v/>
      </c>
      <c r="Y26" s="58" t="str">
        <f>IF('Phytopl Count'!Y26=0,"",('Phytopl Analysis'!Y26*LN('Phytopl Analysis'!Y26)))</f>
        <v/>
      </c>
      <c r="Z26" s="58" t="str">
        <f>IF('Phytopl Count'!Z26=0,"",('Phytopl Analysis'!Z26*LN('Phytopl Analysis'!Z26)))</f>
        <v/>
      </c>
      <c r="AA26" s="21" t="str">
        <f>IF('Phytopl Count'!AA26=0,"",('Phytopl Analysis'!AA26*LN('Phytopl Analysis'!AA26)))</f>
        <v/>
      </c>
      <c r="AB26" s="21" t="str">
        <f>IF('Phytopl Count'!AB26=0,"",('Phytopl Analysis'!AB26*LN('Phytopl Analysis'!AB26)))</f>
        <v/>
      </c>
      <c r="AC26" s="58" t="str">
        <f>IF('Phytopl Count'!AC26=0,"",('Phytopl Analysis'!AC26*LN('Phytopl Analysis'!AC26)))</f>
        <v/>
      </c>
      <c r="AD26" s="58" t="str">
        <f>IF('Phytopl Count'!AD26=0,"",('Phytopl Analysis'!AD26*LN('Phytopl Analysis'!AD26)))</f>
        <v/>
      </c>
      <c r="AE26" s="21" t="str">
        <f>IF('Phytopl Count'!AE26=0,"",('Phytopl Analysis'!AE26*LN('Phytopl Analysis'!AE26)))</f>
        <v/>
      </c>
      <c r="AF26" s="58" t="str">
        <f>IF('Phytopl Count'!AF26=0,"",('Phytopl Analysis'!AF26*LN('Phytopl Analysis'!AF26)))</f>
        <v/>
      </c>
    </row>
    <row r="27" spans="1:32" hidden="1">
      <c r="A27" s="16"/>
      <c r="B27" s="16"/>
      <c r="C27" s="16" t="s">
        <v>73</v>
      </c>
      <c r="D27" s="4" t="s">
        <v>249</v>
      </c>
      <c r="E27" s="96"/>
      <c r="F27" s="97"/>
      <c r="G27" s="21" t="str">
        <f>IF('Phytopl Count'!G27=0,"",('Phytopl Analysis'!G27*LN('Phytopl Analysis'!G27)))</f>
        <v/>
      </c>
      <c r="H27" s="21" t="str">
        <f>IF('Phytopl Count'!H27=0,"",('Phytopl Analysis'!H27*LN('Phytopl Analysis'!H27)))</f>
        <v/>
      </c>
      <c r="I27" s="58" t="str">
        <f>IF('Phytopl Count'!I27=0,"",('Phytopl Analysis'!I27*LN('Phytopl Analysis'!I27)))</f>
        <v/>
      </c>
      <c r="J27" s="58" t="str">
        <f>IF('Phytopl Count'!J27=0,"",('Phytopl Analysis'!J27*LN('Phytopl Analysis'!J27)))</f>
        <v/>
      </c>
      <c r="K27" s="21" t="str">
        <f>IF('Phytopl Count'!K27=0,"",('Phytopl Analysis'!K27*LN('Phytopl Analysis'!K27)))</f>
        <v/>
      </c>
      <c r="L27" s="21" t="str">
        <f>IF('Phytopl Count'!L27=0,"",('Phytopl Analysis'!L27*LN('Phytopl Analysis'!L27)))</f>
        <v/>
      </c>
      <c r="M27" s="58" t="str">
        <f>IF('Phytopl Count'!M27=0,"",('Phytopl Analysis'!M27*LN('Phytopl Analysis'!M27)))</f>
        <v/>
      </c>
      <c r="N27" s="58" t="str">
        <f>IF('Phytopl Count'!N27=0,"",('Phytopl Analysis'!N27*LN('Phytopl Analysis'!N27)))</f>
        <v/>
      </c>
      <c r="O27" s="21" t="str">
        <f>IF('Phytopl Count'!O27=0,"",('Phytopl Analysis'!O27*LN('Phytopl Analysis'!O27)))</f>
        <v/>
      </c>
      <c r="P27" s="21" t="str">
        <f>IF('Phytopl Count'!P27=0,"",('Phytopl Analysis'!P27*LN('Phytopl Analysis'!P27)))</f>
        <v/>
      </c>
      <c r="Q27" s="58" t="str">
        <f>IF('Phytopl Count'!Q27=0,"",('Phytopl Analysis'!Q27*LN('Phytopl Analysis'!Q27)))</f>
        <v/>
      </c>
      <c r="R27" s="58" t="str">
        <f>IF('Phytopl Count'!R27=0,"",('Phytopl Analysis'!R27*LN('Phytopl Analysis'!R27)))</f>
        <v/>
      </c>
      <c r="S27" s="21" t="str">
        <f>IF('Phytopl Count'!S27=0,"",('Phytopl Analysis'!S27*LN('Phytopl Analysis'!S27)))</f>
        <v/>
      </c>
      <c r="T27" s="21" t="str">
        <f>IF('Phytopl Count'!T27=0,"",('Phytopl Analysis'!T27*LN('Phytopl Analysis'!T27)))</f>
        <v/>
      </c>
      <c r="U27" s="58" t="str">
        <f>IF('Phytopl Count'!U27=0,"",('Phytopl Analysis'!U27*LN('Phytopl Analysis'!U27)))</f>
        <v/>
      </c>
      <c r="V27" s="58" t="str">
        <f>IF('Phytopl Count'!V27=0,"",('Phytopl Analysis'!V27*LN('Phytopl Analysis'!V27)))</f>
        <v/>
      </c>
      <c r="W27" s="21" t="str">
        <f>IF('Phytopl Count'!W27=0,"",('Phytopl Analysis'!W27*LN('Phytopl Analysis'!W27)))</f>
        <v/>
      </c>
      <c r="X27" s="21" t="str">
        <f>IF('Phytopl Count'!X27=0,"",('Phytopl Analysis'!X27*LN('Phytopl Analysis'!X27)))</f>
        <v/>
      </c>
      <c r="Y27" s="58" t="str">
        <f>IF('Phytopl Count'!Y27=0,"",('Phytopl Analysis'!Y27*LN('Phytopl Analysis'!Y27)))</f>
        <v/>
      </c>
      <c r="Z27" s="58" t="str">
        <f>IF('Phytopl Count'!Z27=0,"",('Phytopl Analysis'!Z27*LN('Phytopl Analysis'!Z27)))</f>
        <v/>
      </c>
      <c r="AA27" s="21" t="str">
        <f>IF('Phytopl Count'!AA27=0,"",('Phytopl Analysis'!AA27*LN('Phytopl Analysis'!AA27)))</f>
        <v/>
      </c>
      <c r="AB27" s="21" t="str">
        <f>IF('Phytopl Count'!AB27=0,"",('Phytopl Analysis'!AB27*LN('Phytopl Analysis'!AB27)))</f>
        <v/>
      </c>
      <c r="AC27" s="58" t="str">
        <f>IF('Phytopl Count'!AC27=0,"",('Phytopl Analysis'!AC27*LN('Phytopl Analysis'!AC27)))</f>
        <v/>
      </c>
      <c r="AD27" s="58" t="str">
        <f>IF('Phytopl Count'!AD27=0,"",('Phytopl Analysis'!AD27*LN('Phytopl Analysis'!AD27)))</f>
        <v/>
      </c>
      <c r="AE27" s="21" t="str">
        <f>IF('Phytopl Count'!AE27=0,"",('Phytopl Analysis'!AE27*LN('Phytopl Analysis'!AE27)))</f>
        <v/>
      </c>
      <c r="AF27" s="58" t="str">
        <f>IF('Phytopl Count'!AF27=0,"",('Phytopl Analysis'!AF27*LN('Phytopl Analysis'!AF27)))</f>
        <v/>
      </c>
    </row>
    <row r="28" spans="1:32" hidden="1">
      <c r="A28" s="16"/>
      <c r="B28" s="16"/>
      <c r="C28" s="16"/>
      <c r="D28" s="95" t="s">
        <v>5</v>
      </c>
      <c r="E28" s="175" t="s">
        <v>250</v>
      </c>
      <c r="F28" s="97"/>
      <c r="G28" s="21" t="str">
        <f>IF('Phytopl Count'!G28=0,"",('Phytopl Analysis'!G28*LN('Phytopl Analysis'!G28)))</f>
        <v/>
      </c>
      <c r="H28" s="21" t="str">
        <f>IF('Phytopl Count'!H28=0,"",('Phytopl Analysis'!H28*LN('Phytopl Analysis'!H28)))</f>
        <v/>
      </c>
      <c r="I28" s="58" t="str">
        <f>IF('Phytopl Count'!I28=0,"",('Phytopl Analysis'!I28*LN('Phytopl Analysis'!I28)))</f>
        <v/>
      </c>
      <c r="J28" s="58" t="str">
        <f>IF('Phytopl Count'!J28=0,"",('Phytopl Analysis'!J28*LN('Phytopl Analysis'!J28)))</f>
        <v/>
      </c>
      <c r="K28" s="21" t="str">
        <f>IF('Phytopl Count'!K28=0,"",('Phytopl Analysis'!K28*LN('Phytopl Analysis'!K28)))</f>
        <v/>
      </c>
      <c r="L28" s="21" t="str">
        <f>IF('Phytopl Count'!L28=0,"",('Phytopl Analysis'!L28*LN('Phytopl Analysis'!L28)))</f>
        <v/>
      </c>
      <c r="M28" s="58" t="str">
        <f>IF('Phytopl Count'!M28=0,"",('Phytopl Analysis'!M28*LN('Phytopl Analysis'!M28)))</f>
        <v/>
      </c>
      <c r="N28" s="58" t="str">
        <f>IF('Phytopl Count'!N28=0,"",('Phytopl Analysis'!N28*LN('Phytopl Analysis'!N28)))</f>
        <v/>
      </c>
      <c r="O28" s="21" t="str">
        <f>IF('Phytopl Count'!O28=0,"",('Phytopl Analysis'!O28*LN('Phytopl Analysis'!O28)))</f>
        <v/>
      </c>
      <c r="P28" s="21" t="str">
        <f>IF('Phytopl Count'!P28=0,"",('Phytopl Analysis'!P28*LN('Phytopl Analysis'!P28)))</f>
        <v/>
      </c>
      <c r="Q28" s="58" t="str">
        <f>IF('Phytopl Count'!Q28=0,"",('Phytopl Analysis'!Q28*LN('Phytopl Analysis'!Q28)))</f>
        <v/>
      </c>
      <c r="R28" s="58" t="str">
        <f>IF('Phytopl Count'!R28=0,"",('Phytopl Analysis'!R28*LN('Phytopl Analysis'!R28)))</f>
        <v/>
      </c>
      <c r="S28" s="21" t="str">
        <f>IF('Phytopl Count'!S28=0,"",('Phytopl Analysis'!S28*LN('Phytopl Analysis'!S28)))</f>
        <v/>
      </c>
      <c r="T28" s="21" t="str">
        <f>IF('Phytopl Count'!T28=0,"",('Phytopl Analysis'!T28*LN('Phytopl Analysis'!T28)))</f>
        <v/>
      </c>
      <c r="U28" s="58" t="str">
        <f>IF('Phytopl Count'!U28=0,"",('Phytopl Analysis'!U28*LN('Phytopl Analysis'!U28)))</f>
        <v/>
      </c>
      <c r="V28" s="58" t="str">
        <f>IF('Phytopl Count'!V28=0,"",('Phytopl Analysis'!V28*LN('Phytopl Analysis'!V28)))</f>
        <v/>
      </c>
      <c r="W28" s="21" t="str">
        <f>IF('Phytopl Count'!W28=0,"",('Phytopl Analysis'!W28*LN('Phytopl Analysis'!W28)))</f>
        <v/>
      </c>
      <c r="X28" s="21" t="str">
        <f>IF('Phytopl Count'!X28=0,"",('Phytopl Analysis'!X28*LN('Phytopl Analysis'!X28)))</f>
        <v/>
      </c>
      <c r="Y28" s="58" t="str">
        <f>IF('Phytopl Count'!Y28=0,"",('Phytopl Analysis'!Y28*LN('Phytopl Analysis'!Y28)))</f>
        <v/>
      </c>
      <c r="Z28" s="58" t="str">
        <f>IF('Phytopl Count'!Z28=0,"",('Phytopl Analysis'!Z28*LN('Phytopl Analysis'!Z28)))</f>
        <v/>
      </c>
      <c r="AA28" s="21" t="str">
        <f>IF('Phytopl Count'!AA28=0,"",('Phytopl Analysis'!AA28*LN('Phytopl Analysis'!AA28)))</f>
        <v/>
      </c>
      <c r="AB28" s="21" t="str">
        <f>IF('Phytopl Count'!AB28=0,"",('Phytopl Analysis'!AB28*LN('Phytopl Analysis'!AB28)))</f>
        <v/>
      </c>
      <c r="AC28" s="58" t="str">
        <f>IF('Phytopl Count'!AC28=0,"",('Phytopl Analysis'!AC28*LN('Phytopl Analysis'!AC28)))</f>
        <v/>
      </c>
      <c r="AD28" s="58" t="str">
        <f>IF('Phytopl Count'!AD28=0,"",('Phytopl Analysis'!AD28*LN('Phytopl Analysis'!AD28)))</f>
        <v/>
      </c>
      <c r="AE28" s="21" t="str">
        <f>IF('Phytopl Count'!AE28=0,"",('Phytopl Analysis'!AE28*LN('Phytopl Analysis'!AE28)))</f>
        <v/>
      </c>
      <c r="AF28" s="58" t="str">
        <f>IF('Phytopl Count'!AF28=0,"",('Phytopl Analysis'!AF28*LN('Phytopl Analysis'!AF28)))</f>
        <v/>
      </c>
    </row>
    <row r="29" spans="1:32" hidden="1">
      <c r="A29" s="4"/>
      <c r="B29" s="4"/>
      <c r="C29" s="4"/>
      <c r="D29" s="96"/>
      <c r="E29" s="95" t="s">
        <v>6</v>
      </c>
      <c r="F29" s="11" t="s">
        <v>251</v>
      </c>
      <c r="G29" s="21" t="str">
        <f>IF('Phytopl Count'!G29=0,"",('Phytopl Analysis'!G29*LN('Phytopl Analysis'!G29)))</f>
        <v/>
      </c>
      <c r="H29" s="21" t="str">
        <f>IF('Phytopl Count'!H29=0,"",('Phytopl Analysis'!H29*LN('Phytopl Analysis'!H29)))</f>
        <v/>
      </c>
      <c r="I29" s="58" t="str">
        <f>IF('Phytopl Count'!I29=0,"",('Phytopl Analysis'!I29*LN('Phytopl Analysis'!I29)))</f>
        <v/>
      </c>
      <c r="J29" s="58" t="str">
        <f>IF('Phytopl Count'!J29=0,"",('Phytopl Analysis'!J29*LN('Phytopl Analysis'!J29)))</f>
        <v/>
      </c>
      <c r="K29" s="21" t="str">
        <f>IF('Phytopl Count'!K29=0,"",('Phytopl Analysis'!K29*LN('Phytopl Analysis'!K29)))</f>
        <v/>
      </c>
      <c r="L29" s="21" t="str">
        <f>IF('Phytopl Count'!L29=0,"",('Phytopl Analysis'!L29*LN('Phytopl Analysis'!L29)))</f>
        <v/>
      </c>
      <c r="M29" s="58" t="str">
        <f>IF('Phytopl Count'!M29=0,"",('Phytopl Analysis'!M29*LN('Phytopl Analysis'!M29)))</f>
        <v/>
      </c>
      <c r="N29" s="58" t="str">
        <f>IF('Phytopl Count'!N29=0,"",('Phytopl Analysis'!N29*LN('Phytopl Analysis'!N29)))</f>
        <v/>
      </c>
      <c r="O29" s="21" t="str">
        <f>IF('Phytopl Count'!O29=0,"",('Phytopl Analysis'!O29*LN('Phytopl Analysis'!O29)))</f>
        <v/>
      </c>
      <c r="P29" s="21" t="str">
        <f>IF('Phytopl Count'!P29=0,"",('Phytopl Analysis'!P29*LN('Phytopl Analysis'!P29)))</f>
        <v/>
      </c>
      <c r="Q29" s="58" t="str">
        <f>IF('Phytopl Count'!Q29=0,"",('Phytopl Analysis'!Q29*LN('Phytopl Analysis'!Q29)))</f>
        <v/>
      </c>
      <c r="R29" s="58" t="str">
        <f>IF('Phytopl Count'!R29=0,"",('Phytopl Analysis'!R29*LN('Phytopl Analysis'!R29)))</f>
        <v/>
      </c>
      <c r="S29" s="21" t="str">
        <f>IF('Phytopl Count'!S29=0,"",('Phytopl Analysis'!S29*LN('Phytopl Analysis'!S29)))</f>
        <v/>
      </c>
      <c r="T29" s="21" t="str">
        <f>IF('Phytopl Count'!T29=0,"",('Phytopl Analysis'!T29*LN('Phytopl Analysis'!T29)))</f>
        <v/>
      </c>
      <c r="U29" s="58" t="str">
        <f>IF('Phytopl Count'!U29=0,"",('Phytopl Analysis'!U29*LN('Phytopl Analysis'!U29)))</f>
        <v/>
      </c>
      <c r="V29" s="58" t="str">
        <f>IF('Phytopl Count'!V29=0,"",('Phytopl Analysis'!V29*LN('Phytopl Analysis'!V29)))</f>
        <v/>
      </c>
      <c r="W29" s="21" t="str">
        <f>IF('Phytopl Count'!W29=0,"",('Phytopl Analysis'!W29*LN('Phytopl Analysis'!W29)))</f>
        <v/>
      </c>
      <c r="X29" s="21" t="str">
        <f>IF('Phytopl Count'!X29=0,"",('Phytopl Analysis'!X29*LN('Phytopl Analysis'!X29)))</f>
        <v/>
      </c>
      <c r="Y29" s="58" t="str">
        <f>IF('Phytopl Count'!Y29=0,"",('Phytopl Analysis'!Y29*LN('Phytopl Analysis'!Y29)))</f>
        <v/>
      </c>
      <c r="Z29" s="58" t="str">
        <f>IF('Phytopl Count'!Z29=0,"",('Phytopl Analysis'!Z29*LN('Phytopl Analysis'!Z29)))</f>
        <v/>
      </c>
      <c r="AA29" s="21" t="str">
        <f>IF('Phytopl Count'!AA29=0,"",('Phytopl Analysis'!AA29*LN('Phytopl Analysis'!AA29)))</f>
        <v/>
      </c>
      <c r="AB29" s="21" t="str">
        <f>IF('Phytopl Count'!AB29=0,"",('Phytopl Analysis'!AB29*LN('Phytopl Analysis'!AB29)))</f>
        <v/>
      </c>
      <c r="AC29" s="58" t="str">
        <f>IF('Phytopl Count'!AC29=0,"",('Phytopl Analysis'!AC29*LN('Phytopl Analysis'!AC29)))</f>
        <v/>
      </c>
      <c r="AD29" s="58" t="str">
        <f>IF('Phytopl Count'!AD29=0,"",('Phytopl Analysis'!AD29*LN('Phytopl Analysis'!AD29)))</f>
        <v/>
      </c>
      <c r="AE29" s="21" t="str">
        <f>IF('Phytopl Count'!AE29=0,"",('Phytopl Analysis'!AE29*LN('Phytopl Analysis'!AE29)))</f>
        <v/>
      </c>
      <c r="AF29" s="58" t="str">
        <f>IF('Phytopl Count'!AF29=0,"",('Phytopl Analysis'!AF29*LN('Phytopl Analysis'!AF29)))</f>
        <v/>
      </c>
    </row>
    <row r="30" spans="1:32" hidden="1">
      <c r="A30" s="16"/>
      <c r="B30" s="16"/>
      <c r="C30" s="16"/>
      <c r="D30" s="95" t="s">
        <v>5</v>
      </c>
      <c r="E30" s="185" t="s">
        <v>416</v>
      </c>
      <c r="F30" s="97"/>
      <c r="G30" s="21" t="str">
        <f>IF('Phytopl Count'!G30=0,"",('Phytopl Analysis'!G30*LN('Phytopl Analysis'!G30)))</f>
        <v/>
      </c>
      <c r="H30" s="21" t="str">
        <f>IF('Phytopl Count'!H30=0,"",('Phytopl Analysis'!H30*LN('Phytopl Analysis'!H30)))</f>
        <v/>
      </c>
      <c r="I30" s="58" t="str">
        <f>IF('Phytopl Count'!I30=0,"",('Phytopl Analysis'!I30*LN('Phytopl Analysis'!I30)))</f>
        <v/>
      </c>
      <c r="J30" s="58" t="str">
        <f>IF('Phytopl Count'!J30=0,"",('Phytopl Analysis'!J30*LN('Phytopl Analysis'!J30)))</f>
        <v/>
      </c>
      <c r="K30" s="21" t="str">
        <f>IF('Phytopl Count'!K30=0,"",('Phytopl Analysis'!K30*LN('Phytopl Analysis'!K30)))</f>
        <v/>
      </c>
      <c r="L30" s="21" t="str">
        <f>IF('Phytopl Count'!L30=0,"",('Phytopl Analysis'!L30*LN('Phytopl Analysis'!L30)))</f>
        <v/>
      </c>
      <c r="M30" s="58" t="str">
        <f>IF('Phytopl Count'!M30=0,"",('Phytopl Analysis'!M30*LN('Phytopl Analysis'!M30)))</f>
        <v/>
      </c>
      <c r="N30" s="58" t="str">
        <f>IF('Phytopl Count'!N30=0,"",('Phytopl Analysis'!N30*LN('Phytopl Analysis'!N30)))</f>
        <v/>
      </c>
      <c r="O30" s="21" t="str">
        <f>IF('Phytopl Count'!O30=0,"",('Phytopl Analysis'!O30*LN('Phytopl Analysis'!O30)))</f>
        <v/>
      </c>
      <c r="P30" s="21" t="str">
        <f>IF('Phytopl Count'!P30=0,"",('Phytopl Analysis'!P30*LN('Phytopl Analysis'!P30)))</f>
        <v/>
      </c>
      <c r="Q30" s="58" t="str">
        <f>IF('Phytopl Count'!Q30=0,"",('Phytopl Analysis'!Q30*LN('Phytopl Analysis'!Q30)))</f>
        <v/>
      </c>
      <c r="R30" s="58" t="str">
        <f>IF('Phytopl Count'!R30=0,"",('Phytopl Analysis'!R30*LN('Phytopl Analysis'!R30)))</f>
        <v/>
      </c>
      <c r="S30" s="21" t="str">
        <f>IF('Phytopl Count'!S30=0,"",('Phytopl Analysis'!S30*LN('Phytopl Analysis'!S30)))</f>
        <v/>
      </c>
      <c r="T30" s="21" t="str">
        <f>IF('Phytopl Count'!T30=0,"",('Phytopl Analysis'!T30*LN('Phytopl Analysis'!T30)))</f>
        <v/>
      </c>
      <c r="U30" s="58" t="str">
        <f>IF('Phytopl Count'!U30=0,"",('Phytopl Analysis'!U30*LN('Phytopl Analysis'!U30)))</f>
        <v/>
      </c>
      <c r="V30" s="58" t="str">
        <f>IF('Phytopl Count'!V30=0,"",('Phytopl Analysis'!V30*LN('Phytopl Analysis'!V30)))</f>
        <v/>
      </c>
      <c r="W30" s="21" t="str">
        <f>IF('Phytopl Count'!W30=0,"",('Phytopl Analysis'!W30*LN('Phytopl Analysis'!W30)))</f>
        <v/>
      </c>
      <c r="X30" s="21" t="str">
        <f>IF('Phytopl Count'!X30=0,"",('Phytopl Analysis'!X30*LN('Phytopl Analysis'!X30)))</f>
        <v/>
      </c>
      <c r="Y30" s="58" t="str">
        <f>IF('Phytopl Count'!Y30=0,"",('Phytopl Analysis'!Y30*LN('Phytopl Analysis'!Y30)))</f>
        <v/>
      </c>
      <c r="Z30" s="58" t="str">
        <f>IF('Phytopl Count'!Z30=0,"",('Phytopl Analysis'!Z30*LN('Phytopl Analysis'!Z30)))</f>
        <v/>
      </c>
      <c r="AA30" s="21" t="str">
        <f>IF('Phytopl Count'!AA30=0,"",('Phytopl Analysis'!AA30*LN('Phytopl Analysis'!AA30)))</f>
        <v/>
      </c>
      <c r="AB30" s="21" t="str">
        <f>IF('Phytopl Count'!AB30=0,"",('Phytopl Analysis'!AB30*LN('Phytopl Analysis'!AB30)))</f>
        <v/>
      </c>
      <c r="AC30" s="58" t="str">
        <f>IF('Phytopl Count'!AC30=0,"",('Phytopl Analysis'!AC30*LN('Phytopl Analysis'!AC30)))</f>
        <v/>
      </c>
      <c r="AD30" s="58" t="str">
        <f>IF('Phytopl Count'!AD30=0,"",('Phytopl Analysis'!AD30*LN('Phytopl Analysis'!AD30)))</f>
        <v/>
      </c>
      <c r="AE30" s="21" t="str">
        <f>IF('Phytopl Count'!AE30=0,"",('Phytopl Analysis'!AE30*LN('Phytopl Analysis'!AE30)))</f>
        <v/>
      </c>
      <c r="AF30" s="58" t="str">
        <f>IF('Phytopl Count'!AF30=0,"",('Phytopl Analysis'!AF30*LN('Phytopl Analysis'!AF30)))</f>
        <v/>
      </c>
    </row>
    <row r="31" spans="1:32" hidden="1">
      <c r="A31" s="4"/>
      <c r="B31" s="4"/>
      <c r="C31" s="4"/>
      <c r="D31" s="96"/>
      <c r="E31" s="95" t="s">
        <v>6</v>
      </c>
      <c r="F31" s="11" t="s">
        <v>417</v>
      </c>
      <c r="G31" s="21" t="str">
        <f>IF('Phytopl Count'!G31=0,"",('Phytopl Analysis'!G31*LN('Phytopl Analysis'!G31)))</f>
        <v/>
      </c>
      <c r="H31" s="21" t="str">
        <f>IF('Phytopl Count'!H31=0,"",('Phytopl Analysis'!H31*LN('Phytopl Analysis'!H31)))</f>
        <v/>
      </c>
      <c r="I31" s="58" t="str">
        <f>IF('Phytopl Count'!I31=0,"",('Phytopl Analysis'!I31*LN('Phytopl Analysis'!I31)))</f>
        <v/>
      </c>
      <c r="J31" s="58" t="str">
        <f>IF('Phytopl Count'!J31=0,"",('Phytopl Analysis'!J31*LN('Phytopl Analysis'!J31)))</f>
        <v/>
      </c>
      <c r="K31" s="21" t="str">
        <f>IF('Phytopl Count'!K31=0,"",('Phytopl Analysis'!K31*LN('Phytopl Analysis'!K31)))</f>
        <v/>
      </c>
      <c r="L31" s="21" t="str">
        <f>IF('Phytopl Count'!L31=0,"",('Phytopl Analysis'!L31*LN('Phytopl Analysis'!L31)))</f>
        <v/>
      </c>
      <c r="M31" s="58" t="str">
        <f>IF('Phytopl Count'!M31=0,"",('Phytopl Analysis'!M31*LN('Phytopl Analysis'!M31)))</f>
        <v/>
      </c>
      <c r="N31" s="58" t="str">
        <f>IF('Phytopl Count'!N31=0,"",('Phytopl Analysis'!N31*LN('Phytopl Analysis'!N31)))</f>
        <v/>
      </c>
      <c r="O31" s="21" t="str">
        <f>IF('Phytopl Count'!O31=0,"",('Phytopl Analysis'!O31*LN('Phytopl Analysis'!O31)))</f>
        <v/>
      </c>
      <c r="P31" s="21" t="str">
        <f>IF('Phytopl Count'!P31=0,"",('Phytopl Analysis'!P31*LN('Phytopl Analysis'!P31)))</f>
        <v/>
      </c>
      <c r="Q31" s="58" t="str">
        <f>IF('Phytopl Count'!Q31=0,"",('Phytopl Analysis'!Q31*LN('Phytopl Analysis'!Q31)))</f>
        <v/>
      </c>
      <c r="R31" s="58" t="str">
        <f>IF('Phytopl Count'!R31=0,"",('Phytopl Analysis'!R31*LN('Phytopl Analysis'!R31)))</f>
        <v/>
      </c>
      <c r="S31" s="21" t="str">
        <f>IF('Phytopl Count'!S31=0,"",('Phytopl Analysis'!S31*LN('Phytopl Analysis'!S31)))</f>
        <v/>
      </c>
      <c r="T31" s="21" t="str">
        <f>IF('Phytopl Count'!T31=0,"",('Phytopl Analysis'!T31*LN('Phytopl Analysis'!T31)))</f>
        <v/>
      </c>
      <c r="U31" s="58" t="str">
        <f>IF('Phytopl Count'!U31=0,"",('Phytopl Analysis'!U31*LN('Phytopl Analysis'!U31)))</f>
        <v/>
      </c>
      <c r="V31" s="58" t="str">
        <f>IF('Phytopl Count'!V31=0,"",('Phytopl Analysis'!V31*LN('Phytopl Analysis'!V31)))</f>
        <v/>
      </c>
      <c r="W31" s="21" t="str">
        <f>IF('Phytopl Count'!W31=0,"",('Phytopl Analysis'!W31*LN('Phytopl Analysis'!W31)))</f>
        <v/>
      </c>
      <c r="X31" s="21" t="str">
        <f>IF('Phytopl Count'!X31=0,"",('Phytopl Analysis'!X31*LN('Phytopl Analysis'!X31)))</f>
        <v/>
      </c>
      <c r="Y31" s="58" t="str">
        <f>IF('Phytopl Count'!Y31=0,"",('Phytopl Analysis'!Y31*LN('Phytopl Analysis'!Y31)))</f>
        <v/>
      </c>
      <c r="Z31" s="58" t="str">
        <f>IF('Phytopl Count'!Z31=0,"",('Phytopl Analysis'!Z31*LN('Phytopl Analysis'!Z31)))</f>
        <v/>
      </c>
      <c r="AA31" s="21" t="str">
        <f>IF('Phytopl Count'!AA31=0,"",('Phytopl Analysis'!AA31*LN('Phytopl Analysis'!AA31)))</f>
        <v/>
      </c>
      <c r="AB31" s="21" t="str">
        <f>IF('Phytopl Count'!AB31=0,"",('Phytopl Analysis'!AB31*LN('Phytopl Analysis'!AB31)))</f>
        <v/>
      </c>
      <c r="AC31" s="58" t="str">
        <f>IF('Phytopl Count'!AC31=0,"",('Phytopl Analysis'!AC31*LN('Phytopl Analysis'!AC31)))</f>
        <v/>
      </c>
      <c r="AD31" s="58" t="str">
        <f>IF('Phytopl Count'!AD31=0,"",('Phytopl Analysis'!AD31*LN('Phytopl Analysis'!AD31)))</f>
        <v/>
      </c>
      <c r="AE31" s="21" t="str">
        <f>IF('Phytopl Count'!AE31=0,"",('Phytopl Analysis'!AE31*LN('Phytopl Analysis'!AE31)))</f>
        <v/>
      </c>
      <c r="AF31" s="58" t="str">
        <f>IF('Phytopl Count'!AF31=0,"",('Phytopl Analysis'!AF31*LN('Phytopl Analysis'!AF31)))</f>
        <v/>
      </c>
    </row>
    <row r="32" spans="1:32" s="1" customFormat="1" hidden="1">
      <c r="A32" s="16"/>
      <c r="B32" s="16"/>
      <c r="C32" s="16" t="s">
        <v>73</v>
      </c>
      <c r="D32" s="4" t="s">
        <v>139</v>
      </c>
      <c r="E32" s="5"/>
      <c r="F32" s="9"/>
      <c r="G32" s="21" t="str">
        <f>IF('Phytopl Count'!G32=0,"",('Phytopl Analysis'!G32*LN('Phytopl Analysis'!G32)))</f>
        <v/>
      </c>
      <c r="H32" s="21" t="str">
        <f>IF('Phytopl Count'!H32=0,"",('Phytopl Analysis'!H32*LN('Phytopl Analysis'!H32)))</f>
        <v/>
      </c>
      <c r="I32" s="58" t="str">
        <f>IF('Phytopl Count'!I32=0,"",('Phytopl Analysis'!I32*LN('Phytopl Analysis'!I32)))</f>
        <v/>
      </c>
      <c r="J32" s="58" t="str">
        <f>IF('Phytopl Count'!J32=0,"",('Phytopl Analysis'!J32*LN('Phytopl Analysis'!J32)))</f>
        <v/>
      </c>
      <c r="K32" s="21" t="str">
        <f>IF('Phytopl Count'!K32=0,"",('Phytopl Analysis'!K32*LN('Phytopl Analysis'!K32)))</f>
        <v/>
      </c>
      <c r="L32" s="21" t="str">
        <f>IF('Phytopl Count'!L32=0,"",('Phytopl Analysis'!L32*LN('Phytopl Analysis'!L32)))</f>
        <v/>
      </c>
      <c r="M32" s="58" t="str">
        <f>IF('Phytopl Count'!M32=0,"",('Phytopl Analysis'!M32*LN('Phytopl Analysis'!M32)))</f>
        <v/>
      </c>
      <c r="N32" s="58" t="str">
        <f>IF('Phytopl Count'!N32=0,"",('Phytopl Analysis'!N32*LN('Phytopl Analysis'!N32)))</f>
        <v/>
      </c>
      <c r="O32" s="21" t="str">
        <f>IF('Phytopl Count'!O32=0,"",('Phytopl Analysis'!O32*LN('Phytopl Analysis'!O32)))</f>
        <v/>
      </c>
      <c r="P32" s="21" t="str">
        <f>IF('Phytopl Count'!P32=0,"",('Phytopl Analysis'!P32*LN('Phytopl Analysis'!P32)))</f>
        <v/>
      </c>
      <c r="Q32" s="58" t="str">
        <f>IF('Phytopl Count'!Q32=0,"",('Phytopl Analysis'!Q32*LN('Phytopl Analysis'!Q32)))</f>
        <v/>
      </c>
      <c r="R32" s="58" t="str">
        <f>IF('Phytopl Count'!R32=0,"",('Phytopl Analysis'!R32*LN('Phytopl Analysis'!R32)))</f>
        <v/>
      </c>
      <c r="S32" s="21" t="str">
        <f>IF('Phytopl Count'!S32=0,"",('Phytopl Analysis'!S32*LN('Phytopl Analysis'!S32)))</f>
        <v/>
      </c>
      <c r="T32" s="21" t="str">
        <f>IF('Phytopl Count'!T32=0,"",('Phytopl Analysis'!T32*LN('Phytopl Analysis'!T32)))</f>
        <v/>
      </c>
      <c r="U32" s="58" t="str">
        <f>IF('Phytopl Count'!U32=0,"",('Phytopl Analysis'!U32*LN('Phytopl Analysis'!U32)))</f>
        <v/>
      </c>
      <c r="V32" s="58" t="str">
        <f>IF('Phytopl Count'!V32=0,"",('Phytopl Analysis'!V32*LN('Phytopl Analysis'!V32)))</f>
        <v/>
      </c>
      <c r="W32" s="21" t="str">
        <f>IF('Phytopl Count'!W32=0,"",('Phytopl Analysis'!W32*LN('Phytopl Analysis'!W32)))</f>
        <v/>
      </c>
      <c r="X32" s="21" t="str">
        <f>IF('Phytopl Count'!X32=0,"",('Phytopl Analysis'!X32*LN('Phytopl Analysis'!X32)))</f>
        <v/>
      </c>
      <c r="Y32" s="58" t="str">
        <f>IF('Phytopl Count'!Y32=0,"",('Phytopl Analysis'!Y32*LN('Phytopl Analysis'!Y32)))</f>
        <v/>
      </c>
      <c r="Z32" s="58" t="str">
        <f>IF('Phytopl Count'!Z32=0,"",('Phytopl Analysis'!Z32*LN('Phytopl Analysis'!Z32)))</f>
        <v/>
      </c>
      <c r="AA32" s="21" t="str">
        <f>IF('Phytopl Count'!AA32=0,"",('Phytopl Analysis'!AA32*LN('Phytopl Analysis'!AA32)))</f>
        <v/>
      </c>
      <c r="AB32" s="21" t="str">
        <f>IF('Phytopl Count'!AB32=0,"",('Phytopl Analysis'!AB32*LN('Phytopl Analysis'!AB32)))</f>
        <v/>
      </c>
      <c r="AC32" s="58" t="str">
        <f>IF('Phytopl Count'!AC32=0,"",('Phytopl Analysis'!AC32*LN('Phytopl Analysis'!AC32)))</f>
        <v/>
      </c>
      <c r="AD32" s="58" t="str">
        <f>IF('Phytopl Count'!AD32=0,"",('Phytopl Analysis'!AD32*LN('Phytopl Analysis'!AD32)))</f>
        <v/>
      </c>
      <c r="AE32" s="21" t="str">
        <f>IF('Phytopl Count'!AE32=0,"",('Phytopl Analysis'!AE32*LN('Phytopl Analysis'!AE32)))</f>
        <v/>
      </c>
      <c r="AF32" s="58" t="str">
        <f>IF('Phytopl Count'!AF32=0,"",('Phytopl Analysis'!AF32*LN('Phytopl Analysis'!AF32)))</f>
        <v/>
      </c>
    </row>
    <row r="33" spans="1:32" s="1" customFormat="1" hidden="1">
      <c r="A33" s="16"/>
      <c r="B33" s="16"/>
      <c r="C33" s="16"/>
      <c r="D33" s="10" t="s">
        <v>5</v>
      </c>
      <c r="E33" s="175" t="s">
        <v>313</v>
      </c>
      <c r="F33" s="9"/>
      <c r="G33" s="21" t="str">
        <f>IF('Phytopl Count'!G33=0,"",('Phytopl Analysis'!G33*LN('Phytopl Analysis'!G33)))</f>
        <v/>
      </c>
      <c r="H33" s="21" t="str">
        <f>IF('Phytopl Count'!H33=0,"",('Phytopl Analysis'!H33*LN('Phytopl Analysis'!H33)))</f>
        <v/>
      </c>
      <c r="I33" s="58" t="str">
        <f>IF('Phytopl Count'!I33=0,"",('Phytopl Analysis'!I33*LN('Phytopl Analysis'!I33)))</f>
        <v/>
      </c>
      <c r="J33" s="58" t="str">
        <f>IF('Phytopl Count'!J33=0,"",('Phytopl Analysis'!J33*LN('Phytopl Analysis'!J33)))</f>
        <v/>
      </c>
      <c r="K33" s="21" t="str">
        <f>IF('Phytopl Count'!K33=0,"",('Phytopl Analysis'!K33*LN('Phytopl Analysis'!K33)))</f>
        <v/>
      </c>
      <c r="L33" s="21" t="str">
        <f>IF('Phytopl Count'!L33=0,"",('Phytopl Analysis'!L33*LN('Phytopl Analysis'!L33)))</f>
        <v/>
      </c>
      <c r="M33" s="58" t="str">
        <f>IF('Phytopl Count'!M33=0,"",('Phytopl Analysis'!M33*LN('Phytopl Analysis'!M33)))</f>
        <v/>
      </c>
      <c r="N33" s="58" t="str">
        <f>IF('Phytopl Count'!N33=0,"",('Phytopl Analysis'!N33*LN('Phytopl Analysis'!N33)))</f>
        <v/>
      </c>
      <c r="O33" s="21" t="str">
        <f>IF('Phytopl Count'!O33=0,"",('Phytopl Analysis'!O33*LN('Phytopl Analysis'!O33)))</f>
        <v/>
      </c>
      <c r="P33" s="21" t="str">
        <f>IF('Phytopl Count'!P33=0,"",('Phytopl Analysis'!P33*LN('Phytopl Analysis'!P33)))</f>
        <v/>
      </c>
      <c r="Q33" s="58" t="str">
        <f>IF('Phytopl Count'!Q33=0,"",('Phytopl Analysis'!Q33*LN('Phytopl Analysis'!Q33)))</f>
        <v/>
      </c>
      <c r="R33" s="58" t="str">
        <f>IF('Phytopl Count'!R33=0,"",('Phytopl Analysis'!R33*LN('Phytopl Analysis'!R33)))</f>
        <v/>
      </c>
      <c r="S33" s="21" t="str">
        <f>IF('Phytopl Count'!S33=0,"",('Phytopl Analysis'!S33*LN('Phytopl Analysis'!S33)))</f>
        <v/>
      </c>
      <c r="T33" s="21" t="str">
        <f>IF('Phytopl Count'!T33=0,"",('Phytopl Analysis'!T33*LN('Phytopl Analysis'!T33)))</f>
        <v/>
      </c>
      <c r="U33" s="58" t="str">
        <f>IF('Phytopl Count'!U33=0,"",('Phytopl Analysis'!U33*LN('Phytopl Analysis'!U33)))</f>
        <v/>
      </c>
      <c r="V33" s="58" t="str">
        <f>IF('Phytopl Count'!V33=0,"",('Phytopl Analysis'!V33*LN('Phytopl Analysis'!V33)))</f>
        <v/>
      </c>
      <c r="W33" s="21" t="str">
        <f>IF('Phytopl Count'!W33=0,"",('Phytopl Analysis'!W33*LN('Phytopl Analysis'!W33)))</f>
        <v/>
      </c>
      <c r="X33" s="21" t="str">
        <f>IF('Phytopl Count'!X33=0,"",('Phytopl Analysis'!X33*LN('Phytopl Analysis'!X33)))</f>
        <v/>
      </c>
      <c r="Y33" s="58" t="str">
        <f>IF('Phytopl Count'!Y33=0,"",('Phytopl Analysis'!Y33*LN('Phytopl Analysis'!Y33)))</f>
        <v/>
      </c>
      <c r="Z33" s="58" t="str">
        <f>IF('Phytopl Count'!Z33=0,"",('Phytopl Analysis'!Z33*LN('Phytopl Analysis'!Z33)))</f>
        <v/>
      </c>
      <c r="AA33" s="21" t="str">
        <f>IF('Phytopl Count'!AA33=0,"",('Phytopl Analysis'!AA33*LN('Phytopl Analysis'!AA33)))</f>
        <v/>
      </c>
      <c r="AB33" s="21" t="str">
        <f>IF('Phytopl Count'!AB33=0,"",('Phytopl Analysis'!AB33*LN('Phytopl Analysis'!AB33)))</f>
        <v/>
      </c>
      <c r="AC33" s="58" t="str">
        <f>IF('Phytopl Count'!AC33=0,"",('Phytopl Analysis'!AC33*LN('Phytopl Analysis'!AC33)))</f>
        <v/>
      </c>
      <c r="AD33" s="58" t="str">
        <f>IF('Phytopl Count'!AD33=0,"",('Phytopl Analysis'!AD33*LN('Phytopl Analysis'!AD33)))</f>
        <v/>
      </c>
      <c r="AE33" s="21" t="str">
        <f>IF('Phytopl Count'!AE33=0,"",('Phytopl Analysis'!AE33*LN('Phytopl Analysis'!AE33)))</f>
        <v/>
      </c>
      <c r="AF33" s="58" t="str">
        <f>IF('Phytopl Count'!AF33=0,"",('Phytopl Analysis'!AF33*LN('Phytopl Analysis'!AF33)))</f>
        <v/>
      </c>
    </row>
    <row r="34" spans="1:32" s="1" customFormat="1" hidden="1">
      <c r="A34" s="4"/>
      <c r="B34" s="4"/>
      <c r="C34" s="4"/>
      <c r="D34" s="5"/>
      <c r="E34" s="10" t="s">
        <v>6</v>
      </c>
      <c r="F34" s="11" t="s">
        <v>314</v>
      </c>
      <c r="G34" s="21" t="str">
        <f>IF('Phytopl Count'!G34=0,"",('Phytopl Analysis'!G34*LN('Phytopl Analysis'!G34)))</f>
        <v/>
      </c>
      <c r="H34" s="21" t="str">
        <f>IF('Phytopl Count'!H34=0,"",('Phytopl Analysis'!H34*LN('Phytopl Analysis'!H34)))</f>
        <v/>
      </c>
      <c r="I34" s="58" t="str">
        <f>IF('Phytopl Count'!I34=0,"",('Phytopl Analysis'!I34*LN('Phytopl Analysis'!I34)))</f>
        <v/>
      </c>
      <c r="J34" s="58" t="str">
        <f>IF('Phytopl Count'!J34=0,"",('Phytopl Analysis'!J34*LN('Phytopl Analysis'!J34)))</f>
        <v/>
      </c>
      <c r="K34" s="21" t="str">
        <f>IF('Phytopl Count'!K34=0,"",('Phytopl Analysis'!K34*LN('Phytopl Analysis'!K34)))</f>
        <v/>
      </c>
      <c r="L34" s="21" t="str">
        <f>IF('Phytopl Count'!L34=0,"",('Phytopl Analysis'!L34*LN('Phytopl Analysis'!L34)))</f>
        <v/>
      </c>
      <c r="M34" s="58" t="str">
        <f>IF('Phytopl Count'!M34=0,"",('Phytopl Analysis'!M34*LN('Phytopl Analysis'!M34)))</f>
        <v/>
      </c>
      <c r="N34" s="58" t="str">
        <f>IF('Phytopl Count'!N34=0,"",('Phytopl Analysis'!N34*LN('Phytopl Analysis'!N34)))</f>
        <v/>
      </c>
      <c r="O34" s="21" t="str">
        <f>IF('Phytopl Count'!O34=0,"",('Phytopl Analysis'!O34*LN('Phytopl Analysis'!O34)))</f>
        <v/>
      </c>
      <c r="P34" s="21" t="str">
        <f>IF('Phytopl Count'!P34=0,"",('Phytopl Analysis'!P34*LN('Phytopl Analysis'!P34)))</f>
        <v/>
      </c>
      <c r="Q34" s="58" t="str">
        <f>IF('Phytopl Count'!Q34=0,"",('Phytopl Analysis'!Q34*LN('Phytopl Analysis'!Q34)))</f>
        <v/>
      </c>
      <c r="R34" s="58" t="str">
        <f>IF('Phytopl Count'!R34=0,"",('Phytopl Analysis'!R34*LN('Phytopl Analysis'!R34)))</f>
        <v/>
      </c>
      <c r="S34" s="21" t="str">
        <f>IF('Phytopl Count'!S34=0,"",('Phytopl Analysis'!S34*LN('Phytopl Analysis'!S34)))</f>
        <v/>
      </c>
      <c r="T34" s="21" t="str">
        <f>IF('Phytopl Count'!T34=0,"",('Phytopl Analysis'!T34*LN('Phytopl Analysis'!T34)))</f>
        <v/>
      </c>
      <c r="U34" s="58" t="str">
        <f>IF('Phytopl Count'!U34=0,"",('Phytopl Analysis'!U34*LN('Phytopl Analysis'!U34)))</f>
        <v/>
      </c>
      <c r="V34" s="58" t="str">
        <f>IF('Phytopl Count'!V34=0,"",('Phytopl Analysis'!V34*LN('Phytopl Analysis'!V34)))</f>
        <v/>
      </c>
      <c r="W34" s="21" t="str">
        <f>IF('Phytopl Count'!W34=0,"",('Phytopl Analysis'!W34*LN('Phytopl Analysis'!W34)))</f>
        <v/>
      </c>
      <c r="X34" s="21" t="str">
        <f>IF('Phytopl Count'!X34=0,"",('Phytopl Analysis'!X34*LN('Phytopl Analysis'!X34)))</f>
        <v/>
      </c>
      <c r="Y34" s="58" t="str">
        <f>IF('Phytopl Count'!Y34=0,"",('Phytopl Analysis'!Y34*LN('Phytopl Analysis'!Y34)))</f>
        <v/>
      </c>
      <c r="Z34" s="58" t="str">
        <f>IF('Phytopl Count'!Z34=0,"",('Phytopl Analysis'!Z34*LN('Phytopl Analysis'!Z34)))</f>
        <v/>
      </c>
      <c r="AA34" s="21" t="str">
        <f>IF('Phytopl Count'!AA34=0,"",('Phytopl Analysis'!AA34*LN('Phytopl Analysis'!AA34)))</f>
        <v/>
      </c>
      <c r="AB34" s="21" t="str">
        <f>IF('Phytopl Count'!AB34=0,"",('Phytopl Analysis'!AB34*LN('Phytopl Analysis'!AB34)))</f>
        <v/>
      </c>
      <c r="AC34" s="58" t="str">
        <f>IF('Phytopl Count'!AC34=0,"",('Phytopl Analysis'!AC34*LN('Phytopl Analysis'!AC34)))</f>
        <v/>
      </c>
      <c r="AD34" s="58" t="str">
        <f>IF('Phytopl Count'!AD34=0,"",('Phytopl Analysis'!AD34*LN('Phytopl Analysis'!AD34)))</f>
        <v/>
      </c>
      <c r="AE34" s="21" t="str">
        <f>IF('Phytopl Count'!AE34=0,"",('Phytopl Analysis'!AE34*LN('Phytopl Analysis'!AE34)))</f>
        <v/>
      </c>
      <c r="AF34" s="58" t="str">
        <f>IF('Phytopl Count'!AF34=0,"",('Phytopl Analysis'!AF34*LN('Phytopl Analysis'!AF34)))</f>
        <v/>
      </c>
    </row>
    <row r="35" spans="1:32" s="1" customFormat="1" hidden="1">
      <c r="A35" s="16"/>
      <c r="B35" s="16"/>
      <c r="C35" s="16"/>
      <c r="D35" s="10" t="s">
        <v>5</v>
      </c>
      <c r="E35" s="175" t="s">
        <v>140</v>
      </c>
      <c r="F35" s="9"/>
      <c r="G35" s="21" t="str">
        <f>IF('Phytopl Count'!G35=0,"",('Phytopl Analysis'!G35*LN('Phytopl Analysis'!G35)))</f>
        <v/>
      </c>
      <c r="H35" s="21" t="str">
        <f>IF('Phytopl Count'!H35=0,"",('Phytopl Analysis'!H35*LN('Phytopl Analysis'!H35)))</f>
        <v/>
      </c>
      <c r="I35" s="58" t="str">
        <f>IF('Phytopl Count'!I35=0,"",('Phytopl Analysis'!I35*LN('Phytopl Analysis'!I35)))</f>
        <v/>
      </c>
      <c r="J35" s="58" t="str">
        <f>IF('Phytopl Count'!J35=0,"",('Phytopl Analysis'!J35*LN('Phytopl Analysis'!J35)))</f>
        <v/>
      </c>
      <c r="K35" s="21" t="str">
        <f>IF('Phytopl Count'!K35=0,"",('Phytopl Analysis'!K35*LN('Phytopl Analysis'!K35)))</f>
        <v/>
      </c>
      <c r="L35" s="21" t="str">
        <f>IF('Phytopl Count'!L35=0,"",('Phytopl Analysis'!L35*LN('Phytopl Analysis'!L35)))</f>
        <v/>
      </c>
      <c r="M35" s="58" t="str">
        <f>IF('Phytopl Count'!M35=0,"",('Phytopl Analysis'!M35*LN('Phytopl Analysis'!M35)))</f>
        <v/>
      </c>
      <c r="N35" s="58" t="str">
        <f>IF('Phytopl Count'!N35=0,"",('Phytopl Analysis'!N35*LN('Phytopl Analysis'!N35)))</f>
        <v/>
      </c>
      <c r="O35" s="21" t="str">
        <f>IF('Phytopl Count'!O35=0,"",('Phytopl Analysis'!O35*LN('Phytopl Analysis'!O35)))</f>
        <v/>
      </c>
      <c r="P35" s="21" t="str">
        <f>IF('Phytopl Count'!P35=0,"",('Phytopl Analysis'!P35*LN('Phytopl Analysis'!P35)))</f>
        <v/>
      </c>
      <c r="Q35" s="58" t="str">
        <f>IF('Phytopl Count'!Q35=0,"",('Phytopl Analysis'!Q35*LN('Phytopl Analysis'!Q35)))</f>
        <v/>
      </c>
      <c r="R35" s="58" t="str">
        <f>IF('Phytopl Count'!R35=0,"",('Phytopl Analysis'!R35*LN('Phytopl Analysis'!R35)))</f>
        <v/>
      </c>
      <c r="S35" s="21" t="str">
        <f>IF('Phytopl Count'!S35=0,"",('Phytopl Analysis'!S35*LN('Phytopl Analysis'!S35)))</f>
        <v/>
      </c>
      <c r="T35" s="21" t="str">
        <f>IF('Phytopl Count'!T35=0,"",('Phytopl Analysis'!T35*LN('Phytopl Analysis'!T35)))</f>
        <v/>
      </c>
      <c r="U35" s="58" t="str">
        <f>IF('Phytopl Count'!U35=0,"",('Phytopl Analysis'!U35*LN('Phytopl Analysis'!U35)))</f>
        <v/>
      </c>
      <c r="V35" s="58" t="str">
        <f>IF('Phytopl Count'!V35=0,"",('Phytopl Analysis'!V35*LN('Phytopl Analysis'!V35)))</f>
        <v/>
      </c>
      <c r="W35" s="21" t="str">
        <f>IF('Phytopl Count'!W35=0,"",('Phytopl Analysis'!W35*LN('Phytopl Analysis'!W35)))</f>
        <v/>
      </c>
      <c r="X35" s="21" t="str">
        <f>IF('Phytopl Count'!X35=0,"",('Phytopl Analysis'!X35*LN('Phytopl Analysis'!X35)))</f>
        <v/>
      </c>
      <c r="Y35" s="58" t="str">
        <f>IF('Phytopl Count'!Y35=0,"",('Phytopl Analysis'!Y35*LN('Phytopl Analysis'!Y35)))</f>
        <v/>
      </c>
      <c r="Z35" s="58" t="str">
        <f>IF('Phytopl Count'!Z35=0,"",('Phytopl Analysis'!Z35*LN('Phytopl Analysis'!Z35)))</f>
        <v/>
      </c>
      <c r="AA35" s="21" t="str">
        <f>IF('Phytopl Count'!AA35=0,"",('Phytopl Analysis'!AA35*LN('Phytopl Analysis'!AA35)))</f>
        <v/>
      </c>
      <c r="AB35" s="21" t="str">
        <f>IF('Phytopl Count'!AB35=0,"",('Phytopl Analysis'!AB35*LN('Phytopl Analysis'!AB35)))</f>
        <v/>
      </c>
      <c r="AC35" s="58" t="str">
        <f>IF('Phytopl Count'!AC35=0,"",('Phytopl Analysis'!AC35*LN('Phytopl Analysis'!AC35)))</f>
        <v/>
      </c>
      <c r="AD35" s="58" t="str">
        <f>IF('Phytopl Count'!AD35=0,"",('Phytopl Analysis'!AD35*LN('Phytopl Analysis'!AD35)))</f>
        <v/>
      </c>
      <c r="AE35" s="21" t="str">
        <f>IF('Phytopl Count'!AE35=0,"",('Phytopl Analysis'!AE35*LN('Phytopl Analysis'!AE35)))</f>
        <v/>
      </c>
      <c r="AF35" s="58" t="str">
        <f>IF('Phytopl Count'!AF35=0,"",('Phytopl Analysis'!AF35*LN('Phytopl Analysis'!AF35)))</f>
        <v/>
      </c>
    </row>
    <row r="36" spans="1:32" s="1" customFormat="1" hidden="1">
      <c r="A36" s="4"/>
      <c r="B36" s="4"/>
      <c r="C36" s="4"/>
      <c r="D36" s="5"/>
      <c r="E36" s="10" t="s">
        <v>6</v>
      </c>
      <c r="F36" s="11" t="s">
        <v>141</v>
      </c>
      <c r="G36" s="21" t="str">
        <f>IF('Phytopl Count'!G36=0,"",('Phytopl Analysis'!G36*LN('Phytopl Analysis'!G36)))</f>
        <v/>
      </c>
      <c r="H36" s="21" t="str">
        <f>IF('Phytopl Count'!H36=0,"",('Phytopl Analysis'!H36*LN('Phytopl Analysis'!H36)))</f>
        <v/>
      </c>
      <c r="I36" s="58" t="str">
        <f>IF('Phytopl Count'!I36=0,"",('Phytopl Analysis'!I36*LN('Phytopl Analysis'!I36)))</f>
        <v/>
      </c>
      <c r="J36" s="58" t="str">
        <f>IF('Phytopl Count'!J36=0,"",('Phytopl Analysis'!J36*LN('Phytopl Analysis'!J36)))</f>
        <v/>
      </c>
      <c r="K36" s="21" t="str">
        <f>IF('Phytopl Count'!K36=0,"",('Phytopl Analysis'!K36*LN('Phytopl Analysis'!K36)))</f>
        <v/>
      </c>
      <c r="L36" s="21" t="str">
        <f>IF('Phytopl Count'!L36=0,"",('Phytopl Analysis'!L36*LN('Phytopl Analysis'!L36)))</f>
        <v/>
      </c>
      <c r="M36" s="58" t="str">
        <f>IF('Phytopl Count'!M36=0,"",('Phytopl Analysis'!M36*LN('Phytopl Analysis'!M36)))</f>
        <v/>
      </c>
      <c r="N36" s="58" t="str">
        <f>IF('Phytopl Count'!N36=0,"",('Phytopl Analysis'!N36*LN('Phytopl Analysis'!N36)))</f>
        <v/>
      </c>
      <c r="O36" s="21" t="str">
        <f>IF('Phytopl Count'!O36=0,"",('Phytopl Analysis'!O36*LN('Phytopl Analysis'!O36)))</f>
        <v/>
      </c>
      <c r="P36" s="21" t="str">
        <f>IF('Phytopl Count'!P36=0,"",('Phytopl Analysis'!P36*LN('Phytopl Analysis'!P36)))</f>
        <v/>
      </c>
      <c r="Q36" s="58" t="str">
        <f>IF('Phytopl Count'!Q36=0,"",('Phytopl Analysis'!Q36*LN('Phytopl Analysis'!Q36)))</f>
        <v/>
      </c>
      <c r="R36" s="58" t="str">
        <f>IF('Phytopl Count'!R36=0,"",('Phytopl Analysis'!R36*LN('Phytopl Analysis'!R36)))</f>
        <v/>
      </c>
      <c r="S36" s="21" t="str">
        <f>IF('Phytopl Count'!S36=0,"",('Phytopl Analysis'!S36*LN('Phytopl Analysis'!S36)))</f>
        <v/>
      </c>
      <c r="T36" s="21" t="str">
        <f>IF('Phytopl Count'!T36=0,"",('Phytopl Analysis'!T36*LN('Phytopl Analysis'!T36)))</f>
        <v/>
      </c>
      <c r="U36" s="58" t="str">
        <f>IF('Phytopl Count'!U36=0,"",('Phytopl Analysis'!U36*LN('Phytopl Analysis'!U36)))</f>
        <v/>
      </c>
      <c r="V36" s="58" t="str">
        <f>IF('Phytopl Count'!V36=0,"",('Phytopl Analysis'!V36*LN('Phytopl Analysis'!V36)))</f>
        <v/>
      </c>
      <c r="W36" s="21" t="str">
        <f>IF('Phytopl Count'!W36=0,"",('Phytopl Analysis'!W36*LN('Phytopl Analysis'!W36)))</f>
        <v/>
      </c>
      <c r="X36" s="21" t="str">
        <f>IF('Phytopl Count'!X36=0,"",('Phytopl Analysis'!X36*LN('Phytopl Analysis'!X36)))</f>
        <v/>
      </c>
      <c r="Y36" s="58" t="str">
        <f>IF('Phytopl Count'!Y36=0,"",('Phytopl Analysis'!Y36*LN('Phytopl Analysis'!Y36)))</f>
        <v/>
      </c>
      <c r="Z36" s="58" t="str">
        <f>IF('Phytopl Count'!Z36=0,"",('Phytopl Analysis'!Z36*LN('Phytopl Analysis'!Z36)))</f>
        <v/>
      </c>
      <c r="AA36" s="21" t="str">
        <f>IF('Phytopl Count'!AA36=0,"",('Phytopl Analysis'!AA36*LN('Phytopl Analysis'!AA36)))</f>
        <v/>
      </c>
      <c r="AB36" s="21" t="str">
        <f>IF('Phytopl Count'!AB36=0,"",('Phytopl Analysis'!AB36*LN('Phytopl Analysis'!AB36)))</f>
        <v/>
      </c>
      <c r="AC36" s="58" t="str">
        <f>IF('Phytopl Count'!AC36=0,"",('Phytopl Analysis'!AC36*LN('Phytopl Analysis'!AC36)))</f>
        <v/>
      </c>
      <c r="AD36" s="58" t="str">
        <f>IF('Phytopl Count'!AD36=0,"",('Phytopl Analysis'!AD36*LN('Phytopl Analysis'!AD36)))</f>
        <v/>
      </c>
      <c r="AE36" s="21" t="str">
        <f>IF('Phytopl Count'!AE36=0,"",('Phytopl Analysis'!AE36*LN('Phytopl Analysis'!AE36)))</f>
        <v/>
      </c>
      <c r="AF36" s="58" t="str">
        <f>IF('Phytopl Count'!AF36=0,"",('Phytopl Analysis'!AF36*LN('Phytopl Analysis'!AF36)))</f>
        <v/>
      </c>
    </row>
    <row r="37" spans="1:32" s="1" customFormat="1">
      <c r="A37" s="16"/>
      <c r="B37" s="16"/>
      <c r="C37" s="16" t="s">
        <v>73</v>
      </c>
      <c r="D37" s="4" t="s">
        <v>252</v>
      </c>
      <c r="E37" s="5"/>
      <c r="F37" s="9"/>
      <c r="G37" s="21" t="str">
        <f>IF('Phytopl Count'!G37=0,"",('Phytopl Analysis'!G37*LN('Phytopl Analysis'!G37)))</f>
        <v/>
      </c>
      <c r="H37" s="21" t="str">
        <f>IF('Phytopl Count'!H37=0,"",('Phytopl Analysis'!H37*LN('Phytopl Analysis'!H37)))</f>
        <v/>
      </c>
      <c r="I37" s="58" t="str">
        <f>IF('Phytopl Count'!I37=0,"",('Phytopl Analysis'!I37*LN('Phytopl Analysis'!I37)))</f>
        <v/>
      </c>
      <c r="J37" s="58" t="str">
        <f>IF('Phytopl Count'!J37=0,"",('Phytopl Analysis'!J37*LN('Phytopl Analysis'!J37)))</f>
        <v/>
      </c>
      <c r="K37" s="21" t="str">
        <f>IF('Phytopl Count'!K37=0,"",('Phytopl Analysis'!K37*LN('Phytopl Analysis'!K37)))</f>
        <v/>
      </c>
      <c r="L37" s="21" t="str">
        <f>IF('Phytopl Count'!L37=0,"",('Phytopl Analysis'!L37*LN('Phytopl Analysis'!L37)))</f>
        <v/>
      </c>
      <c r="M37" s="58" t="str">
        <f>IF('Phytopl Count'!M37=0,"",('Phytopl Analysis'!M37*LN('Phytopl Analysis'!M37)))</f>
        <v/>
      </c>
      <c r="N37" s="58" t="str">
        <f>IF('Phytopl Count'!N37=0,"",('Phytopl Analysis'!N37*LN('Phytopl Analysis'!N37)))</f>
        <v/>
      </c>
      <c r="O37" s="21" t="str">
        <f>IF('Phytopl Count'!O37=0,"",('Phytopl Analysis'!O37*LN('Phytopl Analysis'!O37)))</f>
        <v/>
      </c>
      <c r="P37" s="21" t="str">
        <f>IF('Phytopl Count'!P37=0,"",('Phytopl Analysis'!P37*LN('Phytopl Analysis'!P37)))</f>
        <v/>
      </c>
      <c r="Q37" s="58" t="str">
        <f>IF('Phytopl Count'!Q37=0,"",('Phytopl Analysis'!Q37*LN('Phytopl Analysis'!Q37)))</f>
        <v/>
      </c>
      <c r="R37" s="58" t="str">
        <f>IF('Phytopl Count'!R37=0,"",('Phytopl Analysis'!R37*LN('Phytopl Analysis'!R37)))</f>
        <v/>
      </c>
      <c r="S37" s="21" t="str">
        <f>IF('Phytopl Count'!S37=0,"",('Phytopl Analysis'!S37*LN('Phytopl Analysis'!S37)))</f>
        <v/>
      </c>
      <c r="T37" s="21" t="str">
        <f>IF('Phytopl Count'!T37=0,"",('Phytopl Analysis'!T37*LN('Phytopl Analysis'!T37)))</f>
        <v/>
      </c>
      <c r="U37" s="58" t="str">
        <f>IF('Phytopl Count'!U37=0,"",('Phytopl Analysis'!U37*LN('Phytopl Analysis'!U37)))</f>
        <v/>
      </c>
      <c r="V37" s="58" t="str">
        <f>IF('Phytopl Count'!V37=0,"",('Phytopl Analysis'!V37*LN('Phytopl Analysis'!V37)))</f>
        <v/>
      </c>
      <c r="W37" s="21" t="str">
        <f>IF('Phytopl Count'!W37=0,"",('Phytopl Analysis'!W37*LN('Phytopl Analysis'!W37)))</f>
        <v/>
      </c>
      <c r="X37" s="21" t="str">
        <f>IF('Phytopl Count'!X37=0,"",('Phytopl Analysis'!X37*LN('Phytopl Analysis'!X37)))</f>
        <v/>
      </c>
      <c r="Y37" s="58" t="str">
        <f>IF('Phytopl Count'!Y37=0,"",('Phytopl Analysis'!Y37*LN('Phytopl Analysis'!Y37)))</f>
        <v/>
      </c>
      <c r="Z37" s="58" t="str">
        <f>IF('Phytopl Count'!Z37=0,"",('Phytopl Analysis'!Z37*LN('Phytopl Analysis'!Z37)))</f>
        <v/>
      </c>
      <c r="AA37" s="21" t="str">
        <f>IF('Phytopl Count'!AA37=0,"",('Phytopl Analysis'!AA37*LN('Phytopl Analysis'!AA37)))</f>
        <v/>
      </c>
      <c r="AB37" s="21" t="str">
        <f>IF('Phytopl Count'!AB37=0,"",('Phytopl Analysis'!AB37*LN('Phytopl Analysis'!AB37)))</f>
        <v/>
      </c>
      <c r="AC37" s="58" t="str">
        <f>IF('Phytopl Count'!AC37=0,"",('Phytopl Analysis'!AC37*LN('Phytopl Analysis'!AC37)))</f>
        <v/>
      </c>
      <c r="AD37" s="58" t="str">
        <f>IF('Phytopl Count'!AD37=0,"",('Phytopl Analysis'!AD37*LN('Phytopl Analysis'!AD37)))</f>
        <v/>
      </c>
      <c r="AE37" s="21" t="str">
        <f>IF('Phytopl Count'!AE37=0,"",('Phytopl Analysis'!AE37*LN('Phytopl Analysis'!AE37)))</f>
        <v/>
      </c>
      <c r="AF37" s="58" t="str">
        <f>IF('Phytopl Count'!AF37=0,"",('Phytopl Analysis'!AF37*LN('Phytopl Analysis'!AF37)))</f>
        <v/>
      </c>
    </row>
    <row r="38" spans="1:32" s="1" customFormat="1">
      <c r="A38" s="16"/>
      <c r="B38" s="16"/>
      <c r="C38" s="16"/>
      <c r="D38" s="95" t="s">
        <v>5</v>
      </c>
      <c r="E38" s="96" t="s">
        <v>253</v>
      </c>
      <c r="F38" s="97"/>
      <c r="G38" s="21" t="str">
        <f>IF('Phytopl Count'!G38=0,"",('Phytopl Analysis'!G38*LN('Phytopl Analysis'!G38)))</f>
        <v/>
      </c>
      <c r="H38" s="21" t="str">
        <f>IF('Phytopl Count'!H38=0,"",('Phytopl Analysis'!H38*LN('Phytopl Analysis'!H38)))</f>
        <v/>
      </c>
      <c r="I38" s="58" t="str">
        <f>IF('Phytopl Count'!I38=0,"",('Phytopl Analysis'!I38*LN('Phytopl Analysis'!I38)))</f>
        <v/>
      </c>
      <c r="J38" s="58" t="str">
        <f>IF('Phytopl Count'!J38=0,"",('Phytopl Analysis'!J38*LN('Phytopl Analysis'!J38)))</f>
        <v/>
      </c>
      <c r="K38" s="21" t="str">
        <f>IF('Phytopl Count'!K38=0,"",('Phytopl Analysis'!K38*LN('Phytopl Analysis'!K38)))</f>
        <v/>
      </c>
      <c r="L38" s="21" t="str">
        <f>IF('Phytopl Count'!L38=0,"",('Phytopl Analysis'!L38*LN('Phytopl Analysis'!L38)))</f>
        <v/>
      </c>
      <c r="M38" s="58" t="str">
        <f>IF('Phytopl Count'!M38=0,"",('Phytopl Analysis'!M38*LN('Phytopl Analysis'!M38)))</f>
        <v/>
      </c>
      <c r="N38" s="58" t="str">
        <f>IF('Phytopl Count'!N38=0,"",('Phytopl Analysis'!N38*LN('Phytopl Analysis'!N38)))</f>
        <v/>
      </c>
      <c r="O38" s="21" t="str">
        <f>IF('Phytopl Count'!O38=0,"",('Phytopl Analysis'!O38*LN('Phytopl Analysis'!O38)))</f>
        <v/>
      </c>
      <c r="P38" s="21" t="str">
        <f>IF('Phytopl Count'!P38=0,"",('Phytopl Analysis'!P38*LN('Phytopl Analysis'!P38)))</f>
        <v/>
      </c>
      <c r="Q38" s="58" t="str">
        <f>IF('Phytopl Count'!Q38=0,"",('Phytopl Analysis'!Q38*LN('Phytopl Analysis'!Q38)))</f>
        <v/>
      </c>
      <c r="R38" s="58" t="str">
        <f>IF('Phytopl Count'!R38=0,"",('Phytopl Analysis'!R38*LN('Phytopl Analysis'!R38)))</f>
        <v/>
      </c>
      <c r="S38" s="21" t="str">
        <f>IF('Phytopl Count'!S38=0,"",('Phytopl Analysis'!S38*LN('Phytopl Analysis'!S38)))</f>
        <v/>
      </c>
      <c r="T38" s="21" t="str">
        <f>IF('Phytopl Count'!T38=0,"",('Phytopl Analysis'!T38*LN('Phytopl Analysis'!T38)))</f>
        <v/>
      </c>
      <c r="U38" s="58" t="str">
        <f>IF('Phytopl Count'!U38=0,"",('Phytopl Analysis'!U38*LN('Phytopl Analysis'!U38)))</f>
        <v/>
      </c>
      <c r="V38" s="58" t="str">
        <f>IF('Phytopl Count'!V38=0,"",('Phytopl Analysis'!V38*LN('Phytopl Analysis'!V38)))</f>
        <v/>
      </c>
      <c r="W38" s="21" t="str">
        <f>IF('Phytopl Count'!W38=0,"",('Phytopl Analysis'!W38*LN('Phytopl Analysis'!W38)))</f>
        <v/>
      </c>
      <c r="X38" s="21" t="str">
        <f>IF('Phytopl Count'!X38=0,"",('Phytopl Analysis'!X38*LN('Phytopl Analysis'!X38)))</f>
        <v/>
      </c>
      <c r="Y38" s="58" t="str">
        <f>IF('Phytopl Count'!Y38=0,"",('Phytopl Analysis'!Y38*LN('Phytopl Analysis'!Y38)))</f>
        <v/>
      </c>
      <c r="Z38" s="58" t="str">
        <f>IF('Phytopl Count'!Z38=0,"",('Phytopl Analysis'!Z38*LN('Phytopl Analysis'!Z38)))</f>
        <v/>
      </c>
      <c r="AA38" s="21" t="str">
        <f>IF('Phytopl Count'!AA38=0,"",('Phytopl Analysis'!AA38*LN('Phytopl Analysis'!AA38)))</f>
        <v/>
      </c>
      <c r="AB38" s="21" t="str">
        <f>IF('Phytopl Count'!AB38=0,"",('Phytopl Analysis'!AB38*LN('Phytopl Analysis'!AB38)))</f>
        <v/>
      </c>
      <c r="AC38" s="58" t="str">
        <f>IF('Phytopl Count'!AC38=0,"",('Phytopl Analysis'!AC38*LN('Phytopl Analysis'!AC38)))</f>
        <v/>
      </c>
      <c r="AD38" s="58" t="str">
        <f>IF('Phytopl Count'!AD38=0,"",('Phytopl Analysis'!AD38*LN('Phytopl Analysis'!AD38)))</f>
        <v/>
      </c>
      <c r="AE38" s="21" t="str">
        <f>IF('Phytopl Count'!AE38=0,"",('Phytopl Analysis'!AE38*LN('Phytopl Analysis'!AE38)))</f>
        <v/>
      </c>
      <c r="AF38" s="58" t="str">
        <f>IF('Phytopl Count'!AF38=0,"",('Phytopl Analysis'!AF38*LN('Phytopl Analysis'!AF38)))</f>
        <v/>
      </c>
    </row>
    <row r="39" spans="1:32" s="1" customFormat="1">
      <c r="A39" s="4"/>
      <c r="B39" s="4"/>
      <c r="C39" s="4"/>
      <c r="D39" s="5"/>
      <c r="E39" s="10" t="s">
        <v>6</v>
      </c>
      <c r="F39" s="11" t="s">
        <v>254</v>
      </c>
      <c r="G39" s="21" t="str">
        <f>IF('Phytopl Count'!G39=0,"",('Phytopl Analysis'!G39*LN('Phytopl Analysis'!G39)))</f>
        <v/>
      </c>
      <c r="H39" s="21">
        <f>IF('Phytopl Count'!H39=0,"",('Phytopl Analysis'!H39*LN('Phytopl Analysis'!H39)))</f>
        <v>0.11041250042254563</v>
      </c>
      <c r="I39" s="58">
        <f>IF('Phytopl Count'!I39=0,"",('Phytopl Analysis'!I39*LN('Phytopl Analysis'!I39)))</f>
        <v>-0.36648594382978167</v>
      </c>
      <c r="J39" s="58">
        <f>IF('Phytopl Count'!J39=0,"",('Phytopl Analysis'!J39*LN('Phytopl Analysis'!J39)))</f>
        <v>-0.12884150444391032</v>
      </c>
      <c r="K39" s="21">
        <f>IF('Phytopl Count'!K39=0,"",('Phytopl Analysis'!K39*LN('Phytopl Analysis'!K39)))</f>
        <v>-0.33523665356137466</v>
      </c>
      <c r="L39" s="21">
        <f>IF('Phytopl Count'!L39=0,"",('Phytopl Analysis'!L39*LN('Phytopl Analysis'!L39)))</f>
        <v>-0.35798404777117904</v>
      </c>
      <c r="M39" s="58">
        <f>IF('Phytopl Count'!M39=0,"",('Phytopl Analysis'!M39*LN('Phytopl Analysis'!M39)))</f>
        <v>-0.12884150444391032</v>
      </c>
      <c r="N39" s="58">
        <f>IF('Phytopl Count'!N39=0,"",('Phytopl Analysis'!N39*LN('Phytopl Analysis'!N39)))</f>
        <v>-0.35856946742802159</v>
      </c>
      <c r="O39" s="21">
        <f>IF('Phytopl Count'!O39=0,"",('Phytopl Analysis'!O39*LN('Phytopl Analysis'!O39)))</f>
        <v>-0.26326442604085809</v>
      </c>
      <c r="P39" s="21">
        <f>IF('Phytopl Count'!P39=0,"",('Phytopl Analysis'!P39*LN('Phytopl Analysis'!P39)))</f>
        <v>1.0480972948443956</v>
      </c>
      <c r="Q39" s="58">
        <f>IF('Phytopl Count'!Q39=0,"",('Phytopl Analysis'!Q39*LN('Phytopl Analysis'!Q39)))</f>
        <v>-0.35650473658061005</v>
      </c>
      <c r="R39" s="58">
        <f>IF('Phytopl Count'!R39=0,"",('Phytopl Analysis'!R39*LN('Phytopl Analysis'!R39)))</f>
        <v>-0.28527810760952094</v>
      </c>
      <c r="S39" s="21">
        <f>IF('Phytopl Count'!S39=0,"",('Phytopl Analysis'!S39*LN('Phytopl Analysis'!S39)))</f>
        <v>-0.34260770385688732</v>
      </c>
      <c r="T39" s="21">
        <f>IF('Phytopl Count'!T39=0,"",('Phytopl Analysis'!T39*LN('Phytopl Analysis'!T39)))</f>
        <v>2.2877231795417123</v>
      </c>
      <c r="U39" s="58">
        <f>IF('Phytopl Count'!U39=0,"",('Phytopl Analysis'!U39*LN('Phytopl Analysis'!U39)))</f>
        <v>-0.17603686210775515</v>
      </c>
      <c r="V39" s="58">
        <f>IF('Phytopl Count'!V39=0,"",('Phytopl Analysis'!V39*LN('Phytopl Analysis'!V39)))</f>
        <v>-0.36466229924139099</v>
      </c>
      <c r="W39" s="21" t="str">
        <f>IF('Phytopl Count'!W39=0,"",('Phytopl Analysis'!W39*LN('Phytopl Analysis'!W39)))</f>
        <v/>
      </c>
      <c r="X39" s="21">
        <f>IF('Phytopl Count'!X39=0,"",('Phytopl Analysis'!X39*LN('Phytopl Analysis'!X39)))</f>
        <v>-0.35964076351146662</v>
      </c>
      <c r="Y39" s="58" t="str">
        <f>IF('Phytopl Count'!Y39=0,"",('Phytopl Analysis'!Y39*LN('Phytopl Analysis'!Y39)))</f>
        <v/>
      </c>
      <c r="Z39" s="58" t="str">
        <f>IF('Phytopl Count'!Z39=0,"",('Phytopl Analysis'!Z39*LN('Phytopl Analysis'!Z39)))</f>
        <v/>
      </c>
      <c r="AA39" s="21">
        <f>IF('Phytopl Count'!AA39=0,"",('Phytopl Analysis'!AA39*LN('Phytopl Analysis'!AA39)))</f>
        <v>-0.26326442604085809</v>
      </c>
      <c r="AB39" s="21" t="str">
        <f>IF('Phytopl Count'!AB39=0,"",('Phytopl Analysis'!AB39*LN('Phytopl Analysis'!AB39)))</f>
        <v/>
      </c>
      <c r="AC39" s="58" t="str">
        <f>IF('Phytopl Count'!AC39=0,"",('Phytopl Analysis'!AC39*LN('Phytopl Analysis'!AC39)))</f>
        <v/>
      </c>
      <c r="AD39" s="58">
        <f>IF('Phytopl Count'!AD39=0,"",('Phytopl Analysis'!AD39*LN('Phytopl Analysis'!AD39)))</f>
        <v>-0.22509271130098124</v>
      </c>
      <c r="AE39" s="21" t="str">
        <f>IF('Phytopl Count'!AE39=0,"",('Phytopl Analysis'!AE39*LN('Phytopl Analysis'!AE39)))</f>
        <v/>
      </c>
      <c r="AF39" s="58" t="str">
        <f>IF('Phytopl Count'!AF39=0,"",('Phytopl Analysis'!AF39*LN('Phytopl Analysis'!AF39)))</f>
        <v/>
      </c>
    </row>
    <row r="40" spans="1:32" s="1" customFormat="1" hidden="1">
      <c r="A40" s="16"/>
      <c r="B40" s="16"/>
      <c r="C40" s="16" t="s">
        <v>73</v>
      </c>
      <c r="D40" s="28" t="s">
        <v>255</v>
      </c>
      <c r="E40" s="98"/>
      <c r="F40" s="11"/>
      <c r="G40" s="21" t="str">
        <f>IF('Phytopl Count'!G40=0,"",('Phytopl Analysis'!G40*LN('Phytopl Analysis'!G40)))</f>
        <v/>
      </c>
      <c r="H40" s="21" t="str">
        <f>IF('Phytopl Count'!H40=0,"",('Phytopl Analysis'!H40*LN('Phytopl Analysis'!H40)))</f>
        <v/>
      </c>
      <c r="I40" s="58" t="str">
        <f>IF('Phytopl Count'!I40=0,"",('Phytopl Analysis'!I40*LN('Phytopl Analysis'!I40)))</f>
        <v/>
      </c>
      <c r="J40" s="58" t="str">
        <f>IF('Phytopl Count'!J40=0,"",('Phytopl Analysis'!J40*LN('Phytopl Analysis'!J40)))</f>
        <v/>
      </c>
      <c r="K40" s="21" t="str">
        <f>IF('Phytopl Count'!K40=0,"",('Phytopl Analysis'!K40*LN('Phytopl Analysis'!K40)))</f>
        <v/>
      </c>
      <c r="L40" s="21" t="str">
        <f>IF('Phytopl Count'!L40=0,"",('Phytopl Analysis'!L40*LN('Phytopl Analysis'!L40)))</f>
        <v/>
      </c>
      <c r="M40" s="58" t="str">
        <f>IF('Phytopl Count'!M40=0,"",('Phytopl Analysis'!M40*LN('Phytopl Analysis'!M40)))</f>
        <v/>
      </c>
      <c r="N40" s="58" t="str">
        <f>IF('Phytopl Count'!N40=0,"",('Phytopl Analysis'!N40*LN('Phytopl Analysis'!N40)))</f>
        <v/>
      </c>
      <c r="O40" s="21" t="str">
        <f>IF('Phytopl Count'!O40=0,"",('Phytopl Analysis'!O40*LN('Phytopl Analysis'!O40)))</f>
        <v/>
      </c>
      <c r="P40" s="21" t="str">
        <f>IF('Phytopl Count'!P40=0,"",('Phytopl Analysis'!P40*LN('Phytopl Analysis'!P40)))</f>
        <v/>
      </c>
      <c r="Q40" s="58" t="str">
        <f>IF('Phytopl Count'!Q40=0,"",('Phytopl Analysis'!Q40*LN('Phytopl Analysis'!Q40)))</f>
        <v/>
      </c>
      <c r="R40" s="58" t="str">
        <f>IF('Phytopl Count'!R40=0,"",('Phytopl Analysis'!R40*LN('Phytopl Analysis'!R40)))</f>
        <v/>
      </c>
      <c r="S40" s="21" t="str">
        <f>IF('Phytopl Count'!S40=0,"",('Phytopl Analysis'!S40*LN('Phytopl Analysis'!S40)))</f>
        <v/>
      </c>
      <c r="T40" s="21" t="str">
        <f>IF('Phytopl Count'!T40=0,"",('Phytopl Analysis'!T40*LN('Phytopl Analysis'!T40)))</f>
        <v/>
      </c>
      <c r="U40" s="58" t="str">
        <f>IF('Phytopl Count'!U40=0,"",('Phytopl Analysis'!U40*LN('Phytopl Analysis'!U40)))</f>
        <v/>
      </c>
      <c r="V40" s="58" t="str">
        <f>IF('Phytopl Count'!V40=0,"",('Phytopl Analysis'!V40*LN('Phytopl Analysis'!V40)))</f>
        <v/>
      </c>
      <c r="W40" s="21" t="str">
        <f>IF('Phytopl Count'!W40=0,"",('Phytopl Analysis'!W40*LN('Phytopl Analysis'!W40)))</f>
        <v/>
      </c>
      <c r="X40" s="21" t="str">
        <f>IF('Phytopl Count'!X40=0,"",('Phytopl Analysis'!X40*LN('Phytopl Analysis'!X40)))</f>
        <v/>
      </c>
      <c r="Y40" s="58" t="str">
        <f>IF('Phytopl Count'!Y40=0,"",('Phytopl Analysis'!Y40*LN('Phytopl Analysis'!Y40)))</f>
        <v/>
      </c>
      <c r="Z40" s="58" t="str">
        <f>IF('Phytopl Count'!Z40=0,"",('Phytopl Analysis'!Z40*LN('Phytopl Analysis'!Z40)))</f>
        <v/>
      </c>
      <c r="AA40" s="21" t="str">
        <f>IF('Phytopl Count'!AA40=0,"",('Phytopl Analysis'!AA40*LN('Phytopl Analysis'!AA40)))</f>
        <v/>
      </c>
      <c r="AB40" s="21" t="str">
        <f>IF('Phytopl Count'!AB40=0,"",('Phytopl Analysis'!AB40*LN('Phytopl Analysis'!AB40)))</f>
        <v/>
      </c>
      <c r="AC40" s="58" t="str">
        <f>IF('Phytopl Count'!AC40=0,"",('Phytopl Analysis'!AC40*LN('Phytopl Analysis'!AC40)))</f>
        <v/>
      </c>
      <c r="AD40" s="58" t="str">
        <f>IF('Phytopl Count'!AD40=0,"",('Phytopl Analysis'!AD40*LN('Phytopl Analysis'!AD40)))</f>
        <v/>
      </c>
      <c r="AE40" s="21" t="str">
        <f>IF('Phytopl Count'!AE40=0,"",('Phytopl Analysis'!AE40*LN('Phytopl Analysis'!AE40)))</f>
        <v/>
      </c>
      <c r="AF40" s="58" t="str">
        <f>IF('Phytopl Count'!AF40=0,"",('Phytopl Analysis'!AF40*LN('Phytopl Analysis'!AF40)))</f>
        <v/>
      </c>
    </row>
    <row r="41" spans="1:32" s="1" customFormat="1" hidden="1">
      <c r="A41" s="16"/>
      <c r="B41" s="16"/>
      <c r="C41" s="16"/>
      <c r="D41" s="98" t="s">
        <v>5</v>
      </c>
      <c r="E41" s="99" t="s">
        <v>256</v>
      </c>
      <c r="F41" s="11"/>
      <c r="G41" s="21" t="str">
        <f>IF('Phytopl Count'!G41=0,"",('Phytopl Analysis'!G41*LN('Phytopl Analysis'!G41)))</f>
        <v/>
      </c>
      <c r="H41" s="21" t="str">
        <f>IF('Phytopl Count'!H41=0,"",('Phytopl Analysis'!H41*LN('Phytopl Analysis'!H41)))</f>
        <v/>
      </c>
      <c r="I41" s="58" t="str">
        <f>IF('Phytopl Count'!I41=0,"",('Phytopl Analysis'!I41*LN('Phytopl Analysis'!I41)))</f>
        <v/>
      </c>
      <c r="J41" s="58" t="str">
        <f>IF('Phytopl Count'!J41=0,"",('Phytopl Analysis'!J41*LN('Phytopl Analysis'!J41)))</f>
        <v/>
      </c>
      <c r="K41" s="21" t="str">
        <f>IF('Phytopl Count'!K41=0,"",('Phytopl Analysis'!K41*LN('Phytopl Analysis'!K41)))</f>
        <v/>
      </c>
      <c r="L41" s="21" t="str">
        <f>IF('Phytopl Count'!L41=0,"",('Phytopl Analysis'!L41*LN('Phytopl Analysis'!L41)))</f>
        <v/>
      </c>
      <c r="M41" s="58" t="str">
        <f>IF('Phytopl Count'!M41=0,"",('Phytopl Analysis'!M41*LN('Phytopl Analysis'!M41)))</f>
        <v/>
      </c>
      <c r="N41" s="58" t="str">
        <f>IF('Phytopl Count'!N41=0,"",('Phytopl Analysis'!N41*LN('Phytopl Analysis'!N41)))</f>
        <v/>
      </c>
      <c r="O41" s="21" t="str">
        <f>IF('Phytopl Count'!O41=0,"",('Phytopl Analysis'!O41*LN('Phytopl Analysis'!O41)))</f>
        <v/>
      </c>
      <c r="P41" s="21" t="str">
        <f>IF('Phytopl Count'!P41=0,"",('Phytopl Analysis'!P41*LN('Phytopl Analysis'!P41)))</f>
        <v/>
      </c>
      <c r="Q41" s="58" t="str">
        <f>IF('Phytopl Count'!Q41=0,"",('Phytopl Analysis'!Q41*LN('Phytopl Analysis'!Q41)))</f>
        <v/>
      </c>
      <c r="R41" s="58" t="str">
        <f>IF('Phytopl Count'!R41=0,"",('Phytopl Analysis'!R41*LN('Phytopl Analysis'!R41)))</f>
        <v/>
      </c>
      <c r="S41" s="21" t="str">
        <f>IF('Phytopl Count'!S41=0,"",('Phytopl Analysis'!S41*LN('Phytopl Analysis'!S41)))</f>
        <v/>
      </c>
      <c r="T41" s="21" t="str">
        <f>IF('Phytopl Count'!T41=0,"",('Phytopl Analysis'!T41*LN('Phytopl Analysis'!T41)))</f>
        <v/>
      </c>
      <c r="U41" s="58" t="str">
        <f>IF('Phytopl Count'!U41=0,"",('Phytopl Analysis'!U41*LN('Phytopl Analysis'!U41)))</f>
        <v/>
      </c>
      <c r="V41" s="58" t="str">
        <f>IF('Phytopl Count'!V41=0,"",('Phytopl Analysis'!V41*LN('Phytopl Analysis'!V41)))</f>
        <v/>
      </c>
      <c r="W41" s="21" t="str">
        <f>IF('Phytopl Count'!W41=0,"",('Phytopl Analysis'!W41*LN('Phytopl Analysis'!W41)))</f>
        <v/>
      </c>
      <c r="X41" s="21" t="str">
        <f>IF('Phytopl Count'!X41=0,"",('Phytopl Analysis'!X41*LN('Phytopl Analysis'!X41)))</f>
        <v/>
      </c>
      <c r="Y41" s="58" t="str">
        <f>IF('Phytopl Count'!Y41=0,"",('Phytopl Analysis'!Y41*LN('Phytopl Analysis'!Y41)))</f>
        <v/>
      </c>
      <c r="Z41" s="58" t="str">
        <f>IF('Phytopl Count'!Z41=0,"",('Phytopl Analysis'!Z41*LN('Phytopl Analysis'!Z41)))</f>
        <v/>
      </c>
      <c r="AA41" s="21" t="str">
        <f>IF('Phytopl Count'!AA41=0,"",('Phytopl Analysis'!AA41*LN('Phytopl Analysis'!AA41)))</f>
        <v/>
      </c>
      <c r="AB41" s="21" t="str">
        <f>IF('Phytopl Count'!AB41=0,"",('Phytopl Analysis'!AB41*LN('Phytopl Analysis'!AB41)))</f>
        <v/>
      </c>
      <c r="AC41" s="58" t="str">
        <f>IF('Phytopl Count'!AC41=0,"",('Phytopl Analysis'!AC41*LN('Phytopl Analysis'!AC41)))</f>
        <v/>
      </c>
      <c r="AD41" s="58" t="str">
        <f>IF('Phytopl Count'!AD41=0,"",('Phytopl Analysis'!AD41*LN('Phytopl Analysis'!AD41)))</f>
        <v/>
      </c>
      <c r="AE41" s="21" t="str">
        <f>IF('Phytopl Count'!AE41=0,"",('Phytopl Analysis'!AE41*LN('Phytopl Analysis'!AE41)))</f>
        <v/>
      </c>
      <c r="AF41" s="58" t="str">
        <f>IF('Phytopl Count'!AF41=0,"",('Phytopl Analysis'!AF41*LN('Phytopl Analysis'!AF41)))</f>
        <v/>
      </c>
    </row>
    <row r="42" spans="1:32" s="1" customFormat="1" hidden="1">
      <c r="A42" s="4"/>
      <c r="B42" s="4"/>
      <c r="C42" s="4"/>
      <c r="D42" s="100"/>
      <c r="E42" s="98" t="s">
        <v>6</v>
      </c>
      <c r="F42" s="11" t="s">
        <v>257</v>
      </c>
      <c r="G42" s="21" t="str">
        <f>IF('Phytopl Count'!G42=0,"",('Phytopl Analysis'!G42*LN('Phytopl Analysis'!G42)))</f>
        <v/>
      </c>
      <c r="H42" s="21" t="str">
        <f>IF('Phytopl Count'!H42=0,"",('Phytopl Analysis'!H42*LN('Phytopl Analysis'!H42)))</f>
        <v/>
      </c>
      <c r="I42" s="58" t="str">
        <f>IF('Phytopl Count'!I42=0,"",('Phytopl Analysis'!I42*LN('Phytopl Analysis'!I42)))</f>
        <v/>
      </c>
      <c r="J42" s="58" t="str">
        <f>IF('Phytopl Count'!J42=0,"",('Phytopl Analysis'!J42*LN('Phytopl Analysis'!J42)))</f>
        <v/>
      </c>
      <c r="K42" s="21" t="str">
        <f>IF('Phytopl Count'!K42=0,"",('Phytopl Analysis'!K42*LN('Phytopl Analysis'!K42)))</f>
        <v/>
      </c>
      <c r="L42" s="21" t="str">
        <f>IF('Phytopl Count'!L42=0,"",('Phytopl Analysis'!L42*LN('Phytopl Analysis'!L42)))</f>
        <v/>
      </c>
      <c r="M42" s="58" t="str">
        <f>IF('Phytopl Count'!M42=0,"",('Phytopl Analysis'!M42*LN('Phytopl Analysis'!M42)))</f>
        <v/>
      </c>
      <c r="N42" s="58" t="str">
        <f>IF('Phytopl Count'!N42=0,"",('Phytopl Analysis'!N42*LN('Phytopl Analysis'!N42)))</f>
        <v/>
      </c>
      <c r="O42" s="21" t="str">
        <f>IF('Phytopl Count'!O42=0,"",('Phytopl Analysis'!O42*LN('Phytopl Analysis'!O42)))</f>
        <v/>
      </c>
      <c r="P42" s="21" t="str">
        <f>IF('Phytopl Count'!P42=0,"",('Phytopl Analysis'!P42*LN('Phytopl Analysis'!P42)))</f>
        <v/>
      </c>
      <c r="Q42" s="58" t="str">
        <f>IF('Phytopl Count'!Q42=0,"",('Phytopl Analysis'!Q42*LN('Phytopl Analysis'!Q42)))</f>
        <v/>
      </c>
      <c r="R42" s="58" t="str">
        <f>IF('Phytopl Count'!R42=0,"",('Phytopl Analysis'!R42*LN('Phytopl Analysis'!R42)))</f>
        <v/>
      </c>
      <c r="S42" s="21" t="str">
        <f>IF('Phytopl Count'!S42=0,"",('Phytopl Analysis'!S42*LN('Phytopl Analysis'!S42)))</f>
        <v/>
      </c>
      <c r="T42" s="21" t="str">
        <f>IF('Phytopl Count'!T42=0,"",('Phytopl Analysis'!T42*LN('Phytopl Analysis'!T42)))</f>
        <v/>
      </c>
      <c r="U42" s="58" t="str">
        <f>IF('Phytopl Count'!U42=0,"",('Phytopl Analysis'!U42*LN('Phytopl Analysis'!U42)))</f>
        <v/>
      </c>
      <c r="V42" s="58" t="str">
        <f>IF('Phytopl Count'!V42=0,"",('Phytopl Analysis'!V42*LN('Phytopl Analysis'!V42)))</f>
        <v/>
      </c>
      <c r="W42" s="21" t="str">
        <f>IF('Phytopl Count'!W42=0,"",('Phytopl Analysis'!W42*LN('Phytopl Analysis'!W42)))</f>
        <v/>
      </c>
      <c r="X42" s="21" t="str">
        <f>IF('Phytopl Count'!X42=0,"",('Phytopl Analysis'!X42*LN('Phytopl Analysis'!X42)))</f>
        <v/>
      </c>
      <c r="Y42" s="58" t="str">
        <f>IF('Phytopl Count'!Y42=0,"",('Phytopl Analysis'!Y42*LN('Phytopl Analysis'!Y42)))</f>
        <v/>
      </c>
      <c r="Z42" s="58" t="str">
        <f>IF('Phytopl Count'!Z42=0,"",('Phytopl Analysis'!Z42*LN('Phytopl Analysis'!Z42)))</f>
        <v/>
      </c>
      <c r="AA42" s="21" t="str">
        <f>IF('Phytopl Count'!AA42=0,"",('Phytopl Analysis'!AA42*LN('Phytopl Analysis'!AA42)))</f>
        <v/>
      </c>
      <c r="AB42" s="21" t="str">
        <f>IF('Phytopl Count'!AB42=0,"",('Phytopl Analysis'!AB42*LN('Phytopl Analysis'!AB42)))</f>
        <v/>
      </c>
      <c r="AC42" s="58" t="str">
        <f>IF('Phytopl Count'!AC42=0,"",('Phytopl Analysis'!AC42*LN('Phytopl Analysis'!AC42)))</f>
        <v/>
      </c>
      <c r="AD42" s="58" t="str">
        <f>IF('Phytopl Count'!AD42=0,"",('Phytopl Analysis'!AD42*LN('Phytopl Analysis'!AD42)))</f>
        <v/>
      </c>
      <c r="AE42" s="21" t="str">
        <f>IF('Phytopl Count'!AE42=0,"",('Phytopl Analysis'!AE42*LN('Phytopl Analysis'!AE42)))</f>
        <v/>
      </c>
      <c r="AF42" s="58" t="str">
        <f>IF('Phytopl Count'!AF42=0,"",('Phytopl Analysis'!AF42*LN('Phytopl Analysis'!AF42)))</f>
        <v/>
      </c>
    </row>
    <row r="43" spans="1:32" hidden="1">
      <c r="A43" s="4"/>
      <c r="B43" s="4"/>
      <c r="C43" s="4"/>
      <c r="D43" s="10" t="s">
        <v>5</v>
      </c>
      <c r="E43" s="12" t="s">
        <v>161</v>
      </c>
      <c r="F43" s="11"/>
      <c r="G43" s="21" t="str">
        <f>IF('Phytopl Count'!G43=0,"",('Phytopl Analysis'!G43*LN('Phytopl Analysis'!G43)))</f>
        <v/>
      </c>
      <c r="H43" s="21" t="str">
        <f>IF('Phytopl Count'!H43=0,"",('Phytopl Analysis'!H43*LN('Phytopl Analysis'!H43)))</f>
        <v/>
      </c>
      <c r="I43" s="58" t="str">
        <f>IF('Phytopl Count'!I43=0,"",('Phytopl Analysis'!I43*LN('Phytopl Analysis'!I43)))</f>
        <v/>
      </c>
      <c r="J43" s="58" t="str">
        <f>IF('Phytopl Count'!J43=0,"",('Phytopl Analysis'!J43*LN('Phytopl Analysis'!J43)))</f>
        <v/>
      </c>
      <c r="K43" s="21" t="str">
        <f>IF('Phytopl Count'!K43=0,"",('Phytopl Analysis'!K43*LN('Phytopl Analysis'!K43)))</f>
        <v/>
      </c>
      <c r="L43" s="21" t="str">
        <f>IF('Phytopl Count'!L43=0,"",('Phytopl Analysis'!L43*LN('Phytopl Analysis'!L43)))</f>
        <v/>
      </c>
      <c r="M43" s="58" t="str">
        <f>IF('Phytopl Count'!M43=0,"",('Phytopl Analysis'!M43*LN('Phytopl Analysis'!M43)))</f>
        <v/>
      </c>
      <c r="N43" s="58" t="str">
        <f>IF('Phytopl Count'!N43=0,"",('Phytopl Analysis'!N43*LN('Phytopl Analysis'!N43)))</f>
        <v/>
      </c>
      <c r="O43" s="21" t="str">
        <f>IF('Phytopl Count'!O43=0,"",('Phytopl Analysis'!O43*LN('Phytopl Analysis'!O43)))</f>
        <v/>
      </c>
      <c r="P43" s="21" t="str">
        <f>IF('Phytopl Count'!P43=0,"",('Phytopl Analysis'!P43*LN('Phytopl Analysis'!P43)))</f>
        <v/>
      </c>
      <c r="Q43" s="58" t="str">
        <f>IF('Phytopl Count'!Q43=0,"",('Phytopl Analysis'!Q43*LN('Phytopl Analysis'!Q43)))</f>
        <v/>
      </c>
      <c r="R43" s="58" t="str">
        <f>IF('Phytopl Count'!R43=0,"",('Phytopl Analysis'!R43*LN('Phytopl Analysis'!R43)))</f>
        <v/>
      </c>
      <c r="S43" s="21" t="str">
        <f>IF('Phytopl Count'!S43=0,"",('Phytopl Analysis'!S43*LN('Phytopl Analysis'!S43)))</f>
        <v/>
      </c>
      <c r="T43" s="21" t="str">
        <f>IF('Phytopl Count'!T43=0,"",('Phytopl Analysis'!T43*LN('Phytopl Analysis'!T43)))</f>
        <v/>
      </c>
      <c r="U43" s="58" t="str">
        <f>IF('Phytopl Count'!U43=0,"",('Phytopl Analysis'!U43*LN('Phytopl Analysis'!U43)))</f>
        <v/>
      </c>
      <c r="V43" s="58" t="str">
        <f>IF('Phytopl Count'!V43=0,"",('Phytopl Analysis'!V43*LN('Phytopl Analysis'!V43)))</f>
        <v/>
      </c>
      <c r="W43" s="21" t="str">
        <f>IF('Phytopl Count'!W43=0,"",('Phytopl Analysis'!W43*LN('Phytopl Analysis'!W43)))</f>
        <v/>
      </c>
      <c r="X43" s="21" t="str">
        <f>IF('Phytopl Count'!X43=0,"",('Phytopl Analysis'!X43*LN('Phytopl Analysis'!X43)))</f>
        <v/>
      </c>
      <c r="Y43" s="58" t="str">
        <f>IF('Phytopl Count'!Y43=0,"",('Phytopl Analysis'!Y43*LN('Phytopl Analysis'!Y43)))</f>
        <v/>
      </c>
      <c r="Z43" s="58" t="str">
        <f>IF('Phytopl Count'!Z43=0,"",('Phytopl Analysis'!Z43*LN('Phytopl Analysis'!Z43)))</f>
        <v/>
      </c>
      <c r="AA43" s="21" t="str">
        <f>IF('Phytopl Count'!AA43=0,"",('Phytopl Analysis'!AA43*LN('Phytopl Analysis'!AA43)))</f>
        <v/>
      </c>
      <c r="AB43" s="21" t="str">
        <f>IF('Phytopl Count'!AB43=0,"",('Phytopl Analysis'!AB43*LN('Phytopl Analysis'!AB43)))</f>
        <v/>
      </c>
      <c r="AC43" s="58" t="str">
        <f>IF('Phytopl Count'!AC43=0,"",('Phytopl Analysis'!AC43*LN('Phytopl Analysis'!AC43)))</f>
        <v/>
      </c>
      <c r="AD43" s="58" t="str">
        <f>IF('Phytopl Count'!AD43=0,"",('Phytopl Analysis'!AD43*LN('Phytopl Analysis'!AD43)))</f>
        <v/>
      </c>
      <c r="AE43" s="21" t="str">
        <f>IF('Phytopl Count'!AE43=0,"",('Phytopl Analysis'!AE43*LN('Phytopl Analysis'!AE43)))</f>
        <v/>
      </c>
      <c r="AF43" s="58" t="str">
        <f>IF('Phytopl Count'!AF43=0,"",('Phytopl Analysis'!AF43*LN('Phytopl Analysis'!AF43)))</f>
        <v/>
      </c>
    </row>
    <row r="44" spans="1:32" hidden="1">
      <c r="A44" s="16"/>
      <c r="B44" s="16"/>
      <c r="C44" s="16"/>
      <c r="D44" s="10"/>
      <c r="E44" s="10" t="s">
        <v>6</v>
      </c>
      <c r="F44" s="11" t="s">
        <v>114</v>
      </c>
      <c r="G44" s="21" t="str">
        <f>IF('Phytopl Count'!G44=0,"",('Phytopl Analysis'!G44*LN('Phytopl Analysis'!G44)))</f>
        <v/>
      </c>
      <c r="H44" s="21" t="str">
        <f>IF('Phytopl Count'!H44=0,"",('Phytopl Analysis'!H44*LN('Phytopl Analysis'!H44)))</f>
        <v/>
      </c>
      <c r="I44" s="58" t="str">
        <f>IF('Phytopl Count'!I44=0,"",('Phytopl Analysis'!I44*LN('Phytopl Analysis'!I44)))</f>
        <v/>
      </c>
      <c r="J44" s="58" t="str">
        <f>IF('Phytopl Count'!J44=0,"",('Phytopl Analysis'!J44*LN('Phytopl Analysis'!J44)))</f>
        <v/>
      </c>
      <c r="K44" s="21" t="str">
        <f>IF('Phytopl Count'!K44=0,"",('Phytopl Analysis'!K44*LN('Phytopl Analysis'!K44)))</f>
        <v/>
      </c>
      <c r="L44" s="21" t="str">
        <f>IF('Phytopl Count'!L44=0,"",('Phytopl Analysis'!L44*LN('Phytopl Analysis'!L44)))</f>
        <v/>
      </c>
      <c r="M44" s="58" t="str">
        <f>IF('Phytopl Count'!M44=0,"",('Phytopl Analysis'!M44*LN('Phytopl Analysis'!M44)))</f>
        <v/>
      </c>
      <c r="N44" s="58" t="str">
        <f>IF('Phytopl Count'!N44=0,"",('Phytopl Analysis'!N44*LN('Phytopl Analysis'!N44)))</f>
        <v/>
      </c>
      <c r="O44" s="21" t="str">
        <f>IF('Phytopl Count'!O44=0,"",('Phytopl Analysis'!O44*LN('Phytopl Analysis'!O44)))</f>
        <v/>
      </c>
      <c r="P44" s="21" t="str">
        <f>IF('Phytopl Count'!P44=0,"",('Phytopl Analysis'!P44*LN('Phytopl Analysis'!P44)))</f>
        <v/>
      </c>
      <c r="Q44" s="58" t="str">
        <f>IF('Phytopl Count'!Q44=0,"",('Phytopl Analysis'!Q44*LN('Phytopl Analysis'!Q44)))</f>
        <v/>
      </c>
      <c r="R44" s="58" t="str">
        <f>IF('Phytopl Count'!R44=0,"",('Phytopl Analysis'!R44*LN('Phytopl Analysis'!R44)))</f>
        <v/>
      </c>
      <c r="S44" s="21" t="str">
        <f>IF('Phytopl Count'!S44=0,"",('Phytopl Analysis'!S44*LN('Phytopl Analysis'!S44)))</f>
        <v/>
      </c>
      <c r="T44" s="21" t="str">
        <f>IF('Phytopl Count'!T44=0,"",('Phytopl Analysis'!T44*LN('Phytopl Analysis'!T44)))</f>
        <v/>
      </c>
      <c r="U44" s="58" t="str">
        <f>IF('Phytopl Count'!U44=0,"",('Phytopl Analysis'!U44*LN('Phytopl Analysis'!U44)))</f>
        <v/>
      </c>
      <c r="V44" s="58" t="str">
        <f>IF('Phytopl Count'!V44=0,"",('Phytopl Analysis'!V44*LN('Phytopl Analysis'!V44)))</f>
        <v/>
      </c>
      <c r="W44" s="21" t="str">
        <f>IF('Phytopl Count'!W44=0,"",('Phytopl Analysis'!W44*LN('Phytopl Analysis'!W44)))</f>
        <v/>
      </c>
      <c r="X44" s="21" t="str">
        <f>IF('Phytopl Count'!X44=0,"",('Phytopl Analysis'!X44*LN('Phytopl Analysis'!X44)))</f>
        <v/>
      </c>
      <c r="Y44" s="58" t="str">
        <f>IF('Phytopl Count'!Y44=0,"",('Phytopl Analysis'!Y44*LN('Phytopl Analysis'!Y44)))</f>
        <v/>
      </c>
      <c r="Z44" s="58" t="str">
        <f>IF('Phytopl Count'!Z44=0,"",('Phytopl Analysis'!Z44*LN('Phytopl Analysis'!Z44)))</f>
        <v/>
      </c>
      <c r="AA44" s="21" t="str">
        <f>IF('Phytopl Count'!AA44=0,"",('Phytopl Analysis'!AA44*LN('Phytopl Analysis'!AA44)))</f>
        <v/>
      </c>
      <c r="AB44" s="21" t="str">
        <f>IF('Phytopl Count'!AB44=0,"",('Phytopl Analysis'!AB44*LN('Phytopl Analysis'!AB44)))</f>
        <v/>
      </c>
      <c r="AC44" s="58" t="str">
        <f>IF('Phytopl Count'!AC44=0,"",('Phytopl Analysis'!AC44*LN('Phytopl Analysis'!AC44)))</f>
        <v/>
      </c>
      <c r="AD44" s="58" t="str">
        <f>IF('Phytopl Count'!AD44=0,"",('Phytopl Analysis'!AD44*LN('Phytopl Analysis'!AD44)))</f>
        <v/>
      </c>
      <c r="AE44" s="21" t="str">
        <f>IF('Phytopl Count'!AE44=0,"",('Phytopl Analysis'!AE44*LN('Phytopl Analysis'!AE44)))</f>
        <v/>
      </c>
      <c r="AF44" s="58" t="str">
        <f>IF('Phytopl Count'!AF44=0,"",('Phytopl Analysis'!AF44*LN('Phytopl Analysis'!AF44)))</f>
        <v/>
      </c>
    </row>
    <row r="45" spans="1:32">
      <c r="A45" s="16"/>
      <c r="B45" s="16"/>
      <c r="C45" s="16" t="s">
        <v>73</v>
      </c>
      <c r="D45" s="28" t="s">
        <v>86</v>
      </c>
      <c r="E45" s="10"/>
      <c r="F45" s="11"/>
      <c r="G45" s="21" t="str">
        <f>IF('Phytopl Count'!G45=0,"",('Phytopl Analysis'!G45*LN('Phytopl Analysis'!G45)))</f>
        <v/>
      </c>
      <c r="H45" s="21" t="str">
        <f>IF('Phytopl Count'!H45=0,"",('Phytopl Analysis'!H45*LN('Phytopl Analysis'!H45)))</f>
        <v/>
      </c>
      <c r="I45" s="58" t="str">
        <f>IF('Phytopl Count'!I45=0,"",('Phytopl Analysis'!I45*LN('Phytopl Analysis'!I45)))</f>
        <v/>
      </c>
      <c r="J45" s="58" t="str">
        <f>IF('Phytopl Count'!J45=0,"",('Phytopl Analysis'!J45*LN('Phytopl Analysis'!J45)))</f>
        <v/>
      </c>
      <c r="K45" s="21" t="str">
        <f>IF('Phytopl Count'!K45=0,"",('Phytopl Analysis'!K45*LN('Phytopl Analysis'!K45)))</f>
        <v/>
      </c>
      <c r="L45" s="21" t="str">
        <f>IF('Phytopl Count'!L45=0,"",('Phytopl Analysis'!L45*LN('Phytopl Analysis'!L45)))</f>
        <v/>
      </c>
      <c r="M45" s="58" t="str">
        <f>IF('Phytopl Count'!M45=0,"",('Phytopl Analysis'!M45*LN('Phytopl Analysis'!M45)))</f>
        <v/>
      </c>
      <c r="N45" s="58" t="str">
        <f>IF('Phytopl Count'!N45=0,"",('Phytopl Analysis'!N45*LN('Phytopl Analysis'!N45)))</f>
        <v/>
      </c>
      <c r="O45" s="21" t="str">
        <f>IF('Phytopl Count'!O45=0,"",('Phytopl Analysis'!O45*LN('Phytopl Analysis'!O45)))</f>
        <v/>
      </c>
      <c r="P45" s="21" t="str">
        <f>IF('Phytopl Count'!P45=0,"",('Phytopl Analysis'!P45*LN('Phytopl Analysis'!P45)))</f>
        <v/>
      </c>
      <c r="Q45" s="58" t="str">
        <f>IF('Phytopl Count'!Q45=0,"",('Phytopl Analysis'!Q45*LN('Phytopl Analysis'!Q45)))</f>
        <v/>
      </c>
      <c r="R45" s="58" t="str">
        <f>IF('Phytopl Count'!R45=0,"",('Phytopl Analysis'!R45*LN('Phytopl Analysis'!R45)))</f>
        <v/>
      </c>
      <c r="S45" s="21" t="str">
        <f>IF('Phytopl Count'!S45=0,"",('Phytopl Analysis'!S45*LN('Phytopl Analysis'!S45)))</f>
        <v/>
      </c>
      <c r="T45" s="21" t="str">
        <f>IF('Phytopl Count'!T45=0,"",('Phytopl Analysis'!T45*LN('Phytopl Analysis'!T45)))</f>
        <v/>
      </c>
      <c r="U45" s="58" t="str">
        <f>IF('Phytopl Count'!U45=0,"",('Phytopl Analysis'!U45*LN('Phytopl Analysis'!U45)))</f>
        <v/>
      </c>
      <c r="V45" s="58" t="str">
        <f>IF('Phytopl Count'!V45=0,"",('Phytopl Analysis'!V45*LN('Phytopl Analysis'!V45)))</f>
        <v/>
      </c>
      <c r="W45" s="21" t="str">
        <f>IF('Phytopl Count'!W45=0,"",('Phytopl Analysis'!W45*LN('Phytopl Analysis'!W45)))</f>
        <v/>
      </c>
      <c r="X45" s="21" t="str">
        <f>IF('Phytopl Count'!X45=0,"",('Phytopl Analysis'!X45*LN('Phytopl Analysis'!X45)))</f>
        <v/>
      </c>
      <c r="Y45" s="58" t="str">
        <f>IF('Phytopl Count'!Y45=0,"",('Phytopl Analysis'!Y45*LN('Phytopl Analysis'!Y45)))</f>
        <v/>
      </c>
      <c r="Z45" s="58" t="str">
        <f>IF('Phytopl Count'!Z45=0,"",('Phytopl Analysis'!Z45*LN('Phytopl Analysis'!Z45)))</f>
        <v/>
      </c>
      <c r="AA45" s="21" t="str">
        <f>IF('Phytopl Count'!AA45=0,"",('Phytopl Analysis'!AA45*LN('Phytopl Analysis'!AA45)))</f>
        <v/>
      </c>
      <c r="AB45" s="21" t="str">
        <f>IF('Phytopl Count'!AB45=0,"",('Phytopl Analysis'!AB45*LN('Phytopl Analysis'!AB45)))</f>
        <v/>
      </c>
      <c r="AC45" s="58" t="str">
        <f>IF('Phytopl Count'!AC45=0,"",('Phytopl Analysis'!AC45*LN('Phytopl Analysis'!AC45)))</f>
        <v/>
      </c>
      <c r="AD45" s="58" t="str">
        <f>IF('Phytopl Count'!AD45=0,"",('Phytopl Analysis'!AD45*LN('Phytopl Analysis'!AD45)))</f>
        <v/>
      </c>
      <c r="AE45" s="21" t="str">
        <f>IF('Phytopl Count'!AE45=0,"",('Phytopl Analysis'!AE45*LN('Phytopl Analysis'!AE45)))</f>
        <v/>
      </c>
      <c r="AF45" s="58" t="str">
        <f>IF('Phytopl Count'!AF45=0,"",('Phytopl Analysis'!AF45*LN('Phytopl Analysis'!AF45)))</f>
        <v/>
      </c>
    </row>
    <row r="46" spans="1:32">
      <c r="A46" s="16"/>
      <c r="B46" s="16"/>
      <c r="C46" s="16"/>
      <c r="D46" s="10" t="s">
        <v>5</v>
      </c>
      <c r="E46" s="12" t="s">
        <v>87</v>
      </c>
      <c r="F46" s="11"/>
      <c r="G46" s="21" t="str">
        <f>IF('Phytopl Count'!G46=0,"",('Phytopl Analysis'!G46*LN('Phytopl Analysis'!G46)))</f>
        <v/>
      </c>
      <c r="H46" s="21" t="str">
        <f>IF('Phytopl Count'!H46=0,"",('Phytopl Analysis'!H46*LN('Phytopl Analysis'!H46)))</f>
        <v/>
      </c>
      <c r="I46" s="58" t="str">
        <f>IF('Phytopl Count'!I46=0,"",('Phytopl Analysis'!I46*LN('Phytopl Analysis'!I46)))</f>
        <v/>
      </c>
      <c r="J46" s="58" t="str">
        <f>IF('Phytopl Count'!J46=0,"",('Phytopl Analysis'!J46*LN('Phytopl Analysis'!J46)))</f>
        <v/>
      </c>
      <c r="K46" s="21" t="str">
        <f>IF('Phytopl Count'!K46=0,"",('Phytopl Analysis'!K46*LN('Phytopl Analysis'!K46)))</f>
        <v/>
      </c>
      <c r="L46" s="21" t="str">
        <f>IF('Phytopl Count'!L46=0,"",('Phytopl Analysis'!L46*LN('Phytopl Analysis'!L46)))</f>
        <v/>
      </c>
      <c r="M46" s="58" t="str">
        <f>IF('Phytopl Count'!M46=0,"",('Phytopl Analysis'!M46*LN('Phytopl Analysis'!M46)))</f>
        <v/>
      </c>
      <c r="N46" s="58" t="str">
        <f>IF('Phytopl Count'!N46=0,"",('Phytopl Analysis'!N46*LN('Phytopl Analysis'!N46)))</f>
        <v/>
      </c>
      <c r="O46" s="21" t="str">
        <f>IF('Phytopl Count'!O46=0,"",('Phytopl Analysis'!O46*LN('Phytopl Analysis'!O46)))</f>
        <v/>
      </c>
      <c r="P46" s="21" t="str">
        <f>IF('Phytopl Count'!P46=0,"",('Phytopl Analysis'!P46*LN('Phytopl Analysis'!P46)))</f>
        <v/>
      </c>
      <c r="Q46" s="58" t="str">
        <f>IF('Phytopl Count'!Q46=0,"",('Phytopl Analysis'!Q46*LN('Phytopl Analysis'!Q46)))</f>
        <v/>
      </c>
      <c r="R46" s="58" t="str">
        <f>IF('Phytopl Count'!R46=0,"",('Phytopl Analysis'!R46*LN('Phytopl Analysis'!R46)))</f>
        <v/>
      </c>
      <c r="S46" s="21" t="str">
        <f>IF('Phytopl Count'!S46=0,"",('Phytopl Analysis'!S46*LN('Phytopl Analysis'!S46)))</f>
        <v/>
      </c>
      <c r="T46" s="21" t="str">
        <f>IF('Phytopl Count'!T46=0,"",('Phytopl Analysis'!T46*LN('Phytopl Analysis'!T46)))</f>
        <v/>
      </c>
      <c r="U46" s="58" t="str">
        <f>IF('Phytopl Count'!U46=0,"",('Phytopl Analysis'!U46*LN('Phytopl Analysis'!U46)))</f>
        <v/>
      </c>
      <c r="V46" s="58" t="str">
        <f>IF('Phytopl Count'!V46=0,"",('Phytopl Analysis'!V46*LN('Phytopl Analysis'!V46)))</f>
        <v/>
      </c>
      <c r="W46" s="21" t="str">
        <f>IF('Phytopl Count'!W46=0,"",('Phytopl Analysis'!W46*LN('Phytopl Analysis'!W46)))</f>
        <v/>
      </c>
      <c r="X46" s="21" t="str">
        <f>IF('Phytopl Count'!X46=0,"",('Phytopl Analysis'!X46*LN('Phytopl Analysis'!X46)))</f>
        <v/>
      </c>
      <c r="Y46" s="58" t="str">
        <f>IF('Phytopl Count'!Y46=0,"",('Phytopl Analysis'!Y46*LN('Phytopl Analysis'!Y46)))</f>
        <v/>
      </c>
      <c r="Z46" s="58" t="str">
        <f>IF('Phytopl Count'!Z46=0,"",('Phytopl Analysis'!Z46*LN('Phytopl Analysis'!Z46)))</f>
        <v/>
      </c>
      <c r="AA46" s="21" t="str">
        <f>IF('Phytopl Count'!AA46=0,"",('Phytopl Analysis'!AA46*LN('Phytopl Analysis'!AA46)))</f>
        <v/>
      </c>
      <c r="AB46" s="21" t="str">
        <f>IF('Phytopl Count'!AB46=0,"",('Phytopl Analysis'!AB46*LN('Phytopl Analysis'!AB46)))</f>
        <v/>
      </c>
      <c r="AC46" s="58" t="str">
        <f>IF('Phytopl Count'!AC46=0,"",('Phytopl Analysis'!AC46*LN('Phytopl Analysis'!AC46)))</f>
        <v/>
      </c>
      <c r="AD46" s="58" t="str">
        <f>IF('Phytopl Count'!AD46=0,"",('Phytopl Analysis'!AD46*LN('Phytopl Analysis'!AD46)))</f>
        <v/>
      </c>
      <c r="AE46" s="21" t="str">
        <f>IF('Phytopl Count'!AE46=0,"",('Phytopl Analysis'!AE46*LN('Phytopl Analysis'!AE46)))</f>
        <v/>
      </c>
      <c r="AF46" s="58" t="str">
        <f>IF('Phytopl Count'!AF46=0,"",('Phytopl Analysis'!AF46*LN('Phytopl Analysis'!AF46)))</f>
        <v/>
      </c>
    </row>
    <row r="47" spans="1:32">
      <c r="A47" s="4"/>
      <c r="B47" s="4"/>
      <c r="C47" s="4"/>
      <c r="D47" s="5"/>
      <c r="E47" s="10" t="s">
        <v>6</v>
      </c>
      <c r="F47" s="11" t="s">
        <v>34</v>
      </c>
      <c r="G47" s="21" t="str">
        <f>IF('Phytopl Count'!G47=0,"",('Phytopl Analysis'!G47*LN('Phytopl Analysis'!G47)))</f>
        <v/>
      </c>
      <c r="H47" s="21" t="str">
        <f>IF('Phytopl Count'!H47=0,"",('Phytopl Analysis'!H47*LN('Phytopl Analysis'!H47)))</f>
        <v/>
      </c>
      <c r="I47" s="58" t="str">
        <f>IF('Phytopl Count'!I47=0,"",('Phytopl Analysis'!I47*LN('Phytopl Analysis'!I47)))</f>
        <v/>
      </c>
      <c r="J47" s="58">
        <f>IF('Phytopl Count'!J47=0,"",('Phytopl Analysis'!J47*LN('Phytopl Analysis'!J47)))</f>
        <v>-0.2545625689671801</v>
      </c>
      <c r="K47" s="21" t="str">
        <f>IF('Phytopl Count'!K47=0,"",('Phytopl Analysis'!K47*LN('Phytopl Analysis'!K47)))</f>
        <v/>
      </c>
      <c r="L47" s="21" t="str">
        <f>IF('Phytopl Count'!L47=0,"",('Phytopl Analysis'!L47*LN('Phytopl Analysis'!L47)))</f>
        <v/>
      </c>
      <c r="M47" s="58" t="str">
        <f>IF('Phytopl Count'!M47=0,"",('Phytopl Analysis'!M47*LN('Phytopl Analysis'!M47)))</f>
        <v/>
      </c>
      <c r="N47" s="58" t="str">
        <f>IF('Phytopl Count'!N47=0,"",('Phytopl Analysis'!N47*LN('Phytopl Analysis'!N47)))</f>
        <v/>
      </c>
      <c r="O47" s="21" t="str">
        <f>IF('Phytopl Count'!O47=0,"",('Phytopl Analysis'!O47*LN('Phytopl Analysis'!O47)))</f>
        <v/>
      </c>
      <c r="P47" s="21" t="str">
        <f>IF('Phytopl Count'!P47=0,"",('Phytopl Analysis'!P47*LN('Phytopl Analysis'!P47)))</f>
        <v/>
      </c>
      <c r="Q47" s="58" t="str">
        <f>IF('Phytopl Count'!Q47=0,"",('Phytopl Analysis'!Q47*LN('Phytopl Analysis'!Q47)))</f>
        <v/>
      </c>
      <c r="R47" s="58">
        <f>IF('Phytopl Count'!R47=0,"",('Phytopl Analysis'!R47*LN('Phytopl Analysis'!R47)))</f>
        <v>-0.11022075559754062</v>
      </c>
      <c r="S47" s="21" t="str">
        <f>IF('Phytopl Count'!S47=0,"",('Phytopl Analysis'!S47*LN('Phytopl Analysis'!S47)))</f>
        <v/>
      </c>
      <c r="T47" s="21">
        <f>IF('Phytopl Count'!T47=0,"",('Phytopl Analysis'!T47*LN('Phytopl Analysis'!T47)))</f>
        <v>-0.22509271130098124</v>
      </c>
      <c r="U47" s="58" t="str">
        <f>IF('Phytopl Count'!U47=0,"",('Phytopl Analysis'!U47*LN('Phytopl Analysis'!U47)))</f>
        <v/>
      </c>
      <c r="V47" s="58">
        <f>IF('Phytopl Count'!V47=0,"",('Phytopl Analysis'!V47*LN('Phytopl Analysis'!V47)))</f>
        <v>-0.12884150444391032</v>
      </c>
      <c r="W47" s="21">
        <f>IF('Phytopl Count'!W47=0,"",('Phytopl Analysis'!W47*LN('Phytopl Analysis'!W47)))</f>
        <v>-0.22509271130098124</v>
      </c>
      <c r="X47" s="21" t="str">
        <f>IF('Phytopl Count'!X47=0,"",('Phytopl Analysis'!X47*LN('Phytopl Analysis'!X47)))</f>
        <v/>
      </c>
      <c r="Y47" s="58" t="str">
        <f>IF('Phytopl Count'!Y47=0,"",('Phytopl Analysis'!Y47*LN('Phytopl Analysis'!Y47)))</f>
        <v/>
      </c>
      <c r="Z47" s="58">
        <f>IF('Phytopl Count'!Z47=0,"",('Phytopl Analysis'!Z47*LN('Phytopl Analysis'!Z47)))</f>
        <v>1.8978035482706828</v>
      </c>
      <c r="AA47" s="21">
        <f>IF('Phytopl Count'!AA47=0,"",('Phytopl Analysis'!AA47*LN('Phytopl Analysis'!AA47)))</f>
        <v>-0.11022075559754062</v>
      </c>
      <c r="AB47" s="21" t="str">
        <f>IF('Phytopl Count'!AB47=0,"",('Phytopl Analysis'!AB47*LN('Phytopl Analysis'!AB47)))</f>
        <v/>
      </c>
      <c r="AC47" s="58">
        <f>IF('Phytopl Count'!AC47=0,"",('Phytopl Analysis'!AC47*LN('Phytopl Analysis'!AC47)))</f>
        <v>-0.36481109627444391</v>
      </c>
      <c r="AD47" s="58">
        <f>IF('Phytopl Count'!AD47=0,"",('Phytopl Analysis'!AD47*LN('Phytopl Analysis'!AD47)))</f>
        <v>-0.36751505615601154</v>
      </c>
      <c r="AE47" s="21" t="str">
        <f>IF('Phytopl Count'!AE47=0,"",('Phytopl Analysis'!AE47*LN('Phytopl Analysis'!AE47)))</f>
        <v/>
      </c>
      <c r="AF47" s="58" t="str">
        <f>IF('Phytopl Count'!AF47=0,"",('Phytopl Analysis'!AF47*LN('Phytopl Analysis'!AF47)))</f>
        <v/>
      </c>
    </row>
    <row r="48" spans="1:32" hidden="1">
      <c r="A48" s="16"/>
      <c r="B48" s="16"/>
      <c r="C48" s="16"/>
      <c r="D48" s="10" t="s">
        <v>5</v>
      </c>
      <c r="E48" s="165" t="s">
        <v>363</v>
      </c>
      <c r="F48" s="11"/>
      <c r="G48" s="21" t="str">
        <f>IF('Phytopl Count'!G48=0,"",('Phytopl Analysis'!G48*LN('Phytopl Analysis'!G48)))</f>
        <v/>
      </c>
      <c r="H48" s="21" t="str">
        <f>IF('Phytopl Count'!H48=0,"",('Phytopl Analysis'!H48*LN('Phytopl Analysis'!H48)))</f>
        <v/>
      </c>
      <c r="I48" s="58" t="str">
        <f>IF('Phytopl Count'!I48=0,"",('Phytopl Analysis'!I48*LN('Phytopl Analysis'!I48)))</f>
        <v/>
      </c>
      <c r="J48" s="58" t="str">
        <f>IF('Phytopl Count'!J48=0,"",('Phytopl Analysis'!J48*LN('Phytopl Analysis'!J48)))</f>
        <v/>
      </c>
      <c r="K48" s="21" t="str">
        <f>IF('Phytopl Count'!K48=0,"",('Phytopl Analysis'!K48*LN('Phytopl Analysis'!K48)))</f>
        <v/>
      </c>
      <c r="L48" s="21" t="str">
        <f>IF('Phytopl Count'!L48=0,"",('Phytopl Analysis'!L48*LN('Phytopl Analysis'!L48)))</f>
        <v/>
      </c>
      <c r="M48" s="58" t="str">
        <f>IF('Phytopl Count'!M48=0,"",('Phytopl Analysis'!M48*LN('Phytopl Analysis'!M48)))</f>
        <v/>
      </c>
      <c r="N48" s="58" t="str">
        <f>IF('Phytopl Count'!N48=0,"",('Phytopl Analysis'!N48*LN('Phytopl Analysis'!N48)))</f>
        <v/>
      </c>
      <c r="O48" s="21" t="str">
        <f>IF('Phytopl Count'!O48=0,"",('Phytopl Analysis'!O48*LN('Phytopl Analysis'!O48)))</f>
        <v/>
      </c>
      <c r="P48" s="21" t="str">
        <f>IF('Phytopl Count'!P48=0,"",('Phytopl Analysis'!P48*LN('Phytopl Analysis'!P48)))</f>
        <v/>
      </c>
      <c r="Q48" s="58" t="str">
        <f>IF('Phytopl Count'!Q48=0,"",('Phytopl Analysis'!Q48*LN('Phytopl Analysis'!Q48)))</f>
        <v/>
      </c>
      <c r="R48" s="58" t="str">
        <f>IF('Phytopl Count'!R48=0,"",('Phytopl Analysis'!R48*LN('Phytopl Analysis'!R48)))</f>
        <v/>
      </c>
      <c r="S48" s="21" t="str">
        <f>IF('Phytopl Count'!S48=0,"",('Phytopl Analysis'!S48*LN('Phytopl Analysis'!S48)))</f>
        <v/>
      </c>
      <c r="T48" s="21" t="str">
        <f>IF('Phytopl Count'!T48=0,"",('Phytopl Analysis'!T48*LN('Phytopl Analysis'!T48)))</f>
        <v/>
      </c>
      <c r="U48" s="58" t="str">
        <f>IF('Phytopl Count'!U48=0,"",('Phytopl Analysis'!U48*LN('Phytopl Analysis'!U48)))</f>
        <v/>
      </c>
      <c r="V48" s="58" t="str">
        <f>IF('Phytopl Count'!V48=0,"",('Phytopl Analysis'!V48*LN('Phytopl Analysis'!V48)))</f>
        <v/>
      </c>
      <c r="W48" s="21" t="str">
        <f>IF('Phytopl Count'!W48=0,"",('Phytopl Analysis'!W48*LN('Phytopl Analysis'!W48)))</f>
        <v/>
      </c>
      <c r="X48" s="21" t="str">
        <f>IF('Phytopl Count'!X48=0,"",('Phytopl Analysis'!X48*LN('Phytopl Analysis'!X48)))</f>
        <v/>
      </c>
      <c r="Y48" s="58" t="str">
        <f>IF('Phytopl Count'!Y48=0,"",('Phytopl Analysis'!Y48*LN('Phytopl Analysis'!Y48)))</f>
        <v/>
      </c>
      <c r="Z48" s="58" t="str">
        <f>IF('Phytopl Count'!Z48=0,"",('Phytopl Analysis'!Z48*LN('Phytopl Analysis'!Z48)))</f>
        <v/>
      </c>
      <c r="AA48" s="21" t="str">
        <f>IF('Phytopl Count'!AA48=0,"",('Phytopl Analysis'!AA48*LN('Phytopl Analysis'!AA48)))</f>
        <v/>
      </c>
      <c r="AB48" s="21" t="str">
        <f>IF('Phytopl Count'!AB48=0,"",('Phytopl Analysis'!AB48*LN('Phytopl Analysis'!AB48)))</f>
        <v/>
      </c>
      <c r="AC48" s="58" t="str">
        <f>IF('Phytopl Count'!AC48=0,"",('Phytopl Analysis'!AC48*LN('Phytopl Analysis'!AC48)))</f>
        <v/>
      </c>
      <c r="AD48" s="58" t="str">
        <f>IF('Phytopl Count'!AD48=0,"",('Phytopl Analysis'!AD48*LN('Phytopl Analysis'!AD48)))</f>
        <v/>
      </c>
      <c r="AE48" s="21" t="str">
        <f>IF('Phytopl Count'!AE48=0,"",('Phytopl Analysis'!AE48*LN('Phytopl Analysis'!AE48)))</f>
        <v/>
      </c>
      <c r="AF48" s="58" t="str">
        <f>IF('Phytopl Count'!AF48=0,"",('Phytopl Analysis'!AF48*LN('Phytopl Analysis'!AF48)))</f>
        <v/>
      </c>
    </row>
    <row r="49" spans="1:32" hidden="1">
      <c r="A49" s="4"/>
      <c r="B49" s="4"/>
      <c r="C49" s="4"/>
      <c r="D49" s="5"/>
      <c r="E49" s="10" t="s">
        <v>6</v>
      </c>
      <c r="F49" s="11" t="s">
        <v>364</v>
      </c>
      <c r="G49" s="21" t="str">
        <f>IF('Phytopl Count'!G49=0,"",('Phytopl Analysis'!G49*LN('Phytopl Analysis'!G49)))</f>
        <v/>
      </c>
      <c r="H49" s="21" t="str">
        <f>IF('Phytopl Count'!H49=0,"",('Phytopl Analysis'!H49*LN('Phytopl Analysis'!H49)))</f>
        <v/>
      </c>
      <c r="I49" s="58" t="str">
        <f>IF('Phytopl Count'!I49=0,"",('Phytopl Analysis'!I49*LN('Phytopl Analysis'!I49)))</f>
        <v/>
      </c>
      <c r="J49" s="58" t="str">
        <f>IF('Phytopl Count'!J49=0,"",('Phytopl Analysis'!J49*LN('Phytopl Analysis'!J49)))</f>
        <v/>
      </c>
      <c r="K49" s="21" t="str">
        <f>IF('Phytopl Count'!K49=0,"",('Phytopl Analysis'!K49*LN('Phytopl Analysis'!K49)))</f>
        <v/>
      </c>
      <c r="L49" s="21" t="str">
        <f>IF('Phytopl Count'!L49=0,"",('Phytopl Analysis'!L49*LN('Phytopl Analysis'!L49)))</f>
        <v/>
      </c>
      <c r="M49" s="58" t="str">
        <f>IF('Phytopl Count'!M49=0,"",('Phytopl Analysis'!M49*LN('Phytopl Analysis'!M49)))</f>
        <v/>
      </c>
      <c r="N49" s="58" t="str">
        <f>IF('Phytopl Count'!N49=0,"",('Phytopl Analysis'!N49*LN('Phytopl Analysis'!N49)))</f>
        <v/>
      </c>
      <c r="O49" s="21" t="str">
        <f>IF('Phytopl Count'!O49=0,"",('Phytopl Analysis'!O49*LN('Phytopl Analysis'!O49)))</f>
        <v/>
      </c>
      <c r="P49" s="21" t="str">
        <f>IF('Phytopl Count'!P49=0,"",('Phytopl Analysis'!P49*LN('Phytopl Analysis'!P49)))</f>
        <v/>
      </c>
      <c r="Q49" s="58" t="str">
        <f>IF('Phytopl Count'!Q49=0,"",('Phytopl Analysis'!Q49*LN('Phytopl Analysis'!Q49)))</f>
        <v/>
      </c>
      <c r="R49" s="58" t="str">
        <f>IF('Phytopl Count'!R49=0,"",('Phytopl Analysis'!R49*LN('Phytopl Analysis'!R49)))</f>
        <v/>
      </c>
      <c r="S49" s="21" t="str">
        <f>IF('Phytopl Count'!S49=0,"",('Phytopl Analysis'!S49*LN('Phytopl Analysis'!S49)))</f>
        <v/>
      </c>
      <c r="T49" s="21" t="str">
        <f>IF('Phytopl Count'!T49=0,"",('Phytopl Analysis'!T49*LN('Phytopl Analysis'!T49)))</f>
        <v/>
      </c>
      <c r="U49" s="58" t="str">
        <f>IF('Phytopl Count'!U49=0,"",('Phytopl Analysis'!U49*LN('Phytopl Analysis'!U49)))</f>
        <v/>
      </c>
      <c r="V49" s="58" t="str">
        <f>IF('Phytopl Count'!V49=0,"",('Phytopl Analysis'!V49*LN('Phytopl Analysis'!V49)))</f>
        <v/>
      </c>
      <c r="W49" s="21" t="str">
        <f>IF('Phytopl Count'!W49=0,"",('Phytopl Analysis'!W49*LN('Phytopl Analysis'!W49)))</f>
        <v/>
      </c>
      <c r="X49" s="21" t="str">
        <f>IF('Phytopl Count'!X49=0,"",('Phytopl Analysis'!X49*LN('Phytopl Analysis'!X49)))</f>
        <v/>
      </c>
      <c r="Y49" s="58" t="str">
        <f>IF('Phytopl Count'!Y49=0,"",('Phytopl Analysis'!Y49*LN('Phytopl Analysis'!Y49)))</f>
        <v/>
      </c>
      <c r="Z49" s="58" t="str">
        <f>IF('Phytopl Count'!Z49=0,"",('Phytopl Analysis'!Z49*LN('Phytopl Analysis'!Z49)))</f>
        <v/>
      </c>
      <c r="AA49" s="21" t="str">
        <f>IF('Phytopl Count'!AA49=0,"",('Phytopl Analysis'!AA49*LN('Phytopl Analysis'!AA49)))</f>
        <v/>
      </c>
      <c r="AB49" s="21" t="str">
        <f>IF('Phytopl Count'!AB49=0,"",('Phytopl Analysis'!AB49*LN('Phytopl Analysis'!AB49)))</f>
        <v/>
      </c>
      <c r="AC49" s="58" t="str">
        <f>IF('Phytopl Count'!AC49=0,"",('Phytopl Analysis'!AC49*LN('Phytopl Analysis'!AC49)))</f>
        <v/>
      </c>
      <c r="AD49" s="58" t="str">
        <f>IF('Phytopl Count'!AD49=0,"",('Phytopl Analysis'!AD49*LN('Phytopl Analysis'!AD49)))</f>
        <v/>
      </c>
      <c r="AE49" s="21" t="str">
        <f>IF('Phytopl Count'!AE49=0,"",('Phytopl Analysis'!AE49*LN('Phytopl Analysis'!AE49)))</f>
        <v/>
      </c>
      <c r="AF49" s="58" t="str">
        <f>IF('Phytopl Count'!AF49=0,"",('Phytopl Analysis'!AF49*LN('Phytopl Analysis'!AF49)))</f>
        <v/>
      </c>
    </row>
    <row r="50" spans="1:32">
      <c r="A50" s="4"/>
      <c r="B50" s="4"/>
      <c r="C50" s="16" t="s">
        <v>73</v>
      </c>
      <c r="D50" s="4" t="s">
        <v>88</v>
      </c>
      <c r="E50" s="10"/>
      <c r="F50" s="11"/>
      <c r="G50" s="21" t="str">
        <f>IF('Phytopl Count'!G50=0,"",('Phytopl Analysis'!G50*LN('Phytopl Analysis'!G50)))</f>
        <v/>
      </c>
      <c r="H50" s="21" t="str">
        <f>IF('Phytopl Count'!H50=0,"",('Phytopl Analysis'!H50*LN('Phytopl Analysis'!H50)))</f>
        <v/>
      </c>
      <c r="I50" s="58" t="str">
        <f>IF('Phytopl Count'!I50=0,"",('Phytopl Analysis'!I50*LN('Phytopl Analysis'!I50)))</f>
        <v/>
      </c>
      <c r="J50" s="58" t="str">
        <f>IF('Phytopl Count'!J50=0,"",('Phytopl Analysis'!J50*LN('Phytopl Analysis'!J50)))</f>
        <v/>
      </c>
      <c r="K50" s="21" t="str">
        <f>IF('Phytopl Count'!K50=0,"",('Phytopl Analysis'!K50*LN('Phytopl Analysis'!K50)))</f>
        <v/>
      </c>
      <c r="L50" s="21" t="str">
        <f>IF('Phytopl Count'!L50=0,"",('Phytopl Analysis'!L50*LN('Phytopl Analysis'!L50)))</f>
        <v/>
      </c>
      <c r="M50" s="58" t="str">
        <f>IF('Phytopl Count'!M50=0,"",('Phytopl Analysis'!M50*LN('Phytopl Analysis'!M50)))</f>
        <v/>
      </c>
      <c r="N50" s="58" t="str">
        <f>IF('Phytopl Count'!N50=0,"",('Phytopl Analysis'!N50*LN('Phytopl Analysis'!N50)))</f>
        <v/>
      </c>
      <c r="O50" s="21" t="str">
        <f>IF('Phytopl Count'!O50=0,"",('Phytopl Analysis'!O50*LN('Phytopl Analysis'!O50)))</f>
        <v/>
      </c>
      <c r="P50" s="21" t="str">
        <f>IF('Phytopl Count'!P50=0,"",('Phytopl Analysis'!P50*LN('Phytopl Analysis'!P50)))</f>
        <v/>
      </c>
      <c r="Q50" s="58" t="str">
        <f>IF('Phytopl Count'!Q50=0,"",('Phytopl Analysis'!Q50*LN('Phytopl Analysis'!Q50)))</f>
        <v/>
      </c>
      <c r="R50" s="58" t="str">
        <f>IF('Phytopl Count'!R50=0,"",('Phytopl Analysis'!R50*LN('Phytopl Analysis'!R50)))</f>
        <v/>
      </c>
      <c r="S50" s="21" t="str">
        <f>IF('Phytopl Count'!S50=0,"",('Phytopl Analysis'!S50*LN('Phytopl Analysis'!S50)))</f>
        <v/>
      </c>
      <c r="T50" s="21" t="str">
        <f>IF('Phytopl Count'!T50=0,"",('Phytopl Analysis'!T50*LN('Phytopl Analysis'!T50)))</f>
        <v/>
      </c>
      <c r="U50" s="58" t="str">
        <f>IF('Phytopl Count'!U50=0,"",('Phytopl Analysis'!U50*LN('Phytopl Analysis'!U50)))</f>
        <v/>
      </c>
      <c r="V50" s="58" t="str">
        <f>IF('Phytopl Count'!V50=0,"",('Phytopl Analysis'!V50*LN('Phytopl Analysis'!V50)))</f>
        <v/>
      </c>
      <c r="W50" s="21" t="str">
        <f>IF('Phytopl Count'!W50=0,"",('Phytopl Analysis'!W50*LN('Phytopl Analysis'!W50)))</f>
        <v/>
      </c>
      <c r="X50" s="21" t="str">
        <f>IF('Phytopl Count'!X50=0,"",('Phytopl Analysis'!X50*LN('Phytopl Analysis'!X50)))</f>
        <v/>
      </c>
      <c r="Y50" s="58" t="str">
        <f>IF('Phytopl Count'!Y50=0,"",('Phytopl Analysis'!Y50*LN('Phytopl Analysis'!Y50)))</f>
        <v/>
      </c>
      <c r="Z50" s="58" t="str">
        <f>IF('Phytopl Count'!Z50=0,"",('Phytopl Analysis'!Z50*LN('Phytopl Analysis'!Z50)))</f>
        <v/>
      </c>
      <c r="AA50" s="21" t="str">
        <f>IF('Phytopl Count'!AA50=0,"",('Phytopl Analysis'!AA50*LN('Phytopl Analysis'!AA50)))</f>
        <v/>
      </c>
      <c r="AB50" s="21" t="str">
        <f>IF('Phytopl Count'!AB50=0,"",('Phytopl Analysis'!AB50*LN('Phytopl Analysis'!AB50)))</f>
        <v/>
      </c>
      <c r="AC50" s="58" t="str">
        <f>IF('Phytopl Count'!AC50=0,"",('Phytopl Analysis'!AC50*LN('Phytopl Analysis'!AC50)))</f>
        <v/>
      </c>
      <c r="AD50" s="58" t="str">
        <f>IF('Phytopl Count'!AD50=0,"",('Phytopl Analysis'!AD50*LN('Phytopl Analysis'!AD50)))</f>
        <v/>
      </c>
      <c r="AE50" s="21" t="str">
        <f>IF('Phytopl Count'!AE50=0,"",('Phytopl Analysis'!AE50*LN('Phytopl Analysis'!AE50)))</f>
        <v/>
      </c>
      <c r="AF50" s="58" t="str">
        <f>IF('Phytopl Count'!AF50=0,"",('Phytopl Analysis'!AF50*LN('Phytopl Analysis'!AF50)))</f>
        <v/>
      </c>
    </row>
    <row r="51" spans="1:32">
      <c r="A51" s="4"/>
      <c r="B51" s="4"/>
      <c r="C51" s="4"/>
      <c r="D51" s="10" t="s">
        <v>5</v>
      </c>
      <c r="E51" s="5" t="s">
        <v>35</v>
      </c>
      <c r="F51" s="9"/>
      <c r="G51" s="21" t="str">
        <f>IF('Phytopl Count'!G51=0,"",('Phytopl Analysis'!G51*LN('Phytopl Analysis'!G51)))</f>
        <v/>
      </c>
      <c r="H51" s="21" t="str">
        <f>IF('Phytopl Count'!H51=0,"",('Phytopl Analysis'!H51*LN('Phytopl Analysis'!H51)))</f>
        <v/>
      </c>
      <c r="I51" s="58" t="str">
        <f>IF('Phytopl Count'!I51=0,"",('Phytopl Analysis'!I51*LN('Phytopl Analysis'!I51)))</f>
        <v/>
      </c>
      <c r="J51" s="58" t="str">
        <f>IF('Phytopl Count'!J51=0,"",('Phytopl Analysis'!J51*LN('Phytopl Analysis'!J51)))</f>
        <v/>
      </c>
      <c r="K51" s="21" t="str">
        <f>IF('Phytopl Count'!K51=0,"",('Phytopl Analysis'!K51*LN('Phytopl Analysis'!K51)))</f>
        <v/>
      </c>
      <c r="L51" s="21" t="str">
        <f>IF('Phytopl Count'!L51=0,"",('Phytopl Analysis'!L51*LN('Phytopl Analysis'!L51)))</f>
        <v/>
      </c>
      <c r="M51" s="58" t="str">
        <f>IF('Phytopl Count'!M51=0,"",('Phytopl Analysis'!M51*LN('Phytopl Analysis'!M51)))</f>
        <v/>
      </c>
      <c r="N51" s="58" t="str">
        <f>IF('Phytopl Count'!N51=0,"",('Phytopl Analysis'!N51*LN('Phytopl Analysis'!N51)))</f>
        <v/>
      </c>
      <c r="O51" s="21" t="str">
        <f>IF('Phytopl Count'!O51=0,"",('Phytopl Analysis'!O51*LN('Phytopl Analysis'!O51)))</f>
        <v/>
      </c>
      <c r="P51" s="21" t="str">
        <f>IF('Phytopl Count'!P51=0,"",('Phytopl Analysis'!P51*LN('Phytopl Analysis'!P51)))</f>
        <v/>
      </c>
      <c r="Q51" s="58" t="str">
        <f>IF('Phytopl Count'!Q51=0,"",('Phytopl Analysis'!Q51*LN('Phytopl Analysis'!Q51)))</f>
        <v/>
      </c>
      <c r="R51" s="58" t="str">
        <f>IF('Phytopl Count'!R51=0,"",('Phytopl Analysis'!R51*LN('Phytopl Analysis'!R51)))</f>
        <v/>
      </c>
      <c r="S51" s="21" t="str">
        <f>IF('Phytopl Count'!S51=0,"",('Phytopl Analysis'!S51*LN('Phytopl Analysis'!S51)))</f>
        <v/>
      </c>
      <c r="T51" s="21" t="str">
        <f>IF('Phytopl Count'!T51=0,"",('Phytopl Analysis'!T51*LN('Phytopl Analysis'!T51)))</f>
        <v/>
      </c>
      <c r="U51" s="58" t="str">
        <f>IF('Phytopl Count'!U51=0,"",('Phytopl Analysis'!U51*LN('Phytopl Analysis'!U51)))</f>
        <v/>
      </c>
      <c r="V51" s="58" t="str">
        <f>IF('Phytopl Count'!V51=0,"",('Phytopl Analysis'!V51*LN('Phytopl Analysis'!V51)))</f>
        <v/>
      </c>
      <c r="W51" s="21" t="str">
        <f>IF('Phytopl Count'!W51=0,"",('Phytopl Analysis'!W51*LN('Phytopl Analysis'!W51)))</f>
        <v/>
      </c>
      <c r="X51" s="21" t="str">
        <f>IF('Phytopl Count'!X51=0,"",('Phytopl Analysis'!X51*LN('Phytopl Analysis'!X51)))</f>
        <v/>
      </c>
      <c r="Y51" s="58" t="str">
        <f>IF('Phytopl Count'!Y51=0,"",('Phytopl Analysis'!Y51*LN('Phytopl Analysis'!Y51)))</f>
        <v/>
      </c>
      <c r="Z51" s="58" t="str">
        <f>IF('Phytopl Count'!Z51=0,"",('Phytopl Analysis'!Z51*LN('Phytopl Analysis'!Z51)))</f>
        <v/>
      </c>
      <c r="AA51" s="21" t="str">
        <f>IF('Phytopl Count'!AA51=0,"",('Phytopl Analysis'!AA51*LN('Phytopl Analysis'!AA51)))</f>
        <v/>
      </c>
      <c r="AB51" s="21" t="str">
        <f>IF('Phytopl Count'!AB51=0,"",('Phytopl Analysis'!AB51*LN('Phytopl Analysis'!AB51)))</f>
        <v/>
      </c>
      <c r="AC51" s="58" t="str">
        <f>IF('Phytopl Count'!AC51=0,"",('Phytopl Analysis'!AC51*LN('Phytopl Analysis'!AC51)))</f>
        <v/>
      </c>
      <c r="AD51" s="58" t="str">
        <f>IF('Phytopl Count'!AD51=0,"",('Phytopl Analysis'!AD51*LN('Phytopl Analysis'!AD51)))</f>
        <v/>
      </c>
      <c r="AE51" s="21" t="str">
        <f>IF('Phytopl Count'!AE51=0,"",('Phytopl Analysis'!AE51*LN('Phytopl Analysis'!AE51)))</f>
        <v/>
      </c>
      <c r="AF51" s="58" t="str">
        <f>IF('Phytopl Count'!AF51=0,"",('Phytopl Analysis'!AF51*LN('Phytopl Analysis'!AF51)))</f>
        <v/>
      </c>
    </row>
    <row r="52" spans="1:32" hidden="1">
      <c r="A52" s="4"/>
      <c r="B52" s="4"/>
      <c r="C52" s="4"/>
      <c r="D52" s="5"/>
      <c r="F52" s="11" t="s">
        <v>36</v>
      </c>
      <c r="G52" s="21" t="str">
        <f>IF('Phytopl Count'!G52=0,"",('Phytopl Analysis'!G52*LN('Phytopl Analysis'!G52)))</f>
        <v/>
      </c>
      <c r="H52" s="21" t="str">
        <f>IF('Phytopl Count'!H52=0,"",('Phytopl Analysis'!H52*LN('Phytopl Analysis'!H52)))</f>
        <v/>
      </c>
      <c r="I52" s="58" t="str">
        <f>IF('Phytopl Count'!I52=0,"",('Phytopl Analysis'!I52*LN('Phytopl Analysis'!I52)))</f>
        <v/>
      </c>
      <c r="J52" s="58" t="str">
        <f>IF('Phytopl Count'!J52=0,"",('Phytopl Analysis'!J52*LN('Phytopl Analysis'!J52)))</f>
        <v/>
      </c>
      <c r="K52" s="21" t="str">
        <f>IF('Phytopl Count'!K52=0,"",('Phytopl Analysis'!K52*LN('Phytopl Analysis'!K52)))</f>
        <v/>
      </c>
      <c r="L52" s="21" t="str">
        <f>IF('Phytopl Count'!L52=0,"",('Phytopl Analysis'!L52*LN('Phytopl Analysis'!L52)))</f>
        <v/>
      </c>
      <c r="M52" s="58" t="str">
        <f>IF('Phytopl Count'!M52=0,"",('Phytopl Analysis'!M52*LN('Phytopl Analysis'!M52)))</f>
        <v/>
      </c>
      <c r="N52" s="58" t="str">
        <f>IF('Phytopl Count'!N52=0,"",('Phytopl Analysis'!N52*LN('Phytopl Analysis'!N52)))</f>
        <v/>
      </c>
      <c r="O52" s="21" t="str">
        <f>IF('Phytopl Count'!O52=0,"",('Phytopl Analysis'!O52*LN('Phytopl Analysis'!O52)))</f>
        <v/>
      </c>
      <c r="P52" s="21" t="str">
        <f>IF('Phytopl Count'!P52=0,"",('Phytopl Analysis'!P52*LN('Phytopl Analysis'!P52)))</f>
        <v/>
      </c>
      <c r="Q52" s="58" t="str">
        <f>IF('Phytopl Count'!Q52=0,"",('Phytopl Analysis'!Q52*LN('Phytopl Analysis'!Q52)))</f>
        <v/>
      </c>
      <c r="R52" s="58" t="str">
        <f>IF('Phytopl Count'!R52=0,"",('Phytopl Analysis'!R52*LN('Phytopl Analysis'!R52)))</f>
        <v/>
      </c>
      <c r="S52" s="21" t="str">
        <f>IF('Phytopl Count'!S52=0,"",('Phytopl Analysis'!S52*LN('Phytopl Analysis'!S52)))</f>
        <v/>
      </c>
      <c r="T52" s="21" t="str">
        <f>IF('Phytopl Count'!T52=0,"",('Phytopl Analysis'!T52*LN('Phytopl Analysis'!T52)))</f>
        <v/>
      </c>
      <c r="U52" s="58" t="str">
        <f>IF('Phytopl Count'!U52=0,"",('Phytopl Analysis'!U52*LN('Phytopl Analysis'!U52)))</f>
        <v/>
      </c>
      <c r="V52" s="58" t="str">
        <f>IF('Phytopl Count'!V52=0,"",('Phytopl Analysis'!V52*LN('Phytopl Analysis'!V52)))</f>
        <v/>
      </c>
      <c r="W52" s="21" t="str">
        <f>IF('Phytopl Count'!W52=0,"",('Phytopl Analysis'!W52*LN('Phytopl Analysis'!W52)))</f>
        <v/>
      </c>
      <c r="X52" s="21" t="str">
        <f>IF('Phytopl Count'!X52=0,"",('Phytopl Analysis'!X52*LN('Phytopl Analysis'!X52)))</f>
        <v/>
      </c>
      <c r="Y52" s="58" t="str">
        <f>IF('Phytopl Count'!Y52=0,"",('Phytopl Analysis'!Y52*LN('Phytopl Analysis'!Y52)))</f>
        <v/>
      </c>
      <c r="Z52" s="58" t="str">
        <f>IF('Phytopl Count'!Z52=0,"",('Phytopl Analysis'!Z52*LN('Phytopl Analysis'!Z52)))</f>
        <v/>
      </c>
      <c r="AA52" s="21" t="str">
        <f>IF('Phytopl Count'!AA52=0,"",('Phytopl Analysis'!AA52*LN('Phytopl Analysis'!AA52)))</f>
        <v/>
      </c>
      <c r="AB52" s="21" t="str">
        <f>IF('Phytopl Count'!AB52=0,"",('Phytopl Analysis'!AB52*LN('Phytopl Analysis'!AB52)))</f>
        <v/>
      </c>
      <c r="AC52" s="58" t="str">
        <f>IF('Phytopl Count'!AC52=0,"",('Phytopl Analysis'!AC52*LN('Phytopl Analysis'!AC52)))</f>
        <v/>
      </c>
      <c r="AD52" s="58" t="str">
        <f>IF('Phytopl Count'!AD52=0,"",('Phytopl Analysis'!AD52*LN('Phytopl Analysis'!AD52)))</f>
        <v/>
      </c>
      <c r="AE52" s="21" t="str">
        <f>IF('Phytopl Count'!AE52=0,"",('Phytopl Analysis'!AE52*LN('Phytopl Analysis'!AE52)))</f>
        <v/>
      </c>
      <c r="AF52" s="58" t="str">
        <f>IF('Phytopl Count'!AF52=0,"",('Phytopl Analysis'!AF52*LN('Phytopl Analysis'!AF52)))</f>
        <v/>
      </c>
    </row>
    <row r="53" spans="1:32">
      <c r="A53" s="4"/>
      <c r="B53" s="4"/>
      <c r="C53" s="4"/>
      <c r="D53" s="4"/>
      <c r="E53" s="10" t="s">
        <v>6</v>
      </c>
      <c r="F53" s="76" t="s">
        <v>145</v>
      </c>
      <c r="G53" s="21">
        <f>IF('Phytopl Count'!G53=0,"",('Phytopl Analysis'!G53*LN('Phytopl Analysis'!G53)))</f>
        <v>-0.2840995630463744</v>
      </c>
      <c r="H53" s="21">
        <f>IF('Phytopl Count'!H53=0,"",('Phytopl Analysis'!H53*LN('Phytopl Analysis'!H53)))</f>
        <v>-0.35218053955882883</v>
      </c>
      <c r="I53" s="58">
        <f>IF('Phytopl Count'!I53=0,"",('Phytopl Analysis'!I53*LN('Phytopl Analysis'!I53)))</f>
        <v>-0.24532646268350805</v>
      </c>
      <c r="J53" s="58">
        <f>IF('Phytopl Count'!J53=0,"",('Phytopl Analysis'!J53*LN('Phytopl Analysis'!J53)))</f>
        <v>-0.12884150444391032</v>
      </c>
      <c r="K53" s="21">
        <f>IF('Phytopl Count'!K53=0,"",('Phytopl Analysis'!K53*LN('Phytopl Analysis'!K53)))</f>
        <v>-0.3169714753399841</v>
      </c>
      <c r="L53" s="21">
        <f>IF('Phytopl Count'!L53=0,"",('Phytopl Analysis'!L53*LN('Phytopl Analysis'!L53)))</f>
        <v>-0.1895528273034891</v>
      </c>
      <c r="M53" s="58">
        <f>IF('Phytopl Count'!M53=0,"",('Phytopl Analysis'!M53*LN('Phytopl Analysis'!M53)))</f>
        <v>-0.12884150444391032</v>
      </c>
      <c r="N53" s="58">
        <f>IF('Phytopl Count'!N53=0,"",('Phytopl Analysis'!N53*LN('Phytopl Analysis'!N53)))</f>
        <v>-0.34260770385688732</v>
      </c>
      <c r="O53" s="21">
        <f>IF('Phytopl Count'!O53=0,"",('Phytopl Analysis'!O53*LN('Phytopl Analysis'!O53)))</f>
        <v>-0.33523665356137466</v>
      </c>
      <c r="P53" s="21">
        <f>IF('Phytopl Count'!P53=0,"",('Phytopl Analysis'!P53*LN('Phytopl Analysis'!P53)))</f>
        <v>-0.3169714753399841</v>
      </c>
      <c r="Q53" s="58">
        <f>IF('Phytopl Count'!Q53=0,"",('Phytopl Analysis'!Q53*LN('Phytopl Analysis'!Q53)))</f>
        <v>-0.20217719752866301</v>
      </c>
      <c r="R53" s="58">
        <f>IF('Phytopl Count'!R53=0,"",('Phytopl Analysis'!R53*LN('Phytopl Analysis'!R53)))</f>
        <v>-0.11022075559754062</v>
      </c>
      <c r="S53" s="21">
        <f>IF('Phytopl Count'!S53=0,"",('Phytopl Analysis'!S53*LN('Phytopl Analysis'!S53)))</f>
        <v>-0.22509271130098124</v>
      </c>
      <c r="T53" s="21">
        <f>IF('Phytopl Count'!T53=0,"",('Phytopl Analysis'!T53*LN('Phytopl Analysis'!T53)))</f>
        <v>-0.1458498424659852</v>
      </c>
      <c r="U53" s="58" t="str">
        <f>IF('Phytopl Count'!U53=0,"",('Phytopl Analysis'!U53*LN('Phytopl Analysis'!U53)))</f>
        <v/>
      </c>
      <c r="V53" s="58">
        <f>IF('Phytopl Count'!V53=0,"",('Phytopl Analysis'!V53*LN('Phytopl Analysis'!V53)))</f>
        <v>-0.12884150444391032</v>
      </c>
      <c r="W53" s="21">
        <f>IF('Phytopl Count'!W53=0,"",('Phytopl Analysis'!W53*LN('Phytopl Analysis'!W53)))</f>
        <v>-0.1458498424659852</v>
      </c>
      <c r="X53" s="21" t="str">
        <f>IF('Phytopl Count'!X53=0,"",('Phytopl Analysis'!X53*LN('Phytopl Analysis'!X53)))</f>
        <v/>
      </c>
      <c r="Y53" s="58">
        <f>IF('Phytopl Count'!Y53=0,"",('Phytopl Analysis'!Y53*LN('Phytopl Analysis'!Y53)))</f>
        <v>-8.9576664640739892E-2</v>
      </c>
      <c r="Z53" s="58">
        <f>IF('Phytopl Count'!Z53=0,"",('Phytopl Analysis'!Z53*LN('Phytopl Analysis'!Z53)))</f>
        <v>-0.23551788360242082</v>
      </c>
      <c r="AA53" s="21">
        <f>IF('Phytopl Count'!AA53=0,"",('Phytopl Analysis'!AA53*LN('Phytopl Analysis'!AA53)))</f>
        <v>-0.17603686210775515</v>
      </c>
      <c r="AB53" s="21" t="str">
        <f>IF('Phytopl Count'!AB53=0,"",('Phytopl Analysis'!AB53*LN('Phytopl Analysis'!AB53)))</f>
        <v/>
      </c>
      <c r="AC53" s="58">
        <f>IF('Phytopl Count'!AC53=0,"",('Phytopl Analysis'!AC53*LN('Phytopl Analysis'!AC53)))</f>
        <v>-0.3169714753399841</v>
      </c>
      <c r="AD53" s="58">
        <f>IF('Phytopl Count'!AD53=0,"",('Phytopl Analysis'!AD53*LN('Phytopl Analysis'!AD53)))</f>
        <v>-0.17603686210775515</v>
      </c>
      <c r="AE53" s="21">
        <f>IF('Phytopl Count'!AE53=0,"",('Phytopl Analysis'!AE53*LN('Phytopl Analysis'!AE53)))</f>
        <v>-8.9576664640739892E-2</v>
      </c>
      <c r="AF53" s="58">
        <f>IF('Phytopl Count'!AF53=0,"",('Phytopl Analysis'!AF53*LN('Phytopl Analysis'!AF53)))</f>
        <v>-0.26326442604085809</v>
      </c>
    </row>
    <row r="54" spans="1:32">
      <c r="A54" s="4"/>
      <c r="B54" s="4"/>
      <c r="C54" s="16" t="s">
        <v>73</v>
      </c>
      <c r="D54" s="4" t="s">
        <v>258</v>
      </c>
      <c r="E54" s="10"/>
      <c r="F54" s="11"/>
      <c r="G54" s="21" t="str">
        <f>IF('Phytopl Count'!G54=0,"",('Phytopl Analysis'!G54*LN('Phytopl Analysis'!G54)))</f>
        <v/>
      </c>
      <c r="H54" s="21" t="str">
        <f>IF('Phytopl Count'!H54=0,"",('Phytopl Analysis'!H54*LN('Phytopl Analysis'!H54)))</f>
        <v/>
      </c>
      <c r="I54" s="58" t="str">
        <f>IF('Phytopl Count'!I54=0,"",('Phytopl Analysis'!I54*LN('Phytopl Analysis'!I54)))</f>
        <v/>
      </c>
      <c r="J54" s="58" t="str">
        <f>IF('Phytopl Count'!J54=0,"",('Phytopl Analysis'!J54*LN('Phytopl Analysis'!J54)))</f>
        <v/>
      </c>
      <c r="K54" s="21" t="str">
        <f>IF('Phytopl Count'!K54=0,"",('Phytopl Analysis'!K54*LN('Phytopl Analysis'!K54)))</f>
        <v/>
      </c>
      <c r="L54" s="21" t="str">
        <f>IF('Phytopl Count'!L54=0,"",('Phytopl Analysis'!L54*LN('Phytopl Analysis'!L54)))</f>
        <v/>
      </c>
      <c r="M54" s="58" t="str">
        <f>IF('Phytopl Count'!M54=0,"",('Phytopl Analysis'!M54*LN('Phytopl Analysis'!M54)))</f>
        <v/>
      </c>
      <c r="N54" s="58" t="str">
        <f>IF('Phytopl Count'!N54=0,"",('Phytopl Analysis'!N54*LN('Phytopl Analysis'!N54)))</f>
        <v/>
      </c>
      <c r="O54" s="21" t="str">
        <f>IF('Phytopl Count'!O54=0,"",('Phytopl Analysis'!O54*LN('Phytopl Analysis'!O54)))</f>
        <v/>
      </c>
      <c r="P54" s="21" t="str">
        <f>IF('Phytopl Count'!P54=0,"",('Phytopl Analysis'!P54*LN('Phytopl Analysis'!P54)))</f>
        <v/>
      </c>
      <c r="Q54" s="58" t="str">
        <f>IF('Phytopl Count'!Q54=0,"",('Phytopl Analysis'!Q54*LN('Phytopl Analysis'!Q54)))</f>
        <v/>
      </c>
      <c r="R54" s="58" t="str">
        <f>IF('Phytopl Count'!R54=0,"",('Phytopl Analysis'!R54*LN('Phytopl Analysis'!R54)))</f>
        <v/>
      </c>
      <c r="S54" s="21" t="str">
        <f>IF('Phytopl Count'!S54=0,"",('Phytopl Analysis'!S54*LN('Phytopl Analysis'!S54)))</f>
        <v/>
      </c>
      <c r="T54" s="21" t="str">
        <f>IF('Phytopl Count'!T54=0,"",('Phytopl Analysis'!T54*LN('Phytopl Analysis'!T54)))</f>
        <v/>
      </c>
      <c r="U54" s="58" t="str">
        <f>IF('Phytopl Count'!U54=0,"",('Phytopl Analysis'!U54*LN('Phytopl Analysis'!U54)))</f>
        <v/>
      </c>
      <c r="V54" s="58" t="str">
        <f>IF('Phytopl Count'!V54=0,"",('Phytopl Analysis'!V54*LN('Phytopl Analysis'!V54)))</f>
        <v/>
      </c>
      <c r="W54" s="21" t="str">
        <f>IF('Phytopl Count'!W54=0,"",('Phytopl Analysis'!W54*LN('Phytopl Analysis'!W54)))</f>
        <v/>
      </c>
      <c r="X54" s="21" t="str">
        <f>IF('Phytopl Count'!X54=0,"",('Phytopl Analysis'!X54*LN('Phytopl Analysis'!X54)))</f>
        <v/>
      </c>
      <c r="Y54" s="58" t="str">
        <f>IF('Phytopl Count'!Y54=0,"",('Phytopl Analysis'!Y54*LN('Phytopl Analysis'!Y54)))</f>
        <v/>
      </c>
      <c r="Z54" s="58" t="str">
        <f>IF('Phytopl Count'!Z54=0,"",('Phytopl Analysis'!Z54*LN('Phytopl Analysis'!Z54)))</f>
        <v/>
      </c>
      <c r="AA54" s="21" t="str">
        <f>IF('Phytopl Count'!AA54=0,"",('Phytopl Analysis'!AA54*LN('Phytopl Analysis'!AA54)))</f>
        <v/>
      </c>
      <c r="AB54" s="21" t="str">
        <f>IF('Phytopl Count'!AB54=0,"",('Phytopl Analysis'!AB54*LN('Phytopl Analysis'!AB54)))</f>
        <v/>
      </c>
      <c r="AC54" s="58" t="str">
        <f>IF('Phytopl Count'!AC54=0,"",('Phytopl Analysis'!AC54*LN('Phytopl Analysis'!AC54)))</f>
        <v/>
      </c>
      <c r="AD54" s="58" t="str">
        <f>IF('Phytopl Count'!AD54=0,"",('Phytopl Analysis'!AD54*LN('Phytopl Analysis'!AD54)))</f>
        <v/>
      </c>
      <c r="AE54" s="21" t="str">
        <f>IF('Phytopl Count'!AE54=0,"",('Phytopl Analysis'!AE54*LN('Phytopl Analysis'!AE54)))</f>
        <v/>
      </c>
      <c r="AF54" s="58" t="str">
        <f>IF('Phytopl Count'!AF54=0,"",('Phytopl Analysis'!AF54*LN('Phytopl Analysis'!AF54)))</f>
        <v/>
      </c>
    </row>
    <row r="55" spans="1:32">
      <c r="A55" s="4"/>
      <c r="B55" s="4"/>
      <c r="C55" s="4"/>
      <c r="D55" s="10" t="s">
        <v>5</v>
      </c>
      <c r="E55" s="101" t="s">
        <v>259</v>
      </c>
      <c r="F55" s="9"/>
      <c r="G55" s="21" t="str">
        <f>IF('Phytopl Count'!G55=0,"",('Phytopl Analysis'!G55*LN('Phytopl Analysis'!G55)))</f>
        <v/>
      </c>
      <c r="H55" s="21" t="str">
        <f>IF('Phytopl Count'!H55=0,"",('Phytopl Analysis'!H55*LN('Phytopl Analysis'!H55)))</f>
        <v/>
      </c>
      <c r="I55" s="58" t="str">
        <f>IF('Phytopl Count'!I55=0,"",('Phytopl Analysis'!I55*LN('Phytopl Analysis'!I55)))</f>
        <v/>
      </c>
      <c r="J55" s="58" t="str">
        <f>IF('Phytopl Count'!J55=0,"",('Phytopl Analysis'!J55*LN('Phytopl Analysis'!J55)))</f>
        <v/>
      </c>
      <c r="K55" s="21" t="str">
        <f>IF('Phytopl Count'!K55=0,"",('Phytopl Analysis'!K55*LN('Phytopl Analysis'!K55)))</f>
        <v/>
      </c>
      <c r="L55" s="21" t="str">
        <f>IF('Phytopl Count'!L55=0,"",('Phytopl Analysis'!L55*LN('Phytopl Analysis'!L55)))</f>
        <v/>
      </c>
      <c r="M55" s="58" t="str">
        <f>IF('Phytopl Count'!M55=0,"",('Phytopl Analysis'!M55*LN('Phytopl Analysis'!M55)))</f>
        <v/>
      </c>
      <c r="N55" s="58" t="str">
        <f>IF('Phytopl Count'!N55=0,"",('Phytopl Analysis'!N55*LN('Phytopl Analysis'!N55)))</f>
        <v/>
      </c>
      <c r="O55" s="21" t="str">
        <f>IF('Phytopl Count'!O55=0,"",('Phytopl Analysis'!O55*LN('Phytopl Analysis'!O55)))</f>
        <v/>
      </c>
      <c r="P55" s="21" t="str">
        <f>IF('Phytopl Count'!P55=0,"",('Phytopl Analysis'!P55*LN('Phytopl Analysis'!P55)))</f>
        <v/>
      </c>
      <c r="Q55" s="58" t="str">
        <f>IF('Phytopl Count'!Q55=0,"",('Phytopl Analysis'!Q55*LN('Phytopl Analysis'!Q55)))</f>
        <v/>
      </c>
      <c r="R55" s="58" t="str">
        <f>IF('Phytopl Count'!R55=0,"",('Phytopl Analysis'!R55*LN('Phytopl Analysis'!R55)))</f>
        <v/>
      </c>
      <c r="S55" s="21" t="str">
        <f>IF('Phytopl Count'!S55=0,"",('Phytopl Analysis'!S55*LN('Phytopl Analysis'!S55)))</f>
        <v/>
      </c>
      <c r="T55" s="21" t="str">
        <f>IF('Phytopl Count'!T55=0,"",('Phytopl Analysis'!T55*LN('Phytopl Analysis'!T55)))</f>
        <v/>
      </c>
      <c r="U55" s="58" t="str">
        <f>IF('Phytopl Count'!U55=0,"",('Phytopl Analysis'!U55*LN('Phytopl Analysis'!U55)))</f>
        <v/>
      </c>
      <c r="V55" s="58" t="str">
        <f>IF('Phytopl Count'!V55=0,"",('Phytopl Analysis'!V55*LN('Phytopl Analysis'!V55)))</f>
        <v/>
      </c>
      <c r="W55" s="21" t="str">
        <f>IF('Phytopl Count'!W55=0,"",('Phytopl Analysis'!W55*LN('Phytopl Analysis'!W55)))</f>
        <v/>
      </c>
      <c r="X55" s="21" t="str">
        <f>IF('Phytopl Count'!X55=0,"",('Phytopl Analysis'!X55*LN('Phytopl Analysis'!X55)))</f>
        <v/>
      </c>
      <c r="Y55" s="58" t="str">
        <f>IF('Phytopl Count'!Y55=0,"",('Phytopl Analysis'!Y55*LN('Phytopl Analysis'!Y55)))</f>
        <v/>
      </c>
      <c r="Z55" s="58" t="str">
        <f>IF('Phytopl Count'!Z55=0,"",('Phytopl Analysis'!Z55*LN('Phytopl Analysis'!Z55)))</f>
        <v/>
      </c>
      <c r="AA55" s="21" t="str">
        <f>IF('Phytopl Count'!AA55=0,"",('Phytopl Analysis'!AA55*LN('Phytopl Analysis'!AA55)))</f>
        <v/>
      </c>
      <c r="AB55" s="21" t="str">
        <f>IF('Phytopl Count'!AB55=0,"",('Phytopl Analysis'!AB55*LN('Phytopl Analysis'!AB55)))</f>
        <v/>
      </c>
      <c r="AC55" s="58" t="str">
        <f>IF('Phytopl Count'!AC55=0,"",('Phytopl Analysis'!AC55*LN('Phytopl Analysis'!AC55)))</f>
        <v/>
      </c>
      <c r="AD55" s="58" t="str">
        <f>IF('Phytopl Count'!AD55=0,"",('Phytopl Analysis'!AD55*LN('Phytopl Analysis'!AD55)))</f>
        <v/>
      </c>
      <c r="AE55" s="21" t="str">
        <f>IF('Phytopl Count'!AE55=0,"",('Phytopl Analysis'!AE55*LN('Phytopl Analysis'!AE55)))</f>
        <v/>
      </c>
      <c r="AF55" s="58" t="str">
        <f>IF('Phytopl Count'!AF55=0,"",('Phytopl Analysis'!AF55*LN('Phytopl Analysis'!AF55)))</f>
        <v/>
      </c>
    </row>
    <row r="56" spans="1:32">
      <c r="A56" s="4"/>
      <c r="B56" s="4"/>
      <c r="C56" s="4"/>
      <c r="D56" s="5"/>
      <c r="E56" s="10" t="s">
        <v>6</v>
      </c>
      <c r="F56" s="11" t="s">
        <v>260</v>
      </c>
      <c r="G56" s="21" t="str">
        <f>IF('Phytopl Count'!G56=0,"",('Phytopl Analysis'!G56*LN('Phytopl Analysis'!G56)))</f>
        <v/>
      </c>
      <c r="H56" s="21" t="str">
        <f>IF('Phytopl Count'!H56=0,"",('Phytopl Analysis'!H56*LN('Phytopl Analysis'!H56)))</f>
        <v/>
      </c>
      <c r="I56" s="58" t="str">
        <f>IF('Phytopl Count'!I56=0,"",('Phytopl Analysis'!I56*LN('Phytopl Analysis'!I56)))</f>
        <v/>
      </c>
      <c r="J56" s="58" t="str">
        <f>IF('Phytopl Count'!J56=0,"",('Phytopl Analysis'!J56*LN('Phytopl Analysis'!J56)))</f>
        <v/>
      </c>
      <c r="K56" s="21" t="str">
        <f>IF('Phytopl Count'!K56=0,"",('Phytopl Analysis'!K56*LN('Phytopl Analysis'!K56)))</f>
        <v/>
      </c>
      <c r="L56" s="21" t="str">
        <f>IF('Phytopl Count'!L56=0,"",('Phytopl Analysis'!L56*LN('Phytopl Analysis'!L56)))</f>
        <v/>
      </c>
      <c r="M56" s="58" t="str">
        <f>IF('Phytopl Count'!M56=0,"",('Phytopl Analysis'!M56*LN('Phytopl Analysis'!M56)))</f>
        <v/>
      </c>
      <c r="N56" s="58" t="str">
        <f>IF('Phytopl Count'!N56=0,"",('Phytopl Analysis'!N56*LN('Phytopl Analysis'!N56)))</f>
        <v/>
      </c>
      <c r="O56" s="21" t="str">
        <f>IF('Phytopl Count'!O56=0,"",('Phytopl Analysis'!O56*LN('Phytopl Analysis'!O56)))</f>
        <v/>
      </c>
      <c r="P56" s="21" t="str">
        <f>IF('Phytopl Count'!P56=0,"",('Phytopl Analysis'!P56*LN('Phytopl Analysis'!P56)))</f>
        <v/>
      </c>
      <c r="Q56" s="58" t="str">
        <f>IF('Phytopl Count'!Q56=0,"",('Phytopl Analysis'!Q56*LN('Phytopl Analysis'!Q56)))</f>
        <v/>
      </c>
      <c r="R56" s="58" t="str">
        <f>IF('Phytopl Count'!R56=0,"",('Phytopl Analysis'!R56*LN('Phytopl Analysis'!R56)))</f>
        <v/>
      </c>
      <c r="S56" s="21" t="str">
        <f>IF('Phytopl Count'!S56=0,"",('Phytopl Analysis'!S56*LN('Phytopl Analysis'!S56)))</f>
        <v/>
      </c>
      <c r="T56" s="21" t="str">
        <f>IF('Phytopl Count'!T56=0,"",('Phytopl Analysis'!T56*LN('Phytopl Analysis'!T56)))</f>
        <v/>
      </c>
      <c r="U56" s="58">
        <f>IF('Phytopl Count'!U56=0,"",('Phytopl Analysis'!U56*LN('Phytopl Analysis'!U56)))</f>
        <v>-0.11022075559754062</v>
      </c>
      <c r="V56" s="58" t="str">
        <f>IF('Phytopl Count'!V56=0,"",('Phytopl Analysis'!V56*LN('Phytopl Analysis'!V56)))</f>
        <v/>
      </c>
      <c r="W56" s="21" t="str">
        <f>IF('Phytopl Count'!W56=0,"",('Phytopl Analysis'!W56*LN('Phytopl Analysis'!W56)))</f>
        <v/>
      </c>
      <c r="X56" s="21" t="str">
        <f>IF('Phytopl Count'!X56=0,"",('Phytopl Analysis'!X56*LN('Phytopl Analysis'!X56)))</f>
        <v/>
      </c>
      <c r="Y56" s="58" t="str">
        <f>IF('Phytopl Count'!Y56=0,"",('Phytopl Analysis'!Y56*LN('Phytopl Analysis'!Y56)))</f>
        <v/>
      </c>
      <c r="Z56" s="58" t="str">
        <f>IF('Phytopl Count'!Z56=0,"",('Phytopl Analysis'!Z56*LN('Phytopl Analysis'!Z56)))</f>
        <v/>
      </c>
      <c r="AA56" s="21" t="str">
        <f>IF('Phytopl Count'!AA56=0,"",('Phytopl Analysis'!AA56*LN('Phytopl Analysis'!AA56)))</f>
        <v/>
      </c>
      <c r="AB56" s="21" t="str">
        <f>IF('Phytopl Count'!AB56=0,"",('Phytopl Analysis'!AB56*LN('Phytopl Analysis'!AB56)))</f>
        <v/>
      </c>
      <c r="AC56" s="58" t="str">
        <f>IF('Phytopl Count'!AC56=0,"",('Phytopl Analysis'!AC56*LN('Phytopl Analysis'!AC56)))</f>
        <v/>
      </c>
      <c r="AD56" s="58" t="str">
        <f>IF('Phytopl Count'!AD56=0,"",('Phytopl Analysis'!AD56*LN('Phytopl Analysis'!AD56)))</f>
        <v/>
      </c>
      <c r="AE56" s="21" t="str">
        <f>IF('Phytopl Count'!AE56=0,"",('Phytopl Analysis'!AE56*LN('Phytopl Analysis'!AE56)))</f>
        <v/>
      </c>
      <c r="AF56" s="58" t="str">
        <f>IF('Phytopl Count'!AF56=0,"",('Phytopl Analysis'!AF56*LN('Phytopl Analysis'!AF56)))</f>
        <v/>
      </c>
    </row>
    <row r="57" spans="1:32">
      <c r="A57" s="4"/>
      <c r="B57" s="4"/>
      <c r="C57" s="16" t="s">
        <v>73</v>
      </c>
      <c r="D57" s="4" t="s">
        <v>90</v>
      </c>
      <c r="E57" s="10"/>
      <c r="F57" s="11"/>
      <c r="G57" s="21" t="str">
        <f>IF('Phytopl Count'!G57=0,"",('Phytopl Analysis'!G57*LN('Phytopl Analysis'!G57)))</f>
        <v/>
      </c>
      <c r="H57" s="21" t="str">
        <f>IF('Phytopl Count'!H57=0,"",('Phytopl Analysis'!H57*LN('Phytopl Analysis'!H57)))</f>
        <v/>
      </c>
      <c r="I57" s="58" t="str">
        <f>IF('Phytopl Count'!I57=0,"",('Phytopl Analysis'!I57*LN('Phytopl Analysis'!I57)))</f>
        <v/>
      </c>
      <c r="J57" s="58" t="str">
        <f>IF('Phytopl Count'!J57=0,"",('Phytopl Analysis'!J57*LN('Phytopl Analysis'!J57)))</f>
        <v/>
      </c>
      <c r="K57" s="21" t="str">
        <f>IF('Phytopl Count'!K57=0,"",('Phytopl Analysis'!K57*LN('Phytopl Analysis'!K57)))</f>
        <v/>
      </c>
      <c r="L57" s="21" t="str">
        <f>IF('Phytopl Count'!L57=0,"",('Phytopl Analysis'!L57*LN('Phytopl Analysis'!L57)))</f>
        <v/>
      </c>
      <c r="M57" s="58" t="str">
        <f>IF('Phytopl Count'!M57=0,"",('Phytopl Analysis'!M57*LN('Phytopl Analysis'!M57)))</f>
        <v/>
      </c>
      <c r="N57" s="58" t="str">
        <f>IF('Phytopl Count'!N57=0,"",('Phytopl Analysis'!N57*LN('Phytopl Analysis'!N57)))</f>
        <v/>
      </c>
      <c r="O57" s="21" t="str">
        <f>IF('Phytopl Count'!O57=0,"",('Phytopl Analysis'!O57*LN('Phytopl Analysis'!O57)))</f>
        <v/>
      </c>
      <c r="P57" s="21" t="str">
        <f>IF('Phytopl Count'!P57=0,"",('Phytopl Analysis'!P57*LN('Phytopl Analysis'!P57)))</f>
        <v/>
      </c>
      <c r="Q57" s="58" t="str">
        <f>IF('Phytopl Count'!Q57=0,"",('Phytopl Analysis'!Q57*LN('Phytopl Analysis'!Q57)))</f>
        <v/>
      </c>
      <c r="R57" s="58" t="str">
        <f>IF('Phytopl Count'!R57=0,"",('Phytopl Analysis'!R57*LN('Phytopl Analysis'!R57)))</f>
        <v/>
      </c>
      <c r="S57" s="21" t="str">
        <f>IF('Phytopl Count'!S57=0,"",('Phytopl Analysis'!S57*LN('Phytopl Analysis'!S57)))</f>
        <v/>
      </c>
      <c r="T57" s="21" t="str">
        <f>IF('Phytopl Count'!T57=0,"",('Phytopl Analysis'!T57*LN('Phytopl Analysis'!T57)))</f>
        <v/>
      </c>
      <c r="U57" s="58" t="str">
        <f>IF('Phytopl Count'!U57=0,"",('Phytopl Analysis'!U57*LN('Phytopl Analysis'!U57)))</f>
        <v/>
      </c>
      <c r="V57" s="58" t="str">
        <f>IF('Phytopl Count'!V57=0,"",('Phytopl Analysis'!V57*LN('Phytopl Analysis'!V57)))</f>
        <v/>
      </c>
      <c r="W57" s="21" t="str">
        <f>IF('Phytopl Count'!W57=0,"",('Phytopl Analysis'!W57*LN('Phytopl Analysis'!W57)))</f>
        <v/>
      </c>
      <c r="X57" s="21" t="str">
        <f>IF('Phytopl Count'!X57=0,"",('Phytopl Analysis'!X57*LN('Phytopl Analysis'!X57)))</f>
        <v/>
      </c>
      <c r="Y57" s="58" t="str">
        <f>IF('Phytopl Count'!Y57=0,"",('Phytopl Analysis'!Y57*LN('Phytopl Analysis'!Y57)))</f>
        <v/>
      </c>
      <c r="Z57" s="58" t="str">
        <f>IF('Phytopl Count'!Z57=0,"",('Phytopl Analysis'!Z57*LN('Phytopl Analysis'!Z57)))</f>
        <v/>
      </c>
      <c r="AA57" s="21" t="str">
        <f>IF('Phytopl Count'!AA57=0,"",('Phytopl Analysis'!AA57*LN('Phytopl Analysis'!AA57)))</f>
        <v/>
      </c>
      <c r="AB57" s="21" t="str">
        <f>IF('Phytopl Count'!AB57=0,"",('Phytopl Analysis'!AB57*LN('Phytopl Analysis'!AB57)))</f>
        <v/>
      </c>
      <c r="AC57" s="58" t="str">
        <f>IF('Phytopl Count'!AC57=0,"",('Phytopl Analysis'!AC57*LN('Phytopl Analysis'!AC57)))</f>
        <v/>
      </c>
      <c r="AD57" s="58" t="str">
        <f>IF('Phytopl Count'!AD57=0,"",('Phytopl Analysis'!AD57*LN('Phytopl Analysis'!AD57)))</f>
        <v/>
      </c>
      <c r="AE57" s="21" t="str">
        <f>IF('Phytopl Count'!AE57=0,"",('Phytopl Analysis'!AE57*LN('Phytopl Analysis'!AE57)))</f>
        <v/>
      </c>
      <c r="AF57" s="58" t="str">
        <f>IF('Phytopl Count'!AF57=0,"",('Phytopl Analysis'!AF57*LN('Phytopl Analysis'!AF57)))</f>
        <v/>
      </c>
    </row>
    <row r="58" spans="1:32" hidden="1">
      <c r="A58" s="4"/>
      <c r="B58" s="4"/>
      <c r="C58" s="4"/>
      <c r="D58" s="10" t="s">
        <v>5</v>
      </c>
      <c r="E58" s="164" t="s">
        <v>372</v>
      </c>
      <c r="F58" s="9"/>
      <c r="G58" s="21" t="str">
        <f>IF('Phytopl Count'!G58=0,"",('Phytopl Analysis'!G58*LN('Phytopl Analysis'!G58)))</f>
        <v/>
      </c>
      <c r="H58" s="21" t="str">
        <f>IF('Phytopl Count'!H58=0,"",('Phytopl Analysis'!H58*LN('Phytopl Analysis'!H58)))</f>
        <v/>
      </c>
      <c r="I58" s="58" t="str">
        <f>IF('Phytopl Count'!I58=0,"",('Phytopl Analysis'!I58*LN('Phytopl Analysis'!I58)))</f>
        <v/>
      </c>
      <c r="J58" s="58" t="str">
        <f>IF('Phytopl Count'!J58=0,"",('Phytopl Analysis'!J58*LN('Phytopl Analysis'!J58)))</f>
        <v/>
      </c>
      <c r="K58" s="21" t="str">
        <f>IF('Phytopl Count'!K58=0,"",('Phytopl Analysis'!K58*LN('Phytopl Analysis'!K58)))</f>
        <v/>
      </c>
      <c r="L58" s="21" t="str">
        <f>IF('Phytopl Count'!L58=0,"",('Phytopl Analysis'!L58*LN('Phytopl Analysis'!L58)))</f>
        <v/>
      </c>
      <c r="M58" s="58" t="str">
        <f>IF('Phytopl Count'!M58=0,"",('Phytopl Analysis'!M58*LN('Phytopl Analysis'!M58)))</f>
        <v/>
      </c>
      <c r="N58" s="58" t="str">
        <f>IF('Phytopl Count'!N58=0,"",('Phytopl Analysis'!N58*LN('Phytopl Analysis'!N58)))</f>
        <v/>
      </c>
      <c r="O58" s="21" t="str">
        <f>IF('Phytopl Count'!O58=0,"",('Phytopl Analysis'!O58*LN('Phytopl Analysis'!O58)))</f>
        <v/>
      </c>
      <c r="P58" s="21" t="str">
        <f>IF('Phytopl Count'!P58=0,"",('Phytopl Analysis'!P58*LN('Phytopl Analysis'!P58)))</f>
        <v/>
      </c>
      <c r="Q58" s="58" t="str">
        <f>IF('Phytopl Count'!Q58=0,"",('Phytopl Analysis'!Q58*LN('Phytopl Analysis'!Q58)))</f>
        <v/>
      </c>
      <c r="R58" s="58" t="str">
        <f>IF('Phytopl Count'!R58=0,"",('Phytopl Analysis'!R58*LN('Phytopl Analysis'!R58)))</f>
        <v/>
      </c>
      <c r="S58" s="21" t="str">
        <f>IF('Phytopl Count'!S58=0,"",('Phytopl Analysis'!S58*LN('Phytopl Analysis'!S58)))</f>
        <v/>
      </c>
      <c r="T58" s="21" t="str">
        <f>IF('Phytopl Count'!T58=0,"",('Phytopl Analysis'!T58*LN('Phytopl Analysis'!T58)))</f>
        <v/>
      </c>
      <c r="U58" s="58" t="str">
        <f>IF('Phytopl Count'!U58=0,"",('Phytopl Analysis'!U58*LN('Phytopl Analysis'!U58)))</f>
        <v/>
      </c>
      <c r="V58" s="58" t="str">
        <f>IF('Phytopl Count'!V58=0,"",('Phytopl Analysis'!V58*LN('Phytopl Analysis'!V58)))</f>
        <v/>
      </c>
      <c r="W58" s="21" t="str">
        <f>IF('Phytopl Count'!W58=0,"",('Phytopl Analysis'!W58*LN('Phytopl Analysis'!W58)))</f>
        <v/>
      </c>
      <c r="X58" s="21" t="str">
        <f>IF('Phytopl Count'!X58=0,"",('Phytopl Analysis'!X58*LN('Phytopl Analysis'!X58)))</f>
        <v/>
      </c>
      <c r="Y58" s="58" t="str">
        <f>IF('Phytopl Count'!Y58=0,"",('Phytopl Analysis'!Y58*LN('Phytopl Analysis'!Y58)))</f>
        <v/>
      </c>
      <c r="Z58" s="58" t="str">
        <f>IF('Phytopl Count'!Z58=0,"",('Phytopl Analysis'!Z58*LN('Phytopl Analysis'!Z58)))</f>
        <v/>
      </c>
      <c r="AA58" s="21" t="str">
        <f>IF('Phytopl Count'!AA58=0,"",('Phytopl Analysis'!AA58*LN('Phytopl Analysis'!AA58)))</f>
        <v/>
      </c>
      <c r="AB58" s="21" t="str">
        <f>IF('Phytopl Count'!AB58=0,"",('Phytopl Analysis'!AB58*LN('Phytopl Analysis'!AB58)))</f>
        <v/>
      </c>
      <c r="AC58" s="58" t="str">
        <f>IF('Phytopl Count'!AC58=0,"",('Phytopl Analysis'!AC58*LN('Phytopl Analysis'!AC58)))</f>
        <v/>
      </c>
      <c r="AD58" s="58" t="str">
        <f>IF('Phytopl Count'!AD58=0,"",('Phytopl Analysis'!AD58*LN('Phytopl Analysis'!AD58)))</f>
        <v/>
      </c>
      <c r="AE58" s="21" t="str">
        <f>IF('Phytopl Count'!AE58=0,"",('Phytopl Analysis'!AE58*LN('Phytopl Analysis'!AE58)))</f>
        <v/>
      </c>
      <c r="AF58" s="58" t="str">
        <f>IF('Phytopl Count'!AF58=0,"",('Phytopl Analysis'!AF58*LN('Phytopl Analysis'!AF58)))</f>
        <v/>
      </c>
    </row>
    <row r="59" spans="1:32" hidden="1">
      <c r="A59" s="4"/>
      <c r="B59" s="4"/>
      <c r="C59" s="4"/>
      <c r="D59" s="5"/>
      <c r="E59" s="10" t="s">
        <v>6</v>
      </c>
      <c r="F59" s="11" t="s">
        <v>373</v>
      </c>
      <c r="G59" s="21" t="str">
        <f>IF('Phytopl Count'!G59=0,"",('Phytopl Analysis'!G59*LN('Phytopl Analysis'!G59)))</f>
        <v/>
      </c>
      <c r="H59" s="21" t="str">
        <f>IF('Phytopl Count'!H59=0,"",('Phytopl Analysis'!H59*LN('Phytopl Analysis'!H59)))</f>
        <v/>
      </c>
      <c r="I59" s="58" t="str">
        <f>IF('Phytopl Count'!I59=0,"",('Phytopl Analysis'!I59*LN('Phytopl Analysis'!I59)))</f>
        <v/>
      </c>
      <c r="J59" s="58" t="str">
        <f>IF('Phytopl Count'!J59=0,"",('Phytopl Analysis'!J59*LN('Phytopl Analysis'!J59)))</f>
        <v/>
      </c>
      <c r="K59" s="21" t="str">
        <f>IF('Phytopl Count'!K59=0,"",('Phytopl Analysis'!K59*LN('Phytopl Analysis'!K59)))</f>
        <v/>
      </c>
      <c r="L59" s="21" t="str">
        <f>IF('Phytopl Count'!L59=0,"",('Phytopl Analysis'!L59*LN('Phytopl Analysis'!L59)))</f>
        <v/>
      </c>
      <c r="M59" s="58" t="str">
        <f>IF('Phytopl Count'!M59=0,"",('Phytopl Analysis'!M59*LN('Phytopl Analysis'!M59)))</f>
        <v/>
      </c>
      <c r="N59" s="58" t="str">
        <f>IF('Phytopl Count'!N59=0,"",('Phytopl Analysis'!N59*LN('Phytopl Analysis'!N59)))</f>
        <v/>
      </c>
      <c r="O59" s="21" t="str">
        <f>IF('Phytopl Count'!O59=0,"",('Phytopl Analysis'!O59*LN('Phytopl Analysis'!O59)))</f>
        <v/>
      </c>
      <c r="P59" s="21" t="str">
        <f>IF('Phytopl Count'!P59=0,"",('Phytopl Analysis'!P59*LN('Phytopl Analysis'!P59)))</f>
        <v/>
      </c>
      <c r="Q59" s="58" t="str">
        <f>IF('Phytopl Count'!Q59=0,"",('Phytopl Analysis'!Q59*LN('Phytopl Analysis'!Q59)))</f>
        <v/>
      </c>
      <c r="R59" s="58" t="str">
        <f>IF('Phytopl Count'!R59=0,"",('Phytopl Analysis'!R59*LN('Phytopl Analysis'!R59)))</f>
        <v/>
      </c>
      <c r="S59" s="21" t="str">
        <f>IF('Phytopl Count'!S59=0,"",('Phytopl Analysis'!S59*LN('Phytopl Analysis'!S59)))</f>
        <v/>
      </c>
      <c r="T59" s="21" t="str">
        <f>IF('Phytopl Count'!T59=0,"",('Phytopl Analysis'!T59*LN('Phytopl Analysis'!T59)))</f>
        <v/>
      </c>
      <c r="U59" s="58" t="str">
        <f>IF('Phytopl Count'!U59=0,"",('Phytopl Analysis'!U59*LN('Phytopl Analysis'!U59)))</f>
        <v/>
      </c>
      <c r="V59" s="58" t="str">
        <f>IF('Phytopl Count'!V59=0,"",('Phytopl Analysis'!V59*LN('Phytopl Analysis'!V59)))</f>
        <v/>
      </c>
      <c r="W59" s="21" t="str">
        <f>IF('Phytopl Count'!W59=0,"",('Phytopl Analysis'!W59*LN('Phytopl Analysis'!W59)))</f>
        <v/>
      </c>
      <c r="X59" s="21" t="str">
        <f>IF('Phytopl Count'!X59=0,"",('Phytopl Analysis'!X59*LN('Phytopl Analysis'!X59)))</f>
        <v/>
      </c>
      <c r="Y59" s="58" t="str">
        <f>IF('Phytopl Count'!Y59=0,"",('Phytopl Analysis'!Y59*LN('Phytopl Analysis'!Y59)))</f>
        <v/>
      </c>
      <c r="Z59" s="58" t="str">
        <f>IF('Phytopl Count'!Z59=0,"",('Phytopl Analysis'!Z59*LN('Phytopl Analysis'!Z59)))</f>
        <v/>
      </c>
      <c r="AA59" s="21" t="str">
        <f>IF('Phytopl Count'!AA59=0,"",('Phytopl Analysis'!AA59*LN('Phytopl Analysis'!AA59)))</f>
        <v/>
      </c>
      <c r="AB59" s="21" t="str">
        <f>IF('Phytopl Count'!AB59=0,"",('Phytopl Analysis'!AB59*LN('Phytopl Analysis'!AB59)))</f>
        <v/>
      </c>
      <c r="AC59" s="58" t="str">
        <f>IF('Phytopl Count'!AC59=0,"",('Phytopl Analysis'!AC59*LN('Phytopl Analysis'!AC59)))</f>
        <v/>
      </c>
      <c r="AD59" s="58" t="str">
        <f>IF('Phytopl Count'!AD59=0,"",('Phytopl Analysis'!AD59*LN('Phytopl Analysis'!AD59)))</f>
        <v/>
      </c>
      <c r="AE59" s="21" t="str">
        <f>IF('Phytopl Count'!AE59=0,"",('Phytopl Analysis'!AE59*LN('Phytopl Analysis'!AE59)))</f>
        <v/>
      </c>
      <c r="AF59" s="58" t="str">
        <f>IF('Phytopl Count'!AF59=0,"",('Phytopl Analysis'!AF59*LN('Phytopl Analysis'!AF59)))</f>
        <v/>
      </c>
    </row>
    <row r="60" spans="1:32" hidden="1">
      <c r="A60" s="4"/>
      <c r="B60" s="4"/>
      <c r="C60" s="4"/>
      <c r="D60" s="10" t="s">
        <v>5</v>
      </c>
      <c r="E60" s="94" t="s">
        <v>246</v>
      </c>
      <c r="F60" s="9"/>
      <c r="G60" s="21" t="str">
        <f>IF('Phytopl Count'!G60=0,"",('Phytopl Analysis'!G60*LN('Phytopl Analysis'!G60)))</f>
        <v/>
      </c>
      <c r="H60" s="21" t="str">
        <f>IF('Phytopl Count'!H60=0,"",('Phytopl Analysis'!H60*LN('Phytopl Analysis'!H60)))</f>
        <v/>
      </c>
      <c r="I60" s="58" t="str">
        <f>IF('Phytopl Count'!I60=0,"",('Phytopl Analysis'!I60*LN('Phytopl Analysis'!I60)))</f>
        <v/>
      </c>
      <c r="J60" s="58" t="str">
        <f>IF('Phytopl Count'!J60=0,"",('Phytopl Analysis'!J60*LN('Phytopl Analysis'!J60)))</f>
        <v/>
      </c>
      <c r="K60" s="21" t="str">
        <f>IF('Phytopl Count'!K60=0,"",('Phytopl Analysis'!K60*LN('Phytopl Analysis'!K60)))</f>
        <v/>
      </c>
      <c r="L60" s="21" t="str">
        <f>IF('Phytopl Count'!L60=0,"",('Phytopl Analysis'!L60*LN('Phytopl Analysis'!L60)))</f>
        <v/>
      </c>
      <c r="M60" s="58" t="str">
        <f>IF('Phytopl Count'!M60=0,"",('Phytopl Analysis'!M60*LN('Phytopl Analysis'!M60)))</f>
        <v/>
      </c>
      <c r="N60" s="58" t="str">
        <f>IF('Phytopl Count'!N60=0,"",('Phytopl Analysis'!N60*LN('Phytopl Analysis'!N60)))</f>
        <v/>
      </c>
      <c r="O60" s="21" t="str">
        <f>IF('Phytopl Count'!O60=0,"",('Phytopl Analysis'!O60*LN('Phytopl Analysis'!O60)))</f>
        <v/>
      </c>
      <c r="P60" s="21" t="str">
        <f>IF('Phytopl Count'!P60=0,"",('Phytopl Analysis'!P60*LN('Phytopl Analysis'!P60)))</f>
        <v/>
      </c>
      <c r="Q60" s="58" t="str">
        <f>IF('Phytopl Count'!Q60=0,"",('Phytopl Analysis'!Q60*LN('Phytopl Analysis'!Q60)))</f>
        <v/>
      </c>
      <c r="R60" s="58" t="str">
        <f>IF('Phytopl Count'!R60=0,"",('Phytopl Analysis'!R60*LN('Phytopl Analysis'!R60)))</f>
        <v/>
      </c>
      <c r="S60" s="21" t="str">
        <f>IF('Phytopl Count'!S60=0,"",('Phytopl Analysis'!S60*LN('Phytopl Analysis'!S60)))</f>
        <v/>
      </c>
      <c r="T60" s="21" t="str">
        <f>IF('Phytopl Count'!T60=0,"",('Phytopl Analysis'!T60*LN('Phytopl Analysis'!T60)))</f>
        <v/>
      </c>
      <c r="U60" s="58" t="str">
        <f>IF('Phytopl Count'!U60=0,"",('Phytopl Analysis'!U60*LN('Phytopl Analysis'!U60)))</f>
        <v/>
      </c>
      <c r="V60" s="58" t="str">
        <f>IF('Phytopl Count'!V60=0,"",('Phytopl Analysis'!V60*LN('Phytopl Analysis'!V60)))</f>
        <v/>
      </c>
      <c r="W60" s="21" t="str">
        <f>IF('Phytopl Count'!W60=0,"",('Phytopl Analysis'!W60*LN('Phytopl Analysis'!W60)))</f>
        <v/>
      </c>
      <c r="X60" s="21" t="str">
        <f>IF('Phytopl Count'!X60=0,"",('Phytopl Analysis'!X60*LN('Phytopl Analysis'!X60)))</f>
        <v/>
      </c>
      <c r="Y60" s="58" t="str">
        <f>IF('Phytopl Count'!Y60=0,"",('Phytopl Analysis'!Y60*LN('Phytopl Analysis'!Y60)))</f>
        <v/>
      </c>
      <c r="Z60" s="58" t="str">
        <f>IF('Phytopl Count'!Z60=0,"",('Phytopl Analysis'!Z60*LN('Phytopl Analysis'!Z60)))</f>
        <v/>
      </c>
      <c r="AA60" s="21" t="str">
        <f>IF('Phytopl Count'!AA60=0,"",('Phytopl Analysis'!AA60*LN('Phytopl Analysis'!AA60)))</f>
        <v/>
      </c>
      <c r="AB60" s="21" t="str">
        <f>IF('Phytopl Count'!AB60=0,"",('Phytopl Analysis'!AB60*LN('Phytopl Analysis'!AB60)))</f>
        <v/>
      </c>
      <c r="AC60" s="58" t="str">
        <f>IF('Phytopl Count'!AC60=0,"",('Phytopl Analysis'!AC60*LN('Phytopl Analysis'!AC60)))</f>
        <v/>
      </c>
      <c r="AD60" s="58" t="str">
        <f>IF('Phytopl Count'!AD60=0,"",('Phytopl Analysis'!AD60*LN('Phytopl Analysis'!AD60)))</f>
        <v/>
      </c>
      <c r="AE60" s="21" t="str">
        <f>IF('Phytopl Count'!AE60=0,"",('Phytopl Analysis'!AE60*LN('Phytopl Analysis'!AE60)))</f>
        <v/>
      </c>
      <c r="AF60" s="58" t="str">
        <f>IF('Phytopl Count'!AF60=0,"",('Phytopl Analysis'!AF60*LN('Phytopl Analysis'!AF60)))</f>
        <v/>
      </c>
    </row>
    <row r="61" spans="1:32" hidden="1">
      <c r="A61" s="4"/>
      <c r="B61" s="4"/>
      <c r="C61" s="4"/>
      <c r="D61" s="5"/>
      <c r="E61" s="10" t="s">
        <v>6</v>
      </c>
      <c r="F61" s="11" t="s">
        <v>245</v>
      </c>
      <c r="G61" s="21" t="str">
        <f>IF('Phytopl Count'!G61=0,"",('Phytopl Analysis'!G61*LN('Phytopl Analysis'!G61)))</f>
        <v/>
      </c>
      <c r="H61" s="21" t="str">
        <f>IF('Phytopl Count'!H61=0,"",('Phytopl Analysis'!H61*LN('Phytopl Analysis'!H61)))</f>
        <v/>
      </c>
      <c r="I61" s="58" t="str">
        <f>IF('Phytopl Count'!I61=0,"",('Phytopl Analysis'!I61*LN('Phytopl Analysis'!I61)))</f>
        <v/>
      </c>
      <c r="J61" s="58" t="str">
        <f>IF('Phytopl Count'!J61=0,"",('Phytopl Analysis'!J61*LN('Phytopl Analysis'!J61)))</f>
        <v/>
      </c>
      <c r="K61" s="21" t="str">
        <f>IF('Phytopl Count'!K61=0,"",('Phytopl Analysis'!K61*LN('Phytopl Analysis'!K61)))</f>
        <v/>
      </c>
      <c r="L61" s="21" t="str">
        <f>IF('Phytopl Count'!L61=0,"",('Phytopl Analysis'!L61*LN('Phytopl Analysis'!L61)))</f>
        <v/>
      </c>
      <c r="M61" s="58" t="str">
        <f>IF('Phytopl Count'!M61=0,"",('Phytopl Analysis'!M61*LN('Phytopl Analysis'!M61)))</f>
        <v/>
      </c>
      <c r="N61" s="58" t="str">
        <f>IF('Phytopl Count'!N61=0,"",('Phytopl Analysis'!N61*LN('Phytopl Analysis'!N61)))</f>
        <v/>
      </c>
      <c r="O61" s="21" t="str">
        <f>IF('Phytopl Count'!O61=0,"",('Phytopl Analysis'!O61*LN('Phytopl Analysis'!O61)))</f>
        <v/>
      </c>
      <c r="P61" s="21" t="str">
        <f>IF('Phytopl Count'!P61=0,"",('Phytopl Analysis'!P61*LN('Phytopl Analysis'!P61)))</f>
        <v/>
      </c>
      <c r="Q61" s="58" t="str">
        <f>IF('Phytopl Count'!Q61=0,"",('Phytopl Analysis'!Q61*LN('Phytopl Analysis'!Q61)))</f>
        <v/>
      </c>
      <c r="R61" s="58" t="str">
        <f>IF('Phytopl Count'!R61=0,"",('Phytopl Analysis'!R61*LN('Phytopl Analysis'!R61)))</f>
        <v/>
      </c>
      <c r="S61" s="21" t="str">
        <f>IF('Phytopl Count'!S61=0,"",('Phytopl Analysis'!S61*LN('Phytopl Analysis'!S61)))</f>
        <v/>
      </c>
      <c r="T61" s="21" t="str">
        <f>IF('Phytopl Count'!T61=0,"",('Phytopl Analysis'!T61*LN('Phytopl Analysis'!T61)))</f>
        <v/>
      </c>
      <c r="U61" s="58" t="str">
        <f>IF('Phytopl Count'!U61=0,"",('Phytopl Analysis'!U61*LN('Phytopl Analysis'!U61)))</f>
        <v/>
      </c>
      <c r="V61" s="58" t="str">
        <f>IF('Phytopl Count'!V61=0,"",('Phytopl Analysis'!V61*LN('Phytopl Analysis'!V61)))</f>
        <v/>
      </c>
      <c r="W61" s="21" t="str">
        <f>IF('Phytopl Count'!W61=0,"",('Phytopl Analysis'!W61*LN('Phytopl Analysis'!W61)))</f>
        <v/>
      </c>
      <c r="X61" s="21" t="str">
        <f>IF('Phytopl Count'!X61=0,"",('Phytopl Analysis'!X61*LN('Phytopl Analysis'!X61)))</f>
        <v/>
      </c>
      <c r="Y61" s="58" t="str">
        <f>IF('Phytopl Count'!Y61=0,"",('Phytopl Analysis'!Y61*LN('Phytopl Analysis'!Y61)))</f>
        <v/>
      </c>
      <c r="Z61" s="58" t="str">
        <f>IF('Phytopl Count'!Z61=0,"",('Phytopl Analysis'!Z61*LN('Phytopl Analysis'!Z61)))</f>
        <v/>
      </c>
      <c r="AA61" s="21" t="str">
        <f>IF('Phytopl Count'!AA61=0,"",('Phytopl Analysis'!AA61*LN('Phytopl Analysis'!AA61)))</f>
        <v/>
      </c>
      <c r="AB61" s="21" t="str">
        <f>IF('Phytopl Count'!AB61=0,"",('Phytopl Analysis'!AB61*LN('Phytopl Analysis'!AB61)))</f>
        <v/>
      </c>
      <c r="AC61" s="58" t="str">
        <f>IF('Phytopl Count'!AC61=0,"",('Phytopl Analysis'!AC61*LN('Phytopl Analysis'!AC61)))</f>
        <v/>
      </c>
      <c r="AD61" s="58" t="str">
        <f>IF('Phytopl Count'!AD61=0,"",('Phytopl Analysis'!AD61*LN('Phytopl Analysis'!AD61)))</f>
        <v/>
      </c>
      <c r="AE61" s="21" t="str">
        <f>IF('Phytopl Count'!AE61=0,"",('Phytopl Analysis'!AE61*LN('Phytopl Analysis'!AE61)))</f>
        <v/>
      </c>
      <c r="AF61" s="58" t="str">
        <f>IF('Phytopl Count'!AF61=0,"",('Phytopl Analysis'!AF61*LN('Phytopl Analysis'!AF61)))</f>
        <v/>
      </c>
    </row>
    <row r="62" spans="1:32">
      <c r="A62" s="4"/>
      <c r="B62" s="4"/>
      <c r="C62" s="4"/>
      <c r="D62" s="10" t="s">
        <v>5</v>
      </c>
      <c r="E62" s="5" t="s">
        <v>37</v>
      </c>
      <c r="F62" s="9"/>
      <c r="G62" s="21" t="str">
        <f>IF('Phytopl Count'!G62=0,"",('Phytopl Analysis'!G62*LN('Phytopl Analysis'!G62)))</f>
        <v/>
      </c>
      <c r="H62" s="21" t="str">
        <f>IF('Phytopl Count'!H62=0,"",('Phytopl Analysis'!H62*LN('Phytopl Analysis'!H62)))</f>
        <v/>
      </c>
      <c r="I62" s="58" t="str">
        <f>IF('Phytopl Count'!I62=0,"",('Phytopl Analysis'!I62*LN('Phytopl Analysis'!I62)))</f>
        <v/>
      </c>
      <c r="J62" s="58" t="str">
        <f>IF('Phytopl Count'!J62=0,"",('Phytopl Analysis'!J62*LN('Phytopl Analysis'!J62)))</f>
        <v/>
      </c>
      <c r="K62" s="21" t="str">
        <f>IF('Phytopl Count'!K62=0,"",('Phytopl Analysis'!K62*LN('Phytopl Analysis'!K62)))</f>
        <v/>
      </c>
      <c r="L62" s="21" t="str">
        <f>IF('Phytopl Count'!L62=0,"",('Phytopl Analysis'!L62*LN('Phytopl Analysis'!L62)))</f>
        <v/>
      </c>
      <c r="M62" s="58" t="str">
        <f>IF('Phytopl Count'!M62=0,"",('Phytopl Analysis'!M62*LN('Phytopl Analysis'!M62)))</f>
        <v/>
      </c>
      <c r="N62" s="58" t="str">
        <f>IF('Phytopl Count'!N62=0,"",('Phytopl Analysis'!N62*LN('Phytopl Analysis'!N62)))</f>
        <v/>
      </c>
      <c r="O62" s="21" t="str">
        <f>IF('Phytopl Count'!O62=0,"",('Phytopl Analysis'!O62*LN('Phytopl Analysis'!O62)))</f>
        <v/>
      </c>
      <c r="P62" s="21" t="str">
        <f>IF('Phytopl Count'!P62=0,"",('Phytopl Analysis'!P62*LN('Phytopl Analysis'!P62)))</f>
        <v/>
      </c>
      <c r="Q62" s="58" t="str">
        <f>IF('Phytopl Count'!Q62=0,"",('Phytopl Analysis'!Q62*LN('Phytopl Analysis'!Q62)))</f>
        <v/>
      </c>
      <c r="R62" s="58" t="str">
        <f>IF('Phytopl Count'!R62=0,"",('Phytopl Analysis'!R62*LN('Phytopl Analysis'!R62)))</f>
        <v/>
      </c>
      <c r="S62" s="21" t="str">
        <f>IF('Phytopl Count'!S62=0,"",('Phytopl Analysis'!S62*LN('Phytopl Analysis'!S62)))</f>
        <v/>
      </c>
      <c r="T62" s="21" t="str">
        <f>IF('Phytopl Count'!T62=0,"",('Phytopl Analysis'!T62*LN('Phytopl Analysis'!T62)))</f>
        <v/>
      </c>
      <c r="U62" s="58" t="str">
        <f>IF('Phytopl Count'!U62=0,"",('Phytopl Analysis'!U62*LN('Phytopl Analysis'!U62)))</f>
        <v/>
      </c>
      <c r="V62" s="58" t="str">
        <f>IF('Phytopl Count'!V62=0,"",('Phytopl Analysis'!V62*LN('Phytopl Analysis'!V62)))</f>
        <v/>
      </c>
      <c r="W62" s="21" t="str">
        <f>IF('Phytopl Count'!W62=0,"",('Phytopl Analysis'!W62*LN('Phytopl Analysis'!W62)))</f>
        <v/>
      </c>
      <c r="X62" s="21" t="str">
        <f>IF('Phytopl Count'!X62=0,"",('Phytopl Analysis'!X62*LN('Phytopl Analysis'!X62)))</f>
        <v/>
      </c>
      <c r="Y62" s="58" t="str">
        <f>IF('Phytopl Count'!Y62=0,"",('Phytopl Analysis'!Y62*LN('Phytopl Analysis'!Y62)))</f>
        <v/>
      </c>
      <c r="Z62" s="58" t="str">
        <f>IF('Phytopl Count'!Z62=0,"",('Phytopl Analysis'!Z62*LN('Phytopl Analysis'!Z62)))</f>
        <v/>
      </c>
      <c r="AA62" s="21" t="str">
        <f>IF('Phytopl Count'!AA62=0,"",('Phytopl Analysis'!AA62*LN('Phytopl Analysis'!AA62)))</f>
        <v/>
      </c>
      <c r="AB62" s="21" t="str">
        <f>IF('Phytopl Count'!AB62=0,"",('Phytopl Analysis'!AB62*LN('Phytopl Analysis'!AB62)))</f>
        <v/>
      </c>
      <c r="AC62" s="58" t="str">
        <f>IF('Phytopl Count'!AC62=0,"",('Phytopl Analysis'!AC62*LN('Phytopl Analysis'!AC62)))</f>
        <v/>
      </c>
      <c r="AD62" s="58" t="str">
        <f>IF('Phytopl Count'!AD62=0,"",('Phytopl Analysis'!AD62*LN('Phytopl Analysis'!AD62)))</f>
        <v/>
      </c>
      <c r="AE62" s="21" t="str">
        <f>IF('Phytopl Count'!AE62=0,"",('Phytopl Analysis'!AE62*LN('Phytopl Analysis'!AE62)))</f>
        <v/>
      </c>
      <c r="AF62" s="58" t="str">
        <f>IF('Phytopl Count'!AF62=0,"",('Phytopl Analysis'!AF62*LN('Phytopl Analysis'!AF62)))</f>
        <v/>
      </c>
    </row>
    <row r="63" spans="1:32" hidden="1">
      <c r="A63" s="4"/>
      <c r="B63" s="4"/>
      <c r="C63" s="4"/>
      <c r="D63" s="10"/>
      <c r="F63" s="11" t="s">
        <v>341</v>
      </c>
      <c r="G63" s="21" t="str">
        <f>IF('Phytopl Count'!G63=0,"",('Phytopl Analysis'!G63*LN('Phytopl Analysis'!G63)))</f>
        <v/>
      </c>
      <c r="H63" s="21" t="str">
        <f>IF('Phytopl Count'!H63=0,"",('Phytopl Analysis'!H63*LN('Phytopl Analysis'!H63)))</f>
        <v/>
      </c>
      <c r="I63" s="58" t="str">
        <f>IF('Phytopl Count'!I63=0,"",('Phytopl Analysis'!I63*LN('Phytopl Analysis'!I63)))</f>
        <v/>
      </c>
      <c r="J63" s="58" t="str">
        <f>IF('Phytopl Count'!J63=0,"",('Phytopl Analysis'!J63*LN('Phytopl Analysis'!J63)))</f>
        <v/>
      </c>
      <c r="K63" s="21" t="str">
        <f>IF('Phytopl Count'!K63=0,"",('Phytopl Analysis'!K63*LN('Phytopl Analysis'!K63)))</f>
        <v/>
      </c>
      <c r="L63" s="21" t="str">
        <f>IF('Phytopl Count'!L63=0,"",('Phytopl Analysis'!L63*LN('Phytopl Analysis'!L63)))</f>
        <v/>
      </c>
      <c r="M63" s="58" t="str">
        <f>IF('Phytopl Count'!M63=0,"",('Phytopl Analysis'!M63*LN('Phytopl Analysis'!M63)))</f>
        <v/>
      </c>
      <c r="N63" s="58" t="str">
        <f>IF('Phytopl Count'!N63=0,"",('Phytopl Analysis'!N63*LN('Phytopl Analysis'!N63)))</f>
        <v/>
      </c>
      <c r="O63" s="21" t="str">
        <f>IF('Phytopl Count'!O63=0,"",('Phytopl Analysis'!O63*LN('Phytopl Analysis'!O63)))</f>
        <v/>
      </c>
      <c r="P63" s="21" t="str">
        <f>IF('Phytopl Count'!P63=0,"",('Phytopl Analysis'!P63*LN('Phytopl Analysis'!P63)))</f>
        <v/>
      </c>
      <c r="Q63" s="58" t="str">
        <f>IF('Phytopl Count'!Q63=0,"",('Phytopl Analysis'!Q63*LN('Phytopl Analysis'!Q63)))</f>
        <v/>
      </c>
      <c r="R63" s="58" t="str">
        <f>IF('Phytopl Count'!R63=0,"",('Phytopl Analysis'!R63*LN('Phytopl Analysis'!R63)))</f>
        <v/>
      </c>
      <c r="S63" s="21" t="str">
        <f>IF('Phytopl Count'!S63=0,"",('Phytopl Analysis'!S63*LN('Phytopl Analysis'!S63)))</f>
        <v/>
      </c>
      <c r="T63" s="21" t="str">
        <f>IF('Phytopl Count'!T63=0,"",('Phytopl Analysis'!T63*LN('Phytopl Analysis'!T63)))</f>
        <v/>
      </c>
      <c r="U63" s="58" t="str">
        <f>IF('Phytopl Count'!U63=0,"",('Phytopl Analysis'!U63*LN('Phytopl Analysis'!U63)))</f>
        <v/>
      </c>
      <c r="V63" s="58" t="str">
        <f>IF('Phytopl Count'!V63=0,"",('Phytopl Analysis'!V63*LN('Phytopl Analysis'!V63)))</f>
        <v/>
      </c>
      <c r="W63" s="21" t="str">
        <f>IF('Phytopl Count'!W63=0,"",('Phytopl Analysis'!W63*LN('Phytopl Analysis'!W63)))</f>
        <v/>
      </c>
      <c r="X63" s="21" t="str">
        <f>IF('Phytopl Count'!X63=0,"",('Phytopl Analysis'!X63*LN('Phytopl Analysis'!X63)))</f>
        <v/>
      </c>
      <c r="Y63" s="58" t="str">
        <f>IF('Phytopl Count'!Y63=0,"",('Phytopl Analysis'!Y63*LN('Phytopl Analysis'!Y63)))</f>
        <v/>
      </c>
      <c r="Z63" s="58" t="str">
        <f>IF('Phytopl Count'!Z63=0,"",('Phytopl Analysis'!Z63*LN('Phytopl Analysis'!Z63)))</f>
        <v/>
      </c>
      <c r="AA63" s="21" t="str">
        <f>IF('Phytopl Count'!AA63=0,"",('Phytopl Analysis'!AA63*LN('Phytopl Analysis'!AA63)))</f>
        <v/>
      </c>
      <c r="AB63" s="21" t="str">
        <f>IF('Phytopl Count'!AB63=0,"",('Phytopl Analysis'!AB63*LN('Phytopl Analysis'!AB63)))</f>
        <v/>
      </c>
      <c r="AC63" s="58" t="str">
        <f>IF('Phytopl Count'!AC63=0,"",('Phytopl Analysis'!AC63*LN('Phytopl Analysis'!AC63)))</f>
        <v/>
      </c>
      <c r="AD63" s="58" t="str">
        <f>IF('Phytopl Count'!AD63=0,"",('Phytopl Analysis'!AD63*LN('Phytopl Analysis'!AD63)))</f>
        <v/>
      </c>
      <c r="AE63" s="21" t="str">
        <f>IF('Phytopl Count'!AE63=0,"",('Phytopl Analysis'!AE63*LN('Phytopl Analysis'!AE63)))</f>
        <v/>
      </c>
      <c r="AF63" s="58" t="str">
        <f>IF('Phytopl Count'!AF63=0,"",('Phytopl Analysis'!AF63*LN('Phytopl Analysis'!AF63)))</f>
        <v/>
      </c>
    </row>
    <row r="64" spans="1:32">
      <c r="A64" s="4"/>
      <c r="B64" s="4"/>
      <c r="C64" s="4"/>
      <c r="D64" s="5"/>
      <c r="E64" s="10" t="s">
        <v>6</v>
      </c>
      <c r="F64" s="11" t="s">
        <v>309</v>
      </c>
      <c r="G64" s="21" t="str">
        <f>IF('Phytopl Count'!G64=0,"",('Phytopl Analysis'!G64*LN('Phytopl Analysis'!G64)))</f>
        <v/>
      </c>
      <c r="H64" s="21" t="str">
        <f>IF('Phytopl Count'!H64=0,"",('Phytopl Analysis'!H64*LN('Phytopl Analysis'!H64)))</f>
        <v/>
      </c>
      <c r="I64" s="58" t="str">
        <f>IF('Phytopl Count'!I64=0,"",('Phytopl Analysis'!I64*LN('Phytopl Analysis'!I64)))</f>
        <v/>
      </c>
      <c r="J64" s="58" t="str">
        <f>IF('Phytopl Count'!J64=0,"",('Phytopl Analysis'!J64*LN('Phytopl Analysis'!J64)))</f>
        <v/>
      </c>
      <c r="K64" s="21">
        <f>IF('Phytopl Count'!K64=0,"",('Phytopl Analysis'!K64*LN('Phytopl Analysis'!K64)))</f>
        <v>-0.17603686210775515</v>
      </c>
      <c r="L64" s="21" t="str">
        <f>IF('Phytopl Count'!L64=0,"",('Phytopl Analysis'!L64*LN('Phytopl Analysis'!L64)))</f>
        <v/>
      </c>
      <c r="M64" s="58">
        <f>IF('Phytopl Count'!M64=0,"",('Phytopl Analysis'!M64*LN('Phytopl Analysis'!M64)))</f>
        <v>-0.12884150444391032</v>
      </c>
      <c r="N64" s="58">
        <f>IF('Phytopl Count'!N64=0,"",('Phytopl Analysis'!N64*LN('Phytopl Analysis'!N64)))</f>
        <v>-0.1458498424659852</v>
      </c>
      <c r="O64" s="21">
        <f>IF('Phytopl Count'!O64=0,"",('Phytopl Analysis'!O64*LN('Phytopl Analysis'!O64)))</f>
        <v>-0.17603686210775515</v>
      </c>
      <c r="P64" s="21" t="str">
        <f>IF('Phytopl Count'!P64=0,"",('Phytopl Analysis'!P64*LN('Phytopl Analysis'!P64)))</f>
        <v/>
      </c>
      <c r="Q64" s="58">
        <f>IF('Phytopl Count'!Q64=0,"",('Phytopl Analysis'!Q64*LN('Phytopl Analysis'!Q64)))</f>
        <v>-0.20217719752866301</v>
      </c>
      <c r="R64" s="58" t="str">
        <f>IF('Phytopl Count'!R64=0,"",('Phytopl Analysis'!R64*LN('Phytopl Analysis'!R64)))</f>
        <v/>
      </c>
      <c r="S64" s="21" t="str">
        <f>IF('Phytopl Count'!S64=0,"",('Phytopl Analysis'!S64*LN('Phytopl Analysis'!S64)))</f>
        <v/>
      </c>
      <c r="T64" s="21" t="str">
        <f>IF('Phytopl Count'!T64=0,"",('Phytopl Analysis'!T64*LN('Phytopl Analysis'!T64)))</f>
        <v/>
      </c>
      <c r="U64" s="58" t="str">
        <f>IF('Phytopl Count'!U64=0,"",('Phytopl Analysis'!U64*LN('Phytopl Analysis'!U64)))</f>
        <v/>
      </c>
      <c r="V64" s="58" t="str">
        <f>IF('Phytopl Count'!V64=0,"",('Phytopl Analysis'!V64*LN('Phytopl Analysis'!V64)))</f>
        <v/>
      </c>
      <c r="W64" s="21">
        <f>IF('Phytopl Count'!W64=0,"",('Phytopl Analysis'!W64*LN('Phytopl Analysis'!W64)))</f>
        <v>-0.22509271130098124</v>
      </c>
      <c r="X64" s="21" t="str">
        <f>IF('Phytopl Count'!X64=0,"",('Phytopl Analysis'!X64*LN('Phytopl Analysis'!X64)))</f>
        <v/>
      </c>
      <c r="Y64" s="58" t="str">
        <f>IF('Phytopl Count'!Y64=0,"",('Phytopl Analysis'!Y64*LN('Phytopl Analysis'!Y64)))</f>
        <v/>
      </c>
      <c r="Z64" s="58" t="str">
        <f>IF('Phytopl Count'!Z64=0,"",('Phytopl Analysis'!Z64*LN('Phytopl Analysis'!Z64)))</f>
        <v/>
      </c>
      <c r="AA64" s="21" t="str">
        <f>IF('Phytopl Count'!AA64=0,"",('Phytopl Analysis'!AA64*LN('Phytopl Analysis'!AA64)))</f>
        <v/>
      </c>
      <c r="AB64" s="21">
        <f>IF('Phytopl Count'!AB64=0,"",('Phytopl Analysis'!AB64*LN('Phytopl Analysis'!AB64)))</f>
        <v>-0.12884150444391032</v>
      </c>
      <c r="AC64" s="58" t="str">
        <f>IF('Phytopl Count'!AC64=0,"",('Phytopl Analysis'!AC64*LN('Phytopl Analysis'!AC64)))</f>
        <v/>
      </c>
      <c r="AD64" s="58">
        <f>IF('Phytopl Count'!AD64=0,"",('Phytopl Analysis'!AD64*LN('Phytopl Analysis'!AD64)))</f>
        <v>-0.17603686210775515</v>
      </c>
      <c r="AE64" s="21">
        <f>IF('Phytopl Count'!AE64=0,"",('Phytopl Analysis'!AE64*LN('Phytopl Analysis'!AE64)))</f>
        <v>-8.9576664640739892E-2</v>
      </c>
      <c r="AF64" s="58" t="str">
        <f>IF('Phytopl Count'!AF64=0,"",('Phytopl Analysis'!AF64*LN('Phytopl Analysis'!AF64)))</f>
        <v/>
      </c>
    </row>
    <row r="65" spans="1:32" hidden="1">
      <c r="A65" s="4"/>
      <c r="B65" s="4"/>
      <c r="C65" s="4"/>
      <c r="D65" s="5"/>
      <c r="E65" s="10"/>
      <c r="F65" s="11" t="s">
        <v>38</v>
      </c>
      <c r="G65" s="21" t="str">
        <f>IF('Phytopl Count'!G65=0,"",('Phytopl Analysis'!G65*LN('Phytopl Analysis'!G65)))</f>
        <v/>
      </c>
      <c r="H65" s="21" t="str">
        <f>IF('Phytopl Count'!H65=0,"",('Phytopl Analysis'!H65*LN('Phytopl Analysis'!H65)))</f>
        <v/>
      </c>
      <c r="I65" s="58" t="str">
        <f>IF('Phytopl Count'!I65=0,"",('Phytopl Analysis'!I65*LN('Phytopl Analysis'!I65)))</f>
        <v/>
      </c>
      <c r="J65" s="58" t="str">
        <f>IF('Phytopl Count'!J65=0,"",('Phytopl Analysis'!J65*LN('Phytopl Analysis'!J65)))</f>
        <v/>
      </c>
      <c r="K65" s="21" t="str">
        <f>IF('Phytopl Count'!K65=0,"",('Phytopl Analysis'!K65*LN('Phytopl Analysis'!K65)))</f>
        <v/>
      </c>
      <c r="L65" s="21" t="str">
        <f>IF('Phytopl Count'!L65=0,"",('Phytopl Analysis'!L65*LN('Phytopl Analysis'!L65)))</f>
        <v/>
      </c>
      <c r="M65" s="58" t="str">
        <f>IF('Phytopl Count'!M65=0,"",('Phytopl Analysis'!M65*LN('Phytopl Analysis'!M65)))</f>
        <v/>
      </c>
      <c r="N65" s="58" t="str">
        <f>IF('Phytopl Count'!N65=0,"",('Phytopl Analysis'!N65*LN('Phytopl Analysis'!N65)))</f>
        <v/>
      </c>
      <c r="O65" s="21" t="str">
        <f>IF('Phytopl Count'!O65=0,"",('Phytopl Analysis'!O65*LN('Phytopl Analysis'!O65)))</f>
        <v/>
      </c>
      <c r="P65" s="21" t="str">
        <f>IF('Phytopl Count'!P65=0,"",('Phytopl Analysis'!P65*LN('Phytopl Analysis'!P65)))</f>
        <v/>
      </c>
      <c r="Q65" s="58" t="str">
        <f>IF('Phytopl Count'!Q65=0,"",('Phytopl Analysis'!Q65*LN('Phytopl Analysis'!Q65)))</f>
        <v/>
      </c>
      <c r="R65" s="58" t="str">
        <f>IF('Phytopl Count'!R65=0,"",('Phytopl Analysis'!R65*LN('Phytopl Analysis'!R65)))</f>
        <v/>
      </c>
      <c r="S65" s="21" t="str">
        <f>IF('Phytopl Count'!S65=0,"",('Phytopl Analysis'!S65*LN('Phytopl Analysis'!S65)))</f>
        <v/>
      </c>
      <c r="T65" s="21" t="str">
        <f>IF('Phytopl Count'!T65=0,"",('Phytopl Analysis'!T65*LN('Phytopl Analysis'!T65)))</f>
        <v/>
      </c>
      <c r="U65" s="58" t="str">
        <f>IF('Phytopl Count'!U65=0,"",('Phytopl Analysis'!U65*LN('Phytopl Analysis'!U65)))</f>
        <v/>
      </c>
      <c r="V65" s="58" t="str">
        <f>IF('Phytopl Count'!V65=0,"",('Phytopl Analysis'!V65*LN('Phytopl Analysis'!V65)))</f>
        <v/>
      </c>
      <c r="W65" s="21" t="str">
        <f>IF('Phytopl Count'!W65=0,"",('Phytopl Analysis'!W65*LN('Phytopl Analysis'!W65)))</f>
        <v/>
      </c>
      <c r="X65" s="21" t="str">
        <f>IF('Phytopl Count'!X65=0,"",('Phytopl Analysis'!X65*LN('Phytopl Analysis'!X65)))</f>
        <v/>
      </c>
      <c r="Y65" s="58" t="str">
        <f>IF('Phytopl Count'!Y65=0,"",('Phytopl Analysis'!Y65*LN('Phytopl Analysis'!Y65)))</f>
        <v/>
      </c>
      <c r="Z65" s="58" t="str">
        <f>IF('Phytopl Count'!Z65=0,"",('Phytopl Analysis'!Z65*LN('Phytopl Analysis'!Z65)))</f>
        <v/>
      </c>
      <c r="AA65" s="21" t="str">
        <f>IF('Phytopl Count'!AA65=0,"",('Phytopl Analysis'!AA65*LN('Phytopl Analysis'!AA65)))</f>
        <v/>
      </c>
      <c r="AB65" s="21" t="str">
        <f>IF('Phytopl Count'!AB65=0,"",('Phytopl Analysis'!AB65*LN('Phytopl Analysis'!AB65)))</f>
        <v/>
      </c>
      <c r="AC65" s="58" t="str">
        <f>IF('Phytopl Count'!AC65=0,"",('Phytopl Analysis'!AC65*LN('Phytopl Analysis'!AC65)))</f>
        <v/>
      </c>
      <c r="AD65" s="58" t="str">
        <f>IF('Phytopl Count'!AD65=0,"",('Phytopl Analysis'!AD65*LN('Phytopl Analysis'!AD65)))</f>
        <v/>
      </c>
      <c r="AE65" s="21" t="str">
        <f>IF('Phytopl Count'!AE65=0,"",('Phytopl Analysis'!AE65*LN('Phytopl Analysis'!AE65)))</f>
        <v/>
      </c>
      <c r="AF65" s="58" t="str">
        <f>IF('Phytopl Count'!AF65=0,"",('Phytopl Analysis'!AF65*LN('Phytopl Analysis'!AF65)))</f>
        <v/>
      </c>
    </row>
    <row r="66" spans="1:32" hidden="1">
      <c r="A66" s="4"/>
      <c r="B66" s="4"/>
      <c r="C66" s="4"/>
      <c r="D66" s="10" t="s">
        <v>5</v>
      </c>
      <c r="E66" s="104" t="s">
        <v>266</v>
      </c>
      <c r="F66" s="11"/>
      <c r="G66" s="21" t="str">
        <f>IF('Phytopl Count'!G66=0,"",('Phytopl Analysis'!G66*LN('Phytopl Analysis'!G66)))</f>
        <v/>
      </c>
      <c r="H66" s="21" t="str">
        <f>IF('Phytopl Count'!H66=0,"",('Phytopl Analysis'!H66*LN('Phytopl Analysis'!H66)))</f>
        <v/>
      </c>
      <c r="I66" s="58" t="str">
        <f>IF('Phytopl Count'!I66=0,"",('Phytopl Analysis'!I66*LN('Phytopl Analysis'!I66)))</f>
        <v/>
      </c>
      <c r="J66" s="58" t="str">
        <f>IF('Phytopl Count'!J66=0,"",('Phytopl Analysis'!J66*LN('Phytopl Analysis'!J66)))</f>
        <v/>
      </c>
      <c r="K66" s="21" t="str">
        <f>IF('Phytopl Count'!K66=0,"",('Phytopl Analysis'!K66*LN('Phytopl Analysis'!K66)))</f>
        <v/>
      </c>
      <c r="L66" s="21" t="str">
        <f>IF('Phytopl Count'!L66=0,"",('Phytopl Analysis'!L66*LN('Phytopl Analysis'!L66)))</f>
        <v/>
      </c>
      <c r="M66" s="58" t="str">
        <f>IF('Phytopl Count'!M66=0,"",('Phytopl Analysis'!M66*LN('Phytopl Analysis'!M66)))</f>
        <v/>
      </c>
      <c r="N66" s="58" t="str">
        <f>IF('Phytopl Count'!N66=0,"",('Phytopl Analysis'!N66*LN('Phytopl Analysis'!N66)))</f>
        <v/>
      </c>
      <c r="O66" s="21" t="str">
        <f>IF('Phytopl Count'!O66=0,"",('Phytopl Analysis'!O66*LN('Phytopl Analysis'!O66)))</f>
        <v/>
      </c>
      <c r="P66" s="21" t="str">
        <f>IF('Phytopl Count'!P66=0,"",('Phytopl Analysis'!P66*LN('Phytopl Analysis'!P66)))</f>
        <v/>
      </c>
      <c r="Q66" s="58" t="str">
        <f>IF('Phytopl Count'!Q66=0,"",('Phytopl Analysis'!Q66*LN('Phytopl Analysis'!Q66)))</f>
        <v/>
      </c>
      <c r="R66" s="58" t="str">
        <f>IF('Phytopl Count'!R66=0,"",('Phytopl Analysis'!R66*LN('Phytopl Analysis'!R66)))</f>
        <v/>
      </c>
      <c r="S66" s="21" t="str">
        <f>IF('Phytopl Count'!S66=0,"",('Phytopl Analysis'!S66*LN('Phytopl Analysis'!S66)))</f>
        <v/>
      </c>
      <c r="T66" s="21" t="str">
        <f>IF('Phytopl Count'!T66=0,"",('Phytopl Analysis'!T66*LN('Phytopl Analysis'!T66)))</f>
        <v/>
      </c>
      <c r="U66" s="58" t="str">
        <f>IF('Phytopl Count'!U66=0,"",('Phytopl Analysis'!U66*LN('Phytopl Analysis'!U66)))</f>
        <v/>
      </c>
      <c r="V66" s="58" t="str">
        <f>IF('Phytopl Count'!V66=0,"",('Phytopl Analysis'!V66*LN('Phytopl Analysis'!V66)))</f>
        <v/>
      </c>
      <c r="W66" s="21" t="str">
        <f>IF('Phytopl Count'!W66=0,"",('Phytopl Analysis'!W66*LN('Phytopl Analysis'!W66)))</f>
        <v/>
      </c>
      <c r="X66" s="21" t="str">
        <f>IF('Phytopl Count'!X66=0,"",('Phytopl Analysis'!X66*LN('Phytopl Analysis'!X66)))</f>
        <v/>
      </c>
      <c r="Y66" s="58" t="str">
        <f>IF('Phytopl Count'!Y66=0,"",('Phytopl Analysis'!Y66*LN('Phytopl Analysis'!Y66)))</f>
        <v/>
      </c>
      <c r="Z66" s="58" t="str">
        <f>IF('Phytopl Count'!Z66=0,"",('Phytopl Analysis'!Z66*LN('Phytopl Analysis'!Z66)))</f>
        <v/>
      </c>
      <c r="AA66" s="21" t="str">
        <f>IF('Phytopl Count'!AA66=0,"",('Phytopl Analysis'!AA66*LN('Phytopl Analysis'!AA66)))</f>
        <v/>
      </c>
      <c r="AB66" s="21" t="str">
        <f>IF('Phytopl Count'!AB66=0,"",('Phytopl Analysis'!AB66*LN('Phytopl Analysis'!AB66)))</f>
        <v/>
      </c>
      <c r="AC66" s="58" t="str">
        <f>IF('Phytopl Count'!AC66=0,"",('Phytopl Analysis'!AC66*LN('Phytopl Analysis'!AC66)))</f>
        <v/>
      </c>
      <c r="AD66" s="58" t="str">
        <f>IF('Phytopl Count'!AD66=0,"",('Phytopl Analysis'!AD66*LN('Phytopl Analysis'!AD66)))</f>
        <v/>
      </c>
      <c r="AE66" s="21" t="str">
        <f>IF('Phytopl Count'!AE66=0,"",('Phytopl Analysis'!AE66*LN('Phytopl Analysis'!AE66)))</f>
        <v/>
      </c>
      <c r="AF66" s="58" t="str">
        <f>IF('Phytopl Count'!AF66=0,"",('Phytopl Analysis'!AF66*LN('Phytopl Analysis'!AF66)))</f>
        <v/>
      </c>
    </row>
    <row r="67" spans="1:32" hidden="1">
      <c r="A67" s="4"/>
      <c r="B67" s="4"/>
      <c r="C67" s="4"/>
      <c r="D67" s="5"/>
      <c r="E67" s="10" t="s">
        <v>6</v>
      </c>
      <c r="F67" s="11" t="s">
        <v>267</v>
      </c>
      <c r="G67" s="21" t="str">
        <f>IF('Phytopl Count'!G67=0,"",('Phytopl Analysis'!G67*LN('Phytopl Analysis'!G67)))</f>
        <v/>
      </c>
      <c r="H67" s="21" t="str">
        <f>IF('Phytopl Count'!H67=0,"",('Phytopl Analysis'!H67*LN('Phytopl Analysis'!H67)))</f>
        <v/>
      </c>
      <c r="I67" s="58" t="str">
        <f>IF('Phytopl Count'!I67=0,"",('Phytopl Analysis'!I67*LN('Phytopl Analysis'!I67)))</f>
        <v/>
      </c>
      <c r="J67" s="58" t="str">
        <f>IF('Phytopl Count'!J67=0,"",('Phytopl Analysis'!J67*LN('Phytopl Analysis'!J67)))</f>
        <v/>
      </c>
      <c r="K67" s="21" t="str">
        <f>IF('Phytopl Count'!K67=0,"",('Phytopl Analysis'!K67*LN('Phytopl Analysis'!K67)))</f>
        <v/>
      </c>
      <c r="L67" s="21" t="str">
        <f>IF('Phytopl Count'!L67=0,"",('Phytopl Analysis'!L67*LN('Phytopl Analysis'!L67)))</f>
        <v/>
      </c>
      <c r="M67" s="58" t="str">
        <f>IF('Phytopl Count'!M67=0,"",('Phytopl Analysis'!M67*LN('Phytopl Analysis'!M67)))</f>
        <v/>
      </c>
      <c r="N67" s="58" t="str">
        <f>IF('Phytopl Count'!N67=0,"",('Phytopl Analysis'!N67*LN('Phytopl Analysis'!N67)))</f>
        <v/>
      </c>
      <c r="O67" s="21" t="str">
        <f>IF('Phytopl Count'!O67=0,"",('Phytopl Analysis'!O67*LN('Phytopl Analysis'!O67)))</f>
        <v/>
      </c>
      <c r="P67" s="21" t="str">
        <f>IF('Phytopl Count'!P67=0,"",('Phytopl Analysis'!P67*LN('Phytopl Analysis'!P67)))</f>
        <v/>
      </c>
      <c r="Q67" s="58" t="str">
        <f>IF('Phytopl Count'!Q67=0,"",('Phytopl Analysis'!Q67*LN('Phytopl Analysis'!Q67)))</f>
        <v/>
      </c>
      <c r="R67" s="58" t="str">
        <f>IF('Phytopl Count'!R67=0,"",('Phytopl Analysis'!R67*LN('Phytopl Analysis'!R67)))</f>
        <v/>
      </c>
      <c r="S67" s="21" t="str">
        <f>IF('Phytopl Count'!S67=0,"",('Phytopl Analysis'!S67*LN('Phytopl Analysis'!S67)))</f>
        <v/>
      </c>
      <c r="T67" s="21" t="str">
        <f>IF('Phytopl Count'!T67=0,"",('Phytopl Analysis'!T67*LN('Phytopl Analysis'!T67)))</f>
        <v/>
      </c>
      <c r="U67" s="58" t="str">
        <f>IF('Phytopl Count'!U67=0,"",('Phytopl Analysis'!U67*LN('Phytopl Analysis'!U67)))</f>
        <v/>
      </c>
      <c r="V67" s="58" t="str">
        <f>IF('Phytopl Count'!V67=0,"",('Phytopl Analysis'!V67*LN('Phytopl Analysis'!V67)))</f>
        <v/>
      </c>
      <c r="W67" s="21" t="str">
        <f>IF('Phytopl Count'!W67=0,"",('Phytopl Analysis'!W67*LN('Phytopl Analysis'!W67)))</f>
        <v/>
      </c>
      <c r="X67" s="21" t="str">
        <f>IF('Phytopl Count'!X67=0,"",('Phytopl Analysis'!X67*LN('Phytopl Analysis'!X67)))</f>
        <v/>
      </c>
      <c r="Y67" s="58" t="str">
        <f>IF('Phytopl Count'!Y67=0,"",('Phytopl Analysis'!Y67*LN('Phytopl Analysis'!Y67)))</f>
        <v/>
      </c>
      <c r="Z67" s="58" t="str">
        <f>IF('Phytopl Count'!Z67=0,"",('Phytopl Analysis'!Z67*LN('Phytopl Analysis'!Z67)))</f>
        <v/>
      </c>
      <c r="AA67" s="21" t="str">
        <f>IF('Phytopl Count'!AA67=0,"",('Phytopl Analysis'!AA67*LN('Phytopl Analysis'!AA67)))</f>
        <v/>
      </c>
      <c r="AB67" s="21" t="str">
        <f>IF('Phytopl Count'!AB67=0,"",('Phytopl Analysis'!AB67*LN('Phytopl Analysis'!AB67)))</f>
        <v/>
      </c>
      <c r="AC67" s="58" t="str">
        <f>IF('Phytopl Count'!AC67=0,"",('Phytopl Analysis'!AC67*LN('Phytopl Analysis'!AC67)))</f>
        <v/>
      </c>
      <c r="AD67" s="58" t="str">
        <f>IF('Phytopl Count'!AD67=0,"",('Phytopl Analysis'!AD67*LN('Phytopl Analysis'!AD67)))</f>
        <v/>
      </c>
      <c r="AE67" s="21" t="str">
        <f>IF('Phytopl Count'!AE67=0,"",('Phytopl Analysis'!AE67*LN('Phytopl Analysis'!AE67)))</f>
        <v/>
      </c>
      <c r="AF67" s="58" t="str">
        <f>IF('Phytopl Count'!AF67=0,"",('Phytopl Analysis'!AF67*LN('Phytopl Analysis'!AF67)))</f>
        <v/>
      </c>
    </row>
    <row r="68" spans="1:32" hidden="1">
      <c r="A68" s="4"/>
      <c r="B68" s="4"/>
      <c r="C68" s="4"/>
      <c r="D68" s="106" t="s">
        <v>5</v>
      </c>
      <c r="E68" s="105" t="s">
        <v>272</v>
      </c>
      <c r="F68" s="108"/>
      <c r="G68" s="21" t="str">
        <f>IF('Phytopl Count'!G68=0,"",('Phytopl Analysis'!G68*LN('Phytopl Analysis'!G68)))</f>
        <v/>
      </c>
      <c r="H68" s="21" t="str">
        <f>IF('Phytopl Count'!H68=0,"",('Phytopl Analysis'!H68*LN('Phytopl Analysis'!H68)))</f>
        <v/>
      </c>
      <c r="I68" s="58" t="str">
        <f>IF('Phytopl Count'!I68=0,"",('Phytopl Analysis'!I68*LN('Phytopl Analysis'!I68)))</f>
        <v/>
      </c>
      <c r="J68" s="58" t="str">
        <f>IF('Phytopl Count'!J68=0,"",('Phytopl Analysis'!J68*LN('Phytopl Analysis'!J68)))</f>
        <v/>
      </c>
      <c r="K68" s="21" t="str">
        <f>IF('Phytopl Count'!K68=0,"",('Phytopl Analysis'!K68*LN('Phytopl Analysis'!K68)))</f>
        <v/>
      </c>
      <c r="L68" s="21" t="str">
        <f>IF('Phytopl Count'!L68=0,"",('Phytopl Analysis'!L68*LN('Phytopl Analysis'!L68)))</f>
        <v/>
      </c>
      <c r="M68" s="58" t="str">
        <f>IF('Phytopl Count'!M68=0,"",('Phytopl Analysis'!M68*LN('Phytopl Analysis'!M68)))</f>
        <v/>
      </c>
      <c r="N68" s="58" t="str">
        <f>IF('Phytopl Count'!N68=0,"",('Phytopl Analysis'!N68*LN('Phytopl Analysis'!N68)))</f>
        <v/>
      </c>
      <c r="O68" s="21" t="str">
        <f>IF('Phytopl Count'!O68=0,"",('Phytopl Analysis'!O68*LN('Phytopl Analysis'!O68)))</f>
        <v/>
      </c>
      <c r="P68" s="21" t="str">
        <f>IF('Phytopl Count'!P68=0,"",('Phytopl Analysis'!P68*LN('Phytopl Analysis'!P68)))</f>
        <v/>
      </c>
      <c r="Q68" s="58" t="str">
        <f>IF('Phytopl Count'!Q68=0,"",('Phytopl Analysis'!Q68*LN('Phytopl Analysis'!Q68)))</f>
        <v/>
      </c>
      <c r="R68" s="58" t="str">
        <f>IF('Phytopl Count'!R68=0,"",('Phytopl Analysis'!R68*LN('Phytopl Analysis'!R68)))</f>
        <v/>
      </c>
      <c r="S68" s="21" t="str">
        <f>IF('Phytopl Count'!S68=0,"",('Phytopl Analysis'!S68*LN('Phytopl Analysis'!S68)))</f>
        <v/>
      </c>
      <c r="T68" s="21" t="str">
        <f>IF('Phytopl Count'!T68=0,"",('Phytopl Analysis'!T68*LN('Phytopl Analysis'!T68)))</f>
        <v/>
      </c>
      <c r="U68" s="58" t="str">
        <f>IF('Phytopl Count'!U68=0,"",('Phytopl Analysis'!U68*LN('Phytopl Analysis'!U68)))</f>
        <v/>
      </c>
      <c r="V68" s="58" t="str">
        <f>IF('Phytopl Count'!V68=0,"",('Phytopl Analysis'!V68*LN('Phytopl Analysis'!V68)))</f>
        <v/>
      </c>
      <c r="W68" s="21" t="str">
        <f>IF('Phytopl Count'!W68=0,"",('Phytopl Analysis'!W68*LN('Phytopl Analysis'!W68)))</f>
        <v/>
      </c>
      <c r="X68" s="21" t="str">
        <f>IF('Phytopl Count'!X68=0,"",('Phytopl Analysis'!X68*LN('Phytopl Analysis'!X68)))</f>
        <v/>
      </c>
      <c r="Y68" s="58" t="str">
        <f>IF('Phytopl Count'!Y68=0,"",('Phytopl Analysis'!Y68*LN('Phytopl Analysis'!Y68)))</f>
        <v/>
      </c>
      <c r="Z68" s="58" t="str">
        <f>IF('Phytopl Count'!Z68=0,"",('Phytopl Analysis'!Z68*LN('Phytopl Analysis'!Z68)))</f>
        <v/>
      </c>
      <c r="AA68" s="21" t="str">
        <f>IF('Phytopl Count'!AA68=0,"",('Phytopl Analysis'!AA68*LN('Phytopl Analysis'!AA68)))</f>
        <v/>
      </c>
      <c r="AB68" s="21" t="str">
        <f>IF('Phytopl Count'!AB68=0,"",('Phytopl Analysis'!AB68*LN('Phytopl Analysis'!AB68)))</f>
        <v/>
      </c>
      <c r="AC68" s="58" t="str">
        <f>IF('Phytopl Count'!AC68=0,"",('Phytopl Analysis'!AC68*LN('Phytopl Analysis'!AC68)))</f>
        <v/>
      </c>
      <c r="AD68" s="58" t="str">
        <f>IF('Phytopl Count'!AD68=0,"",('Phytopl Analysis'!AD68*LN('Phytopl Analysis'!AD68)))</f>
        <v/>
      </c>
      <c r="AE68" s="21" t="str">
        <f>IF('Phytopl Count'!AE68=0,"",('Phytopl Analysis'!AE68*LN('Phytopl Analysis'!AE68)))</f>
        <v/>
      </c>
      <c r="AF68" s="58" t="str">
        <f>IF('Phytopl Count'!AF68=0,"",('Phytopl Analysis'!AF68*LN('Phytopl Analysis'!AF68)))</f>
        <v/>
      </c>
    </row>
    <row r="69" spans="1:32" hidden="1">
      <c r="A69" s="4"/>
      <c r="B69" s="4"/>
      <c r="C69" s="4"/>
      <c r="D69" s="105"/>
      <c r="E69" s="106" t="s">
        <v>6</v>
      </c>
      <c r="F69" s="11" t="s">
        <v>273</v>
      </c>
      <c r="G69" s="21" t="str">
        <f>IF('Phytopl Count'!G69=0,"",('Phytopl Analysis'!G69*LN('Phytopl Analysis'!G69)))</f>
        <v/>
      </c>
      <c r="H69" s="21" t="str">
        <f>IF('Phytopl Count'!H69=0,"",('Phytopl Analysis'!H69*LN('Phytopl Analysis'!H69)))</f>
        <v/>
      </c>
      <c r="I69" s="58" t="str">
        <f>IF('Phytopl Count'!I69=0,"",('Phytopl Analysis'!I69*LN('Phytopl Analysis'!I69)))</f>
        <v/>
      </c>
      <c r="J69" s="58" t="str">
        <f>IF('Phytopl Count'!J69=0,"",('Phytopl Analysis'!J69*LN('Phytopl Analysis'!J69)))</f>
        <v/>
      </c>
      <c r="K69" s="21" t="str">
        <f>IF('Phytopl Count'!K69=0,"",('Phytopl Analysis'!K69*LN('Phytopl Analysis'!K69)))</f>
        <v/>
      </c>
      <c r="L69" s="21" t="str">
        <f>IF('Phytopl Count'!L69=0,"",('Phytopl Analysis'!L69*LN('Phytopl Analysis'!L69)))</f>
        <v/>
      </c>
      <c r="M69" s="58" t="str">
        <f>IF('Phytopl Count'!M69=0,"",('Phytopl Analysis'!M69*LN('Phytopl Analysis'!M69)))</f>
        <v/>
      </c>
      <c r="N69" s="58" t="str">
        <f>IF('Phytopl Count'!N69=0,"",('Phytopl Analysis'!N69*LN('Phytopl Analysis'!N69)))</f>
        <v/>
      </c>
      <c r="O69" s="21" t="str">
        <f>IF('Phytopl Count'!O69=0,"",('Phytopl Analysis'!O69*LN('Phytopl Analysis'!O69)))</f>
        <v/>
      </c>
      <c r="P69" s="21" t="str">
        <f>IF('Phytopl Count'!P69=0,"",('Phytopl Analysis'!P69*LN('Phytopl Analysis'!P69)))</f>
        <v/>
      </c>
      <c r="Q69" s="58" t="str">
        <f>IF('Phytopl Count'!Q69=0,"",('Phytopl Analysis'!Q69*LN('Phytopl Analysis'!Q69)))</f>
        <v/>
      </c>
      <c r="R69" s="58" t="str">
        <f>IF('Phytopl Count'!R69=0,"",('Phytopl Analysis'!R69*LN('Phytopl Analysis'!R69)))</f>
        <v/>
      </c>
      <c r="S69" s="21" t="str">
        <f>IF('Phytopl Count'!S69=0,"",('Phytopl Analysis'!S69*LN('Phytopl Analysis'!S69)))</f>
        <v/>
      </c>
      <c r="T69" s="21" t="str">
        <f>IF('Phytopl Count'!T69=0,"",('Phytopl Analysis'!T69*LN('Phytopl Analysis'!T69)))</f>
        <v/>
      </c>
      <c r="U69" s="58" t="str">
        <f>IF('Phytopl Count'!U69=0,"",('Phytopl Analysis'!U69*LN('Phytopl Analysis'!U69)))</f>
        <v/>
      </c>
      <c r="V69" s="58" t="str">
        <f>IF('Phytopl Count'!V69=0,"",('Phytopl Analysis'!V69*LN('Phytopl Analysis'!V69)))</f>
        <v/>
      </c>
      <c r="W69" s="21" t="str">
        <f>IF('Phytopl Count'!W69=0,"",('Phytopl Analysis'!W69*LN('Phytopl Analysis'!W69)))</f>
        <v/>
      </c>
      <c r="X69" s="21" t="str">
        <f>IF('Phytopl Count'!X69=0,"",('Phytopl Analysis'!X69*LN('Phytopl Analysis'!X69)))</f>
        <v/>
      </c>
      <c r="Y69" s="58" t="str">
        <f>IF('Phytopl Count'!Y69=0,"",('Phytopl Analysis'!Y69*LN('Phytopl Analysis'!Y69)))</f>
        <v/>
      </c>
      <c r="Z69" s="58" t="str">
        <f>IF('Phytopl Count'!Z69=0,"",('Phytopl Analysis'!Z69*LN('Phytopl Analysis'!Z69)))</f>
        <v/>
      </c>
      <c r="AA69" s="21" t="str">
        <f>IF('Phytopl Count'!AA69=0,"",('Phytopl Analysis'!AA69*LN('Phytopl Analysis'!AA69)))</f>
        <v/>
      </c>
      <c r="AB69" s="21" t="str">
        <f>IF('Phytopl Count'!AB69=0,"",('Phytopl Analysis'!AB69*LN('Phytopl Analysis'!AB69)))</f>
        <v/>
      </c>
      <c r="AC69" s="58" t="str">
        <f>IF('Phytopl Count'!AC69=0,"",('Phytopl Analysis'!AC69*LN('Phytopl Analysis'!AC69)))</f>
        <v/>
      </c>
      <c r="AD69" s="58" t="str">
        <f>IF('Phytopl Count'!AD69=0,"",('Phytopl Analysis'!AD69*LN('Phytopl Analysis'!AD69)))</f>
        <v/>
      </c>
      <c r="AE69" s="21" t="str">
        <f>IF('Phytopl Count'!AE69=0,"",('Phytopl Analysis'!AE69*LN('Phytopl Analysis'!AE69)))</f>
        <v/>
      </c>
      <c r="AF69" s="58" t="str">
        <f>IF('Phytopl Count'!AF69=0,"",('Phytopl Analysis'!AF69*LN('Phytopl Analysis'!AF69)))</f>
        <v/>
      </c>
    </row>
    <row r="70" spans="1:32" hidden="1">
      <c r="A70" s="4"/>
      <c r="B70" s="4"/>
      <c r="C70" s="4"/>
      <c r="D70" s="105"/>
      <c r="E70" s="106"/>
      <c r="F70" s="11" t="s">
        <v>376</v>
      </c>
      <c r="G70" s="21" t="str">
        <f>IF('Phytopl Count'!G70=0,"",('Phytopl Analysis'!G70*LN('Phytopl Analysis'!G70)))</f>
        <v/>
      </c>
      <c r="H70" s="21" t="str">
        <f>IF('Phytopl Count'!H70=0,"",('Phytopl Analysis'!H70*LN('Phytopl Analysis'!H70)))</f>
        <v/>
      </c>
      <c r="I70" s="58" t="str">
        <f>IF('Phytopl Count'!I70=0,"",('Phytopl Analysis'!I70*LN('Phytopl Analysis'!I70)))</f>
        <v/>
      </c>
      <c r="J70" s="58" t="str">
        <f>IF('Phytopl Count'!J70=0,"",('Phytopl Analysis'!J70*LN('Phytopl Analysis'!J70)))</f>
        <v/>
      </c>
      <c r="K70" s="21" t="str">
        <f>IF('Phytopl Count'!K70=0,"",('Phytopl Analysis'!K70*LN('Phytopl Analysis'!K70)))</f>
        <v/>
      </c>
      <c r="L70" s="21" t="str">
        <f>IF('Phytopl Count'!L70=0,"",('Phytopl Analysis'!L70*LN('Phytopl Analysis'!L70)))</f>
        <v/>
      </c>
      <c r="M70" s="58" t="str">
        <f>IF('Phytopl Count'!M70=0,"",('Phytopl Analysis'!M70*LN('Phytopl Analysis'!M70)))</f>
        <v/>
      </c>
      <c r="N70" s="58" t="str">
        <f>IF('Phytopl Count'!N70=0,"",('Phytopl Analysis'!N70*LN('Phytopl Analysis'!N70)))</f>
        <v/>
      </c>
      <c r="O70" s="21" t="str">
        <f>IF('Phytopl Count'!O70=0,"",('Phytopl Analysis'!O70*LN('Phytopl Analysis'!O70)))</f>
        <v/>
      </c>
      <c r="P70" s="21" t="str">
        <f>IF('Phytopl Count'!P70=0,"",('Phytopl Analysis'!P70*LN('Phytopl Analysis'!P70)))</f>
        <v/>
      </c>
      <c r="Q70" s="58" t="str">
        <f>IF('Phytopl Count'!Q70=0,"",('Phytopl Analysis'!Q70*LN('Phytopl Analysis'!Q70)))</f>
        <v/>
      </c>
      <c r="R70" s="58" t="str">
        <f>IF('Phytopl Count'!R70=0,"",('Phytopl Analysis'!R70*LN('Phytopl Analysis'!R70)))</f>
        <v/>
      </c>
      <c r="S70" s="21" t="str">
        <f>IF('Phytopl Count'!S70=0,"",('Phytopl Analysis'!S70*LN('Phytopl Analysis'!S70)))</f>
        <v/>
      </c>
      <c r="T70" s="21" t="str">
        <f>IF('Phytopl Count'!T70=0,"",('Phytopl Analysis'!T70*LN('Phytopl Analysis'!T70)))</f>
        <v/>
      </c>
      <c r="U70" s="58" t="str">
        <f>IF('Phytopl Count'!U70=0,"",('Phytopl Analysis'!U70*LN('Phytopl Analysis'!U70)))</f>
        <v/>
      </c>
      <c r="V70" s="58" t="str">
        <f>IF('Phytopl Count'!V70=0,"",('Phytopl Analysis'!V70*LN('Phytopl Analysis'!V70)))</f>
        <v/>
      </c>
      <c r="W70" s="21" t="str">
        <f>IF('Phytopl Count'!W70=0,"",('Phytopl Analysis'!W70*LN('Phytopl Analysis'!W70)))</f>
        <v/>
      </c>
      <c r="X70" s="21" t="str">
        <f>IF('Phytopl Count'!X70=0,"",('Phytopl Analysis'!X70*LN('Phytopl Analysis'!X70)))</f>
        <v/>
      </c>
      <c r="Y70" s="58" t="str">
        <f>IF('Phytopl Count'!Y70=0,"",('Phytopl Analysis'!Y70*LN('Phytopl Analysis'!Y70)))</f>
        <v/>
      </c>
      <c r="Z70" s="58" t="str">
        <f>IF('Phytopl Count'!Z70=0,"",('Phytopl Analysis'!Z70*LN('Phytopl Analysis'!Z70)))</f>
        <v/>
      </c>
      <c r="AA70" s="21" t="str">
        <f>IF('Phytopl Count'!AA70=0,"",('Phytopl Analysis'!AA70*LN('Phytopl Analysis'!AA70)))</f>
        <v/>
      </c>
      <c r="AB70" s="21" t="str">
        <f>IF('Phytopl Count'!AB70=0,"",('Phytopl Analysis'!AB70*LN('Phytopl Analysis'!AB70)))</f>
        <v/>
      </c>
      <c r="AC70" s="58" t="str">
        <f>IF('Phytopl Count'!AC70=0,"",('Phytopl Analysis'!AC70*LN('Phytopl Analysis'!AC70)))</f>
        <v/>
      </c>
      <c r="AD70" s="58" t="str">
        <f>IF('Phytopl Count'!AD70=0,"",('Phytopl Analysis'!AD70*LN('Phytopl Analysis'!AD70)))</f>
        <v/>
      </c>
      <c r="AE70" s="21" t="str">
        <f>IF('Phytopl Count'!AE70=0,"",('Phytopl Analysis'!AE70*LN('Phytopl Analysis'!AE70)))</f>
        <v/>
      </c>
      <c r="AF70" s="58" t="str">
        <f>IF('Phytopl Count'!AF70=0,"",('Phytopl Analysis'!AF70*LN('Phytopl Analysis'!AF70)))</f>
        <v/>
      </c>
    </row>
    <row r="71" spans="1:32">
      <c r="A71" s="4"/>
      <c r="B71" s="4"/>
      <c r="C71" s="4"/>
      <c r="D71" s="10" t="s">
        <v>5</v>
      </c>
      <c r="E71" s="12" t="s">
        <v>91</v>
      </c>
      <c r="F71" s="11"/>
      <c r="G71" s="21" t="str">
        <f>IF('Phytopl Count'!G71=0,"",('Phytopl Analysis'!G71*LN('Phytopl Analysis'!G71)))</f>
        <v/>
      </c>
      <c r="H71" s="21" t="str">
        <f>IF('Phytopl Count'!H71=0,"",('Phytopl Analysis'!H71*LN('Phytopl Analysis'!H71)))</f>
        <v/>
      </c>
      <c r="I71" s="58" t="str">
        <f>IF('Phytopl Count'!I71=0,"",('Phytopl Analysis'!I71*LN('Phytopl Analysis'!I71)))</f>
        <v/>
      </c>
      <c r="J71" s="58" t="str">
        <f>IF('Phytopl Count'!J71=0,"",('Phytopl Analysis'!J71*LN('Phytopl Analysis'!J71)))</f>
        <v/>
      </c>
      <c r="K71" s="21" t="str">
        <f>IF('Phytopl Count'!K71=0,"",('Phytopl Analysis'!K71*LN('Phytopl Analysis'!K71)))</f>
        <v/>
      </c>
      <c r="L71" s="21" t="str">
        <f>IF('Phytopl Count'!L71=0,"",('Phytopl Analysis'!L71*LN('Phytopl Analysis'!L71)))</f>
        <v/>
      </c>
      <c r="M71" s="58" t="str">
        <f>IF('Phytopl Count'!M71=0,"",('Phytopl Analysis'!M71*LN('Phytopl Analysis'!M71)))</f>
        <v/>
      </c>
      <c r="N71" s="58" t="str">
        <f>IF('Phytopl Count'!N71=0,"",('Phytopl Analysis'!N71*LN('Phytopl Analysis'!N71)))</f>
        <v/>
      </c>
      <c r="O71" s="21" t="str">
        <f>IF('Phytopl Count'!O71=0,"",('Phytopl Analysis'!O71*LN('Phytopl Analysis'!O71)))</f>
        <v/>
      </c>
      <c r="P71" s="21" t="str">
        <f>IF('Phytopl Count'!P71=0,"",('Phytopl Analysis'!P71*LN('Phytopl Analysis'!P71)))</f>
        <v/>
      </c>
      <c r="Q71" s="58" t="str">
        <f>IF('Phytopl Count'!Q71=0,"",('Phytopl Analysis'!Q71*LN('Phytopl Analysis'!Q71)))</f>
        <v/>
      </c>
      <c r="R71" s="58" t="str">
        <f>IF('Phytopl Count'!R71=0,"",('Phytopl Analysis'!R71*LN('Phytopl Analysis'!R71)))</f>
        <v/>
      </c>
      <c r="S71" s="21" t="str">
        <f>IF('Phytopl Count'!S71=0,"",('Phytopl Analysis'!S71*LN('Phytopl Analysis'!S71)))</f>
        <v/>
      </c>
      <c r="T71" s="21" t="str">
        <f>IF('Phytopl Count'!T71=0,"",('Phytopl Analysis'!T71*LN('Phytopl Analysis'!T71)))</f>
        <v/>
      </c>
      <c r="U71" s="58" t="str">
        <f>IF('Phytopl Count'!U71=0,"",('Phytopl Analysis'!U71*LN('Phytopl Analysis'!U71)))</f>
        <v/>
      </c>
      <c r="V71" s="58" t="str">
        <f>IF('Phytopl Count'!V71=0,"",('Phytopl Analysis'!V71*LN('Phytopl Analysis'!V71)))</f>
        <v/>
      </c>
      <c r="W71" s="21" t="str">
        <f>IF('Phytopl Count'!W71=0,"",('Phytopl Analysis'!W71*LN('Phytopl Analysis'!W71)))</f>
        <v/>
      </c>
      <c r="X71" s="21" t="str">
        <f>IF('Phytopl Count'!X71=0,"",('Phytopl Analysis'!X71*LN('Phytopl Analysis'!X71)))</f>
        <v/>
      </c>
      <c r="Y71" s="58" t="str">
        <f>IF('Phytopl Count'!Y71=0,"",('Phytopl Analysis'!Y71*LN('Phytopl Analysis'!Y71)))</f>
        <v/>
      </c>
      <c r="Z71" s="58" t="str">
        <f>IF('Phytopl Count'!Z71=0,"",('Phytopl Analysis'!Z71*LN('Phytopl Analysis'!Z71)))</f>
        <v/>
      </c>
      <c r="AA71" s="21" t="str">
        <f>IF('Phytopl Count'!AA71=0,"",('Phytopl Analysis'!AA71*LN('Phytopl Analysis'!AA71)))</f>
        <v/>
      </c>
      <c r="AB71" s="21" t="str">
        <f>IF('Phytopl Count'!AB71=0,"",('Phytopl Analysis'!AB71*LN('Phytopl Analysis'!AB71)))</f>
        <v/>
      </c>
      <c r="AC71" s="58" t="str">
        <f>IF('Phytopl Count'!AC71=0,"",('Phytopl Analysis'!AC71*LN('Phytopl Analysis'!AC71)))</f>
        <v/>
      </c>
      <c r="AD71" s="58" t="str">
        <f>IF('Phytopl Count'!AD71=0,"",('Phytopl Analysis'!AD71*LN('Phytopl Analysis'!AD71)))</f>
        <v/>
      </c>
      <c r="AE71" s="21" t="str">
        <f>IF('Phytopl Count'!AE71=0,"",('Phytopl Analysis'!AE71*LN('Phytopl Analysis'!AE71)))</f>
        <v/>
      </c>
      <c r="AF71" s="58" t="str">
        <f>IF('Phytopl Count'!AF71=0,"",('Phytopl Analysis'!AF71*LN('Phytopl Analysis'!AF71)))</f>
        <v/>
      </c>
    </row>
    <row r="72" spans="1:32">
      <c r="A72" s="4"/>
      <c r="B72" s="4"/>
      <c r="C72" s="4"/>
      <c r="D72" s="5"/>
      <c r="E72" s="10" t="s">
        <v>6</v>
      </c>
      <c r="F72" s="11" t="s">
        <v>39</v>
      </c>
      <c r="G72" s="21" t="str">
        <f>IF('Phytopl Count'!G72=0,"",('Phytopl Analysis'!G72*LN('Phytopl Analysis'!G72)))</f>
        <v/>
      </c>
      <c r="H72" s="21" t="str">
        <f>IF('Phytopl Count'!H72=0,"",('Phytopl Analysis'!H72*LN('Phytopl Analysis'!H72)))</f>
        <v/>
      </c>
      <c r="I72" s="58" t="str">
        <f>IF('Phytopl Count'!I72=0,"",('Phytopl Analysis'!I72*LN('Phytopl Analysis'!I72)))</f>
        <v/>
      </c>
      <c r="J72" s="58" t="str">
        <f>IF('Phytopl Count'!J72=0,"",('Phytopl Analysis'!J72*LN('Phytopl Analysis'!J72)))</f>
        <v/>
      </c>
      <c r="K72" s="21">
        <f>IF('Phytopl Count'!K72=0,"",('Phytopl Analysis'!K72*LN('Phytopl Analysis'!K72)))</f>
        <v>-0.17603686210775515</v>
      </c>
      <c r="L72" s="21" t="str">
        <f>IF('Phytopl Count'!L72=0,"",('Phytopl Analysis'!L72*LN('Phytopl Analysis'!L72)))</f>
        <v/>
      </c>
      <c r="M72" s="58" t="str">
        <f>IF('Phytopl Count'!M72=0,"",('Phytopl Analysis'!M72*LN('Phytopl Analysis'!M72)))</f>
        <v/>
      </c>
      <c r="N72" s="58" t="str">
        <f>IF('Phytopl Count'!N72=0,"",('Phytopl Analysis'!N72*LN('Phytopl Analysis'!N72)))</f>
        <v/>
      </c>
      <c r="O72" s="21" t="str">
        <f>IF('Phytopl Count'!O72=0,"",('Phytopl Analysis'!O72*LN('Phytopl Analysis'!O72)))</f>
        <v/>
      </c>
      <c r="P72" s="21" t="str">
        <f>IF('Phytopl Count'!P72=0,"",('Phytopl Analysis'!P72*LN('Phytopl Analysis'!P72)))</f>
        <v/>
      </c>
      <c r="Q72" s="58" t="str">
        <f>IF('Phytopl Count'!Q72=0,"",('Phytopl Analysis'!Q72*LN('Phytopl Analysis'!Q72)))</f>
        <v/>
      </c>
      <c r="R72" s="58" t="str">
        <f>IF('Phytopl Count'!R72=0,"",('Phytopl Analysis'!R72*LN('Phytopl Analysis'!R72)))</f>
        <v/>
      </c>
      <c r="S72" s="21" t="str">
        <f>IF('Phytopl Count'!S72=0,"",('Phytopl Analysis'!S72*LN('Phytopl Analysis'!S72)))</f>
        <v/>
      </c>
      <c r="T72" s="21" t="str">
        <f>IF('Phytopl Count'!T72=0,"",('Phytopl Analysis'!T72*LN('Phytopl Analysis'!T72)))</f>
        <v/>
      </c>
      <c r="U72" s="58" t="str">
        <f>IF('Phytopl Count'!U72=0,"",('Phytopl Analysis'!U72*LN('Phytopl Analysis'!U72)))</f>
        <v/>
      </c>
      <c r="V72" s="58" t="str">
        <f>IF('Phytopl Count'!V72=0,"",('Phytopl Analysis'!V72*LN('Phytopl Analysis'!V72)))</f>
        <v/>
      </c>
      <c r="W72" s="21" t="str">
        <f>IF('Phytopl Count'!W72=0,"",('Phytopl Analysis'!W72*LN('Phytopl Analysis'!W72)))</f>
        <v/>
      </c>
      <c r="X72" s="21" t="str">
        <f>IF('Phytopl Count'!X72=0,"",('Phytopl Analysis'!X72*LN('Phytopl Analysis'!X72)))</f>
        <v/>
      </c>
      <c r="Y72" s="58" t="str">
        <f>IF('Phytopl Count'!Y72=0,"",('Phytopl Analysis'!Y72*LN('Phytopl Analysis'!Y72)))</f>
        <v/>
      </c>
      <c r="Z72" s="58" t="str">
        <f>IF('Phytopl Count'!Z72=0,"",('Phytopl Analysis'!Z72*LN('Phytopl Analysis'!Z72)))</f>
        <v/>
      </c>
      <c r="AA72" s="21" t="str">
        <f>IF('Phytopl Count'!AA72=0,"",('Phytopl Analysis'!AA72*LN('Phytopl Analysis'!AA72)))</f>
        <v/>
      </c>
      <c r="AB72" s="21" t="str">
        <f>IF('Phytopl Count'!AB72=0,"",('Phytopl Analysis'!AB72*LN('Phytopl Analysis'!AB72)))</f>
        <v/>
      </c>
      <c r="AC72" s="58" t="str">
        <f>IF('Phytopl Count'!AC72=0,"",('Phytopl Analysis'!AC72*LN('Phytopl Analysis'!AC72)))</f>
        <v/>
      </c>
      <c r="AD72" s="58" t="str">
        <f>IF('Phytopl Count'!AD72=0,"",('Phytopl Analysis'!AD72*LN('Phytopl Analysis'!AD72)))</f>
        <v/>
      </c>
      <c r="AE72" s="21" t="str">
        <f>IF('Phytopl Count'!AE72=0,"",('Phytopl Analysis'!AE72*LN('Phytopl Analysis'!AE72)))</f>
        <v/>
      </c>
      <c r="AF72" s="58" t="str">
        <f>IF('Phytopl Count'!AF72=0,"",('Phytopl Analysis'!AF72*LN('Phytopl Analysis'!AF72)))</f>
        <v/>
      </c>
    </row>
    <row r="73" spans="1:32" s="1" customFormat="1">
      <c r="A73" s="4"/>
      <c r="B73" s="4"/>
      <c r="C73" s="4"/>
      <c r="D73" s="5"/>
      <c r="E73" s="10"/>
      <c r="F73" s="11"/>
      <c r="G73" s="21" t="str">
        <f>IF('Phytopl Count'!G73=0,"",('Phytopl Analysis'!G73*LN('Phytopl Analysis'!G73)))</f>
        <v/>
      </c>
      <c r="H73" s="21" t="str">
        <f>IF('Phytopl Count'!H73=0,"",('Phytopl Analysis'!H73*LN('Phytopl Analysis'!H73)))</f>
        <v/>
      </c>
      <c r="I73" s="58" t="str">
        <f>IF('Phytopl Count'!I73=0,"",('Phytopl Analysis'!I73*LN('Phytopl Analysis'!I73)))</f>
        <v/>
      </c>
      <c r="J73" s="58" t="str">
        <f>IF('Phytopl Count'!J73=0,"",('Phytopl Analysis'!J73*LN('Phytopl Analysis'!J73)))</f>
        <v/>
      </c>
      <c r="K73" s="21" t="str">
        <f>IF('Phytopl Count'!K73=0,"",('Phytopl Analysis'!K73*LN('Phytopl Analysis'!K73)))</f>
        <v/>
      </c>
      <c r="L73" s="21" t="str">
        <f>IF('Phytopl Count'!L73=0,"",('Phytopl Analysis'!L73*LN('Phytopl Analysis'!L73)))</f>
        <v/>
      </c>
      <c r="M73" s="58" t="str">
        <f>IF('Phytopl Count'!M73=0,"",('Phytopl Analysis'!M73*LN('Phytopl Analysis'!M73)))</f>
        <v/>
      </c>
      <c r="N73" s="58" t="str">
        <f>IF('Phytopl Count'!N73=0,"",('Phytopl Analysis'!N73*LN('Phytopl Analysis'!N73)))</f>
        <v/>
      </c>
      <c r="O73" s="21" t="str">
        <f>IF('Phytopl Count'!O73=0,"",('Phytopl Analysis'!O73*LN('Phytopl Analysis'!O73)))</f>
        <v/>
      </c>
      <c r="P73" s="21" t="str">
        <f>IF('Phytopl Count'!P73=0,"",('Phytopl Analysis'!P73*LN('Phytopl Analysis'!P73)))</f>
        <v/>
      </c>
      <c r="Q73" s="58" t="str">
        <f>IF('Phytopl Count'!Q73=0,"",('Phytopl Analysis'!Q73*LN('Phytopl Analysis'!Q73)))</f>
        <v/>
      </c>
      <c r="R73" s="58" t="str">
        <f>IF('Phytopl Count'!R73=0,"",('Phytopl Analysis'!R73*LN('Phytopl Analysis'!R73)))</f>
        <v/>
      </c>
      <c r="S73" s="21" t="str">
        <f>IF('Phytopl Count'!S73=0,"",('Phytopl Analysis'!S73*LN('Phytopl Analysis'!S73)))</f>
        <v/>
      </c>
      <c r="T73" s="21" t="str">
        <f>IF('Phytopl Count'!T73=0,"",('Phytopl Analysis'!T73*LN('Phytopl Analysis'!T73)))</f>
        <v/>
      </c>
      <c r="U73" s="58" t="str">
        <f>IF('Phytopl Count'!U73=0,"",('Phytopl Analysis'!U73*LN('Phytopl Analysis'!U73)))</f>
        <v/>
      </c>
      <c r="V73" s="58" t="str">
        <f>IF('Phytopl Count'!V73=0,"",('Phytopl Analysis'!V73*LN('Phytopl Analysis'!V73)))</f>
        <v/>
      </c>
      <c r="W73" s="21" t="str">
        <f>IF('Phytopl Count'!W73=0,"",('Phytopl Analysis'!W73*LN('Phytopl Analysis'!W73)))</f>
        <v/>
      </c>
      <c r="X73" s="21" t="str">
        <f>IF('Phytopl Count'!X73=0,"",('Phytopl Analysis'!X73*LN('Phytopl Analysis'!X73)))</f>
        <v/>
      </c>
      <c r="Y73" s="58" t="str">
        <f>IF('Phytopl Count'!Y73=0,"",('Phytopl Analysis'!Y73*LN('Phytopl Analysis'!Y73)))</f>
        <v/>
      </c>
      <c r="Z73" s="58" t="str">
        <f>IF('Phytopl Count'!Z73=0,"",('Phytopl Analysis'!Z73*LN('Phytopl Analysis'!Z73)))</f>
        <v/>
      </c>
      <c r="AA73" s="21" t="str">
        <f>IF('Phytopl Count'!AA73=0,"",('Phytopl Analysis'!AA73*LN('Phytopl Analysis'!AA73)))</f>
        <v/>
      </c>
      <c r="AB73" s="21" t="str">
        <f>IF('Phytopl Count'!AB73=0,"",('Phytopl Analysis'!AB73*LN('Phytopl Analysis'!AB73)))</f>
        <v/>
      </c>
      <c r="AC73" s="58" t="str">
        <f>IF('Phytopl Count'!AC73=0,"",('Phytopl Analysis'!AC73*LN('Phytopl Analysis'!AC73)))</f>
        <v/>
      </c>
      <c r="AD73" s="58" t="str">
        <f>IF('Phytopl Count'!AD73=0,"",('Phytopl Analysis'!AD73*LN('Phytopl Analysis'!AD73)))</f>
        <v/>
      </c>
      <c r="AE73" s="21" t="str">
        <f>IF('Phytopl Count'!AE73=0,"",('Phytopl Analysis'!AE73*LN('Phytopl Analysis'!AE73)))</f>
        <v/>
      </c>
      <c r="AF73" s="58" t="str">
        <f>IF('Phytopl Count'!AF73=0,"",('Phytopl Analysis'!AF73*LN('Phytopl Analysis'!AF73)))</f>
        <v/>
      </c>
    </row>
    <row r="74" spans="1:32">
      <c r="A74" s="16"/>
      <c r="B74" s="16" t="s">
        <v>72</v>
      </c>
      <c r="C74" s="4" t="s">
        <v>76</v>
      </c>
      <c r="D74" s="4"/>
      <c r="E74" s="5"/>
      <c r="F74" s="9"/>
      <c r="G74" s="21" t="str">
        <f>IF('Phytopl Count'!G74=0,"",('Phytopl Analysis'!G74*LN('Phytopl Analysis'!G74)))</f>
        <v/>
      </c>
      <c r="H74" s="21" t="str">
        <f>IF('Phytopl Count'!H74=0,"",('Phytopl Analysis'!H74*LN('Phytopl Analysis'!H74)))</f>
        <v/>
      </c>
      <c r="I74" s="58" t="str">
        <f>IF('Phytopl Count'!I74=0,"",('Phytopl Analysis'!I74*LN('Phytopl Analysis'!I74)))</f>
        <v/>
      </c>
      <c r="J74" s="58" t="str">
        <f>IF('Phytopl Count'!J74=0,"",('Phytopl Analysis'!J74*LN('Phytopl Analysis'!J74)))</f>
        <v/>
      </c>
      <c r="K74" s="21" t="str">
        <f>IF('Phytopl Count'!K74=0,"",('Phytopl Analysis'!K74*LN('Phytopl Analysis'!K74)))</f>
        <v/>
      </c>
      <c r="L74" s="21" t="str">
        <f>IF('Phytopl Count'!L74=0,"",('Phytopl Analysis'!L74*LN('Phytopl Analysis'!L74)))</f>
        <v/>
      </c>
      <c r="M74" s="58" t="str">
        <f>IF('Phytopl Count'!M74=0,"",('Phytopl Analysis'!M74*LN('Phytopl Analysis'!M74)))</f>
        <v/>
      </c>
      <c r="N74" s="58" t="str">
        <f>IF('Phytopl Count'!N74=0,"",('Phytopl Analysis'!N74*LN('Phytopl Analysis'!N74)))</f>
        <v/>
      </c>
      <c r="O74" s="21" t="str">
        <f>IF('Phytopl Count'!O74=0,"",('Phytopl Analysis'!O74*LN('Phytopl Analysis'!O74)))</f>
        <v/>
      </c>
      <c r="P74" s="21" t="str">
        <f>IF('Phytopl Count'!P74=0,"",('Phytopl Analysis'!P74*LN('Phytopl Analysis'!P74)))</f>
        <v/>
      </c>
      <c r="Q74" s="58" t="str">
        <f>IF('Phytopl Count'!Q74=0,"",('Phytopl Analysis'!Q74*LN('Phytopl Analysis'!Q74)))</f>
        <v/>
      </c>
      <c r="R74" s="58" t="str">
        <f>IF('Phytopl Count'!R74=0,"",('Phytopl Analysis'!R74*LN('Phytopl Analysis'!R74)))</f>
        <v/>
      </c>
      <c r="S74" s="21" t="str">
        <f>IF('Phytopl Count'!S74=0,"",('Phytopl Analysis'!S74*LN('Phytopl Analysis'!S74)))</f>
        <v/>
      </c>
      <c r="T74" s="21" t="str">
        <f>IF('Phytopl Count'!T74=0,"",('Phytopl Analysis'!T74*LN('Phytopl Analysis'!T74)))</f>
        <v/>
      </c>
      <c r="U74" s="58" t="str">
        <f>IF('Phytopl Count'!U74=0,"",('Phytopl Analysis'!U74*LN('Phytopl Analysis'!U74)))</f>
        <v/>
      </c>
      <c r="V74" s="58" t="str">
        <f>IF('Phytopl Count'!V74=0,"",('Phytopl Analysis'!V74*LN('Phytopl Analysis'!V74)))</f>
        <v/>
      </c>
      <c r="W74" s="21" t="str">
        <f>IF('Phytopl Count'!W74=0,"",('Phytopl Analysis'!W74*LN('Phytopl Analysis'!W74)))</f>
        <v/>
      </c>
      <c r="X74" s="21" t="str">
        <f>IF('Phytopl Count'!X74=0,"",('Phytopl Analysis'!X74*LN('Phytopl Analysis'!X74)))</f>
        <v/>
      </c>
      <c r="Y74" s="58" t="str">
        <f>IF('Phytopl Count'!Y74=0,"",('Phytopl Analysis'!Y74*LN('Phytopl Analysis'!Y74)))</f>
        <v/>
      </c>
      <c r="Z74" s="58" t="str">
        <f>IF('Phytopl Count'!Z74=0,"",('Phytopl Analysis'!Z74*LN('Phytopl Analysis'!Z74)))</f>
        <v/>
      </c>
      <c r="AA74" s="21" t="str">
        <f>IF('Phytopl Count'!AA74=0,"",('Phytopl Analysis'!AA74*LN('Phytopl Analysis'!AA74)))</f>
        <v/>
      </c>
      <c r="AB74" s="21" t="str">
        <f>IF('Phytopl Count'!AB74=0,"",('Phytopl Analysis'!AB74*LN('Phytopl Analysis'!AB74)))</f>
        <v/>
      </c>
      <c r="AC74" s="58" t="str">
        <f>IF('Phytopl Count'!AC74=0,"",('Phytopl Analysis'!AC74*LN('Phytopl Analysis'!AC74)))</f>
        <v/>
      </c>
      <c r="AD74" s="58" t="str">
        <f>IF('Phytopl Count'!AD74=0,"",('Phytopl Analysis'!AD74*LN('Phytopl Analysis'!AD74)))</f>
        <v/>
      </c>
      <c r="AE74" s="21" t="str">
        <f>IF('Phytopl Count'!AE74=0,"",('Phytopl Analysis'!AE74*LN('Phytopl Analysis'!AE74)))</f>
        <v/>
      </c>
      <c r="AF74" s="58" t="str">
        <f>IF('Phytopl Count'!AF74=0,"",('Phytopl Analysis'!AF74*LN('Phytopl Analysis'!AF74)))</f>
        <v/>
      </c>
    </row>
    <row r="75" spans="1:32">
      <c r="A75" s="16"/>
      <c r="B75" s="16"/>
      <c r="C75" s="16" t="s">
        <v>73</v>
      </c>
      <c r="D75" s="4" t="s">
        <v>142</v>
      </c>
      <c r="E75" s="5"/>
      <c r="F75" s="9"/>
      <c r="G75" s="21" t="str">
        <f>IF('Phytopl Count'!G75=0,"",('Phytopl Analysis'!G75*LN('Phytopl Analysis'!G75)))</f>
        <v/>
      </c>
      <c r="H75" s="21" t="str">
        <f>IF('Phytopl Count'!H75=0,"",('Phytopl Analysis'!H75*LN('Phytopl Analysis'!H75)))</f>
        <v/>
      </c>
      <c r="I75" s="58" t="str">
        <f>IF('Phytopl Count'!I75=0,"",('Phytopl Analysis'!I75*LN('Phytopl Analysis'!I75)))</f>
        <v/>
      </c>
      <c r="J75" s="58" t="str">
        <f>IF('Phytopl Count'!J75=0,"",('Phytopl Analysis'!J75*LN('Phytopl Analysis'!J75)))</f>
        <v/>
      </c>
      <c r="K75" s="21" t="str">
        <f>IF('Phytopl Count'!K75=0,"",('Phytopl Analysis'!K75*LN('Phytopl Analysis'!K75)))</f>
        <v/>
      </c>
      <c r="L75" s="21" t="str">
        <f>IF('Phytopl Count'!L75=0,"",('Phytopl Analysis'!L75*LN('Phytopl Analysis'!L75)))</f>
        <v/>
      </c>
      <c r="M75" s="58" t="str">
        <f>IF('Phytopl Count'!M75=0,"",('Phytopl Analysis'!M75*LN('Phytopl Analysis'!M75)))</f>
        <v/>
      </c>
      <c r="N75" s="58" t="str">
        <f>IF('Phytopl Count'!N75=0,"",('Phytopl Analysis'!N75*LN('Phytopl Analysis'!N75)))</f>
        <v/>
      </c>
      <c r="O75" s="21" t="str">
        <f>IF('Phytopl Count'!O75=0,"",('Phytopl Analysis'!O75*LN('Phytopl Analysis'!O75)))</f>
        <v/>
      </c>
      <c r="P75" s="21" t="str">
        <f>IF('Phytopl Count'!P75=0,"",('Phytopl Analysis'!P75*LN('Phytopl Analysis'!P75)))</f>
        <v/>
      </c>
      <c r="Q75" s="58" t="str">
        <f>IF('Phytopl Count'!Q75=0,"",('Phytopl Analysis'!Q75*LN('Phytopl Analysis'!Q75)))</f>
        <v/>
      </c>
      <c r="R75" s="58" t="str">
        <f>IF('Phytopl Count'!R75=0,"",('Phytopl Analysis'!R75*LN('Phytopl Analysis'!R75)))</f>
        <v/>
      </c>
      <c r="S75" s="21" t="str">
        <f>IF('Phytopl Count'!S75=0,"",('Phytopl Analysis'!S75*LN('Phytopl Analysis'!S75)))</f>
        <v/>
      </c>
      <c r="T75" s="21" t="str">
        <f>IF('Phytopl Count'!T75=0,"",('Phytopl Analysis'!T75*LN('Phytopl Analysis'!T75)))</f>
        <v/>
      </c>
      <c r="U75" s="58" t="str">
        <f>IF('Phytopl Count'!U75=0,"",('Phytopl Analysis'!U75*LN('Phytopl Analysis'!U75)))</f>
        <v/>
      </c>
      <c r="V75" s="58" t="str">
        <f>IF('Phytopl Count'!V75=0,"",('Phytopl Analysis'!V75*LN('Phytopl Analysis'!V75)))</f>
        <v/>
      </c>
      <c r="W75" s="21" t="str">
        <f>IF('Phytopl Count'!W75=0,"",('Phytopl Analysis'!W75*LN('Phytopl Analysis'!W75)))</f>
        <v/>
      </c>
      <c r="X75" s="21" t="str">
        <f>IF('Phytopl Count'!X75=0,"",('Phytopl Analysis'!X75*LN('Phytopl Analysis'!X75)))</f>
        <v/>
      </c>
      <c r="Y75" s="58" t="str">
        <f>IF('Phytopl Count'!Y75=0,"",('Phytopl Analysis'!Y75*LN('Phytopl Analysis'!Y75)))</f>
        <v/>
      </c>
      <c r="Z75" s="58" t="str">
        <f>IF('Phytopl Count'!Z75=0,"",('Phytopl Analysis'!Z75*LN('Phytopl Analysis'!Z75)))</f>
        <v/>
      </c>
      <c r="AA75" s="21" t="str">
        <f>IF('Phytopl Count'!AA75=0,"",('Phytopl Analysis'!AA75*LN('Phytopl Analysis'!AA75)))</f>
        <v/>
      </c>
      <c r="AB75" s="21" t="str">
        <f>IF('Phytopl Count'!AB75=0,"",('Phytopl Analysis'!AB75*LN('Phytopl Analysis'!AB75)))</f>
        <v/>
      </c>
      <c r="AC75" s="58" t="str">
        <f>IF('Phytopl Count'!AC75=0,"",('Phytopl Analysis'!AC75*LN('Phytopl Analysis'!AC75)))</f>
        <v/>
      </c>
      <c r="AD75" s="58" t="str">
        <f>IF('Phytopl Count'!AD75=0,"",('Phytopl Analysis'!AD75*LN('Phytopl Analysis'!AD75)))</f>
        <v/>
      </c>
      <c r="AE75" s="21" t="str">
        <f>IF('Phytopl Count'!AE75=0,"",('Phytopl Analysis'!AE75*LN('Phytopl Analysis'!AE75)))</f>
        <v/>
      </c>
      <c r="AF75" s="58" t="str">
        <f>IF('Phytopl Count'!AF75=0,"",('Phytopl Analysis'!AF75*LN('Phytopl Analysis'!AF75)))</f>
        <v/>
      </c>
    </row>
    <row r="76" spans="1:32">
      <c r="A76" s="16"/>
      <c r="B76" s="16"/>
      <c r="C76" s="16"/>
      <c r="D76" s="10" t="s">
        <v>5</v>
      </c>
      <c r="E76" s="116" t="s">
        <v>143</v>
      </c>
      <c r="F76" s="9"/>
      <c r="G76" s="21" t="str">
        <f>IF('Phytopl Count'!G76=0,"",('Phytopl Analysis'!G76*LN('Phytopl Analysis'!G76)))</f>
        <v/>
      </c>
      <c r="H76" s="21" t="str">
        <f>IF('Phytopl Count'!H76=0,"",('Phytopl Analysis'!H76*LN('Phytopl Analysis'!H76)))</f>
        <v/>
      </c>
      <c r="I76" s="58" t="str">
        <f>IF('Phytopl Count'!I76=0,"",('Phytopl Analysis'!I76*LN('Phytopl Analysis'!I76)))</f>
        <v/>
      </c>
      <c r="J76" s="58" t="str">
        <f>IF('Phytopl Count'!J76=0,"",('Phytopl Analysis'!J76*LN('Phytopl Analysis'!J76)))</f>
        <v/>
      </c>
      <c r="K76" s="21" t="str">
        <f>IF('Phytopl Count'!K76=0,"",('Phytopl Analysis'!K76*LN('Phytopl Analysis'!K76)))</f>
        <v/>
      </c>
      <c r="L76" s="21" t="str">
        <f>IF('Phytopl Count'!L76=0,"",('Phytopl Analysis'!L76*LN('Phytopl Analysis'!L76)))</f>
        <v/>
      </c>
      <c r="M76" s="58" t="str">
        <f>IF('Phytopl Count'!M76=0,"",('Phytopl Analysis'!M76*LN('Phytopl Analysis'!M76)))</f>
        <v/>
      </c>
      <c r="N76" s="58" t="str">
        <f>IF('Phytopl Count'!N76=0,"",('Phytopl Analysis'!N76*LN('Phytopl Analysis'!N76)))</f>
        <v/>
      </c>
      <c r="O76" s="21" t="str">
        <f>IF('Phytopl Count'!O76=0,"",('Phytopl Analysis'!O76*LN('Phytopl Analysis'!O76)))</f>
        <v/>
      </c>
      <c r="P76" s="21" t="str">
        <f>IF('Phytopl Count'!P76=0,"",('Phytopl Analysis'!P76*LN('Phytopl Analysis'!P76)))</f>
        <v/>
      </c>
      <c r="Q76" s="58" t="str">
        <f>IF('Phytopl Count'!Q76=0,"",('Phytopl Analysis'!Q76*LN('Phytopl Analysis'!Q76)))</f>
        <v/>
      </c>
      <c r="R76" s="58" t="str">
        <f>IF('Phytopl Count'!R76=0,"",('Phytopl Analysis'!R76*LN('Phytopl Analysis'!R76)))</f>
        <v/>
      </c>
      <c r="S76" s="21" t="str">
        <f>IF('Phytopl Count'!S76=0,"",('Phytopl Analysis'!S76*LN('Phytopl Analysis'!S76)))</f>
        <v/>
      </c>
      <c r="T76" s="21" t="str">
        <f>IF('Phytopl Count'!T76=0,"",('Phytopl Analysis'!T76*LN('Phytopl Analysis'!T76)))</f>
        <v/>
      </c>
      <c r="U76" s="58" t="str">
        <f>IF('Phytopl Count'!U76=0,"",('Phytopl Analysis'!U76*LN('Phytopl Analysis'!U76)))</f>
        <v/>
      </c>
      <c r="V76" s="58" t="str">
        <f>IF('Phytopl Count'!V76=0,"",('Phytopl Analysis'!V76*LN('Phytopl Analysis'!V76)))</f>
        <v/>
      </c>
      <c r="W76" s="21" t="str">
        <f>IF('Phytopl Count'!W76=0,"",('Phytopl Analysis'!W76*LN('Phytopl Analysis'!W76)))</f>
        <v/>
      </c>
      <c r="X76" s="21" t="str">
        <f>IF('Phytopl Count'!X76=0,"",('Phytopl Analysis'!X76*LN('Phytopl Analysis'!X76)))</f>
        <v/>
      </c>
      <c r="Y76" s="58" t="str">
        <f>IF('Phytopl Count'!Y76=0,"",('Phytopl Analysis'!Y76*LN('Phytopl Analysis'!Y76)))</f>
        <v/>
      </c>
      <c r="Z76" s="58" t="str">
        <f>IF('Phytopl Count'!Z76=0,"",('Phytopl Analysis'!Z76*LN('Phytopl Analysis'!Z76)))</f>
        <v/>
      </c>
      <c r="AA76" s="21" t="str">
        <f>IF('Phytopl Count'!AA76=0,"",('Phytopl Analysis'!AA76*LN('Phytopl Analysis'!AA76)))</f>
        <v/>
      </c>
      <c r="AB76" s="21" t="str">
        <f>IF('Phytopl Count'!AB76=0,"",('Phytopl Analysis'!AB76*LN('Phytopl Analysis'!AB76)))</f>
        <v/>
      </c>
      <c r="AC76" s="58" t="str">
        <f>IF('Phytopl Count'!AC76=0,"",('Phytopl Analysis'!AC76*LN('Phytopl Analysis'!AC76)))</f>
        <v/>
      </c>
      <c r="AD76" s="58" t="str">
        <f>IF('Phytopl Count'!AD76=0,"",('Phytopl Analysis'!AD76*LN('Phytopl Analysis'!AD76)))</f>
        <v/>
      </c>
      <c r="AE76" s="21" t="str">
        <f>IF('Phytopl Count'!AE76=0,"",('Phytopl Analysis'!AE76*LN('Phytopl Analysis'!AE76)))</f>
        <v/>
      </c>
      <c r="AF76" s="58" t="str">
        <f>IF('Phytopl Count'!AF76=0,"",('Phytopl Analysis'!AF76*LN('Phytopl Analysis'!AF76)))</f>
        <v/>
      </c>
    </row>
    <row r="77" spans="1:32">
      <c r="A77" s="4"/>
      <c r="B77" s="4"/>
      <c r="C77" s="4"/>
      <c r="D77" s="5"/>
      <c r="E77" s="10" t="s">
        <v>6</v>
      </c>
      <c r="F77" s="11" t="s">
        <v>144</v>
      </c>
      <c r="G77" s="21" t="str">
        <f>IF('Phytopl Count'!G77=0,"",('Phytopl Analysis'!G77*LN('Phytopl Analysis'!G77)))</f>
        <v/>
      </c>
      <c r="H77" s="21">
        <f>IF('Phytopl Count'!H77=0,"",('Phytopl Analysis'!H77*LN('Phytopl Analysis'!H77)))</f>
        <v>-0.1458498424659852</v>
      </c>
      <c r="I77" s="58" t="str">
        <f>IF('Phytopl Count'!I77=0,"",('Phytopl Analysis'!I77*LN('Phytopl Analysis'!I77)))</f>
        <v/>
      </c>
      <c r="J77" s="58" t="str">
        <f>IF('Phytopl Count'!J77=0,"",('Phytopl Analysis'!J77*LN('Phytopl Analysis'!J77)))</f>
        <v/>
      </c>
      <c r="K77" s="21">
        <f>IF('Phytopl Count'!K77=0,"",('Phytopl Analysis'!K77*LN('Phytopl Analysis'!K77)))</f>
        <v>-0.11022075559754062</v>
      </c>
      <c r="L77" s="21" t="str">
        <f>IF('Phytopl Count'!L77=0,"",('Phytopl Analysis'!L77*LN('Phytopl Analysis'!L77)))</f>
        <v/>
      </c>
      <c r="M77" s="58" t="str">
        <f>IF('Phytopl Count'!M77=0,"",('Phytopl Analysis'!M77*LN('Phytopl Analysis'!M77)))</f>
        <v/>
      </c>
      <c r="N77" s="58">
        <f>IF('Phytopl Count'!N77=0,"",('Phytopl Analysis'!N77*LN('Phytopl Analysis'!N77)))</f>
        <v>-0.1458498424659852</v>
      </c>
      <c r="O77" s="21">
        <f>IF('Phytopl Count'!O77=0,"",('Phytopl Analysis'!O77*LN('Phytopl Analysis'!O77)))</f>
        <v>-0.17603686210775515</v>
      </c>
      <c r="P77" s="21">
        <f>IF('Phytopl Count'!P77=0,"",('Phytopl Analysis'!P77*LN('Phytopl Analysis'!P77)))</f>
        <v>-0.11022075559754062</v>
      </c>
      <c r="Q77" s="58" t="str">
        <f>IF('Phytopl Count'!Q77=0,"",('Phytopl Analysis'!Q77*LN('Phytopl Analysis'!Q77)))</f>
        <v/>
      </c>
      <c r="R77" s="58">
        <f>IF('Phytopl Count'!R77=0,"",('Phytopl Analysis'!R77*LN('Phytopl Analysis'!R77)))</f>
        <v>-0.11022075559754062</v>
      </c>
      <c r="S77" s="21">
        <f>IF('Phytopl Count'!S77=0,"",('Phytopl Analysis'!S77*LN('Phytopl Analysis'!S77)))</f>
        <v>-0.1458498424659852</v>
      </c>
      <c r="T77" s="21" t="str">
        <f>IF('Phytopl Count'!T77=0,"",('Phytopl Analysis'!T77*LN('Phytopl Analysis'!T77)))</f>
        <v/>
      </c>
      <c r="U77" s="58">
        <f>IF('Phytopl Count'!U77=0,"",('Phytopl Analysis'!U77*LN('Phytopl Analysis'!U77)))</f>
        <v>-0.17603686210775515</v>
      </c>
      <c r="V77" s="58">
        <f>IF('Phytopl Count'!V77=0,"",('Phytopl Analysis'!V77*LN('Phytopl Analysis'!V77)))</f>
        <v>-0.20217719752866301</v>
      </c>
      <c r="W77" s="21" t="str">
        <f>IF('Phytopl Count'!W77=0,"",('Phytopl Analysis'!W77*LN('Phytopl Analysis'!W77)))</f>
        <v/>
      </c>
      <c r="X77" s="21" t="str">
        <f>IF('Phytopl Count'!X77=0,"",('Phytopl Analysis'!X77*LN('Phytopl Analysis'!X77)))</f>
        <v/>
      </c>
      <c r="Y77" s="58" t="str">
        <f>IF('Phytopl Count'!Y77=0,"",('Phytopl Analysis'!Y77*LN('Phytopl Analysis'!Y77)))</f>
        <v/>
      </c>
      <c r="Z77" s="58">
        <f>IF('Phytopl Count'!Z77=0,"",('Phytopl Analysis'!Z77*LN('Phytopl Analysis'!Z77)))</f>
        <v>-0.23551788360242082</v>
      </c>
      <c r="AA77" s="21" t="str">
        <f>IF('Phytopl Count'!AA77=0,"",('Phytopl Analysis'!AA77*LN('Phytopl Analysis'!AA77)))</f>
        <v/>
      </c>
      <c r="AB77" s="21">
        <f>IF('Phytopl Count'!AB77=0,"",('Phytopl Analysis'!AB77*LN('Phytopl Analysis'!AB77)))</f>
        <v>-0.12884150444391032</v>
      </c>
      <c r="AC77" s="58">
        <f>IF('Phytopl Count'!AC77=0,"",('Phytopl Analysis'!AC77*LN('Phytopl Analysis'!AC77)))</f>
        <v>-0.11022075559754062</v>
      </c>
      <c r="AD77" s="58" t="str">
        <f>IF('Phytopl Count'!AD77=0,"",('Phytopl Analysis'!AD77*LN('Phytopl Analysis'!AD77)))</f>
        <v/>
      </c>
      <c r="AE77" s="21">
        <f>IF('Phytopl Count'!AE77=0,"",('Phytopl Analysis'!AE77*LN('Phytopl Analysis'!AE77)))</f>
        <v>-8.9576664640739892E-2</v>
      </c>
      <c r="AF77" s="58">
        <f>IF('Phytopl Count'!AF77=0,"",('Phytopl Analysis'!AF77*LN('Phytopl Analysis'!AF77)))</f>
        <v>-0.3169714753399841</v>
      </c>
    </row>
    <row r="78" spans="1:32">
      <c r="A78" s="4"/>
      <c r="B78" s="4"/>
      <c r="C78" s="4"/>
      <c r="D78" s="5"/>
      <c r="E78" s="10"/>
      <c r="F78" s="11" t="s">
        <v>232</v>
      </c>
      <c r="G78" s="21" t="str">
        <f>IF('Phytopl Count'!G78=0,"",('Phytopl Analysis'!G78*LN('Phytopl Analysis'!G78)))</f>
        <v/>
      </c>
      <c r="H78" s="21" t="str">
        <f>IF('Phytopl Count'!H78=0,"",('Phytopl Analysis'!H78*LN('Phytopl Analysis'!H78)))</f>
        <v/>
      </c>
      <c r="I78" s="58" t="str">
        <f>IF('Phytopl Count'!I78=0,"",('Phytopl Analysis'!I78*LN('Phytopl Analysis'!I78)))</f>
        <v/>
      </c>
      <c r="J78" s="58" t="str">
        <f>IF('Phytopl Count'!J78=0,"",('Phytopl Analysis'!J78*LN('Phytopl Analysis'!J78)))</f>
        <v/>
      </c>
      <c r="K78" s="21" t="str">
        <f>IF('Phytopl Count'!K78=0,"",('Phytopl Analysis'!K78*LN('Phytopl Analysis'!K78)))</f>
        <v/>
      </c>
      <c r="L78" s="21" t="str">
        <f>IF('Phytopl Count'!L78=0,"",('Phytopl Analysis'!L78*LN('Phytopl Analysis'!L78)))</f>
        <v/>
      </c>
      <c r="M78" s="58" t="str">
        <f>IF('Phytopl Count'!M78=0,"",('Phytopl Analysis'!M78*LN('Phytopl Analysis'!M78)))</f>
        <v/>
      </c>
      <c r="N78" s="58" t="str">
        <f>IF('Phytopl Count'!N78=0,"",('Phytopl Analysis'!N78*LN('Phytopl Analysis'!N78)))</f>
        <v/>
      </c>
      <c r="O78" s="21" t="str">
        <f>IF('Phytopl Count'!O78=0,"",('Phytopl Analysis'!O78*LN('Phytopl Analysis'!O78)))</f>
        <v/>
      </c>
      <c r="P78" s="21" t="str">
        <f>IF('Phytopl Count'!P78=0,"",('Phytopl Analysis'!P78*LN('Phytopl Analysis'!P78)))</f>
        <v/>
      </c>
      <c r="Q78" s="58" t="str">
        <f>IF('Phytopl Count'!Q78=0,"",('Phytopl Analysis'!Q78*LN('Phytopl Analysis'!Q78)))</f>
        <v/>
      </c>
      <c r="R78" s="58" t="str">
        <f>IF('Phytopl Count'!R78=0,"",('Phytopl Analysis'!R78*LN('Phytopl Analysis'!R78)))</f>
        <v/>
      </c>
      <c r="S78" s="21" t="str">
        <f>IF('Phytopl Count'!S78=0,"",('Phytopl Analysis'!S78*LN('Phytopl Analysis'!S78)))</f>
        <v/>
      </c>
      <c r="T78" s="21" t="str">
        <f>IF('Phytopl Count'!T78=0,"",('Phytopl Analysis'!T78*LN('Phytopl Analysis'!T78)))</f>
        <v/>
      </c>
      <c r="U78" s="58" t="str">
        <f>IF('Phytopl Count'!U78=0,"",('Phytopl Analysis'!U78*LN('Phytopl Analysis'!U78)))</f>
        <v/>
      </c>
      <c r="V78" s="58">
        <f>IF('Phytopl Count'!V78=0,"",('Phytopl Analysis'!V78*LN('Phytopl Analysis'!V78)))</f>
        <v>-0.12884150444391032</v>
      </c>
      <c r="W78" s="21" t="str">
        <f>IF('Phytopl Count'!W78=0,"",('Phytopl Analysis'!W78*LN('Phytopl Analysis'!W78)))</f>
        <v/>
      </c>
      <c r="X78" s="21" t="str">
        <f>IF('Phytopl Count'!X78=0,"",('Phytopl Analysis'!X78*LN('Phytopl Analysis'!X78)))</f>
        <v/>
      </c>
      <c r="Y78" s="58" t="str">
        <f>IF('Phytopl Count'!Y78=0,"",('Phytopl Analysis'!Y78*LN('Phytopl Analysis'!Y78)))</f>
        <v/>
      </c>
      <c r="Z78" s="58" t="str">
        <f>IF('Phytopl Count'!Z78=0,"",('Phytopl Analysis'!Z78*LN('Phytopl Analysis'!Z78)))</f>
        <v/>
      </c>
      <c r="AA78" s="21" t="str">
        <f>IF('Phytopl Count'!AA78=0,"",('Phytopl Analysis'!AA78*LN('Phytopl Analysis'!AA78)))</f>
        <v/>
      </c>
      <c r="AB78" s="21" t="str">
        <f>IF('Phytopl Count'!AB78=0,"",('Phytopl Analysis'!AB78*LN('Phytopl Analysis'!AB78)))</f>
        <v/>
      </c>
      <c r="AC78" s="58" t="str">
        <f>IF('Phytopl Count'!AC78=0,"",('Phytopl Analysis'!AC78*LN('Phytopl Analysis'!AC78)))</f>
        <v/>
      </c>
      <c r="AD78" s="58" t="str">
        <f>IF('Phytopl Count'!AD78=0,"",('Phytopl Analysis'!AD78*LN('Phytopl Analysis'!AD78)))</f>
        <v/>
      </c>
      <c r="AE78" s="21" t="str">
        <f>IF('Phytopl Count'!AE78=0,"",('Phytopl Analysis'!AE78*LN('Phytopl Analysis'!AE78)))</f>
        <v/>
      </c>
      <c r="AF78" s="58" t="str">
        <f>IF('Phytopl Count'!AF78=0,"",('Phytopl Analysis'!AF78*LN('Phytopl Analysis'!AF78)))</f>
        <v/>
      </c>
    </row>
    <row r="79" spans="1:32" hidden="1">
      <c r="A79" s="4"/>
      <c r="B79" s="4"/>
      <c r="C79" s="16" t="s">
        <v>73</v>
      </c>
      <c r="D79" s="4" t="s">
        <v>360</v>
      </c>
      <c r="E79" s="5"/>
      <c r="F79" s="11"/>
      <c r="G79" s="21" t="str">
        <f>IF('Phytopl Count'!G79=0,"",('Phytopl Analysis'!G79*LN('Phytopl Analysis'!G79)))</f>
        <v/>
      </c>
      <c r="H79" s="21" t="str">
        <f>IF('Phytopl Count'!H79=0,"",('Phytopl Analysis'!H79*LN('Phytopl Analysis'!H79)))</f>
        <v/>
      </c>
      <c r="I79" s="58" t="str">
        <f>IF('Phytopl Count'!I79=0,"",('Phytopl Analysis'!I79*LN('Phytopl Analysis'!I79)))</f>
        <v/>
      </c>
      <c r="J79" s="58" t="str">
        <f>IF('Phytopl Count'!J79=0,"",('Phytopl Analysis'!J79*LN('Phytopl Analysis'!J79)))</f>
        <v/>
      </c>
      <c r="K79" s="21" t="str">
        <f>IF('Phytopl Count'!K79=0,"",('Phytopl Analysis'!K79*LN('Phytopl Analysis'!K79)))</f>
        <v/>
      </c>
      <c r="L79" s="21" t="str">
        <f>IF('Phytopl Count'!L79=0,"",('Phytopl Analysis'!L79*LN('Phytopl Analysis'!L79)))</f>
        <v/>
      </c>
      <c r="M79" s="58" t="str">
        <f>IF('Phytopl Count'!M79=0,"",('Phytopl Analysis'!M79*LN('Phytopl Analysis'!M79)))</f>
        <v/>
      </c>
      <c r="N79" s="58" t="str">
        <f>IF('Phytopl Count'!N79=0,"",('Phytopl Analysis'!N79*LN('Phytopl Analysis'!N79)))</f>
        <v/>
      </c>
      <c r="O79" s="21" t="str">
        <f>IF('Phytopl Count'!O79=0,"",('Phytopl Analysis'!O79*LN('Phytopl Analysis'!O79)))</f>
        <v/>
      </c>
      <c r="P79" s="21" t="str">
        <f>IF('Phytopl Count'!P79=0,"",('Phytopl Analysis'!P79*LN('Phytopl Analysis'!P79)))</f>
        <v/>
      </c>
      <c r="Q79" s="58" t="str">
        <f>IF('Phytopl Count'!Q79=0,"",('Phytopl Analysis'!Q79*LN('Phytopl Analysis'!Q79)))</f>
        <v/>
      </c>
      <c r="R79" s="58" t="str">
        <f>IF('Phytopl Count'!R79=0,"",('Phytopl Analysis'!R79*LN('Phytopl Analysis'!R79)))</f>
        <v/>
      </c>
      <c r="S79" s="21" t="str">
        <f>IF('Phytopl Count'!S79=0,"",('Phytopl Analysis'!S79*LN('Phytopl Analysis'!S79)))</f>
        <v/>
      </c>
      <c r="T79" s="21" t="str">
        <f>IF('Phytopl Count'!T79=0,"",('Phytopl Analysis'!T79*LN('Phytopl Analysis'!T79)))</f>
        <v/>
      </c>
      <c r="U79" s="58" t="str">
        <f>IF('Phytopl Count'!U79=0,"",('Phytopl Analysis'!U79*LN('Phytopl Analysis'!U79)))</f>
        <v/>
      </c>
      <c r="V79" s="58" t="str">
        <f>IF('Phytopl Count'!V79=0,"",('Phytopl Analysis'!V79*LN('Phytopl Analysis'!V79)))</f>
        <v/>
      </c>
      <c r="W79" s="21" t="str">
        <f>IF('Phytopl Count'!W79=0,"",('Phytopl Analysis'!W79*LN('Phytopl Analysis'!W79)))</f>
        <v/>
      </c>
      <c r="X79" s="21" t="str">
        <f>IF('Phytopl Count'!X79=0,"",('Phytopl Analysis'!X79*LN('Phytopl Analysis'!X79)))</f>
        <v/>
      </c>
      <c r="Y79" s="58" t="str">
        <f>IF('Phytopl Count'!Y79=0,"",('Phytopl Analysis'!Y79*LN('Phytopl Analysis'!Y79)))</f>
        <v/>
      </c>
      <c r="Z79" s="58" t="str">
        <f>IF('Phytopl Count'!Z79=0,"",('Phytopl Analysis'!Z79*LN('Phytopl Analysis'!Z79)))</f>
        <v/>
      </c>
      <c r="AA79" s="21" t="str">
        <f>IF('Phytopl Count'!AA79=0,"",('Phytopl Analysis'!AA79*LN('Phytopl Analysis'!AA79)))</f>
        <v/>
      </c>
      <c r="AB79" s="21" t="str">
        <f>IF('Phytopl Count'!AB79=0,"",('Phytopl Analysis'!AB79*LN('Phytopl Analysis'!AB79)))</f>
        <v/>
      </c>
      <c r="AC79" s="58" t="str">
        <f>IF('Phytopl Count'!AC79=0,"",('Phytopl Analysis'!AC79*LN('Phytopl Analysis'!AC79)))</f>
        <v/>
      </c>
      <c r="AD79" s="58" t="str">
        <f>IF('Phytopl Count'!AD79=0,"",('Phytopl Analysis'!AD79*LN('Phytopl Analysis'!AD79)))</f>
        <v/>
      </c>
      <c r="AE79" s="21" t="str">
        <f>IF('Phytopl Count'!AE79=0,"",('Phytopl Analysis'!AE79*LN('Phytopl Analysis'!AE79)))</f>
        <v/>
      </c>
      <c r="AF79" s="58" t="str">
        <f>IF('Phytopl Count'!AF79=0,"",('Phytopl Analysis'!AF79*LN('Phytopl Analysis'!AF79)))</f>
        <v/>
      </c>
    </row>
    <row r="80" spans="1:32" hidden="1">
      <c r="A80" s="4"/>
      <c r="B80" s="4"/>
      <c r="C80" s="4"/>
      <c r="D80" s="10" t="s">
        <v>5</v>
      </c>
      <c r="E80" s="164" t="s">
        <v>361</v>
      </c>
      <c r="F80" s="11"/>
      <c r="G80" s="21" t="str">
        <f>IF('Phytopl Count'!G80=0,"",('Phytopl Analysis'!G80*LN('Phytopl Analysis'!G80)))</f>
        <v/>
      </c>
      <c r="H80" s="21" t="str">
        <f>IF('Phytopl Count'!H80=0,"",('Phytopl Analysis'!H80*LN('Phytopl Analysis'!H80)))</f>
        <v/>
      </c>
      <c r="I80" s="58" t="str">
        <f>IF('Phytopl Count'!I80=0,"",('Phytopl Analysis'!I80*LN('Phytopl Analysis'!I80)))</f>
        <v/>
      </c>
      <c r="J80" s="58" t="str">
        <f>IF('Phytopl Count'!J80=0,"",('Phytopl Analysis'!J80*LN('Phytopl Analysis'!J80)))</f>
        <v/>
      </c>
      <c r="K80" s="21" t="str">
        <f>IF('Phytopl Count'!K80=0,"",('Phytopl Analysis'!K80*LN('Phytopl Analysis'!K80)))</f>
        <v/>
      </c>
      <c r="L80" s="21" t="str">
        <f>IF('Phytopl Count'!L80=0,"",('Phytopl Analysis'!L80*LN('Phytopl Analysis'!L80)))</f>
        <v/>
      </c>
      <c r="M80" s="58" t="str">
        <f>IF('Phytopl Count'!M80=0,"",('Phytopl Analysis'!M80*LN('Phytopl Analysis'!M80)))</f>
        <v/>
      </c>
      <c r="N80" s="58" t="str">
        <f>IF('Phytopl Count'!N80=0,"",('Phytopl Analysis'!N80*LN('Phytopl Analysis'!N80)))</f>
        <v/>
      </c>
      <c r="O80" s="21" t="str">
        <f>IF('Phytopl Count'!O80=0,"",('Phytopl Analysis'!O80*LN('Phytopl Analysis'!O80)))</f>
        <v/>
      </c>
      <c r="P80" s="21" t="str">
        <f>IF('Phytopl Count'!P80=0,"",('Phytopl Analysis'!P80*LN('Phytopl Analysis'!P80)))</f>
        <v/>
      </c>
      <c r="Q80" s="58" t="str">
        <f>IF('Phytopl Count'!Q80=0,"",('Phytopl Analysis'!Q80*LN('Phytopl Analysis'!Q80)))</f>
        <v/>
      </c>
      <c r="R80" s="58" t="str">
        <f>IF('Phytopl Count'!R80=0,"",('Phytopl Analysis'!R80*LN('Phytopl Analysis'!R80)))</f>
        <v/>
      </c>
      <c r="S80" s="21" t="str">
        <f>IF('Phytopl Count'!S80=0,"",('Phytopl Analysis'!S80*LN('Phytopl Analysis'!S80)))</f>
        <v/>
      </c>
      <c r="T80" s="21" t="str">
        <f>IF('Phytopl Count'!T80=0,"",('Phytopl Analysis'!T80*LN('Phytopl Analysis'!T80)))</f>
        <v/>
      </c>
      <c r="U80" s="58" t="str">
        <f>IF('Phytopl Count'!U80=0,"",('Phytopl Analysis'!U80*LN('Phytopl Analysis'!U80)))</f>
        <v/>
      </c>
      <c r="V80" s="58" t="str">
        <f>IF('Phytopl Count'!V80=0,"",('Phytopl Analysis'!V80*LN('Phytopl Analysis'!V80)))</f>
        <v/>
      </c>
      <c r="W80" s="21" t="str">
        <f>IF('Phytopl Count'!W80=0,"",('Phytopl Analysis'!W80*LN('Phytopl Analysis'!W80)))</f>
        <v/>
      </c>
      <c r="X80" s="21" t="str">
        <f>IF('Phytopl Count'!X80=0,"",('Phytopl Analysis'!X80*LN('Phytopl Analysis'!X80)))</f>
        <v/>
      </c>
      <c r="Y80" s="58" t="str">
        <f>IF('Phytopl Count'!Y80=0,"",('Phytopl Analysis'!Y80*LN('Phytopl Analysis'!Y80)))</f>
        <v/>
      </c>
      <c r="Z80" s="58" t="str">
        <f>IF('Phytopl Count'!Z80=0,"",('Phytopl Analysis'!Z80*LN('Phytopl Analysis'!Z80)))</f>
        <v/>
      </c>
      <c r="AA80" s="21" t="str">
        <f>IF('Phytopl Count'!AA80=0,"",('Phytopl Analysis'!AA80*LN('Phytopl Analysis'!AA80)))</f>
        <v/>
      </c>
      <c r="AB80" s="21" t="str">
        <f>IF('Phytopl Count'!AB80=0,"",('Phytopl Analysis'!AB80*LN('Phytopl Analysis'!AB80)))</f>
        <v/>
      </c>
      <c r="AC80" s="58" t="str">
        <f>IF('Phytopl Count'!AC80=0,"",('Phytopl Analysis'!AC80*LN('Phytopl Analysis'!AC80)))</f>
        <v/>
      </c>
      <c r="AD80" s="58" t="str">
        <f>IF('Phytopl Count'!AD80=0,"",('Phytopl Analysis'!AD80*LN('Phytopl Analysis'!AD80)))</f>
        <v/>
      </c>
      <c r="AE80" s="21" t="str">
        <f>IF('Phytopl Count'!AE80=0,"",('Phytopl Analysis'!AE80*LN('Phytopl Analysis'!AE80)))</f>
        <v/>
      </c>
      <c r="AF80" s="58" t="str">
        <f>IF('Phytopl Count'!AF80=0,"",('Phytopl Analysis'!AF80*LN('Phytopl Analysis'!AF80)))</f>
        <v/>
      </c>
    </row>
    <row r="81" spans="1:32" hidden="1">
      <c r="A81" s="4"/>
      <c r="B81" s="4"/>
      <c r="C81" s="4"/>
      <c r="D81" s="5"/>
      <c r="E81" s="10" t="s">
        <v>6</v>
      </c>
      <c r="F81" s="11" t="s">
        <v>362</v>
      </c>
      <c r="G81" s="21" t="str">
        <f>IF('Phytopl Count'!G81=0,"",('Phytopl Analysis'!G81*LN('Phytopl Analysis'!G81)))</f>
        <v/>
      </c>
      <c r="H81" s="21" t="str">
        <f>IF('Phytopl Count'!H81=0,"",('Phytopl Analysis'!H81*LN('Phytopl Analysis'!H81)))</f>
        <v/>
      </c>
      <c r="I81" s="58" t="str">
        <f>IF('Phytopl Count'!I81=0,"",('Phytopl Analysis'!I81*LN('Phytopl Analysis'!I81)))</f>
        <v/>
      </c>
      <c r="J81" s="58" t="str">
        <f>IF('Phytopl Count'!J81=0,"",('Phytopl Analysis'!J81*LN('Phytopl Analysis'!J81)))</f>
        <v/>
      </c>
      <c r="K81" s="21" t="str">
        <f>IF('Phytopl Count'!K81=0,"",('Phytopl Analysis'!K81*LN('Phytopl Analysis'!K81)))</f>
        <v/>
      </c>
      <c r="L81" s="21" t="str">
        <f>IF('Phytopl Count'!L81=0,"",('Phytopl Analysis'!L81*LN('Phytopl Analysis'!L81)))</f>
        <v/>
      </c>
      <c r="M81" s="58" t="str">
        <f>IF('Phytopl Count'!M81=0,"",('Phytopl Analysis'!M81*LN('Phytopl Analysis'!M81)))</f>
        <v/>
      </c>
      <c r="N81" s="58" t="str">
        <f>IF('Phytopl Count'!N81=0,"",('Phytopl Analysis'!N81*LN('Phytopl Analysis'!N81)))</f>
        <v/>
      </c>
      <c r="O81" s="21" t="str">
        <f>IF('Phytopl Count'!O81=0,"",('Phytopl Analysis'!O81*LN('Phytopl Analysis'!O81)))</f>
        <v/>
      </c>
      <c r="P81" s="21" t="str">
        <f>IF('Phytopl Count'!P81=0,"",('Phytopl Analysis'!P81*LN('Phytopl Analysis'!P81)))</f>
        <v/>
      </c>
      <c r="Q81" s="58" t="str">
        <f>IF('Phytopl Count'!Q81=0,"",('Phytopl Analysis'!Q81*LN('Phytopl Analysis'!Q81)))</f>
        <v/>
      </c>
      <c r="R81" s="58" t="str">
        <f>IF('Phytopl Count'!R81=0,"",('Phytopl Analysis'!R81*LN('Phytopl Analysis'!R81)))</f>
        <v/>
      </c>
      <c r="S81" s="21" t="str">
        <f>IF('Phytopl Count'!S81=0,"",('Phytopl Analysis'!S81*LN('Phytopl Analysis'!S81)))</f>
        <v/>
      </c>
      <c r="T81" s="21" t="str">
        <f>IF('Phytopl Count'!T81=0,"",('Phytopl Analysis'!T81*LN('Phytopl Analysis'!T81)))</f>
        <v/>
      </c>
      <c r="U81" s="58" t="str">
        <f>IF('Phytopl Count'!U81=0,"",('Phytopl Analysis'!U81*LN('Phytopl Analysis'!U81)))</f>
        <v/>
      </c>
      <c r="V81" s="58" t="str">
        <f>IF('Phytopl Count'!V81=0,"",('Phytopl Analysis'!V81*LN('Phytopl Analysis'!V81)))</f>
        <v/>
      </c>
      <c r="W81" s="21" t="str">
        <f>IF('Phytopl Count'!W81=0,"",('Phytopl Analysis'!W81*LN('Phytopl Analysis'!W81)))</f>
        <v/>
      </c>
      <c r="X81" s="21" t="str">
        <f>IF('Phytopl Count'!X81=0,"",('Phytopl Analysis'!X81*LN('Phytopl Analysis'!X81)))</f>
        <v/>
      </c>
      <c r="Y81" s="58" t="str">
        <f>IF('Phytopl Count'!Y81=0,"",('Phytopl Analysis'!Y81*LN('Phytopl Analysis'!Y81)))</f>
        <v/>
      </c>
      <c r="Z81" s="58" t="str">
        <f>IF('Phytopl Count'!Z81=0,"",('Phytopl Analysis'!Z81*LN('Phytopl Analysis'!Z81)))</f>
        <v/>
      </c>
      <c r="AA81" s="21" t="str">
        <f>IF('Phytopl Count'!AA81=0,"",('Phytopl Analysis'!AA81*LN('Phytopl Analysis'!AA81)))</f>
        <v/>
      </c>
      <c r="AB81" s="21" t="str">
        <f>IF('Phytopl Count'!AB81=0,"",('Phytopl Analysis'!AB81*LN('Phytopl Analysis'!AB81)))</f>
        <v/>
      </c>
      <c r="AC81" s="58" t="str">
        <f>IF('Phytopl Count'!AC81=0,"",('Phytopl Analysis'!AC81*LN('Phytopl Analysis'!AC81)))</f>
        <v/>
      </c>
      <c r="AD81" s="58" t="str">
        <f>IF('Phytopl Count'!AD81=0,"",('Phytopl Analysis'!AD81*LN('Phytopl Analysis'!AD81)))</f>
        <v/>
      </c>
      <c r="AE81" s="21" t="str">
        <f>IF('Phytopl Count'!AE81=0,"",('Phytopl Analysis'!AE81*LN('Phytopl Analysis'!AE81)))</f>
        <v/>
      </c>
      <c r="AF81" s="58" t="str">
        <f>IF('Phytopl Count'!AF81=0,"",('Phytopl Analysis'!AF81*LN('Phytopl Analysis'!AF81)))</f>
        <v/>
      </c>
    </row>
    <row r="82" spans="1:32">
      <c r="A82" s="4"/>
      <c r="B82" s="4"/>
      <c r="C82" s="16" t="s">
        <v>73</v>
      </c>
      <c r="D82" s="4" t="s">
        <v>78</v>
      </c>
      <c r="E82" s="5"/>
      <c r="F82" s="11"/>
      <c r="G82" s="21" t="str">
        <f>IF('Phytopl Count'!G82=0,"",('Phytopl Analysis'!G82*LN('Phytopl Analysis'!G82)))</f>
        <v/>
      </c>
      <c r="H82" s="21" t="str">
        <f>IF('Phytopl Count'!H82=0,"",('Phytopl Analysis'!H82*LN('Phytopl Analysis'!H82)))</f>
        <v/>
      </c>
      <c r="I82" s="58" t="str">
        <f>IF('Phytopl Count'!I82=0,"",('Phytopl Analysis'!I82*LN('Phytopl Analysis'!I82)))</f>
        <v/>
      </c>
      <c r="J82" s="58" t="str">
        <f>IF('Phytopl Count'!J82=0,"",('Phytopl Analysis'!J82*LN('Phytopl Analysis'!J82)))</f>
        <v/>
      </c>
      <c r="K82" s="21" t="str">
        <f>IF('Phytopl Count'!K82=0,"",('Phytopl Analysis'!K82*LN('Phytopl Analysis'!K82)))</f>
        <v/>
      </c>
      <c r="L82" s="21" t="str">
        <f>IF('Phytopl Count'!L82=0,"",('Phytopl Analysis'!L82*LN('Phytopl Analysis'!L82)))</f>
        <v/>
      </c>
      <c r="M82" s="58" t="str">
        <f>IF('Phytopl Count'!M82=0,"",('Phytopl Analysis'!M82*LN('Phytopl Analysis'!M82)))</f>
        <v/>
      </c>
      <c r="N82" s="58" t="str">
        <f>IF('Phytopl Count'!N82=0,"",('Phytopl Analysis'!N82*LN('Phytopl Analysis'!N82)))</f>
        <v/>
      </c>
      <c r="O82" s="21" t="str">
        <f>IF('Phytopl Count'!O82=0,"",('Phytopl Analysis'!O82*LN('Phytopl Analysis'!O82)))</f>
        <v/>
      </c>
      <c r="P82" s="21" t="str">
        <f>IF('Phytopl Count'!P82=0,"",('Phytopl Analysis'!P82*LN('Phytopl Analysis'!P82)))</f>
        <v/>
      </c>
      <c r="Q82" s="58" t="str">
        <f>IF('Phytopl Count'!Q82=0,"",('Phytopl Analysis'!Q82*LN('Phytopl Analysis'!Q82)))</f>
        <v/>
      </c>
      <c r="R82" s="58" t="str">
        <f>IF('Phytopl Count'!R82=0,"",('Phytopl Analysis'!R82*LN('Phytopl Analysis'!R82)))</f>
        <v/>
      </c>
      <c r="S82" s="21" t="str">
        <f>IF('Phytopl Count'!S82=0,"",('Phytopl Analysis'!S82*LN('Phytopl Analysis'!S82)))</f>
        <v/>
      </c>
      <c r="T82" s="21" t="str">
        <f>IF('Phytopl Count'!T82=0,"",('Phytopl Analysis'!T82*LN('Phytopl Analysis'!T82)))</f>
        <v/>
      </c>
      <c r="U82" s="58" t="str">
        <f>IF('Phytopl Count'!U82=0,"",('Phytopl Analysis'!U82*LN('Phytopl Analysis'!U82)))</f>
        <v/>
      </c>
      <c r="V82" s="58" t="str">
        <f>IF('Phytopl Count'!V82=0,"",('Phytopl Analysis'!V82*LN('Phytopl Analysis'!V82)))</f>
        <v/>
      </c>
      <c r="W82" s="21" t="str">
        <f>IF('Phytopl Count'!W82=0,"",('Phytopl Analysis'!W82*LN('Phytopl Analysis'!W82)))</f>
        <v/>
      </c>
      <c r="X82" s="21" t="str">
        <f>IF('Phytopl Count'!X82=0,"",('Phytopl Analysis'!X82*LN('Phytopl Analysis'!X82)))</f>
        <v/>
      </c>
      <c r="Y82" s="58" t="str">
        <f>IF('Phytopl Count'!Y82=0,"",('Phytopl Analysis'!Y82*LN('Phytopl Analysis'!Y82)))</f>
        <v/>
      </c>
      <c r="Z82" s="58" t="str">
        <f>IF('Phytopl Count'!Z82=0,"",('Phytopl Analysis'!Z82*LN('Phytopl Analysis'!Z82)))</f>
        <v/>
      </c>
      <c r="AA82" s="21" t="str">
        <f>IF('Phytopl Count'!AA82=0,"",('Phytopl Analysis'!AA82*LN('Phytopl Analysis'!AA82)))</f>
        <v/>
      </c>
      <c r="AB82" s="21" t="str">
        <f>IF('Phytopl Count'!AB82=0,"",('Phytopl Analysis'!AB82*LN('Phytopl Analysis'!AB82)))</f>
        <v/>
      </c>
      <c r="AC82" s="58" t="str">
        <f>IF('Phytopl Count'!AC82=0,"",('Phytopl Analysis'!AC82*LN('Phytopl Analysis'!AC82)))</f>
        <v/>
      </c>
      <c r="AD82" s="58" t="str">
        <f>IF('Phytopl Count'!AD82=0,"",('Phytopl Analysis'!AD82*LN('Phytopl Analysis'!AD82)))</f>
        <v/>
      </c>
      <c r="AE82" s="21" t="str">
        <f>IF('Phytopl Count'!AE82=0,"",('Phytopl Analysis'!AE82*LN('Phytopl Analysis'!AE82)))</f>
        <v/>
      </c>
      <c r="AF82" s="58" t="str">
        <f>IF('Phytopl Count'!AF82=0,"",('Phytopl Analysis'!AF82*LN('Phytopl Analysis'!AF82)))</f>
        <v/>
      </c>
    </row>
    <row r="83" spans="1:32" hidden="1">
      <c r="A83" s="4"/>
      <c r="B83" s="4"/>
      <c r="C83" s="4"/>
      <c r="D83" s="10" t="s">
        <v>5</v>
      </c>
      <c r="E83" s="5" t="s">
        <v>17</v>
      </c>
      <c r="F83" s="11"/>
      <c r="G83" s="21" t="str">
        <f>IF('Phytopl Count'!G83=0,"",('Phytopl Analysis'!G83*LN('Phytopl Analysis'!G83)))</f>
        <v/>
      </c>
      <c r="H83" s="21" t="str">
        <f>IF('Phytopl Count'!H83=0,"",('Phytopl Analysis'!H83*LN('Phytopl Analysis'!H83)))</f>
        <v/>
      </c>
      <c r="I83" s="58" t="str">
        <f>IF('Phytopl Count'!I83=0,"",('Phytopl Analysis'!I83*LN('Phytopl Analysis'!I83)))</f>
        <v/>
      </c>
      <c r="J83" s="58" t="str">
        <f>IF('Phytopl Count'!J83=0,"",('Phytopl Analysis'!J83*LN('Phytopl Analysis'!J83)))</f>
        <v/>
      </c>
      <c r="K83" s="21" t="str">
        <f>IF('Phytopl Count'!K83=0,"",('Phytopl Analysis'!K83*LN('Phytopl Analysis'!K83)))</f>
        <v/>
      </c>
      <c r="L83" s="21" t="str">
        <f>IF('Phytopl Count'!L83=0,"",('Phytopl Analysis'!L83*LN('Phytopl Analysis'!L83)))</f>
        <v/>
      </c>
      <c r="M83" s="58" t="str">
        <f>IF('Phytopl Count'!M83=0,"",('Phytopl Analysis'!M83*LN('Phytopl Analysis'!M83)))</f>
        <v/>
      </c>
      <c r="N83" s="58" t="str">
        <f>IF('Phytopl Count'!N83=0,"",('Phytopl Analysis'!N83*LN('Phytopl Analysis'!N83)))</f>
        <v/>
      </c>
      <c r="O83" s="21" t="str">
        <f>IF('Phytopl Count'!O83=0,"",('Phytopl Analysis'!O83*LN('Phytopl Analysis'!O83)))</f>
        <v/>
      </c>
      <c r="P83" s="21" t="str">
        <f>IF('Phytopl Count'!P83=0,"",('Phytopl Analysis'!P83*LN('Phytopl Analysis'!P83)))</f>
        <v/>
      </c>
      <c r="Q83" s="58" t="str">
        <f>IF('Phytopl Count'!Q83=0,"",('Phytopl Analysis'!Q83*LN('Phytopl Analysis'!Q83)))</f>
        <v/>
      </c>
      <c r="R83" s="58" t="str">
        <f>IF('Phytopl Count'!R83=0,"",('Phytopl Analysis'!R83*LN('Phytopl Analysis'!R83)))</f>
        <v/>
      </c>
      <c r="S83" s="21" t="str">
        <f>IF('Phytopl Count'!S83=0,"",('Phytopl Analysis'!S83*LN('Phytopl Analysis'!S83)))</f>
        <v/>
      </c>
      <c r="T83" s="21" t="str">
        <f>IF('Phytopl Count'!T83=0,"",('Phytopl Analysis'!T83*LN('Phytopl Analysis'!T83)))</f>
        <v/>
      </c>
      <c r="U83" s="58" t="str">
        <f>IF('Phytopl Count'!U83=0,"",('Phytopl Analysis'!U83*LN('Phytopl Analysis'!U83)))</f>
        <v/>
      </c>
      <c r="V83" s="58" t="str">
        <f>IF('Phytopl Count'!V83=0,"",('Phytopl Analysis'!V83*LN('Phytopl Analysis'!V83)))</f>
        <v/>
      </c>
      <c r="W83" s="21" t="str">
        <f>IF('Phytopl Count'!W83=0,"",('Phytopl Analysis'!W83*LN('Phytopl Analysis'!W83)))</f>
        <v/>
      </c>
      <c r="X83" s="21" t="str">
        <f>IF('Phytopl Count'!X83=0,"",('Phytopl Analysis'!X83*LN('Phytopl Analysis'!X83)))</f>
        <v/>
      </c>
      <c r="Y83" s="58" t="str">
        <f>IF('Phytopl Count'!Y83=0,"",('Phytopl Analysis'!Y83*LN('Phytopl Analysis'!Y83)))</f>
        <v/>
      </c>
      <c r="Z83" s="58" t="str">
        <f>IF('Phytopl Count'!Z83=0,"",('Phytopl Analysis'!Z83*LN('Phytopl Analysis'!Z83)))</f>
        <v/>
      </c>
      <c r="AA83" s="21" t="str">
        <f>IF('Phytopl Count'!AA83=0,"",('Phytopl Analysis'!AA83*LN('Phytopl Analysis'!AA83)))</f>
        <v/>
      </c>
      <c r="AB83" s="21" t="str">
        <f>IF('Phytopl Count'!AB83=0,"",('Phytopl Analysis'!AB83*LN('Phytopl Analysis'!AB83)))</f>
        <v/>
      </c>
      <c r="AC83" s="58" t="str">
        <f>IF('Phytopl Count'!AC83=0,"",('Phytopl Analysis'!AC83*LN('Phytopl Analysis'!AC83)))</f>
        <v/>
      </c>
      <c r="AD83" s="58" t="str">
        <f>IF('Phytopl Count'!AD83=0,"",('Phytopl Analysis'!AD83*LN('Phytopl Analysis'!AD83)))</f>
        <v/>
      </c>
      <c r="AE83" s="21" t="str">
        <f>IF('Phytopl Count'!AE83=0,"",('Phytopl Analysis'!AE83*LN('Phytopl Analysis'!AE83)))</f>
        <v/>
      </c>
      <c r="AF83" s="58" t="str">
        <f>IF('Phytopl Count'!AF83=0,"",('Phytopl Analysis'!AF83*LN('Phytopl Analysis'!AF83)))</f>
        <v/>
      </c>
    </row>
    <row r="84" spans="1:32" hidden="1">
      <c r="A84" s="4"/>
      <c r="B84" s="4"/>
      <c r="C84" s="4"/>
      <c r="D84" s="5"/>
      <c r="E84" s="10" t="s">
        <v>6</v>
      </c>
      <c r="F84" s="11" t="s">
        <v>18</v>
      </c>
      <c r="G84" s="21" t="str">
        <f>IF('Phytopl Count'!G84=0,"",('Phytopl Analysis'!G84*LN('Phytopl Analysis'!G84)))</f>
        <v/>
      </c>
      <c r="H84" s="21" t="str">
        <f>IF('Phytopl Count'!H84=0,"",('Phytopl Analysis'!H84*LN('Phytopl Analysis'!H84)))</f>
        <v/>
      </c>
      <c r="I84" s="58" t="str">
        <f>IF('Phytopl Count'!I84=0,"",('Phytopl Analysis'!I84*LN('Phytopl Analysis'!I84)))</f>
        <v/>
      </c>
      <c r="J84" s="58" t="str">
        <f>IF('Phytopl Count'!J84=0,"",('Phytopl Analysis'!J84*LN('Phytopl Analysis'!J84)))</f>
        <v/>
      </c>
      <c r="K84" s="21" t="str">
        <f>IF('Phytopl Count'!K84=0,"",('Phytopl Analysis'!K84*LN('Phytopl Analysis'!K84)))</f>
        <v/>
      </c>
      <c r="L84" s="21" t="str">
        <f>IF('Phytopl Count'!L84=0,"",('Phytopl Analysis'!L84*LN('Phytopl Analysis'!L84)))</f>
        <v/>
      </c>
      <c r="M84" s="58" t="str">
        <f>IF('Phytopl Count'!M84=0,"",('Phytopl Analysis'!M84*LN('Phytopl Analysis'!M84)))</f>
        <v/>
      </c>
      <c r="N84" s="58" t="str">
        <f>IF('Phytopl Count'!N84=0,"",('Phytopl Analysis'!N84*LN('Phytopl Analysis'!N84)))</f>
        <v/>
      </c>
      <c r="O84" s="21" t="str">
        <f>IF('Phytopl Count'!O84=0,"",('Phytopl Analysis'!O84*LN('Phytopl Analysis'!O84)))</f>
        <v/>
      </c>
      <c r="P84" s="21" t="str">
        <f>IF('Phytopl Count'!P84=0,"",('Phytopl Analysis'!P84*LN('Phytopl Analysis'!P84)))</f>
        <v/>
      </c>
      <c r="Q84" s="58" t="str">
        <f>IF('Phytopl Count'!Q84=0,"",('Phytopl Analysis'!Q84*LN('Phytopl Analysis'!Q84)))</f>
        <v/>
      </c>
      <c r="R84" s="58" t="str">
        <f>IF('Phytopl Count'!R84=0,"",('Phytopl Analysis'!R84*LN('Phytopl Analysis'!R84)))</f>
        <v/>
      </c>
      <c r="S84" s="21" t="str">
        <f>IF('Phytopl Count'!S84=0,"",('Phytopl Analysis'!S84*LN('Phytopl Analysis'!S84)))</f>
        <v/>
      </c>
      <c r="T84" s="21" t="str">
        <f>IF('Phytopl Count'!T84=0,"",('Phytopl Analysis'!T84*LN('Phytopl Analysis'!T84)))</f>
        <v/>
      </c>
      <c r="U84" s="58" t="str">
        <f>IF('Phytopl Count'!U84=0,"",('Phytopl Analysis'!U84*LN('Phytopl Analysis'!U84)))</f>
        <v/>
      </c>
      <c r="V84" s="58" t="str">
        <f>IF('Phytopl Count'!V84=0,"",('Phytopl Analysis'!V84*LN('Phytopl Analysis'!V84)))</f>
        <v/>
      </c>
      <c r="W84" s="21" t="str">
        <f>IF('Phytopl Count'!W84=0,"",('Phytopl Analysis'!W84*LN('Phytopl Analysis'!W84)))</f>
        <v/>
      </c>
      <c r="X84" s="21" t="str">
        <f>IF('Phytopl Count'!X84=0,"",('Phytopl Analysis'!X84*LN('Phytopl Analysis'!X84)))</f>
        <v/>
      </c>
      <c r="Y84" s="58" t="str">
        <f>IF('Phytopl Count'!Y84=0,"",('Phytopl Analysis'!Y84*LN('Phytopl Analysis'!Y84)))</f>
        <v/>
      </c>
      <c r="Z84" s="58" t="str">
        <f>IF('Phytopl Count'!Z84=0,"",('Phytopl Analysis'!Z84*LN('Phytopl Analysis'!Z84)))</f>
        <v/>
      </c>
      <c r="AA84" s="21" t="str">
        <f>IF('Phytopl Count'!AA84=0,"",('Phytopl Analysis'!AA84*LN('Phytopl Analysis'!AA84)))</f>
        <v/>
      </c>
      <c r="AB84" s="21" t="str">
        <f>IF('Phytopl Count'!AB84=0,"",('Phytopl Analysis'!AB84*LN('Phytopl Analysis'!AB84)))</f>
        <v/>
      </c>
      <c r="AC84" s="58" t="str">
        <f>IF('Phytopl Count'!AC84=0,"",('Phytopl Analysis'!AC84*LN('Phytopl Analysis'!AC84)))</f>
        <v/>
      </c>
      <c r="AD84" s="58" t="str">
        <f>IF('Phytopl Count'!AD84=0,"",('Phytopl Analysis'!AD84*LN('Phytopl Analysis'!AD84)))</f>
        <v/>
      </c>
      <c r="AE84" s="21" t="str">
        <f>IF('Phytopl Count'!AE84=0,"",('Phytopl Analysis'!AE84*LN('Phytopl Analysis'!AE84)))</f>
        <v/>
      </c>
      <c r="AF84" s="58" t="str">
        <f>IF('Phytopl Count'!AF84=0,"",('Phytopl Analysis'!AF84*LN('Phytopl Analysis'!AF84)))</f>
        <v/>
      </c>
    </row>
    <row r="85" spans="1:32">
      <c r="A85" s="4"/>
      <c r="B85" s="4"/>
      <c r="C85" s="4"/>
      <c r="D85" s="10" t="s">
        <v>5</v>
      </c>
      <c r="E85" s="12" t="s">
        <v>99</v>
      </c>
      <c r="F85" s="11"/>
      <c r="G85" s="21" t="str">
        <f>IF('Phytopl Count'!G85=0,"",('Phytopl Analysis'!G85*LN('Phytopl Analysis'!G85)))</f>
        <v/>
      </c>
      <c r="H85" s="21" t="str">
        <f>IF('Phytopl Count'!H85=0,"",('Phytopl Analysis'!H85*LN('Phytopl Analysis'!H85)))</f>
        <v/>
      </c>
      <c r="I85" s="58" t="str">
        <f>IF('Phytopl Count'!I85=0,"",('Phytopl Analysis'!I85*LN('Phytopl Analysis'!I85)))</f>
        <v/>
      </c>
      <c r="J85" s="58" t="str">
        <f>IF('Phytopl Count'!J85=0,"",('Phytopl Analysis'!J85*LN('Phytopl Analysis'!J85)))</f>
        <v/>
      </c>
      <c r="K85" s="21" t="str">
        <f>IF('Phytopl Count'!K85=0,"",('Phytopl Analysis'!K85*LN('Phytopl Analysis'!K85)))</f>
        <v/>
      </c>
      <c r="L85" s="21" t="str">
        <f>IF('Phytopl Count'!L85=0,"",('Phytopl Analysis'!L85*LN('Phytopl Analysis'!L85)))</f>
        <v/>
      </c>
      <c r="M85" s="58" t="str">
        <f>IF('Phytopl Count'!M85=0,"",('Phytopl Analysis'!M85*LN('Phytopl Analysis'!M85)))</f>
        <v/>
      </c>
      <c r="N85" s="58" t="str">
        <f>IF('Phytopl Count'!N85=0,"",('Phytopl Analysis'!N85*LN('Phytopl Analysis'!N85)))</f>
        <v/>
      </c>
      <c r="O85" s="21" t="str">
        <f>IF('Phytopl Count'!O85=0,"",('Phytopl Analysis'!O85*LN('Phytopl Analysis'!O85)))</f>
        <v/>
      </c>
      <c r="P85" s="21" t="str">
        <f>IF('Phytopl Count'!P85=0,"",('Phytopl Analysis'!P85*LN('Phytopl Analysis'!P85)))</f>
        <v/>
      </c>
      <c r="Q85" s="58" t="str">
        <f>IF('Phytopl Count'!Q85=0,"",('Phytopl Analysis'!Q85*LN('Phytopl Analysis'!Q85)))</f>
        <v/>
      </c>
      <c r="R85" s="58" t="str">
        <f>IF('Phytopl Count'!R85=0,"",('Phytopl Analysis'!R85*LN('Phytopl Analysis'!R85)))</f>
        <v/>
      </c>
      <c r="S85" s="21" t="str">
        <f>IF('Phytopl Count'!S85=0,"",('Phytopl Analysis'!S85*LN('Phytopl Analysis'!S85)))</f>
        <v/>
      </c>
      <c r="T85" s="21" t="str">
        <f>IF('Phytopl Count'!T85=0,"",('Phytopl Analysis'!T85*LN('Phytopl Analysis'!T85)))</f>
        <v/>
      </c>
      <c r="U85" s="58" t="str">
        <f>IF('Phytopl Count'!U85=0,"",('Phytopl Analysis'!U85*LN('Phytopl Analysis'!U85)))</f>
        <v/>
      </c>
      <c r="V85" s="58" t="str">
        <f>IF('Phytopl Count'!V85=0,"",('Phytopl Analysis'!V85*LN('Phytopl Analysis'!V85)))</f>
        <v/>
      </c>
      <c r="W85" s="21" t="str">
        <f>IF('Phytopl Count'!W85=0,"",('Phytopl Analysis'!W85*LN('Phytopl Analysis'!W85)))</f>
        <v/>
      </c>
      <c r="X85" s="21" t="str">
        <f>IF('Phytopl Count'!X85=0,"",('Phytopl Analysis'!X85*LN('Phytopl Analysis'!X85)))</f>
        <v/>
      </c>
      <c r="Y85" s="58" t="str">
        <f>IF('Phytopl Count'!Y85=0,"",('Phytopl Analysis'!Y85*LN('Phytopl Analysis'!Y85)))</f>
        <v/>
      </c>
      <c r="Z85" s="58" t="str">
        <f>IF('Phytopl Count'!Z85=0,"",('Phytopl Analysis'!Z85*LN('Phytopl Analysis'!Z85)))</f>
        <v/>
      </c>
      <c r="AA85" s="21" t="str">
        <f>IF('Phytopl Count'!AA85=0,"",('Phytopl Analysis'!AA85*LN('Phytopl Analysis'!AA85)))</f>
        <v/>
      </c>
      <c r="AB85" s="21" t="str">
        <f>IF('Phytopl Count'!AB85=0,"",('Phytopl Analysis'!AB85*LN('Phytopl Analysis'!AB85)))</f>
        <v/>
      </c>
      <c r="AC85" s="58" t="str">
        <f>IF('Phytopl Count'!AC85=0,"",('Phytopl Analysis'!AC85*LN('Phytopl Analysis'!AC85)))</f>
        <v/>
      </c>
      <c r="AD85" s="58" t="str">
        <f>IF('Phytopl Count'!AD85=0,"",('Phytopl Analysis'!AD85*LN('Phytopl Analysis'!AD85)))</f>
        <v/>
      </c>
      <c r="AE85" s="21" t="str">
        <f>IF('Phytopl Count'!AE85=0,"",('Phytopl Analysis'!AE85*LN('Phytopl Analysis'!AE85)))</f>
        <v/>
      </c>
      <c r="AF85" s="58" t="str">
        <f>IF('Phytopl Count'!AF85=0,"",('Phytopl Analysis'!AF85*LN('Phytopl Analysis'!AF85)))</f>
        <v/>
      </c>
    </row>
    <row r="86" spans="1:32">
      <c r="A86" s="4"/>
      <c r="B86" s="4"/>
      <c r="C86" s="4"/>
      <c r="D86" s="5"/>
      <c r="E86" s="10" t="s">
        <v>6</v>
      </c>
      <c r="F86" s="11" t="s">
        <v>100</v>
      </c>
      <c r="G86" s="21" t="str">
        <f>IF('Phytopl Count'!G86=0,"",('Phytopl Analysis'!G86*LN('Phytopl Analysis'!G86)))</f>
        <v/>
      </c>
      <c r="H86" s="21" t="str">
        <f>IF('Phytopl Count'!H86=0,"",('Phytopl Analysis'!H86*LN('Phytopl Analysis'!H86)))</f>
        <v/>
      </c>
      <c r="I86" s="58" t="str">
        <f>IF('Phytopl Count'!I86=0,"",('Phytopl Analysis'!I86*LN('Phytopl Analysis'!I86)))</f>
        <v/>
      </c>
      <c r="J86" s="58" t="str">
        <f>IF('Phytopl Count'!J86=0,"",('Phytopl Analysis'!J86*LN('Phytopl Analysis'!J86)))</f>
        <v/>
      </c>
      <c r="K86" s="21" t="str">
        <f>IF('Phytopl Count'!K86=0,"",('Phytopl Analysis'!K86*LN('Phytopl Analysis'!K86)))</f>
        <v/>
      </c>
      <c r="L86" s="21" t="str">
        <f>IF('Phytopl Count'!L86=0,"",('Phytopl Analysis'!L86*LN('Phytopl Analysis'!L86)))</f>
        <v/>
      </c>
      <c r="M86" s="58" t="str">
        <f>IF('Phytopl Count'!M86=0,"",('Phytopl Analysis'!M86*LN('Phytopl Analysis'!M86)))</f>
        <v/>
      </c>
      <c r="N86" s="58" t="str">
        <f>IF('Phytopl Count'!N86=0,"",('Phytopl Analysis'!N86*LN('Phytopl Analysis'!N86)))</f>
        <v/>
      </c>
      <c r="O86" s="21" t="str">
        <f>IF('Phytopl Count'!O86=0,"",('Phytopl Analysis'!O86*LN('Phytopl Analysis'!O86)))</f>
        <v/>
      </c>
      <c r="P86" s="21" t="str">
        <f>IF('Phytopl Count'!P86=0,"",('Phytopl Analysis'!P86*LN('Phytopl Analysis'!P86)))</f>
        <v/>
      </c>
      <c r="Q86" s="58">
        <f>IF('Phytopl Count'!Q86=0,"",('Phytopl Analysis'!Q86*LN('Phytopl Analysis'!Q86)))</f>
        <v>-0.12884150444391032</v>
      </c>
      <c r="R86" s="58" t="str">
        <f>IF('Phytopl Count'!R86=0,"",('Phytopl Analysis'!R86*LN('Phytopl Analysis'!R86)))</f>
        <v/>
      </c>
      <c r="S86" s="21" t="str">
        <f>IF('Phytopl Count'!S86=0,"",('Phytopl Analysis'!S86*LN('Phytopl Analysis'!S86)))</f>
        <v/>
      </c>
      <c r="T86" s="21" t="str">
        <f>IF('Phytopl Count'!T86=0,"",('Phytopl Analysis'!T86*LN('Phytopl Analysis'!T86)))</f>
        <v/>
      </c>
      <c r="U86" s="58" t="str">
        <f>IF('Phytopl Count'!U86=0,"",('Phytopl Analysis'!U86*LN('Phytopl Analysis'!U86)))</f>
        <v/>
      </c>
      <c r="V86" s="58" t="str">
        <f>IF('Phytopl Count'!V86=0,"",('Phytopl Analysis'!V86*LN('Phytopl Analysis'!V86)))</f>
        <v/>
      </c>
      <c r="W86" s="21" t="str">
        <f>IF('Phytopl Count'!W86=0,"",('Phytopl Analysis'!W86*LN('Phytopl Analysis'!W86)))</f>
        <v/>
      </c>
      <c r="X86" s="21" t="str">
        <f>IF('Phytopl Count'!X86=0,"",('Phytopl Analysis'!X86*LN('Phytopl Analysis'!X86)))</f>
        <v/>
      </c>
      <c r="Y86" s="58" t="str">
        <f>IF('Phytopl Count'!Y86=0,"",('Phytopl Analysis'!Y86*LN('Phytopl Analysis'!Y86)))</f>
        <v/>
      </c>
      <c r="Z86" s="58" t="str">
        <f>IF('Phytopl Count'!Z86=0,"",('Phytopl Analysis'!Z86*LN('Phytopl Analysis'!Z86)))</f>
        <v/>
      </c>
      <c r="AA86" s="21" t="str">
        <f>IF('Phytopl Count'!AA86=0,"",('Phytopl Analysis'!AA86*LN('Phytopl Analysis'!AA86)))</f>
        <v/>
      </c>
      <c r="AB86" s="21" t="str">
        <f>IF('Phytopl Count'!AB86=0,"",('Phytopl Analysis'!AB86*LN('Phytopl Analysis'!AB86)))</f>
        <v/>
      </c>
      <c r="AC86" s="58" t="str">
        <f>IF('Phytopl Count'!AC86=0,"",('Phytopl Analysis'!AC86*LN('Phytopl Analysis'!AC86)))</f>
        <v/>
      </c>
      <c r="AD86" s="58" t="str">
        <f>IF('Phytopl Count'!AD86=0,"",('Phytopl Analysis'!AD86*LN('Phytopl Analysis'!AD86)))</f>
        <v/>
      </c>
      <c r="AE86" s="21" t="str">
        <f>IF('Phytopl Count'!AE86=0,"",('Phytopl Analysis'!AE86*LN('Phytopl Analysis'!AE86)))</f>
        <v/>
      </c>
      <c r="AF86" s="58" t="str">
        <f>IF('Phytopl Count'!AF86=0,"",('Phytopl Analysis'!AF86*LN('Phytopl Analysis'!AF86)))</f>
        <v/>
      </c>
    </row>
    <row r="87" spans="1:32" hidden="1">
      <c r="A87" s="4"/>
      <c r="B87" s="4"/>
      <c r="C87" s="16" t="s">
        <v>73</v>
      </c>
      <c r="D87" s="4" t="s">
        <v>285</v>
      </c>
      <c r="E87" s="5"/>
      <c r="F87" s="11"/>
      <c r="G87" s="21" t="str">
        <f>IF('Phytopl Count'!G87=0,"",('Phytopl Analysis'!G87*LN('Phytopl Analysis'!G87)))</f>
        <v/>
      </c>
      <c r="H87" s="21" t="str">
        <f>IF('Phytopl Count'!H87=0,"",('Phytopl Analysis'!H87*LN('Phytopl Analysis'!H87)))</f>
        <v/>
      </c>
      <c r="I87" s="58" t="str">
        <f>IF('Phytopl Count'!I87=0,"",('Phytopl Analysis'!I87*LN('Phytopl Analysis'!I87)))</f>
        <v/>
      </c>
      <c r="J87" s="58" t="str">
        <f>IF('Phytopl Count'!J87=0,"",('Phytopl Analysis'!J87*LN('Phytopl Analysis'!J87)))</f>
        <v/>
      </c>
      <c r="K87" s="21" t="str">
        <f>IF('Phytopl Count'!K87=0,"",('Phytopl Analysis'!K87*LN('Phytopl Analysis'!K87)))</f>
        <v/>
      </c>
      <c r="L87" s="21" t="str">
        <f>IF('Phytopl Count'!L87=0,"",('Phytopl Analysis'!L87*LN('Phytopl Analysis'!L87)))</f>
        <v/>
      </c>
      <c r="M87" s="58" t="str">
        <f>IF('Phytopl Count'!M87=0,"",('Phytopl Analysis'!M87*LN('Phytopl Analysis'!M87)))</f>
        <v/>
      </c>
      <c r="N87" s="58" t="str">
        <f>IF('Phytopl Count'!N87=0,"",('Phytopl Analysis'!N87*LN('Phytopl Analysis'!N87)))</f>
        <v/>
      </c>
      <c r="O87" s="21" t="str">
        <f>IF('Phytopl Count'!O87=0,"",('Phytopl Analysis'!O87*LN('Phytopl Analysis'!O87)))</f>
        <v/>
      </c>
      <c r="P87" s="21" t="str">
        <f>IF('Phytopl Count'!P87=0,"",('Phytopl Analysis'!P87*LN('Phytopl Analysis'!P87)))</f>
        <v/>
      </c>
      <c r="Q87" s="58" t="str">
        <f>IF('Phytopl Count'!Q87=0,"",('Phytopl Analysis'!Q87*LN('Phytopl Analysis'!Q87)))</f>
        <v/>
      </c>
      <c r="R87" s="58" t="str">
        <f>IF('Phytopl Count'!R87=0,"",('Phytopl Analysis'!R87*LN('Phytopl Analysis'!R87)))</f>
        <v/>
      </c>
      <c r="S87" s="21" t="str">
        <f>IF('Phytopl Count'!S87=0,"",('Phytopl Analysis'!S87*LN('Phytopl Analysis'!S87)))</f>
        <v/>
      </c>
      <c r="T87" s="21" t="str">
        <f>IF('Phytopl Count'!T87=0,"",('Phytopl Analysis'!T87*LN('Phytopl Analysis'!T87)))</f>
        <v/>
      </c>
      <c r="U87" s="58" t="str">
        <f>IF('Phytopl Count'!U87=0,"",('Phytopl Analysis'!U87*LN('Phytopl Analysis'!U87)))</f>
        <v/>
      </c>
      <c r="V87" s="58" t="str">
        <f>IF('Phytopl Count'!V87=0,"",('Phytopl Analysis'!V87*LN('Phytopl Analysis'!V87)))</f>
        <v/>
      </c>
      <c r="W87" s="21" t="str">
        <f>IF('Phytopl Count'!W87=0,"",('Phytopl Analysis'!W87*LN('Phytopl Analysis'!W87)))</f>
        <v/>
      </c>
      <c r="X87" s="21" t="str">
        <f>IF('Phytopl Count'!X87=0,"",('Phytopl Analysis'!X87*LN('Phytopl Analysis'!X87)))</f>
        <v/>
      </c>
      <c r="Y87" s="58" t="str">
        <f>IF('Phytopl Count'!Y87=0,"",('Phytopl Analysis'!Y87*LN('Phytopl Analysis'!Y87)))</f>
        <v/>
      </c>
      <c r="Z87" s="58" t="str">
        <f>IF('Phytopl Count'!Z87=0,"",('Phytopl Analysis'!Z87*LN('Phytopl Analysis'!Z87)))</f>
        <v/>
      </c>
      <c r="AA87" s="21" t="str">
        <f>IF('Phytopl Count'!AA87=0,"",('Phytopl Analysis'!AA87*LN('Phytopl Analysis'!AA87)))</f>
        <v/>
      </c>
      <c r="AB87" s="21" t="str">
        <f>IF('Phytopl Count'!AB87=0,"",('Phytopl Analysis'!AB87*LN('Phytopl Analysis'!AB87)))</f>
        <v/>
      </c>
      <c r="AC87" s="58" t="str">
        <f>IF('Phytopl Count'!AC87=0,"",('Phytopl Analysis'!AC87*LN('Phytopl Analysis'!AC87)))</f>
        <v/>
      </c>
      <c r="AD87" s="58" t="str">
        <f>IF('Phytopl Count'!AD87=0,"",('Phytopl Analysis'!AD87*LN('Phytopl Analysis'!AD87)))</f>
        <v/>
      </c>
      <c r="AE87" s="21" t="str">
        <f>IF('Phytopl Count'!AE87=0,"",('Phytopl Analysis'!AE87*LN('Phytopl Analysis'!AE87)))</f>
        <v/>
      </c>
      <c r="AF87" s="58" t="str">
        <f>IF('Phytopl Count'!AF87=0,"",('Phytopl Analysis'!AF87*LN('Phytopl Analysis'!AF87)))</f>
        <v/>
      </c>
    </row>
    <row r="88" spans="1:32" hidden="1">
      <c r="A88" s="4"/>
      <c r="B88" s="4"/>
      <c r="C88" s="4"/>
      <c r="D88" s="10" t="s">
        <v>5</v>
      </c>
      <c r="E88" s="5" t="s">
        <v>157</v>
      </c>
      <c r="F88" s="11"/>
      <c r="G88" s="21" t="str">
        <f>IF('Phytopl Count'!G88=0,"",('Phytopl Analysis'!G88*LN('Phytopl Analysis'!G88)))</f>
        <v/>
      </c>
      <c r="H88" s="21" t="str">
        <f>IF('Phytopl Count'!H88=0,"",('Phytopl Analysis'!H88*LN('Phytopl Analysis'!H88)))</f>
        <v/>
      </c>
      <c r="I88" s="58" t="str">
        <f>IF('Phytopl Count'!I88=0,"",('Phytopl Analysis'!I88*LN('Phytopl Analysis'!I88)))</f>
        <v/>
      </c>
      <c r="J88" s="58" t="str">
        <f>IF('Phytopl Count'!J88=0,"",('Phytopl Analysis'!J88*LN('Phytopl Analysis'!J88)))</f>
        <v/>
      </c>
      <c r="K88" s="21" t="str">
        <f>IF('Phytopl Count'!K88=0,"",('Phytopl Analysis'!K88*LN('Phytopl Analysis'!K88)))</f>
        <v/>
      </c>
      <c r="L88" s="21" t="str">
        <f>IF('Phytopl Count'!L88=0,"",('Phytopl Analysis'!L88*LN('Phytopl Analysis'!L88)))</f>
        <v/>
      </c>
      <c r="M88" s="58" t="str">
        <f>IF('Phytopl Count'!M88=0,"",('Phytopl Analysis'!M88*LN('Phytopl Analysis'!M88)))</f>
        <v/>
      </c>
      <c r="N88" s="58" t="str">
        <f>IF('Phytopl Count'!N88=0,"",('Phytopl Analysis'!N88*LN('Phytopl Analysis'!N88)))</f>
        <v/>
      </c>
      <c r="O88" s="21" t="str">
        <f>IF('Phytopl Count'!O88=0,"",('Phytopl Analysis'!O88*LN('Phytopl Analysis'!O88)))</f>
        <v/>
      </c>
      <c r="P88" s="21" t="str">
        <f>IF('Phytopl Count'!P88=0,"",('Phytopl Analysis'!P88*LN('Phytopl Analysis'!P88)))</f>
        <v/>
      </c>
      <c r="Q88" s="58" t="str">
        <f>IF('Phytopl Count'!Q88=0,"",('Phytopl Analysis'!Q88*LN('Phytopl Analysis'!Q88)))</f>
        <v/>
      </c>
      <c r="R88" s="58" t="str">
        <f>IF('Phytopl Count'!R88=0,"",('Phytopl Analysis'!R88*LN('Phytopl Analysis'!R88)))</f>
        <v/>
      </c>
      <c r="S88" s="21" t="str">
        <f>IF('Phytopl Count'!S88=0,"",('Phytopl Analysis'!S88*LN('Phytopl Analysis'!S88)))</f>
        <v/>
      </c>
      <c r="T88" s="21" t="str">
        <f>IF('Phytopl Count'!T88=0,"",('Phytopl Analysis'!T88*LN('Phytopl Analysis'!T88)))</f>
        <v/>
      </c>
      <c r="U88" s="58" t="str">
        <f>IF('Phytopl Count'!U88=0,"",('Phytopl Analysis'!U88*LN('Phytopl Analysis'!U88)))</f>
        <v/>
      </c>
      <c r="V88" s="58" t="str">
        <f>IF('Phytopl Count'!V88=0,"",('Phytopl Analysis'!V88*LN('Phytopl Analysis'!V88)))</f>
        <v/>
      </c>
      <c r="W88" s="21" t="str">
        <f>IF('Phytopl Count'!W88=0,"",('Phytopl Analysis'!W88*LN('Phytopl Analysis'!W88)))</f>
        <v/>
      </c>
      <c r="X88" s="21" t="str">
        <f>IF('Phytopl Count'!X88=0,"",('Phytopl Analysis'!X88*LN('Phytopl Analysis'!X88)))</f>
        <v/>
      </c>
      <c r="Y88" s="58" t="str">
        <f>IF('Phytopl Count'!Y88=0,"",('Phytopl Analysis'!Y88*LN('Phytopl Analysis'!Y88)))</f>
        <v/>
      </c>
      <c r="Z88" s="58" t="str">
        <f>IF('Phytopl Count'!Z88=0,"",('Phytopl Analysis'!Z88*LN('Phytopl Analysis'!Z88)))</f>
        <v/>
      </c>
      <c r="AA88" s="21" t="str">
        <f>IF('Phytopl Count'!AA88=0,"",('Phytopl Analysis'!AA88*LN('Phytopl Analysis'!AA88)))</f>
        <v/>
      </c>
      <c r="AB88" s="21" t="str">
        <f>IF('Phytopl Count'!AB88=0,"",('Phytopl Analysis'!AB88*LN('Phytopl Analysis'!AB88)))</f>
        <v/>
      </c>
      <c r="AC88" s="58" t="str">
        <f>IF('Phytopl Count'!AC88=0,"",('Phytopl Analysis'!AC88*LN('Phytopl Analysis'!AC88)))</f>
        <v/>
      </c>
      <c r="AD88" s="58" t="str">
        <f>IF('Phytopl Count'!AD88=0,"",('Phytopl Analysis'!AD88*LN('Phytopl Analysis'!AD88)))</f>
        <v/>
      </c>
      <c r="AE88" s="21" t="str">
        <f>IF('Phytopl Count'!AE88=0,"",('Phytopl Analysis'!AE88*LN('Phytopl Analysis'!AE88)))</f>
        <v/>
      </c>
      <c r="AF88" s="58" t="str">
        <f>IF('Phytopl Count'!AF88=0,"",('Phytopl Analysis'!AF88*LN('Phytopl Analysis'!AF88)))</f>
        <v/>
      </c>
    </row>
    <row r="89" spans="1:32" hidden="1">
      <c r="A89" s="16"/>
      <c r="B89" s="16"/>
      <c r="C89" s="16"/>
      <c r="D89" s="10"/>
      <c r="E89" s="10" t="s">
        <v>6</v>
      </c>
      <c r="F89" s="11" t="s">
        <v>19</v>
      </c>
      <c r="G89" s="21" t="str">
        <f>IF('Phytopl Count'!G89=0,"",('Phytopl Analysis'!G89*LN('Phytopl Analysis'!G89)))</f>
        <v/>
      </c>
      <c r="H89" s="21" t="str">
        <f>IF('Phytopl Count'!H89=0,"",('Phytopl Analysis'!H89*LN('Phytopl Analysis'!H89)))</f>
        <v/>
      </c>
      <c r="I89" s="58" t="str">
        <f>IF('Phytopl Count'!I89=0,"",('Phytopl Analysis'!I89*LN('Phytopl Analysis'!I89)))</f>
        <v/>
      </c>
      <c r="J89" s="58" t="str">
        <f>IF('Phytopl Count'!J89=0,"",('Phytopl Analysis'!J89*LN('Phytopl Analysis'!J89)))</f>
        <v/>
      </c>
      <c r="K89" s="21" t="str">
        <f>IF('Phytopl Count'!K89=0,"",('Phytopl Analysis'!K89*LN('Phytopl Analysis'!K89)))</f>
        <v/>
      </c>
      <c r="L89" s="21" t="str">
        <f>IF('Phytopl Count'!L89=0,"",('Phytopl Analysis'!L89*LN('Phytopl Analysis'!L89)))</f>
        <v/>
      </c>
      <c r="M89" s="58" t="str">
        <f>IF('Phytopl Count'!M89=0,"",('Phytopl Analysis'!M89*LN('Phytopl Analysis'!M89)))</f>
        <v/>
      </c>
      <c r="N89" s="58" t="str">
        <f>IF('Phytopl Count'!N89=0,"",('Phytopl Analysis'!N89*LN('Phytopl Analysis'!N89)))</f>
        <v/>
      </c>
      <c r="O89" s="21" t="str">
        <f>IF('Phytopl Count'!O89=0,"",('Phytopl Analysis'!O89*LN('Phytopl Analysis'!O89)))</f>
        <v/>
      </c>
      <c r="P89" s="21" t="str">
        <f>IF('Phytopl Count'!P89=0,"",('Phytopl Analysis'!P89*LN('Phytopl Analysis'!P89)))</f>
        <v/>
      </c>
      <c r="Q89" s="58" t="str">
        <f>IF('Phytopl Count'!Q89=0,"",('Phytopl Analysis'!Q89*LN('Phytopl Analysis'!Q89)))</f>
        <v/>
      </c>
      <c r="R89" s="58" t="str">
        <f>IF('Phytopl Count'!R89=0,"",('Phytopl Analysis'!R89*LN('Phytopl Analysis'!R89)))</f>
        <v/>
      </c>
      <c r="S89" s="21" t="str">
        <f>IF('Phytopl Count'!S89=0,"",('Phytopl Analysis'!S89*LN('Phytopl Analysis'!S89)))</f>
        <v/>
      </c>
      <c r="T89" s="21" t="str">
        <f>IF('Phytopl Count'!T89=0,"",('Phytopl Analysis'!T89*LN('Phytopl Analysis'!T89)))</f>
        <v/>
      </c>
      <c r="U89" s="58" t="str">
        <f>IF('Phytopl Count'!U89=0,"",('Phytopl Analysis'!U89*LN('Phytopl Analysis'!U89)))</f>
        <v/>
      </c>
      <c r="V89" s="58" t="str">
        <f>IF('Phytopl Count'!V89=0,"",('Phytopl Analysis'!V89*LN('Phytopl Analysis'!V89)))</f>
        <v/>
      </c>
      <c r="W89" s="21" t="str">
        <f>IF('Phytopl Count'!W89=0,"",('Phytopl Analysis'!W89*LN('Phytopl Analysis'!W89)))</f>
        <v/>
      </c>
      <c r="X89" s="21" t="str">
        <f>IF('Phytopl Count'!X89=0,"",('Phytopl Analysis'!X89*LN('Phytopl Analysis'!X89)))</f>
        <v/>
      </c>
      <c r="Y89" s="58" t="str">
        <f>IF('Phytopl Count'!Y89=0,"",('Phytopl Analysis'!Y89*LN('Phytopl Analysis'!Y89)))</f>
        <v/>
      </c>
      <c r="Z89" s="58" t="str">
        <f>IF('Phytopl Count'!Z89=0,"",('Phytopl Analysis'!Z89*LN('Phytopl Analysis'!Z89)))</f>
        <v/>
      </c>
      <c r="AA89" s="21" t="str">
        <f>IF('Phytopl Count'!AA89=0,"",('Phytopl Analysis'!AA89*LN('Phytopl Analysis'!AA89)))</f>
        <v/>
      </c>
      <c r="AB89" s="21" t="str">
        <f>IF('Phytopl Count'!AB89=0,"",('Phytopl Analysis'!AB89*LN('Phytopl Analysis'!AB89)))</f>
        <v/>
      </c>
      <c r="AC89" s="58" t="str">
        <f>IF('Phytopl Count'!AC89=0,"",('Phytopl Analysis'!AC89*LN('Phytopl Analysis'!AC89)))</f>
        <v/>
      </c>
      <c r="AD89" s="58" t="str">
        <f>IF('Phytopl Count'!AD89=0,"",('Phytopl Analysis'!AD89*LN('Phytopl Analysis'!AD89)))</f>
        <v/>
      </c>
      <c r="AE89" s="21" t="str">
        <f>IF('Phytopl Count'!AE89=0,"",('Phytopl Analysis'!AE89*LN('Phytopl Analysis'!AE89)))</f>
        <v/>
      </c>
      <c r="AF89" s="58" t="str">
        <f>IF('Phytopl Count'!AF89=0,"",('Phytopl Analysis'!AF89*LN('Phytopl Analysis'!AF89)))</f>
        <v/>
      </c>
    </row>
    <row r="90" spans="1:32">
      <c r="A90" s="4"/>
      <c r="B90" s="4"/>
      <c r="C90" s="16" t="s">
        <v>73</v>
      </c>
      <c r="D90" s="4" t="s">
        <v>158</v>
      </c>
      <c r="E90" s="5"/>
      <c r="F90" s="11"/>
      <c r="G90" s="21" t="str">
        <f>IF('Phytopl Count'!G90=0,"",('Phytopl Analysis'!G90*LN('Phytopl Analysis'!G90)))</f>
        <v/>
      </c>
      <c r="H90" s="21" t="str">
        <f>IF('Phytopl Count'!H90=0,"",('Phytopl Analysis'!H90*LN('Phytopl Analysis'!H90)))</f>
        <v/>
      </c>
      <c r="I90" s="58" t="str">
        <f>IF('Phytopl Count'!I90=0,"",('Phytopl Analysis'!I90*LN('Phytopl Analysis'!I90)))</f>
        <v/>
      </c>
      <c r="J90" s="58" t="str">
        <f>IF('Phytopl Count'!J90=0,"",('Phytopl Analysis'!J90*LN('Phytopl Analysis'!J90)))</f>
        <v/>
      </c>
      <c r="K90" s="21" t="str">
        <f>IF('Phytopl Count'!K90=0,"",('Phytopl Analysis'!K90*LN('Phytopl Analysis'!K90)))</f>
        <v/>
      </c>
      <c r="L90" s="21" t="str">
        <f>IF('Phytopl Count'!L90=0,"",('Phytopl Analysis'!L90*LN('Phytopl Analysis'!L90)))</f>
        <v/>
      </c>
      <c r="M90" s="58" t="str">
        <f>IF('Phytopl Count'!M90=0,"",('Phytopl Analysis'!M90*LN('Phytopl Analysis'!M90)))</f>
        <v/>
      </c>
      <c r="N90" s="58" t="str">
        <f>IF('Phytopl Count'!N90=0,"",('Phytopl Analysis'!N90*LN('Phytopl Analysis'!N90)))</f>
        <v/>
      </c>
      <c r="O90" s="21" t="str">
        <f>IF('Phytopl Count'!O90=0,"",('Phytopl Analysis'!O90*LN('Phytopl Analysis'!O90)))</f>
        <v/>
      </c>
      <c r="P90" s="21" t="str">
        <f>IF('Phytopl Count'!P90=0,"",('Phytopl Analysis'!P90*LN('Phytopl Analysis'!P90)))</f>
        <v/>
      </c>
      <c r="Q90" s="58" t="str">
        <f>IF('Phytopl Count'!Q90=0,"",('Phytopl Analysis'!Q90*LN('Phytopl Analysis'!Q90)))</f>
        <v/>
      </c>
      <c r="R90" s="58" t="str">
        <f>IF('Phytopl Count'!R90=0,"",('Phytopl Analysis'!R90*LN('Phytopl Analysis'!R90)))</f>
        <v/>
      </c>
      <c r="S90" s="21" t="str">
        <f>IF('Phytopl Count'!S90=0,"",('Phytopl Analysis'!S90*LN('Phytopl Analysis'!S90)))</f>
        <v/>
      </c>
      <c r="T90" s="21" t="str">
        <f>IF('Phytopl Count'!T90=0,"",('Phytopl Analysis'!T90*LN('Phytopl Analysis'!T90)))</f>
        <v/>
      </c>
      <c r="U90" s="58" t="str">
        <f>IF('Phytopl Count'!U90=0,"",('Phytopl Analysis'!U90*LN('Phytopl Analysis'!U90)))</f>
        <v/>
      </c>
      <c r="V90" s="58" t="str">
        <f>IF('Phytopl Count'!V90=0,"",('Phytopl Analysis'!V90*LN('Phytopl Analysis'!V90)))</f>
        <v/>
      </c>
      <c r="W90" s="21" t="str">
        <f>IF('Phytopl Count'!W90=0,"",('Phytopl Analysis'!W90*LN('Phytopl Analysis'!W90)))</f>
        <v/>
      </c>
      <c r="X90" s="21" t="str">
        <f>IF('Phytopl Count'!X90=0,"",('Phytopl Analysis'!X90*LN('Phytopl Analysis'!X90)))</f>
        <v/>
      </c>
      <c r="Y90" s="58" t="str">
        <f>IF('Phytopl Count'!Y90=0,"",('Phytopl Analysis'!Y90*LN('Phytopl Analysis'!Y90)))</f>
        <v/>
      </c>
      <c r="Z90" s="58" t="str">
        <f>IF('Phytopl Count'!Z90=0,"",('Phytopl Analysis'!Z90*LN('Phytopl Analysis'!Z90)))</f>
        <v/>
      </c>
      <c r="AA90" s="21" t="str">
        <f>IF('Phytopl Count'!AA90=0,"",('Phytopl Analysis'!AA90*LN('Phytopl Analysis'!AA90)))</f>
        <v/>
      </c>
      <c r="AB90" s="21" t="str">
        <f>IF('Phytopl Count'!AB90=0,"",('Phytopl Analysis'!AB90*LN('Phytopl Analysis'!AB90)))</f>
        <v/>
      </c>
      <c r="AC90" s="58" t="str">
        <f>IF('Phytopl Count'!AC90=0,"",('Phytopl Analysis'!AC90*LN('Phytopl Analysis'!AC90)))</f>
        <v/>
      </c>
      <c r="AD90" s="58" t="str">
        <f>IF('Phytopl Count'!AD90=0,"",('Phytopl Analysis'!AD90*LN('Phytopl Analysis'!AD90)))</f>
        <v/>
      </c>
      <c r="AE90" s="21" t="str">
        <f>IF('Phytopl Count'!AE90=0,"",('Phytopl Analysis'!AE90*LN('Phytopl Analysis'!AE90)))</f>
        <v/>
      </c>
      <c r="AF90" s="58" t="str">
        <f>IF('Phytopl Count'!AF90=0,"",('Phytopl Analysis'!AF90*LN('Phytopl Analysis'!AF90)))</f>
        <v/>
      </c>
    </row>
    <row r="91" spans="1:32">
      <c r="A91" s="4"/>
      <c r="B91" s="4"/>
      <c r="C91" s="4"/>
      <c r="D91" s="10" t="s">
        <v>5</v>
      </c>
      <c r="E91" s="5" t="s">
        <v>159</v>
      </c>
      <c r="F91" s="11"/>
      <c r="G91" s="21" t="str">
        <f>IF('Phytopl Count'!G91=0,"",('Phytopl Analysis'!G91*LN('Phytopl Analysis'!G91)))</f>
        <v/>
      </c>
      <c r="H91" s="21" t="str">
        <f>IF('Phytopl Count'!H91=0,"",('Phytopl Analysis'!H91*LN('Phytopl Analysis'!H91)))</f>
        <v/>
      </c>
      <c r="I91" s="58" t="str">
        <f>IF('Phytopl Count'!I91=0,"",('Phytopl Analysis'!I91*LN('Phytopl Analysis'!I91)))</f>
        <v/>
      </c>
      <c r="J91" s="58" t="str">
        <f>IF('Phytopl Count'!J91=0,"",('Phytopl Analysis'!J91*LN('Phytopl Analysis'!J91)))</f>
        <v/>
      </c>
      <c r="K91" s="21" t="str">
        <f>IF('Phytopl Count'!K91=0,"",('Phytopl Analysis'!K91*LN('Phytopl Analysis'!K91)))</f>
        <v/>
      </c>
      <c r="L91" s="21" t="str">
        <f>IF('Phytopl Count'!L91=0,"",('Phytopl Analysis'!L91*LN('Phytopl Analysis'!L91)))</f>
        <v/>
      </c>
      <c r="M91" s="58" t="str">
        <f>IF('Phytopl Count'!M91=0,"",('Phytopl Analysis'!M91*LN('Phytopl Analysis'!M91)))</f>
        <v/>
      </c>
      <c r="N91" s="58" t="str">
        <f>IF('Phytopl Count'!N91=0,"",('Phytopl Analysis'!N91*LN('Phytopl Analysis'!N91)))</f>
        <v/>
      </c>
      <c r="O91" s="21" t="str">
        <f>IF('Phytopl Count'!O91=0,"",('Phytopl Analysis'!O91*LN('Phytopl Analysis'!O91)))</f>
        <v/>
      </c>
      <c r="P91" s="21" t="str">
        <f>IF('Phytopl Count'!P91=0,"",('Phytopl Analysis'!P91*LN('Phytopl Analysis'!P91)))</f>
        <v/>
      </c>
      <c r="Q91" s="58" t="str">
        <f>IF('Phytopl Count'!Q91=0,"",('Phytopl Analysis'!Q91*LN('Phytopl Analysis'!Q91)))</f>
        <v/>
      </c>
      <c r="R91" s="58" t="str">
        <f>IF('Phytopl Count'!R91=0,"",('Phytopl Analysis'!R91*LN('Phytopl Analysis'!R91)))</f>
        <v/>
      </c>
      <c r="S91" s="21" t="str">
        <f>IF('Phytopl Count'!S91=0,"",('Phytopl Analysis'!S91*LN('Phytopl Analysis'!S91)))</f>
        <v/>
      </c>
      <c r="T91" s="21" t="str">
        <f>IF('Phytopl Count'!T91=0,"",('Phytopl Analysis'!T91*LN('Phytopl Analysis'!T91)))</f>
        <v/>
      </c>
      <c r="U91" s="58" t="str">
        <f>IF('Phytopl Count'!U91=0,"",('Phytopl Analysis'!U91*LN('Phytopl Analysis'!U91)))</f>
        <v/>
      </c>
      <c r="V91" s="58" t="str">
        <f>IF('Phytopl Count'!V91=0,"",('Phytopl Analysis'!V91*LN('Phytopl Analysis'!V91)))</f>
        <v/>
      </c>
      <c r="W91" s="21" t="str">
        <f>IF('Phytopl Count'!W91=0,"",('Phytopl Analysis'!W91*LN('Phytopl Analysis'!W91)))</f>
        <v/>
      </c>
      <c r="X91" s="21" t="str">
        <f>IF('Phytopl Count'!X91=0,"",('Phytopl Analysis'!X91*LN('Phytopl Analysis'!X91)))</f>
        <v/>
      </c>
      <c r="Y91" s="58" t="str">
        <f>IF('Phytopl Count'!Y91=0,"",('Phytopl Analysis'!Y91*LN('Phytopl Analysis'!Y91)))</f>
        <v/>
      </c>
      <c r="Z91" s="58" t="str">
        <f>IF('Phytopl Count'!Z91=0,"",('Phytopl Analysis'!Z91*LN('Phytopl Analysis'!Z91)))</f>
        <v/>
      </c>
      <c r="AA91" s="21" t="str">
        <f>IF('Phytopl Count'!AA91=0,"",('Phytopl Analysis'!AA91*LN('Phytopl Analysis'!AA91)))</f>
        <v/>
      </c>
      <c r="AB91" s="21" t="str">
        <f>IF('Phytopl Count'!AB91=0,"",('Phytopl Analysis'!AB91*LN('Phytopl Analysis'!AB91)))</f>
        <v/>
      </c>
      <c r="AC91" s="58" t="str">
        <f>IF('Phytopl Count'!AC91=0,"",('Phytopl Analysis'!AC91*LN('Phytopl Analysis'!AC91)))</f>
        <v/>
      </c>
      <c r="AD91" s="58" t="str">
        <f>IF('Phytopl Count'!AD91=0,"",('Phytopl Analysis'!AD91*LN('Phytopl Analysis'!AD91)))</f>
        <v/>
      </c>
      <c r="AE91" s="21" t="str">
        <f>IF('Phytopl Count'!AE91=0,"",('Phytopl Analysis'!AE91*LN('Phytopl Analysis'!AE91)))</f>
        <v/>
      </c>
      <c r="AF91" s="58" t="str">
        <f>IF('Phytopl Count'!AF91=0,"",('Phytopl Analysis'!AF91*LN('Phytopl Analysis'!AF91)))</f>
        <v/>
      </c>
    </row>
    <row r="92" spans="1:32">
      <c r="A92" s="4"/>
      <c r="B92" s="4"/>
      <c r="C92" s="4"/>
      <c r="D92" s="5"/>
      <c r="E92" s="10" t="s">
        <v>6</v>
      </c>
      <c r="F92" s="11" t="s">
        <v>21</v>
      </c>
      <c r="G92" s="21" t="str">
        <f>IF('Phytopl Count'!G92=0,"",('Phytopl Analysis'!G92*LN('Phytopl Analysis'!G92)))</f>
        <v/>
      </c>
      <c r="H92" s="21" t="str">
        <f>IF('Phytopl Count'!H92=0,"",('Phytopl Analysis'!H92*LN('Phytopl Analysis'!H92)))</f>
        <v/>
      </c>
      <c r="I92" s="58" t="str">
        <f>IF('Phytopl Count'!I92=0,"",('Phytopl Analysis'!I92*LN('Phytopl Analysis'!I92)))</f>
        <v/>
      </c>
      <c r="J92" s="58" t="str">
        <f>IF('Phytopl Count'!J92=0,"",('Phytopl Analysis'!J92*LN('Phytopl Analysis'!J92)))</f>
        <v/>
      </c>
      <c r="K92" s="21" t="str">
        <f>IF('Phytopl Count'!K92=0,"",('Phytopl Analysis'!K92*LN('Phytopl Analysis'!K92)))</f>
        <v/>
      </c>
      <c r="L92" s="21" t="str">
        <f>IF('Phytopl Count'!L92=0,"",('Phytopl Analysis'!L92*LN('Phytopl Analysis'!L92)))</f>
        <v/>
      </c>
      <c r="M92" s="58" t="str">
        <f>IF('Phytopl Count'!M92=0,"",('Phytopl Analysis'!M92*LN('Phytopl Analysis'!M92)))</f>
        <v/>
      </c>
      <c r="N92" s="58" t="str">
        <f>IF('Phytopl Count'!N92=0,"",('Phytopl Analysis'!N92*LN('Phytopl Analysis'!N92)))</f>
        <v/>
      </c>
      <c r="O92" s="21" t="str">
        <f>IF('Phytopl Count'!O92=0,"",('Phytopl Analysis'!O92*LN('Phytopl Analysis'!O92)))</f>
        <v/>
      </c>
      <c r="P92" s="21" t="str">
        <f>IF('Phytopl Count'!P92=0,"",('Phytopl Analysis'!P92*LN('Phytopl Analysis'!P92)))</f>
        <v/>
      </c>
      <c r="Q92" s="58" t="str">
        <f>IF('Phytopl Count'!Q92=0,"",('Phytopl Analysis'!Q92*LN('Phytopl Analysis'!Q92)))</f>
        <v/>
      </c>
      <c r="R92" s="58">
        <f>IF('Phytopl Count'!R92=0,"",('Phytopl Analysis'!R92*LN('Phytopl Analysis'!R92)))</f>
        <v>-0.11022075559754062</v>
      </c>
      <c r="S92" s="21" t="str">
        <f>IF('Phytopl Count'!S92=0,"",('Phytopl Analysis'!S92*LN('Phytopl Analysis'!S92)))</f>
        <v/>
      </c>
      <c r="T92" s="21" t="str">
        <f>IF('Phytopl Count'!T92=0,"",('Phytopl Analysis'!T92*LN('Phytopl Analysis'!T92)))</f>
        <v/>
      </c>
      <c r="U92" s="58" t="str">
        <f>IF('Phytopl Count'!U92=0,"",('Phytopl Analysis'!U92*LN('Phytopl Analysis'!U92)))</f>
        <v/>
      </c>
      <c r="V92" s="58" t="str">
        <f>IF('Phytopl Count'!V92=0,"",('Phytopl Analysis'!V92*LN('Phytopl Analysis'!V92)))</f>
        <v/>
      </c>
      <c r="W92" s="21" t="str">
        <f>IF('Phytopl Count'!W92=0,"",('Phytopl Analysis'!W92*LN('Phytopl Analysis'!W92)))</f>
        <v/>
      </c>
      <c r="X92" s="21" t="str">
        <f>IF('Phytopl Count'!X92=0,"",('Phytopl Analysis'!X92*LN('Phytopl Analysis'!X92)))</f>
        <v/>
      </c>
      <c r="Y92" s="58" t="str">
        <f>IF('Phytopl Count'!Y92=0,"",('Phytopl Analysis'!Y92*LN('Phytopl Analysis'!Y92)))</f>
        <v/>
      </c>
      <c r="Z92" s="58" t="str">
        <f>IF('Phytopl Count'!Z92=0,"",('Phytopl Analysis'!Z92*LN('Phytopl Analysis'!Z92)))</f>
        <v/>
      </c>
      <c r="AA92" s="21" t="str">
        <f>IF('Phytopl Count'!AA92=0,"",('Phytopl Analysis'!AA92*LN('Phytopl Analysis'!AA92)))</f>
        <v/>
      </c>
      <c r="AB92" s="21" t="str">
        <f>IF('Phytopl Count'!AB92=0,"",('Phytopl Analysis'!AB92*LN('Phytopl Analysis'!AB92)))</f>
        <v/>
      </c>
      <c r="AC92" s="58">
        <f>IF('Phytopl Count'!AC92=0,"",('Phytopl Analysis'!AC92*LN('Phytopl Analysis'!AC92)))</f>
        <v>-0.11022075559754062</v>
      </c>
      <c r="AD92" s="58" t="str">
        <f>IF('Phytopl Count'!AD92=0,"",('Phytopl Analysis'!AD92*LN('Phytopl Analysis'!AD92)))</f>
        <v/>
      </c>
      <c r="AE92" s="21" t="str">
        <f>IF('Phytopl Count'!AE92=0,"",('Phytopl Analysis'!AE92*LN('Phytopl Analysis'!AE92)))</f>
        <v/>
      </c>
      <c r="AF92" s="58">
        <f>IF('Phytopl Count'!AF92=0,"",('Phytopl Analysis'!AF92*LN('Phytopl Analysis'!AF92)))</f>
        <v>-0.17603686210775515</v>
      </c>
    </row>
    <row r="93" spans="1:32">
      <c r="A93" s="4"/>
      <c r="B93" s="4"/>
      <c r="C93" s="16" t="s">
        <v>73</v>
      </c>
      <c r="D93" s="4" t="s">
        <v>80</v>
      </c>
      <c r="E93" s="5"/>
      <c r="F93" s="11"/>
      <c r="G93" s="21" t="str">
        <f>IF('Phytopl Count'!G93=0,"",('Phytopl Analysis'!G93*LN('Phytopl Analysis'!G93)))</f>
        <v/>
      </c>
      <c r="H93" s="21" t="str">
        <f>IF('Phytopl Count'!H93=0,"",('Phytopl Analysis'!H93*LN('Phytopl Analysis'!H93)))</f>
        <v/>
      </c>
      <c r="I93" s="58" t="str">
        <f>IF('Phytopl Count'!I93=0,"",('Phytopl Analysis'!I93*LN('Phytopl Analysis'!I93)))</f>
        <v/>
      </c>
      <c r="J93" s="58" t="str">
        <f>IF('Phytopl Count'!J93=0,"",('Phytopl Analysis'!J93*LN('Phytopl Analysis'!J93)))</f>
        <v/>
      </c>
      <c r="K93" s="21" t="str">
        <f>IF('Phytopl Count'!K93=0,"",('Phytopl Analysis'!K93*LN('Phytopl Analysis'!K93)))</f>
        <v/>
      </c>
      <c r="L93" s="21" t="str">
        <f>IF('Phytopl Count'!L93=0,"",('Phytopl Analysis'!L93*LN('Phytopl Analysis'!L93)))</f>
        <v/>
      </c>
      <c r="M93" s="58" t="str">
        <f>IF('Phytopl Count'!M93=0,"",('Phytopl Analysis'!M93*LN('Phytopl Analysis'!M93)))</f>
        <v/>
      </c>
      <c r="N93" s="58" t="str">
        <f>IF('Phytopl Count'!N93=0,"",('Phytopl Analysis'!N93*LN('Phytopl Analysis'!N93)))</f>
        <v/>
      </c>
      <c r="O93" s="21" t="str">
        <f>IF('Phytopl Count'!O93=0,"",('Phytopl Analysis'!O93*LN('Phytopl Analysis'!O93)))</f>
        <v/>
      </c>
      <c r="P93" s="21" t="str">
        <f>IF('Phytopl Count'!P93=0,"",('Phytopl Analysis'!P93*LN('Phytopl Analysis'!P93)))</f>
        <v/>
      </c>
      <c r="Q93" s="58" t="str">
        <f>IF('Phytopl Count'!Q93=0,"",('Phytopl Analysis'!Q93*LN('Phytopl Analysis'!Q93)))</f>
        <v/>
      </c>
      <c r="R93" s="58" t="str">
        <f>IF('Phytopl Count'!R93=0,"",('Phytopl Analysis'!R93*LN('Phytopl Analysis'!R93)))</f>
        <v/>
      </c>
      <c r="S93" s="21" t="str">
        <f>IF('Phytopl Count'!S93=0,"",('Phytopl Analysis'!S93*LN('Phytopl Analysis'!S93)))</f>
        <v/>
      </c>
      <c r="T93" s="21" t="str">
        <f>IF('Phytopl Count'!T93=0,"",('Phytopl Analysis'!T93*LN('Phytopl Analysis'!T93)))</f>
        <v/>
      </c>
      <c r="U93" s="58" t="str">
        <f>IF('Phytopl Count'!U93=0,"",('Phytopl Analysis'!U93*LN('Phytopl Analysis'!U93)))</f>
        <v/>
      </c>
      <c r="V93" s="58" t="str">
        <f>IF('Phytopl Count'!V93=0,"",('Phytopl Analysis'!V93*LN('Phytopl Analysis'!V93)))</f>
        <v/>
      </c>
      <c r="W93" s="21" t="str">
        <f>IF('Phytopl Count'!W93=0,"",('Phytopl Analysis'!W93*LN('Phytopl Analysis'!W93)))</f>
        <v/>
      </c>
      <c r="X93" s="21" t="str">
        <f>IF('Phytopl Count'!X93=0,"",('Phytopl Analysis'!X93*LN('Phytopl Analysis'!X93)))</f>
        <v/>
      </c>
      <c r="Y93" s="58" t="str">
        <f>IF('Phytopl Count'!Y93=0,"",('Phytopl Analysis'!Y93*LN('Phytopl Analysis'!Y93)))</f>
        <v/>
      </c>
      <c r="Z93" s="58" t="str">
        <f>IF('Phytopl Count'!Z93=0,"",('Phytopl Analysis'!Z93*LN('Phytopl Analysis'!Z93)))</f>
        <v/>
      </c>
      <c r="AA93" s="21" t="str">
        <f>IF('Phytopl Count'!AA93=0,"",('Phytopl Analysis'!AA93*LN('Phytopl Analysis'!AA93)))</f>
        <v/>
      </c>
      <c r="AB93" s="21" t="str">
        <f>IF('Phytopl Count'!AB93=0,"",('Phytopl Analysis'!AB93*LN('Phytopl Analysis'!AB93)))</f>
        <v/>
      </c>
      <c r="AC93" s="58" t="str">
        <f>IF('Phytopl Count'!AC93=0,"",('Phytopl Analysis'!AC93*LN('Phytopl Analysis'!AC93)))</f>
        <v/>
      </c>
      <c r="AD93" s="58" t="str">
        <f>IF('Phytopl Count'!AD93=0,"",('Phytopl Analysis'!AD93*LN('Phytopl Analysis'!AD93)))</f>
        <v/>
      </c>
      <c r="AE93" s="21" t="str">
        <f>IF('Phytopl Count'!AE93=0,"",('Phytopl Analysis'!AE93*LN('Phytopl Analysis'!AE93)))</f>
        <v/>
      </c>
      <c r="AF93" s="58" t="str">
        <f>IF('Phytopl Count'!AF93=0,"",('Phytopl Analysis'!AF93*LN('Phytopl Analysis'!AF93)))</f>
        <v/>
      </c>
    </row>
    <row r="94" spans="1:32">
      <c r="A94" s="16"/>
      <c r="B94" s="16"/>
      <c r="C94" s="16"/>
      <c r="D94" s="10" t="s">
        <v>5</v>
      </c>
      <c r="E94" s="5" t="s">
        <v>22</v>
      </c>
      <c r="F94" s="9"/>
      <c r="G94" s="21" t="str">
        <f>IF('Phytopl Count'!G94=0,"",('Phytopl Analysis'!G94*LN('Phytopl Analysis'!G94)))</f>
        <v/>
      </c>
      <c r="H94" s="21" t="str">
        <f>IF('Phytopl Count'!H94=0,"",('Phytopl Analysis'!H94*LN('Phytopl Analysis'!H94)))</f>
        <v/>
      </c>
      <c r="I94" s="58" t="str">
        <f>IF('Phytopl Count'!I94=0,"",('Phytopl Analysis'!I94*LN('Phytopl Analysis'!I94)))</f>
        <v/>
      </c>
      <c r="J94" s="58" t="str">
        <f>IF('Phytopl Count'!J94=0,"",('Phytopl Analysis'!J94*LN('Phytopl Analysis'!J94)))</f>
        <v/>
      </c>
      <c r="K94" s="21" t="str">
        <f>IF('Phytopl Count'!K94=0,"",('Phytopl Analysis'!K94*LN('Phytopl Analysis'!K94)))</f>
        <v/>
      </c>
      <c r="L94" s="21" t="str">
        <f>IF('Phytopl Count'!L94=0,"",('Phytopl Analysis'!L94*LN('Phytopl Analysis'!L94)))</f>
        <v/>
      </c>
      <c r="M94" s="58" t="str">
        <f>IF('Phytopl Count'!M94=0,"",('Phytopl Analysis'!M94*LN('Phytopl Analysis'!M94)))</f>
        <v/>
      </c>
      <c r="N94" s="58" t="str">
        <f>IF('Phytopl Count'!N94=0,"",('Phytopl Analysis'!N94*LN('Phytopl Analysis'!N94)))</f>
        <v/>
      </c>
      <c r="O94" s="21" t="str">
        <f>IF('Phytopl Count'!O94=0,"",('Phytopl Analysis'!O94*LN('Phytopl Analysis'!O94)))</f>
        <v/>
      </c>
      <c r="P94" s="21" t="str">
        <f>IF('Phytopl Count'!P94=0,"",('Phytopl Analysis'!P94*LN('Phytopl Analysis'!P94)))</f>
        <v/>
      </c>
      <c r="Q94" s="58" t="str">
        <f>IF('Phytopl Count'!Q94=0,"",('Phytopl Analysis'!Q94*LN('Phytopl Analysis'!Q94)))</f>
        <v/>
      </c>
      <c r="R94" s="58" t="str">
        <f>IF('Phytopl Count'!R94=0,"",('Phytopl Analysis'!R94*LN('Phytopl Analysis'!R94)))</f>
        <v/>
      </c>
      <c r="S94" s="21" t="str">
        <f>IF('Phytopl Count'!S94=0,"",('Phytopl Analysis'!S94*LN('Phytopl Analysis'!S94)))</f>
        <v/>
      </c>
      <c r="T94" s="21" t="str">
        <f>IF('Phytopl Count'!T94=0,"",('Phytopl Analysis'!T94*LN('Phytopl Analysis'!T94)))</f>
        <v/>
      </c>
      <c r="U94" s="58" t="str">
        <f>IF('Phytopl Count'!U94=0,"",('Phytopl Analysis'!U94*LN('Phytopl Analysis'!U94)))</f>
        <v/>
      </c>
      <c r="V94" s="58" t="str">
        <f>IF('Phytopl Count'!V94=0,"",('Phytopl Analysis'!V94*LN('Phytopl Analysis'!V94)))</f>
        <v/>
      </c>
      <c r="W94" s="21" t="str">
        <f>IF('Phytopl Count'!W94=0,"",('Phytopl Analysis'!W94*LN('Phytopl Analysis'!W94)))</f>
        <v/>
      </c>
      <c r="X94" s="21" t="str">
        <f>IF('Phytopl Count'!X94=0,"",('Phytopl Analysis'!X94*LN('Phytopl Analysis'!X94)))</f>
        <v/>
      </c>
      <c r="Y94" s="58" t="str">
        <f>IF('Phytopl Count'!Y94=0,"",('Phytopl Analysis'!Y94*LN('Phytopl Analysis'!Y94)))</f>
        <v/>
      </c>
      <c r="Z94" s="58" t="str">
        <f>IF('Phytopl Count'!Z94=0,"",('Phytopl Analysis'!Z94*LN('Phytopl Analysis'!Z94)))</f>
        <v/>
      </c>
      <c r="AA94" s="21" t="str">
        <f>IF('Phytopl Count'!AA94=0,"",('Phytopl Analysis'!AA94*LN('Phytopl Analysis'!AA94)))</f>
        <v/>
      </c>
      <c r="AB94" s="21" t="str">
        <f>IF('Phytopl Count'!AB94=0,"",('Phytopl Analysis'!AB94*LN('Phytopl Analysis'!AB94)))</f>
        <v/>
      </c>
      <c r="AC94" s="58" t="str">
        <f>IF('Phytopl Count'!AC94=0,"",('Phytopl Analysis'!AC94*LN('Phytopl Analysis'!AC94)))</f>
        <v/>
      </c>
      <c r="AD94" s="58" t="str">
        <f>IF('Phytopl Count'!AD94=0,"",('Phytopl Analysis'!AD94*LN('Phytopl Analysis'!AD94)))</f>
        <v/>
      </c>
      <c r="AE94" s="21" t="str">
        <f>IF('Phytopl Count'!AE94=0,"",('Phytopl Analysis'!AE94*LN('Phytopl Analysis'!AE94)))</f>
        <v/>
      </c>
      <c r="AF94" s="58" t="str">
        <f>IF('Phytopl Count'!AF94=0,"",('Phytopl Analysis'!AF94*LN('Phytopl Analysis'!AF94)))</f>
        <v/>
      </c>
    </row>
    <row r="95" spans="1:32">
      <c r="A95" s="16"/>
      <c r="B95" s="16"/>
      <c r="C95" s="16"/>
      <c r="D95" s="10"/>
      <c r="E95" s="10" t="s">
        <v>6</v>
      </c>
      <c r="F95" s="11" t="s">
        <v>23</v>
      </c>
      <c r="G95" s="21">
        <f>IF('Phytopl Count'!G95=0,"",('Phytopl Analysis'!G95*LN('Phytopl Analysis'!G95)))</f>
        <v>-0.23885360584895332</v>
      </c>
      <c r="H95" s="21">
        <f>IF('Phytopl Count'!H95=0,"",('Phytopl Analysis'!H95*LN('Phytopl Analysis'!H95)))</f>
        <v>-0.26672307224263919</v>
      </c>
      <c r="I95" s="58">
        <f>IF('Phytopl Count'!I95=0,"",('Phytopl Analysis'!I95*LN('Phytopl Analysis'!I95)))</f>
        <v>-0.16151729929316433</v>
      </c>
      <c r="J95" s="58">
        <f>IF('Phytopl Count'!J95=0,"",('Phytopl Analysis'!J95*LN('Phytopl Analysis'!J95)))</f>
        <v>-0.35650473658061005</v>
      </c>
      <c r="K95" s="21">
        <f>IF('Phytopl Count'!K95=0,"",('Phytopl Analysis'!K95*LN('Phytopl Analysis'!K95)))</f>
        <v>-0.3169714753399841</v>
      </c>
      <c r="L95" s="21">
        <f>IF('Phytopl Count'!L95=0,"",('Phytopl Analysis'!L95*LN('Phytopl Analysis'!L95)))</f>
        <v>-0.1458498424659852</v>
      </c>
      <c r="M95" s="58" t="str">
        <f>IF('Phytopl Count'!M95=0,"",('Phytopl Analysis'!M95*LN('Phytopl Analysis'!M95)))</f>
        <v/>
      </c>
      <c r="N95" s="58">
        <f>IF('Phytopl Count'!N95=0,"",('Phytopl Analysis'!N95*LN('Phytopl Analysis'!N95)))</f>
        <v>-0.34260770385688732</v>
      </c>
      <c r="O95" s="21">
        <f>IF('Phytopl Count'!O95=0,"",('Phytopl Analysis'!O95*LN('Phytopl Analysis'!O95)))</f>
        <v>-0.36754665270340336</v>
      </c>
      <c r="P95" s="21">
        <f>IF('Phytopl Count'!P95=0,"",('Phytopl Analysis'!P95*LN('Phytopl Analysis'!P95)))</f>
        <v>-0.22509271130098124</v>
      </c>
      <c r="Q95" s="58">
        <f>IF('Phytopl Count'!Q95=0,"",('Phytopl Analysis'!Q95*LN('Phytopl Analysis'!Q95)))</f>
        <v>-0.2545625689671801</v>
      </c>
      <c r="R95" s="58">
        <f>IF('Phytopl Count'!R95=0,"",('Phytopl Analysis'!R95*LN('Phytopl Analysis'!R95)))</f>
        <v>-0.11022075559754062</v>
      </c>
      <c r="S95" s="21">
        <f>IF('Phytopl Count'!S95=0,"",('Phytopl Analysis'!S95*LN('Phytopl Analysis'!S95)))</f>
        <v>-0.22509271130098124</v>
      </c>
      <c r="T95" s="21">
        <f>IF('Phytopl Count'!T95=0,"",('Phytopl Analysis'!T95*LN('Phytopl Analysis'!T95)))</f>
        <v>-0.22509271130098124</v>
      </c>
      <c r="U95" s="58">
        <f>IF('Phytopl Count'!U95=0,"",('Phytopl Analysis'!U95*LN('Phytopl Analysis'!U95)))</f>
        <v>-0.3169714753399841</v>
      </c>
      <c r="V95" s="58">
        <f>IF('Phytopl Count'!V95=0,"",('Phytopl Analysis'!V95*LN('Phytopl Analysis'!V95)))</f>
        <v>-0.29334277233901074</v>
      </c>
      <c r="W95" s="21">
        <f>IF('Phytopl Count'!W95=0,"",('Phytopl Analysis'!W95*LN('Phytopl Analysis'!W95)))</f>
        <v>-0.1458498424659852</v>
      </c>
      <c r="X95" s="21" t="str">
        <f>IF('Phytopl Count'!X95=0,"",('Phytopl Analysis'!X95*LN('Phytopl Analysis'!X95)))</f>
        <v/>
      </c>
      <c r="Y95" s="58">
        <f>IF('Phytopl Count'!Y95=0,"",('Phytopl Analysis'!Y95*LN('Phytopl Analysis'!Y95)))</f>
        <v>-0.1895528273034891</v>
      </c>
      <c r="Z95" s="58" t="str">
        <f>IF('Phytopl Count'!Z95=0,"",('Phytopl Analysis'!Z95*LN('Phytopl Analysis'!Z95)))</f>
        <v/>
      </c>
      <c r="AA95" s="21">
        <f>IF('Phytopl Count'!AA95=0,"",('Phytopl Analysis'!AA95*LN('Phytopl Analysis'!AA95)))</f>
        <v>-0.17603686210775515</v>
      </c>
      <c r="AB95" s="21">
        <f>IF('Phytopl Count'!AB95=0,"",('Phytopl Analysis'!AB95*LN('Phytopl Analysis'!AB95)))</f>
        <v>-0.12884150444391032</v>
      </c>
      <c r="AC95" s="58">
        <f>IF('Phytopl Count'!AC95=0,"",('Phytopl Analysis'!AC95*LN('Phytopl Analysis'!AC95)))</f>
        <v>-0.3169714753399841</v>
      </c>
      <c r="AD95" s="58">
        <f>IF('Phytopl Count'!AD95=0,"",('Phytopl Analysis'!AD95*LN('Phytopl Analysis'!AD95)))</f>
        <v>-0.33523665356137466</v>
      </c>
      <c r="AE95" s="21">
        <f>IF('Phytopl Count'!AE95=0,"",('Phytopl Analysis'!AE95*LN('Phytopl Analysis'!AE95)))</f>
        <v>-0.1458498424659852</v>
      </c>
      <c r="AF95" s="58">
        <f>IF('Phytopl Count'!AF95=0,"",('Phytopl Analysis'!AF95*LN('Phytopl Analysis'!AF95)))</f>
        <v>-0.20217432326410978</v>
      </c>
    </row>
    <row r="96" spans="1:32" hidden="1">
      <c r="A96" s="16"/>
      <c r="B96" s="16"/>
      <c r="C96" s="16"/>
      <c r="D96" s="10"/>
      <c r="E96" s="10"/>
      <c r="F96" s="11" t="s">
        <v>353</v>
      </c>
      <c r="G96" s="21" t="str">
        <f>IF('Phytopl Count'!G96=0,"",('Phytopl Analysis'!G96*LN('Phytopl Analysis'!G96)))</f>
        <v/>
      </c>
      <c r="H96" s="21" t="str">
        <f>IF('Phytopl Count'!H96=0,"",('Phytopl Analysis'!H96*LN('Phytopl Analysis'!H96)))</f>
        <v/>
      </c>
      <c r="I96" s="58" t="str">
        <f>IF('Phytopl Count'!I96=0,"",('Phytopl Analysis'!I96*LN('Phytopl Analysis'!I96)))</f>
        <v/>
      </c>
      <c r="J96" s="58" t="str">
        <f>IF('Phytopl Count'!J96=0,"",('Phytopl Analysis'!J96*LN('Phytopl Analysis'!J96)))</f>
        <v/>
      </c>
      <c r="K96" s="21" t="str">
        <f>IF('Phytopl Count'!K96=0,"",('Phytopl Analysis'!K96*LN('Phytopl Analysis'!K96)))</f>
        <v/>
      </c>
      <c r="L96" s="21" t="str">
        <f>IF('Phytopl Count'!L96=0,"",('Phytopl Analysis'!L96*LN('Phytopl Analysis'!L96)))</f>
        <v/>
      </c>
      <c r="M96" s="58" t="str">
        <f>IF('Phytopl Count'!M96=0,"",('Phytopl Analysis'!M96*LN('Phytopl Analysis'!M96)))</f>
        <v/>
      </c>
      <c r="N96" s="58" t="str">
        <f>IF('Phytopl Count'!N96=0,"",('Phytopl Analysis'!N96*LN('Phytopl Analysis'!N96)))</f>
        <v/>
      </c>
      <c r="O96" s="21" t="str">
        <f>IF('Phytopl Count'!O96=0,"",('Phytopl Analysis'!O96*LN('Phytopl Analysis'!O96)))</f>
        <v/>
      </c>
      <c r="P96" s="21" t="str">
        <f>IF('Phytopl Count'!P96=0,"",('Phytopl Analysis'!P96*LN('Phytopl Analysis'!P96)))</f>
        <v/>
      </c>
      <c r="Q96" s="58" t="str">
        <f>IF('Phytopl Count'!Q96=0,"",('Phytopl Analysis'!Q96*LN('Phytopl Analysis'!Q96)))</f>
        <v/>
      </c>
      <c r="R96" s="58" t="str">
        <f>IF('Phytopl Count'!R96=0,"",('Phytopl Analysis'!R96*LN('Phytopl Analysis'!R96)))</f>
        <v/>
      </c>
      <c r="S96" s="21" t="str">
        <f>IF('Phytopl Count'!S96=0,"",('Phytopl Analysis'!S96*LN('Phytopl Analysis'!S96)))</f>
        <v/>
      </c>
      <c r="T96" s="21" t="str">
        <f>IF('Phytopl Count'!T96=0,"",('Phytopl Analysis'!T96*LN('Phytopl Analysis'!T96)))</f>
        <v/>
      </c>
      <c r="U96" s="58" t="str">
        <f>IF('Phytopl Count'!U96=0,"",('Phytopl Analysis'!U96*LN('Phytopl Analysis'!U96)))</f>
        <v/>
      </c>
      <c r="V96" s="58" t="str">
        <f>IF('Phytopl Count'!V96=0,"",('Phytopl Analysis'!V96*LN('Phytopl Analysis'!V96)))</f>
        <v/>
      </c>
      <c r="W96" s="21" t="str">
        <f>IF('Phytopl Count'!W96=0,"",('Phytopl Analysis'!W96*LN('Phytopl Analysis'!W96)))</f>
        <v/>
      </c>
      <c r="X96" s="21" t="str">
        <f>IF('Phytopl Count'!X96=0,"",('Phytopl Analysis'!X96*LN('Phytopl Analysis'!X96)))</f>
        <v/>
      </c>
      <c r="Y96" s="58" t="str">
        <f>IF('Phytopl Count'!Y96=0,"",('Phytopl Analysis'!Y96*LN('Phytopl Analysis'!Y96)))</f>
        <v/>
      </c>
      <c r="Z96" s="58" t="str">
        <f>IF('Phytopl Count'!Z96=0,"",('Phytopl Analysis'!Z96*LN('Phytopl Analysis'!Z96)))</f>
        <v/>
      </c>
      <c r="AA96" s="21" t="str">
        <f>IF('Phytopl Count'!AA96=0,"",('Phytopl Analysis'!AA96*LN('Phytopl Analysis'!AA96)))</f>
        <v/>
      </c>
      <c r="AB96" s="21" t="str">
        <f>IF('Phytopl Count'!AB96=0,"",('Phytopl Analysis'!AB96*LN('Phytopl Analysis'!AB96)))</f>
        <v/>
      </c>
      <c r="AC96" s="58" t="str">
        <f>IF('Phytopl Count'!AC96=0,"",('Phytopl Analysis'!AC96*LN('Phytopl Analysis'!AC96)))</f>
        <v/>
      </c>
      <c r="AD96" s="58" t="str">
        <f>IF('Phytopl Count'!AD96=0,"",('Phytopl Analysis'!AD96*LN('Phytopl Analysis'!AD96)))</f>
        <v/>
      </c>
      <c r="AE96" s="21" t="str">
        <f>IF('Phytopl Count'!AE96=0,"",('Phytopl Analysis'!AE96*LN('Phytopl Analysis'!AE96)))</f>
        <v/>
      </c>
      <c r="AF96" s="58" t="str">
        <f>IF('Phytopl Count'!AF96=0,"",('Phytopl Analysis'!AF96*LN('Phytopl Analysis'!AF96)))</f>
        <v/>
      </c>
    </row>
    <row r="97" spans="1:32" hidden="1">
      <c r="A97" s="4"/>
      <c r="B97" s="4"/>
      <c r="C97" s="4"/>
      <c r="D97" s="10" t="s">
        <v>5</v>
      </c>
      <c r="E97" s="171" t="s">
        <v>392</v>
      </c>
      <c r="F97" s="11"/>
      <c r="G97" s="21" t="str">
        <f>IF('Phytopl Count'!G97=0,"",('Phytopl Analysis'!G97*LN('Phytopl Analysis'!G97)))</f>
        <v/>
      </c>
      <c r="H97" s="21" t="str">
        <f>IF('Phytopl Count'!H97=0,"",('Phytopl Analysis'!H97*LN('Phytopl Analysis'!H97)))</f>
        <v/>
      </c>
      <c r="I97" s="58" t="str">
        <f>IF('Phytopl Count'!I97=0,"",('Phytopl Analysis'!I97*LN('Phytopl Analysis'!I97)))</f>
        <v/>
      </c>
      <c r="J97" s="58" t="str">
        <f>IF('Phytopl Count'!J97=0,"",('Phytopl Analysis'!J97*LN('Phytopl Analysis'!J97)))</f>
        <v/>
      </c>
      <c r="K97" s="21" t="str">
        <f>IF('Phytopl Count'!K97=0,"",('Phytopl Analysis'!K97*LN('Phytopl Analysis'!K97)))</f>
        <v/>
      </c>
      <c r="L97" s="21" t="str">
        <f>IF('Phytopl Count'!L97=0,"",('Phytopl Analysis'!L97*LN('Phytopl Analysis'!L97)))</f>
        <v/>
      </c>
      <c r="M97" s="58" t="str">
        <f>IF('Phytopl Count'!M97=0,"",('Phytopl Analysis'!M97*LN('Phytopl Analysis'!M97)))</f>
        <v/>
      </c>
      <c r="N97" s="58" t="str">
        <f>IF('Phytopl Count'!N97=0,"",('Phytopl Analysis'!N97*LN('Phytopl Analysis'!N97)))</f>
        <v/>
      </c>
      <c r="O97" s="21" t="str">
        <f>IF('Phytopl Count'!O97=0,"",('Phytopl Analysis'!O97*LN('Phytopl Analysis'!O97)))</f>
        <v/>
      </c>
      <c r="P97" s="21" t="str">
        <f>IF('Phytopl Count'!P97=0,"",('Phytopl Analysis'!P97*LN('Phytopl Analysis'!P97)))</f>
        <v/>
      </c>
      <c r="Q97" s="58" t="str">
        <f>IF('Phytopl Count'!Q97=0,"",('Phytopl Analysis'!Q97*LN('Phytopl Analysis'!Q97)))</f>
        <v/>
      </c>
      <c r="R97" s="58" t="str">
        <f>IF('Phytopl Count'!R97=0,"",('Phytopl Analysis'!R97*LN('Phytopl Analysis'!R97)))</f>
        <v/>
      </c>
      <c r="S97" s="21" t="str">
        <f>IF('Phytopl Count'!S97=0,"",('Phytopl Analysis'!S97*LN('Phytopl Analysis'!S97)))</f>
        <v/>
      </c>
      <c r="T97" s="21" t="str">
        <f>IF('Phytopl Count'!T97=0,"",('Phytopl Analysis'!T97*LN('Phytopl Analysis'!T97)))</f>
        <v/>
      </c>
      <c r="U97" s="58" t="str">
        <f>IF('Phytopl Count'!U97=0,"",('Phytopl Analysis'!U97*LN('Phytopl Analysis'!U97)))</f>
        <v/>
      </c>
      <c r="V97" s="58" t="str">
        <f>IF('Phytopl Count'!V97=0,"",('Phytopl Analysis'!V97*LN('Phytopl Analysis'!V97)))</f>
        <v/>
      </c>
      <c r="W97" s="21" t="str">
        <f>IF('Phytopl Count'!W97=0,"",('Phytopl Analysis'!W97*LN('Phytopl Analysis'!W97)))</f>
        <v/>
      </c>
      <c r="X97" s="21" t="str">
        <f>IF('Phytopl Count'!X97=0,"",('Phytopl Analysis'!X97*LN('Phytopl Analysis'!X97)))</f>
        <v/>
      </c>
      <c r="Y97" s="58" t="str">
        <f>IF('Phytopl Count'!Y97=0,"",('Phytopl Analysis'!Y97*LN('Phytopl Analysis'!Y97)))</f>
        <v/>
      </c>
      <c r="Z97" s="58" t="str">
        <f>IF('Phytopl Count'!Z97=0,"",('Phytopl Analysis'!Z97*LN('Phytopl Analysis'!Z97)))</f>
        <v/>
      </c>
      <c r="AA97" s="21" t="str">
        <f>IF('Phytopl Count'!AA97=0,"",('Phytopl Analysis'!AA97*LN('Phytopl Analysis'!AA97)))</f>
        <v/>
      </c>
      <c r="AB97" s="21" t="str">
        <f>IF('Phytopl Count'!AB97=0,"",('Phytopl Analysis'!AB97*LN('Phytopl Analysis'!AB97)))</f>
        <v/>
      </c>
      <c r="AC97" s="58" t="str">
        <f>IF('Phytopl Count'!AC97=0,"",('Phytopl Analysis'!AC97*LN('Phytopl Analysis'!AC97)))</f>
        <v/>
      </c>
      <c r="AD97" s="58" t="str">
        <f>IF('Phytopl Count'!AD97=0,"",('Phytopl Analysis'!AD97*LN('Phytopl Analysis'!AD97)))</f>
        <v/>
      </c>
      <c r="AE97" s="21" t="str">
        <f>IF('Phytopl Count'!AE97=0,"",('Phytopl Analysis'!AE97*LN('Phytopl Analysis'!AE97)))</f>
        <v/>
      </c>
      <c r="AF97" s="58" t="str">
        <f>IF('Phytopl Count'!AF97=0,"",('Phytopl Analysis'!AF97*LN('Phytopl Analysis'!AF97)))</f>
        <v/>
      </c>
    </row>
    <row r="98" spans="1:32" hidden="1">
      <c r="A98" s="4"/>
      <c r="B98" s="4"/>
      <c r="C98" s="4"/>
      <c r="D98" s="10"/>
      <c r="E98" s="10" t="s">
        <v>6</v>
      </c>
      <c r="F98" s="11" t="s">
        <v>393</v>
      </c>
      <c r="G98" s="21" t="str">
        <f>IF('Phytopl Count'!G98=0,"",('Phytopl Analysis'!G98*LN('Phytopl Analysis'!G98)))</f>
        <v/>
      </c>
      <c r="H98" s="21" t="str">
        <f>IF('Phytopl Count'!H98=0,"",('Phytopl Analysis'!H98*LN('Phytopl Analysis'!H98)))</f>
        <v/>
      </c>
      <c r="I98" s="58" t="str">
        <f>IF('Phytopl Count'!I98=0,"",('Phytopl Analysis'!I98*LN('Phytopl Analysis'!I98)))</f>
        <v/>
      </c>
      <c r="J98" s="58" t="str">
        <f>IF('Phytopl Count'!J98=0,"",('Phytopl Analysis'!J98*LN('Phytopl Analysis'!J98)))</f>
        <v/>
      </c>
      <c r="K98" s="21" t="str">
        <f>IF('Phytopl Count'!K98=0,"",('Phytopl Analysis'!K98*LN('Phytopl Analysis'!K98)))</f>
        <v/>
      </c>
      <c r="L98" s="21" t="str">
        <f>IF('Phytopl Count'!L98=0,"",('Phytopl Analysis'!L98*LN('Phytopl Analysis'!L98)))</f>
        <v/>
      </c>
      <c r="M98" s="58" t="str">
        <f>IF('Phytopl Count'!M98=0,"",('Phytopl Analysis'!M98*LN('Phytopl Analysis'!M98)))</f>
        <v/>
      </c>
      <c r="N98" s="58" t="str">
        <f>IF('Phytopl Count'!N98=0,"",('Phytopl Analysis'!N98*LN('Phytopl Analysis'!N98)))</f>
        <v/>
      </c>
      <c r="O98" s="21" t="str">
        <f>IF('Phytopl Count'!O98=0,"",('Phytopl Analysis'!O98*LN('Phytopl Analysis'!O98)))</f>
        <v/>
      </c>
      <c r="P98" s="21" t="str">
        <f>IF('Phytopl Count'!P98=0,"",('Phytopl Analysis'!P98*LN('Phytopl Analysis'!P98)))</f>
        <v/>
      </c>
      <c r="Q98" s="58" t="str">
        <f>IF('Phytopl Count'!Q98=0,"",('Phytopl Analysis'!Q98*LN('Phytopl Analysis'!Q98)))</f>
        <v/>
      </c>
      <c r="R98" s="58" t="str">
        <f>IF('Phytopl Count'!R98=0,"",('Phytopl Analysis'!R98*LN('Phytopl Analysis'!R98)))</f>
        <v/>
      </c>
      <c r="S98" s="21" t="str">
        <f>IF('Phytopl Count'!S98=0,"",('Phytopl Analysis'!S98*LN('Phytopl Analysis'!S98)))</f>
        <v/>
      </c>
      <c r="T98" s="21" t="str">
        <f>IF('Phytopl Count'!T98=0,"",('Phytopl Analysis'!T98*LN('Phytopl Analysis'!T98)))</f>
        <v/>
      </c>
      <c r="U98" s="58" t="str">
        <f>IF('Phytopl Count'!U98=0,"",('Phytopl Analysis'!U98*LN('Phytopl Analysis'!U98)))</f>
        <v/>
      </c>
      <c r="V98" s="58" t="str">
        <f>IF('Phytopl Count'!V98=0,"",('Phytopl Analysis'!V98*LN('Phytopl Analysis'!V98)))</f>
        <v/>
      </c>
      <c r="W98" s="21" t="str">
        <f>IF('Phytopl Count'!W98=0,"",('Phytopl Analysis'!W98*LN('Phytopl Analysis'!W98)))</f>
        <v/>
      </c>
      <c r="X98" s="21" t="str">
        <f>IF('Phytopl Count'!X98=0,"",('Phytopl Analysis'!X98*LN('Phytopl Analysis'!X98)))</f>
        <v/>
      </c>
      <c r="Y98" s="58" t="str">
        <f>IF('Phytopl Count'!Y98=0,"",('Phytopl Analysis'!Y98*LN('Phytopl Analysis'!Y98)))</f>
        <v/>
      </c>
      <c r="Z98" s="58" t="str">
        <f>IF('Phytopl Count'!Z98=0,"",('Phytopl Analysis'!Z98*LN('Phytopl Analysis'!Z98)))</f>
        <v/>
      </c>
      <c r="AA98" s="21" t="str">
        <f>IF('Phytopl Count'!AA98=0,"",('Phytopl Analysis'!AA98*LN('Phytopl Analysis'!AA98)))</f>
        <v/>
      </c>
      <c r="AB98" s="21" t="str">
        <f>IF('Phytopl Count'!AB98=0,"",('Phytopl Analysis'!AB98*LN('Phytopl Analysis'!AB98)))</f>
        <v/>
      </c>
      <c r="AC98" s="58" t="str">
        <f>IF('Phytopl Count'!AC98=0,"",('Phytopl Analysis'!AC98*LN('Phytopl Analysis'!AC98)))</f>
        <v/>
      </c>
      <c r="AD98" s="58" t="str">
        <f>IF('Phytopl Count'!AD98=0,"",('Phytopl Analysis'!AD98*LN('Phytopl Analysis'!AD98)))</f>
        <v/>
      </c>
      <c r="AE98" s="21" t="str">
        <f>IF('Phytopl Count'!AE98=0,"",('Phytopl Analysis'!AE98*LN('Phytopl Analysis'!AE98)))</f>
        <v/>
      </c>
      <c r="AF98" s="58" t="str">
        <f>IF('Phytopl Count'!AF98=0,"",('Phytopl Analysis'!AF98*LN('Phytopl Analysis'!AF98)))</f>
        <v/>
      </c>
    </row>
    <row r="99" spans="1:32" hidden="1">
      <c r="A99" s="4"/>
      <c r="B99" s="4"/>
      <c r="C99" s="4"/>
      <c r="D99" s="10" t="s">
        <v>5</v>
      </c>
      <c r="E99" s="12" t="s">
        <v>24</v>
      </c>
      <c r="F99" s="11"/>
      <c r="G99" s="21" t="str">
        <f>IF('Phytopl Count'!G99=0,"",('Phytopl Analysis'!G99*LN('Phytopl Analysis'!G99)))</f>
        <v/>
      </c>
      <c r="H99" s="21" t="str">
        <f>IF('Phytopl Count'!H99=0,"",('Phytopl Analysis'!H99*LN('Phytopl Analysis'!H99)))</f>
        <v/>
      </c>
      <c r="I99" s="58" t="str">
        <f>IF('Phytopl Count'!I99=0,"",('Phytopl Analysis'!I99*LN('Phytopl Analysis'!I99)))</f>
        <v/>
      </c>
      <c r="J99" s="58" t="str">
        <f>IF('Phytopl Count'!J99=0,"",('Phytopl Analysis'!J99*LN('Phytopl Analysis'!J99)))</f>
        <v/>
      </c>
      <c r="K99" s="21" t="str">
        <f>IF('Phytopl Count'!K99=0,"",('Phytopl Analysis'!K99*LN('Phytopl Analysis'!K99)))</f>
        <v/>
      </c>
      <c r="L99" s="21" t="str">
        <f>IF('Phytopl Count'!L99=0,"",('Phytopl Analysis'!L99*LN('Phytopl Analysis'!L99)))</f>
        <v/>
      </c>
      <c r="M99" s="58" t="str">
        <f>IF('Phytopl Count'!M99=0,"",('Phytopl Analysis'!M99*LN('Phytopl Analysis'!M99)))</f>
        <v/>
      </c>
      <c r="N99" s="58" t="str">
        <f>IF('Phytopl Count'!N99=0,"",('Phytopl Analysis'!N99*LN('Phytopl Analysis'!N99)))</f>
        <v/>
      </c>
      <c r="O99" s="21" t="str">
        <f>IF('Phytopl Count'!O99=0,"",('Phytopl Analysis'!O99*LN('Phytopl Analysis'!O99)))</f>
        <v/>
      </c>
      <c r="P99" s="21" t="str">
        <f>IF('Phytopl Count'!P99=0,"",('Phytopl Analysis'!P99*LN('Phytopl Analysis'!P99)))</f>
        <v/>
      </c>
      <c r="Q99" s="58" t="str">
        <f>IF('Phytopl Count'!Q99=0,"",('Phytopl Analysis'!Q99*LN('Phytopl Analysis'!Q99)))</f>
        <v/>
      </c>
      <c r="R99" s="58" t="str">
        <f>IF('Phytopl Count'!R99=0,"",('Phytopl Analysis'!R99*LN('Phytopl Analysis'!R99)))</f>
        <v/>
      </c>
      <c r="S99" s="21" t="str">
        <f>IF('Phytopl Count'!S99=0,"",('Phytopl Analysis'!S99*LN('Phytopl Analysis'!S99)))</f>
        <v/>
      </c>
      <c r="T99" s="21" t="str">
        <f>IF('Phytopl Count'!T99=0,"",('Phytopl Analysis'!T99*LN('Phytopl Analysis'!T99)))</f>
        <v/>
      </c>
      <c r="U99" s="58" t="str">
        <f>IF('Phytopl Count'!U99=0,"",('Phytopl Analysis'!U99*LN('Phytopl Analysis'!U99)))</f>
        <v/>
      </c>
      <c r="V99" s="58" t="str">
        <f>IF('Phytopl Count'!V99=0,"",('Phytopl Analysis'!V99*LN('Phytopl Analysis'!V99)))</f>
        <v/>
      </c>
      <c r="W99" s="21" t="str">
        <f>IF('Phytopl Count'!W99=0,"",('Phytopl Analysis'!W99*LN('Phytopl Analysis'!W99)))</f>
        <v/>
      </c>
      <c r="X99" s="21" t="str">
        <f>IF('Phytopl Count'!X99=0,"",('Phytopl Analysis'!X99*LN('Phytopl Analysis'!X99)))</f>
        <v/>
      </c>
      <c r="Y99" s="58" t="str">
        <f>IF('Phytopl Count'!Y99=0,"",('Phytopl Analysis'!Y99*LN('Phytopl Analysis'!Y99)))</f>
        <v/>
      </c>
      <c r="Z99" s="58" t="str">
        <f>IF('Phytopl Count'!Z99=0,"",('Phytopl Analysis'!Z99*LN('Phytopl Analysis'!Z99)))</f>
        <v/>
      </c>
      <c r="AA99" s="21" t="str">
        <f>IF('Phytopl Count'!AA99=0,"",('Phytopl Analysis'!AA99*LN('Phytopl Analysis'!AA99)))</f>
        <v/>
      </c>
      <c r="AB99" s="21" t="str">
        <f>IF('Phytopl Count'!AB99=0,"",('Phytopl Analysis'!AB99*LN('Phytopl Analysis'!AB99)))</f>
        <v/>
      </c>
      <c r="AC99" s="58" t="str">
        <f>IF('Phytopl Count'!AC99=0,"",('Phytopl Analysis'!AC99*LN('Phytopl Analysis'!AC99)))</f>
        <v/>
      </c>
      <c r="AD99" s="58" t="str">
        <f>IF('Phytopl Count'!AD99=0,"",('Phytopl Analysis'!AD99*LN('Phytopl Analysis'!AD99)))</f>
        <v/>
      </c>
      <c r="AE99" s="21" t="str">
        <f>IF('Phytopl Count'!AE99=0,"",('Phytopl Analysis'!AE99*LN('Phytopl Analysis'!AE99)))</f>
        <v/>
      </c>
      <c r="AF99" s="58" t="str">
        <f>IF('Phytopl Count'!AF99=0,"",('Phytopl Analysis'!AF99*LN('Phytopl Analysis'!AF99)))</f>
        <v/>
      </c>
    </row>
    <row r="100" spans="1:32" hidden="1">
      <c r="A100" s="4"/>
      <c r="B100" s="4"/>
      <c r="C100" s="4"/>
      <c r="D100" s="10"/>
      <c r="E100" s="10" t="s">
        <v>6</v>
      </c>
      <c r="F100" s="11" t="s">
        <v>351</v>
      </c>
      <c r="G100" s="21" t="str">
        <f>IF('Phytopl Count'!G100=0,"",('Phytopl Analysis'!G100*LN('Phytopl Analysis'!G100)))</f>
        <v/>
      </c>
      <c r="H100" s="21" t="str">
        <f>IF('Phytopl Count'!H100=0,"",('Phytopl Analysis'!H100*LN('Phytopl Analysis'!H100)))</f>
        <v/>
      </c>
      <c r="I100" s="58" t="str">
        <f>IF('Phytopl Count'!I100=0,"",('Phytopl Analysis'!I100*LN('Phytopl Analysis'!I100)))</f>
        <v/>
      </c>
      <c r="J100" s="58" t="str">
        <f>IF('Phytopl Count'!J100=0,"",('Phytopl Analysis'!J100*LN('Phytopl Analysis'!J100)))</f>
        <v/>
      </c>
      <c r="K100" s="21" t="str">
        <f>IF('Phytopl Count'!K100=0,"",('Phytopl Analysis'!K100*LN('Phytopl Analysis'!K100)))</f>
        <v/>
      </c>
      <c r="L100" s="21" t="str">
        <f>IF('Phytopl Count'!L100=0,"",('Phytopl Analysis'!L100*LN('Phytopl Analysis'!L100)))</f>
        <v/>
      </c>
      <c r="M100" s="58" t="str">
        <f>IF('Phytopl Count'!M100=0,"",('Phytopl Analysis'!M100*LN('Phytopl Analysis'!M100)))</f>
        <v/>
      </c>
      <c r="N100" s="58" t="str">
        <f>IF('Phytopl Count'!N100=0,"",('Phytopl Analysis'!N100*LN('Phytopl Analysis'!N100)))</f>
        <v/>
      </c>
      <c r="O100" s="21" t="str">
        <f>IF('Phytopl Count'!O100=0,"",('Phytopl Analysis'!O100*LN('Phytopl Analysis'!O100)))</f>
        <v/>
      </c>
      <c r="P100" s="21" t="str">
        <f>IF('Phytopl Count'!P100=0,"",('Phytopl Analysis'!P100*LN('Phytopl Analysis'!P100)))</f>
        <v/>
      </c>
      <c r="Q100" s="58" t="str">
        <f>IF('Phytopl Count'!Q100=0,"",('Phytopl Analysis'!Q100*LN('Phytopl Analysis'!Q100)))</f>
        <v/>
      </c>
      <c r="R100" s="58" t="str">
        <f>IF('Phytopl Count'!R100=0,"",('Phytopl Analysis'!R100*LN('Phytopl Analysis'!R100)))</f>
        <v/>
      </c>
      <c r="S100" s="21" t="str">
        <f>IF('Phytopl Count'!S100=0,"",('Phytopl Analysis'!S100*LN('Phytopl Analysis'!S100)))</f>
        <v/>
      </c>
      <c r="T100" s="21" t="str">
        <f>IF('Phytopl Count'!T100=0,"",('Phytopl Analysis'!T100*LN('Phytopl Analysis'!T100)))</f>
        <v/>
      </c>
      <c r="U100" s="58" t="str">
        <f>IF('Phytopl Count'!U100=0,"",('Phytopl Analysis'!U100*LN('Phytopl Analysis'!U100)))</f>
        <v/>
      </c>
      <c r="V100" s="58" t="str">
        <f>IF('Phytopl Count'!V100=0,"",('Phytopl Analysis'!V100*LN('Phytopl Analysis'!V100)))</f>
        <v/>
      </c>
      <c r="W100" s="21" t="str">
        <f>IF('Phytopl Count'!W100=0,"",('Phytopl Analysis'!W100*LN('Phytopl Analysis'!W100)))</f>
        <v/>
      </c>
      <c r="X100" s="21" t="str">
        <f>IF('Phytopl Count'!X100=0,"",('Phytopl Analysis'!X100*LN('Phytopl Analysis'!X100)))</f>
        <v/>
      </c>
      <c r="Y100" s="58" t="str">
        <f>IF('Phytopl Count'!Y100=0,"",('Phytopl Analysis'!Y100*LN('Phytopl Analysis'!Y100)))</f>
        <v/>
      </c>
      <c r="Z100" s="58" t="str">
        <f>IF('Phytopl Count'!Z100=0,"",('Phytopl Analysis'!Z100*LN('Phytopl Analysis'!Z100)))</f>
        <v/>
      </c>
      <c r="AA100" s="21" t="str">
        <f>IF('Phytopl Count'!AA100=0,"",('Phytopl Analysis'!AA100*LN('Phytopl Analysis'!AA100)))</f>
        <v/>
      </c>
      <c r="AB100" s="21" t="str">
        <f>IF('Phytopl Count'!AB100=0,"",('Phytopl Analysis'!AB100*LN('Phytopl Analysis'!AB100)))</f>
        <v/>
      </c>
      <c r="AC100" s="58" t="str">
        <f>IF('Phytopl Count'!AC100=0,"",('Phytopl Analysis'!AC100*LN('Phytopl Analysis'!AC100)))</f>
        <v/>
      </c>
      <c r="AD100" s="58" t="str">
        <f>IF('Phytopl Count'!AD100=0,"",('Phytopl Analysis'!AD100*LN('Phytopl Analysis'!AD100)))</f>
        <v/>
      </c>
      <c r="AE100" s="21" t="str">
        <f>IF('Phytopl Count'!AE100=0,"",('Phytopl Analysis'!AE100*LN('Phytopl Analysis'!AE100)))</f>
        <v/>
      </c>
      <c r="AF100" s="58" t="str">
        <f>IF('Phytopl Count'!AF100=0,"",('Phytopl Analysis'!AF100*LN('Phytopl Analysis'!AF100)))</f>
        <v/>
      </c>
    </row>
    <row r="101" spans="1:32" hidden="1">
      <c r="A101" s="4"/>
      <c r="B101" s="4"/>
      <c r="C101" s="4"/>
      <c r="D101" s="5"/>
      <c r="F101" s="11" t="s">
        <v>25</v>
      </c>
      <c r="G101" s="21" t="str">
        <f>IF('Phytopl Count'!G101=0,"",('Phytopl Analysis'!G101*LN('Phytopl Analysis'!G101)))</f>
        <v/>
      </c>
      <c r="H101" s="21" t="str">
        <f>IF('Phytopl Count'!H101=0,"",('Phytopl Analysis'!H101*LN('Phytopl Analysis'!H101)))</f>
        <v/>
      </c>
      <c r="I101" s="58" t="str">
        <f>IF('Phytopl Count'!I101=0,"",('Phytopl Analysis'!I101*LN('Phytopl Analysis'!I101)))</f>
        <v/>
      </c>
      <c r="J101" s="58" t="str">
        <f>IF('Phytopl Count'!J101=0,"",('Phytopl Analysis'!J101*LN('Phytopl Analysis'!J101)))</f>
        <v/>
      </c>
      <c r="K101" s="21" t="str">
        <f>IF('Phytopl Count'!K101=0,"",('Phytopl Analysis'!K101*LN('Phytopl Analysis'!K101)))</f>
        <v/>
      </c>
      <c r="L101" s="21" t="str">
        <f>IF('Phytopl Count'!L101=0,"",('Phytopl Analysis'!L101*LN('Phytopl Analysis'!L101)))</f>
        <v/>
      </c>
      <c r="M101" s="58" t="str">
        <f>IF('Phytopl Count'!M101=0,"",('Phytopl Analysis'!M101*LN('Phytopl Analysis'!M101)))</f>
        <v/>
      </c>
      <c r="N101" s="58" t="str">
        <f>IF('Phytopl Count'!N101=0,"",('Phytopl Analysis'!N101*LN('Phytopl Analysis'!N101)))</f>
        <v/>
      </c>
      <c r="O101" s="21" t="str">
        <f>IF('Phytopl Count'!O101=0,"",('Phytopl Analysis'!O101*LN('Phytopl Analysis'!O101)))</f>
        <v/>
      </c>
      <c r="P101" s="21" t="str">
        <f>IF('Phytopl Count'!P101=0,"",('Phytopl Analysis'!P101*LN('Phytopl Analysis'!P101)))</f>
        <v/>
      </c>
      <c r="Q101" s="58" t="str">
        <f>IF('Phytopl Count'!Q101=0,"",('Phytopl Analysis'!Q101*LN('Phytopl Analysis'!Q101)))</f>
        <v/>
      </c>
      <c r="R101" s="58" t="str">
        <f>IF('Phytopl Count'!R101=0,"",('Phytopl Analysis'!R101*LN('Phytopl Analysis'!R101)))</f>
        <v/>
      </c>
      <c r="S101" s="21" t="str">
        <f>IF('Phytopl Count'!S101=0,"",('Phytopl Analysis'!S101*LN('Phytopl Analysis'!S101)))</f>
        <v/>
      </c>
      <c r="T101" s="21" t="str">
        <f>IF('Phytopl Count'!T101=0,"",('Phytopl Analysis'!T101*LN('Phytopl Analysis'!T101)))</f>
        <v/>
      </c>
      <c r="U101" s="58" t="str">
        <f>IF('Phytopl Count'!U101=0,"",('Phytopl Analysis'!U101*LN('Phytopl Analysis'!U101)))</f>
        <v/>
      </c>
      <c r="V101" s="58" t="str">
        <f>IF('Phytopl Count'!V101=0,"",('Phytopl Analysis'!V101*LN('Phytopl Analysis'!V101)))</f>
        <v/>
      </c>
      <c r="W101" s="21" t="str">
        <f>IF('Phytopl Count'!W101=0,"",('Phytopl Analysis'!W101*LN('Phytopl Analysis'!W101)))</f>
        <v/>
      </c>
      <c r="X101" s="21" t="str">
        <f>IF('Phytopl Count'!X101=0,"",('Phytopl Analysis'!X101*LN('Phytopl Analysis'!X101)))</f>
        <v/>
      </c>
      <c r="Y101" s="58" t="str">
        <f>IF('Phytopl Count'!Y101=0,"",('Phytopl Analysis'!Y101*LN('Phytopl Analysis'!Y101)))</f>
        <v/>
      </c>
      <c r="Z101" s="58" t="str">
        <f>IF('Phytopl Count'!Z101=0,"",('Phytopl Analysis'!Z101*LN('Phytopl Analysis'!Z101)))</f>
        <v/>
      </c>
      <c r="AA101" s="21" t="str">
        <f>IF('Phytopl Count'!AA101=0,"",('Phytopl Analysis'!AA101*LN('Phytopl Analysis'!AA101)))</f>
        <v/>
      </c>
      <c r="AB101" s="21" t="str">
        <f>IF('Phytopl Count'!AB101=0,"",('Phytopl Analysis'!AB101*LN('Phytopl Analysis'!AB101)))</f>
        <v/>
      </c>
      <c r="AC101" s="58" t="str">
        <f>IF('Phytopl Count'!AC101=0,"",('Phytopl Analysis'!AC101*LN('Phytopl Analysis'!AC101)))</f>
        <v/>
      </c>
      <c r="AD101" s="58" t="str">
        <f>IF('Phytopl Count'!AD101=0,"",('Phytopl Analysis'!AD101*LN('Phytopl Analysis'!AD101)))</f>
        <v/>
      </c>
      <c r="AE101" s="21" t="str">
        <f>IF('Phytopl Count'!AE101=0,"",('Phytopl Analysis'!AE101*LN('Phytopl Analysis'!AE101)))</f>
        <v/>
      </c>
      <c r="AF101" s="58" t="str">
        <f>IF('Phytopl Count'!AF101=0,"",('Phytopl Analysis'!AF101*LN('Phytopl Analysis'!AF101)))</f>
        <v/>
      </c>
    </row>
    <row r="102" spans="1:32">
      <c r="A102" s="4"/>
      <c r="B102" s="4"/>
      <c r="C102" s="16" t="s">
        <v>73</v>
      </c>
      <c r="D102" s="4" t="s">
        <v>81</v>
      </c>
      <c r="E102" s="10"/>
      <c r="F102" s="11"/>
      <c r="G102" s="21" t="str">
        <f>IF('Phytopl Count'!G102=0,"",('Phytopl Analysis'!G102*LN('Phytopl Analysis'!G102)))</f>
        <v/>
      </c>
      <c r="H102" s="21" t="str">
        <f>IF('Phytopl Count'!H102=0,"",('Phytopl Analysis'!H102*LN('Phytopl Analysis'!H102)))</f>
        <v/>
      </c>
      <c r="I102" s="58" t="str">
        <f>IF('Phytopl Count'!I102=0,"",('Phytopl Analysis'!I102*LN('Phytopl Analysis'!I102)))</f>
        <v/>
      </c>
      <c r="J102" s="58" t="str">
        <f>IF('Phytopl Count'!J102=0,"",('Phytopl Analysis'!J102*LN('Phytopl Analysis'!J102)))</f>
        <v/>
      </c>
      <c r="K102" s="21" t="str">
        <f>IF('Phytopl Count'!K102=0,"",('Phytopl Analysis'!K102*LN('Phytopl Analysis'!K102)))</f>
        <v/>
      </c>
      <c r="L102" s="21" t="str">
        <f>IF('Phytopl Count'!L102=0,"",('Phytopl Analysis'!L102*LN('Phytopl Analysis'!L102)))</f>
        <v/>
      </c>
      <c r="M102" s="58" t="str">
        <f>IF('Phytopl Count'!M102=0,"",('Phytopl Analysis'!M102*LN('Phytopl Analysis'!M102)))</f>
        <v/>
      </c>
      <c r="N102" s="58" t="str">
        <f>IF('Phytopl Count'!N102=0,"",('Phytopl Analysis'!N102*LN('Phytopl Analysis'!N102)))</f>
        <v/>
      </c>
      <c r="O102" s="21" t="str">
        <f>IF('Phytopl Count'!O102=0,"",('Phytopl Analysis'!O102*LN('Phytopl Analysis'!O102)))</f>
        <v/>
      </c>
      <c r="P102" s="21" t="str">
        <f>IF('Phytopl Count'!P102=0,"",('Phytopl Analysis'!P102*LN('Phytopl Analysis'!P102)))</f>
        <v/>
      </c>
      <c r="Q102" s="58" t="str">
        <f>IF('Phytopl Count'!Q102=0,"",('Phytopl Analysis'!Q102*LN('Phytopl Analysis'!Q102)))</f>
        <v/>
      </c>
      <c r="R102" s="58" t="str">
        <f>IF('Phytopl Count'!R102=0,"",('Phytopl Analysis'!R102*LN('Phytopl Analysis'!R102)))</f>
        <v/>
      </c>
      <c r="S102" s="21" t="str">
        <f>IF('Phytopl Count'!S102=0,"",('Phytopl Analysis'!S102*LN('Phytopl Analysis'!S102)))</f>
        <v/>
      </c>
      <c r="T102" s="21" t="str">
        <f>IF('Phytopl Count'!T102=0,"",('Phytopl Analysis'!T102*LN('Phytopl Analysis'!T102)))</f>
        <v/>
      </c>
      <c r="U102" s="58" t="str">
        <f>IF('Phytopl Count'!U102=0,"",('Phytopl Analysis'!U102*LN('Phytopl Analysis'!U102)))</f>
        <v/>
      </c>
      <c r="V102" s="58" t="str">
        <f>IF('Phytopl Count'!V102=0,"",('Phytopl Analysis'!V102*LN('Phytopl Analysis'!V102)))</f>
        <v/>
      </c>
      <c r="W102" s="21" t="str">
        <f>IF('Phytopl Count'!W102=0,"",('Phytopl Analysis'!W102*LN('Phytopl Analysis'!W102)))</f>
        <v/>
      </c>
      <c r="X102" s="21" t="str">
        <f>IF('Phytopl Count'!X102=0,"",('Phytopl Analysis'!X102*LN('Phytopl Analysis'!X102)))</f>
        <v/>
      </c>
      <c r="Y102" s="58" t="str">
        <f>IF('Phytopl Count'!Y102=0,"",('Phytopl Analysis'!Y102*LN('Phytopl Analysis'!Y102)))</f>
        <v/>
      </c>
      <c r="Z102" s="58" t="str">
        <f>IF('Phytopl Count'!Z102=0,"",('Phytopl Analysis'!Z102*LN('Phytopl Analysis'!Z102)))</f>
        <v/>
      </c>
      <c r="AA102" s="21" t="str">
        <f>IF('Phytopl Count'!AA102=0,"",('Phytopl Analysis'!AA102*LN('Phytopl Analysis'!AA102)))</f>
        <v/>
      </c>
      <c r="AB102" s="21" t="str">
        <f>IF('Phytopl Count'!AB102=0,"",('Phytopl Analysis'!AB102*LN('Phytopl Analysis'!AB102)))</f>
        <v/>
      </c>
      <c r="AC102" s="58" t="str">
        <f>IF('Phytopl Count'!AC102=0,"",('Phytopl Analysis'!AC102*LN('Phytopl Analysis'!AC102)))</f>
        <v/>
      </c>
      <c r="AD102" s="58" t="str">
        <f>IF('Phytopl Count'!AD102=0,"",('Phytopl Analysis'!AD102*LN('Phytopl Analysis'!AD102)))</f>
        <v/>
      </c>
      <c r="AE102" s="21" t="str">
        <f>IF('Phytopl Count'!AE102=0,"",('Phytopl Analysis'!AE102*LN('Phytopl Analysis'!AE102)))</f>
        <v/>
      </c>
      <c r="AF102" s="58" t="str">
        <f>IF('Phytopl Count'!AF102=0,"",('Phytopl Analysis'!AF102*LN('Phytopl Analysis'!AF102)))</f>
        <v/>
      </c>
    </row>
    <row r="103" spans="1:32">
      <c r="A103" s="4"/>
      <c r="B103" s="4"/>
      <c r="C103" s="4"/>
      <c r="D103" s="10" t="s">
        <v>5</v>
      </c>
      <c r="E103" s="12" t="s">
        <v>26</v>
      </c>
      <c r="F103" s="11"/>
      <c r="G103" s="21" t="str">
        <f>IF('Phytopl Count'!G103=0,"",('Phytopl Analysis'!G103*LN('Phytopl Analysis'!G103)))</f>
        <v/>
      </c>
      <c r="H103" s="21" t="str">
        <f>IF('Phytopl Count'!H103=0,"",('Phytopl Analysis'!H103*LN('Phytopl Analysis'!H103)))</f>
        <v/>
      </c>
      <c r="I103" s="58" t="str">
        <f>IF('Phytopl Count'!I103=0,"",('Phytopl Analysis'!I103*LN('Phytopl Analysis'!I103)))</f>
        <v/>
      </c>
      <c r="J103" s="58" t="str">
        <f>IF('Phytopl Count'!J103=0,"",('Phytopl Analysis'!J103*LN('Phytopl Analysis'!J103)))</f>
        <v/>
      </c>
      <c r="K103" s="21" t="str">
        <f>IF('Phytopl Count'!K103=0,"",('Phytopl Analysis'!K103*LN('Phytopl Analysis'!K103)))</f>
        <v/>
      </c>
      <c r="L103" s="21" t="str">
        <f>IF('Phytopl Count'!L103=0,"",('Phytopl Analysis'!L103*LN('Phytopl Analysis'!L103)))</f>
        <v/>
      </c>
      <c r="M103" s="58" t="str">
        <f>IF('Phytopl Count'!M103=0,"",('Phytopl Analysis'!M103*LN('Phytopl Analysis'!M103)))</f>
        <v/>
      </c>
      <c r="N103" s="58" t="str">
        <f>IF('Phytopl Count'!N103=0,"",('Phytopl Analysis'!N103*LN('Phytopl Analysis'!N103)))</f>
        <v/>
      </c>
      <c r="O103" s="21" t="str">
        <f>IF('Phytopl Count'!O103=0,"",('Phytopl Analysis'!O103*LN('Phytopl Analysis'!O103)))</f>
        <v/>
      </c>
      <c r="P103" s="21" t="str">
        <f>IF('Phytopl Count'!P103=0,"",('Phytopl Analysis'!P103*LN('Phytopl Analysis'!P103)))</f>
        <v/>
      </c>
      <c r="Q103" s="58" t="str">
        <f>IF('Phytopl Count'!Q103=0,"",('Phytopl Analysis'!Q103*LN('Phytopl Analysis'!Q103)))</f>
        <v/>
      </c>
      <c r="R103" s="58" t="str">
        <f>IF('Phytopl Count'!R103=0,"",('Phytopl Analysis'!R103*LN('Phytopl Analysis'!R103)))</f>
        <v/>
      </c>
      <c r="S103" s="21" t="str">
        <f>IF('Phytopl Count'!S103=0,"",('Phytopl Analysis'!S103*LN('Phytopl Analysis'!S103)))</f>
        <v/>
      </c>
      <c r="T103" s="21" t="str">
        <f>IF('Phytopl Count'!T103=0,"",('Phytopl Analysis'!T103*LN('Phytopl Analysis'!T103)))</f>
        <v/>
      </c>
      <c r="U103" s="58" t="str">
        <f>IF('Phytopl Count'!U103=0,"",('Phytopl Analysis'!U103*LN('Phytopl Analysis'!U103)))</f>
        <v/>
      </c>
      <c r="V103" s="58" t="str">
        <f>IF('Phytopl Count'!V103=0,"",('Phytopl Analysis'!V103*LN('Phytopl Analysis'!V103)))</f>
        <v/>
      </c>
      <c r="W103" s="21" t="str">
        <f>IF('Phytopl Count'!W103=0,"",('Phytopl Analysis'!W103*LN('Phytopl Analysis'!W103)))</f>
        <v/>
      </c>
      <c r="X103" s="21" t="str">
        <f>IF('Phytopl Count'!X103=0,"",('Phytopl Analysis'!X103*LN('Phytopl Analysis'!X103)))</f>
        <v/>
      </c>
      <c r="Y103" s="58" t="str">
        <f>IF('Phytopl Count'!Y103=0,"",('Phytopl Analysis'!Y103*LN('Phytopl Analysis'!Y103)))</f>
        <v/>
      </c>
      <c r="Z103" s="58" t="str">
        <f>IF('Phytopl Count'!Z103=0,"",('Phytopl Analysis'!Z103*LN('Phytopl Analysis'!Z103)))</f>
        <v/>
      </c>
      <c r="AA103" s="21" t="str">
        <f>IF('Phytopl Count'!AA103=0,"",('Phytopl Analysis'!AA103*LN('Phytopl Analysis'!AA103)))</f>
        <v/>
      </c>
      <c r="AB103" s="21" t="str">
        <f>IF('Phytopl Count'!AB103=0,"",('Phytopl Analysis'!AB103*LN('Phytopl Analysis'!AB103)))</f>
        <v/>
      </c>
      <c r="AC103" s="58" t="str">
        <f>IF('Phytopl Count'!AC103=0,"",('Phytopl Analysis'!AC103*LN('Phytopl Analysis'!AC103)))</f>
        <v/>
      </c>
      <c r="AD103" s="58" t="str">
        <f>IF('Phytopl Count'!AD103=0,"",('Phytopl Analysis'!AD103*LN('Phytopl Analysis'!AD103)))</f>
        <v/>
      </c>
      <c r="AE103" s="21" t="str">
        <f>IF('Phytopl Count'!AE103=0,"",('Phytopl Analysis'!AE103*LN('Phytopl Analysis'!AE103)))</f>
        <v/>
      </c>
      <c r="AF103" s="58" t="str">
        <f>IF('Phytopl Count'!AF103=0,"",('Phytopl Analysis'!AF103*LN('Phytopl Analysis'!AF103)))</f>
        <v/>
      </c>
    </row>
    <row r="104" spans="1:32">
      <c r="A104" s="4"/>
      <c r="B104" s="4"/>
      <c r="C104" s="4"/>
      <c r="D104" s="5"/>
      <c r="E104" s="10" t="s">
        <v>6</v>
      </c>
      <c r="F104" s="11" t="s">
        <v>27</v>
      </c>
      <c r="G104" s="21">
        <f>IF('Phytopl Count'!G104=0,"",('Phytopl Analysis'!G104*LN('Phytopl Analysis'!G104)))</f>
        <v>0.60088223429499454</v>
      </c>
      <c r="H104" s="21">
        <f>IF('Phytopl Count'!H104=0,"",('Phytopl Analysis'!H104*LN('Phytopl Analysis'!H104)))</f>
        <v>0.33762125082984806</v>
      </c>
      <c r="I104" s="58">
        <f>IF('Phytopl Count'!I104=0,"",('Phytopl Analysis'!I104*LN('Phytopl Analysis'!I104)))</f>
        <v>-0.35650473658061005</v>
      </c>
      <c r="J104" s="58">
        <f>IF('Phytopl Count'!J104=0,"",('Phytopl Analysis'!J104*LN('Phytopl Analysis'!J104)))</f>
        <v>0.47288511652300791</v>
      </c>
      <c r="K104" s="21">
        <f>IF('Phytopl Count'!K104=0,"",('Phytopl Analysis'!K104*LN('Phytopl Analysis'!K104)))</f>
        <v>-6.8506262586361208E-2</v>
      </c>
      <c r="L104" s="21">
        <f>IF('Phytopl Count'!L104=0,"",('Phytopl Analysis'!L104*LN('Phytopl Analysis'!L104)))</f>
        <v>-0.29395986231743093</v>
      </c>
      <c r="M104" s="58">
        <f>IF('Phytopl Count'!M104=0,"",('Phytopl Analysis'!M104*LN('Phytopl Analysis'!M104)))</f>
        <v>4.1843248361341512E-2</v>
      </c>
      <c r="N104" s="58">
        <f>IF('Phytopl Count'!N104=0,"",('Phytopl Analysis'!N104*LN('Phytopl Analysis'!N104)))</f>
        <v>0.66136293156760706</v>
      </c>
      <c r="O104" s="21">
        <f>IF('Phytopl Count'!O104=0,"",('Phytopl Analysis'!O104*LN('Phytopl Analysis'!O104)))</f>
        <v>-0.20217432326410978</v>
      </c>
      <c r="P104" s="21">
        <f>IF('Phytopl Count'!P104=0,"",('Phytopl Analysis'!P104*LN('Phytopl Analysis'!P104)))</f>
        <v>9.2913347262668575E-2</v>
      </c>
      <c r="Q104" s="58">
        <f>IF('Phytopl Count'!Q104=0,"",('Phytopl Analysis'!Q104*LN('Phytopl Analysis'!Q104)))</f>
        <v>-0.23605144538335684</v>
      </c>
      <c r="R104" s="58">
        <f>IF('Phytopl Count'!R104=0,"",('Phytopl Analysis'!R104*LN('Phytopl Analysis'!R104)))</f>
        <v>-0.17790883345159178</v>
      </c>
      <c r="S104" s="21">
        <f>IF('Phytopl Count'!S104=0,"",('Phytopl Analysis'!S104*LN('Phytopl Analysis'!S104)))</f>
        <v>-0.36751505615601154</v>
      </c>
      <c r="T104" s="21">
        <f>IF('Phytopl Count'!T104=0,"",('Phytopl Analysis'!T104*LN('Phytopl Analysis'!T104)))</f>
        <v>-8.3201846047961089E-2</v>
      </c>
      <c r="U104" s="58">
        <f>IF('Phytopl Count'!U104=0,"",('Phytopl Analysis'!U104*LN('Phytopl Analysis'!U104)))</f>
        <v>0.57109734104190424</v>
      </c>
      <c r="V104" s="58">
        <f>IF('Phytopl Count'!V104=0,"",('Phytopl Analysis'!V104*LN('Phytopl Analysis'!V104)))</f>
        <v>0.26820699276759402</v>
      </c>
      <c r="W104" s="21">
        <f>IF('Phytopl Count'!W104=0,"",('Phytopl Analysis'!W104*LN('Phytopl Analysis'!W104)))</f>
        <v>-0.20217432326410978</v>
      </c>
      <c r="X104" s="21">
        <f>IF('Phytopl Count'!X104=0,"",('Phytopl Analysis'!X104*LN('Phytopl Analysis'!X104)))</f>
        <v>0.39905148634856991</v>
      </c>
      <c r="Y104" s="58">
        <f>IF('Phytopl Count'!Y104=0,"",('Phytopl Analysis'!Y104*LN('Phytopl Analysis'!Y104)))</f>
        <v>-0.31749709307010821</v>
      </c>
      <c r="Z104" s="58">
        <f>IF('Phytopl Count'!Z104=0,"",('Phytopl Analysis'!Z104*LN('Phytopl Analysis'!Z104)))</f>
        <v>-0.23062211944736413</v>
      </c>
      <c r="AA104" s="21">
        <f>IF('Phytopl Count'!AA104=0,"",('Phytopl Analysis'!AA104*LN('Phytopl Analysis'!AA104)))</f>
        <v>9.2913347262668575E-2</v>
      </c>
      <c r="AB104" s="21">
        <f>IF('Phytopl Count'!AB104=0,"",('Phytopl Analysis'!AB104*LN('Phytopl Analysis'!AB104)))</f>
        <v>-0.28527810760952094</v>
      </c>
      <c r="AC104" s="58">
        <f>IF('Phytopl Count'!AC104=0,"",('Phytopl Analysis'!AC104*LN('Phytopl Analysis'!AC104)))</f>
        <v>-3.8291342807766117E-2</v>
      </c>
      <c r="AD104" s="58">
        <f>IF('Phytopl Count'!AD104=0,"",('Phytopl Analysis'!AD104*LN('Phytopl Analysis'!AD104)))</f>
        <v>0.52700171369812365</v>
      </c>
      <c r="AE104" s="21">
        <f>IF('Phytopl Count'!AE104=0,"",('Phytopl Analysis'!AE104*LN('Phytopl Analysis'!AE104)))</f>
        <v>-0.18409736788190742</v>
      </c>
      <c r="AF104" s="58">
        <f>IF('Phytopl Count'!AF104=0,"",('Phytopl Analysis'!AF104*LN('Phytopl Analysis'!AF104)))</f>
        <v>3.8681049285037896</v>
      </c>
    </row>
    <row r="105" spans="1:32">
      <c r="A105" s="4"/>
      <c r="B105" s="4"/>
      <c r="C105" s="4"/>
      <c r="D105" s="5"/>
      <c r="E105" s="12"/>
      <c r="F105" s="11" t="s">
        <v>28</v>
      </c>
      <c r="G105" s="21">
        <f>IF('Phytopl Count'!G105=0,"",('Phytopl Analysis'!G105*LN('Phytopl Analysis'!G105)))</f>
        <v>-0.13467461112101523</v>
      </c>
      <c r="H105" s="21" t="str">
        <f>IF('Phytopl Count'!H105=0,"",('Phytopl Analysis'!H105*LN('Phytopl Analysis'!H105)))</f>
        <v/>
      </c>
      <c r="I105" s="58" t="str">
        <f>IF('Phytopl Count'!I105=0,"",('Phytopl Analysis'!I105*LN('Phytopl Analysis'!I105)))</f>
        <v/>
      </c>
      <c r="J105" s="58">
        <f>IF('Phytopl Count'!J105=0,"",('Phytopl Analysis'!J105*LN('Phytopl Analysis'!J105)))</f>
        <v>-0.12884150444391032</v>
      </c>
      <c r="K105" s="21">
        <f>IF('Phytopl Count'!K105=0,"",('Phytopl Analysis'!K105*LN('Phytopl Analysis'!K105)))</f>
        <v>-0.22509271130098124</v>
      </c>
      <c r="L105" s="21">
        <f>IF('Phytopl Count'!L105=0,"",('Phytopl Analysis'!L105*LN('Phytopl Analysis'!L105)))</f>
        <v>-8.9576664640739892E-2</v>
      </c>
      <c r="M105" s="58" t="str">
        <f>IF('Phytopl Count'!M105=0,"",('Phytopl Analysis'!M105*LN('Phytopl Analysis'!M105)))</f>
        <v/>
      </c>
      <c r="N105" s="58">
        <f>IF('Phytopl Count'!N105=0,"",('Phytopl Analysis'!N105*LN('Phytopl Analysis'!N105)))</f>
        <v>-0.1458498424659852</v>
      </c>
      <c r="O105" s="21" t="str">
        <f>IF('Phytopl Count'!O105=0,"",('Phytopl Analysis'!O105*LN('Phytopl Analysis'!O105)))</f>
        <v/>
      </c>
      <c r="P105" s="21">
        <f>IF('Phytopl Count'!P105=0,"",('Phytopl Analysis'!P105*LN('Phytopl Analysis'!P105)))</f>
        <v>-0.17603686210775515</v>
      </c>
      <c r="Q105" s="58">
        <f>IF('Phytopl Count'!Q105=0,"",('Phytopl Analysis'!Q105*LN('Phytopl Analysis'!Q105)))</f>
        <v>-0.12884150444391032</v>
      </c>
      <c r="R105" s="58">
        <f>IF('Phytopl Count'!R105=0,"",('Phytopl Analysis'!R105*LN('Phytopl Analysis'!R105)))</f>
        <v>-0.17603686210775515</v>
      </c>
      <c r="S105" s="21" t="str">
        <f>IF('Phytopl Count'!S105=0,"",('Phytopl Analysis'!S105*LN('Phytopl Analysis'!S105)))</f>
        <v/>
      </c>
      <c r="T105" s="21">
        <f>IF('Phytopl Count'!T105=0,"",('Phytopl Analysis'!T105*LN('Phytopl Analysis'!T105)))</f>
        <v>-0.22509271130098124</v>
      </c>
      <c r="U105" s="58">
        <f>IF('Phytopl Count'!U105=0,"",('Phytopl Analysis'!U105*LN('Phytopl Analysis'!U105)))</f>
        <v>-0.29334277233901074</v>
      </c>
      <c r="V105" s="58">
        <f>IF('Phytopl Count'!V105=0,"",('Phytopl Analysis'!V105*LN('Phytopl Analysis'!V105)))</f>
        <v>-0.20217719752866301</v>
      </c>
      <c r="W105" s="21">
        <f>IF('Phytopl Count'!W105=0,"",('Phytopl Analysis'!W105*LN('Phytopl Analysis'!W105)))</f>
        <v>-0.22509271130098124</v>
      </c>
      <c r="X105" s="21">
        <f>IF('Phytopl Count'!X105=0,"",('Phytopl Analysis'!X105*LN('Phytopl Analysis'!X105)))</f>
        <v>-0.29334277233901074</v>
      </c>
      <c r="Y105" s="58">
        <f>IF('Phytopl Count'!Y105=0,"",('Phytopl Analysis'!Y105*LN('Phytopl Analysis'!Y105)))</f>
        <v>-8.9576664640739892E-2</v>
      </c>
      <c r="Z105" s="58" t="str">
        <f>IF('Phytopl Count'!Z105=0,"",('Phytopl Analysis'!Z105*LN('Phytopl Analysis'!Z105)))</f>
        <v/>
      </c>
      <c r="AA105" s="21">
        <f>IF('Phytopl Count'!AA105=0,"",('Phytopl Analysis'!AA105*LN('Phytopl Analysis'!AA105)))</f>
        <v>-0.26326442604085809</v>
      </c>
      <c r="AB105" s="21">
        <f>IF('Phytopl Count'!AB105=0,"",('Phytopl Analysis'!AB105*LN('Phytopl Analysis'!AB105)))</f>
        <v>-0.12884150444391032</v>
      </c>
      <c r="AC105" s="58">
        <f>IF('Phytopl Count'!AC105=0,"",('Phytopl Analysis'!AC105*LN('Phytopl Analysis'!AC105)))</f>
        <v>-0.11022075559754062</v>
      </c>
      <c r="AD105" s="58">
        <f>IF('Phytopl Count'!AD105=0,"",('Phytopl Analysis'!AD105*LN('Phytopl Analysis'!AD105)))</f>
        <v>-0.22509271130098124</v>
      </c>
      <c r="AE105" s="21">
        <f>IF('Phytopl Count'!AE105=0,"",('Phytopl Analysis'!AE105*LN('Phytopl Analysis'!AE105)))</f>
        <v>-0.1458498424659852</v>
      </c>
      <c r="AF105" s="58">
        <f>IF('Phytopl Count'!AF105=0,"",('Phytopl Analysis'!AF105*LN('Phytopl Analysis'!AF105)))</f>
        <v>-0.3489102557324118</v>
      </c>
    </row>
    <row r="106" spans="1:32" hidden="1">
      <c r="A106" s="4"/>
      <c r="B106" s="4"/>
      <c r="C106" s="4"/>
      <c r="D106" s="5"/>
      <c r="E106" s="12"/>
      <c r="F106" s="11" t="s">
        <v>402</v>
      </c>
      <c r="G106" s="21" t="str">
        <f>IF('Phytopl Count'!G106=0,"",('Phytopl Analysis'!G106*LN('Phytopl Analysis'!G106)))</f>
        <v/>
      </c>
      <c r="H106" s="21" t="str">
        <f>IF('Phytopl Count'!H106=0,"",('Phytopl Analysis'!H106*LN('Phytopl Analysis'!H106)))</f>
        <v/>
      </c>
      <c r="I106" s="58" t="str">
        <f>IF('Phytopl Count'!I106=0,"",('Phytopl Analysis'!I106*LN('Phytopl Analysis'!I106)))</f>
        <v/>
      </c>
      <c r="J106" s="58" t="str">
        <f>IF('Phytopl Count'!J106=0,"",('Phytopl Analysis'!J106*LN('Phytopl Analysis'!J106)))</f>
        <v/>
      </c>
      <c r="K106" s="21" t="str">
        <f>IF('Phytopl Count'!K106=0,"",('Phytopl Analysis'!K106*LN('Phytopl Analysis'!K106)))</f>
        <v/>
      </c>
      <c r="L106" s="21" t="str">
        <f>IF('Phytopl Count'!L106=0,"",('Phytopl Analysis'!L106*LN('Phytopl Analysis'!L106)))</f>
        <v/>
      </c>
      <c r="M106" s="58" t="str">
        <f>IF('Phytopl Count'!M106=0,"",('Phytopl Analysis'!M106*LN('Phytopl Analysis'!M106)))</f>
        <v/>
      </c>
      <c r="N106" s="58" t="str">
        <f>IF('Phytopl Count'!N106=0,"",('Phytopl Analysis'!N106*LN('Phytopl Analysis'!N106)))</f>
        <v/>
      </c>
      <c r="O106" s="21" t="str">
        <f>IF('Phytopl Count'!O106=0,"",('Phytopl Analysis'!O106*LN('Phytopl Analysis'!O106)))</f>
        <v/>
      </c>
      <c r="P106" s="21" t="str">
        <f>IF('Phytopl Count'!P106=0,"",('Phytopl Analysis'!P106*LN('Phytopl Analysis'!P106)))</f>
        <v/>
      </c>
      <c r="Q106" s="58" t="str">
        <f>IF('Phytopl Count'!Q106=0,"",('Phytopl Analysis'!Q106*LN('Phytopl Analysis'!Q106)))</f>
        <v/>
      </c>
      <c r="R106" s="58" t="str">
        <f>IF('Phytopl Count'!R106=0,"",('Phytopl Analysis'!R106*LN('Phytopl Analysis'!R106)))</f>
        <v/>
      </c>
      <c r="S106" s="21" t="str">
        <f>IF('Phytopl Count'!S106=0,"",('Phytopl Analysis'!S106*LN('Phytopl Analysis'!S106)))</f>
        <v/>
      </c>
      <c r="T106" s="21" t="str">
        <f>IF('Phytopl Count'!T106=0,"",('Phytopl Analysis'!T106*LN('Phytopl Analysis'!T106)))</f>
        <v/>
      </c>
      <c r="U106" s="58" t="str">
        <f>IF('Phytopl Count'!U106=0,"",('Phytopl Analysis'!U106*LN('Phytopl Analysis'!U106)))</f>
        <v/>
      </c>
      <c r="V106" s="58" t="str">
        <f>IF('Phytopl Count'!V106=0,"",('Phytopl Analysis'!V106*LN('Phytopl Analysis'!V106)))</f>
        <v/>
      </c>
      <c r="W106" s="21" t="str">
        <f>IF('Phytopl Count'!W106=0,"",('Phytopl Analysis'!W106*LN('Phytopl Analysis'!W106)))</f>
        <v/>
      </c>
      <c r="X106" s="21" t="str">
        <f>IF('Phytopl Count'!X106=0,"",('Phytopl Analysis'!X106*LN('Phytopl Analysis'!X106)))</f>
        <v/>
      </c>
      <c r="Y106" s="58" t="str">
        <f>IF('Phytopl Count'!Y106=0,"",('Phytopl Analysis'!Y106*LN('Phytopl Analysis'!Y106)))</f>
        <v/>
      </c>
      <c r="Z106" s="58" t="str">
        <f>IF('Phytopl Count'!Z106=0,"",('Phytopl Analysis'!Z106*LN('Phytopl Analysis'!Z106)))</f>
        <v/>
      </c>
      <c r="AA106" s="21" t="str">
        <f>IF('Phytopl Count'!AA106=0,"",('Phytopl Analysis'!AA106*LN('Phytopl Analysis'!AA106)))</f>
        <v/>
      </c>
      <c r="AB106" s="21" t="str">
        <f>IF('Phytopl Count'!AB106=0,"",('Phytopl Analysis'!AB106*LN('Phytopl Analysis'!AB106)))</f>
        <v/>
      </c>
      <c r="AC106" s="58" t="str">
        <f>IF('Phytopl Count'!AC106=0,"",('Phytopl Analysis'!AC106*LN('Phytopl Analysis'!AC106)))</f>
        <v/>
      </c>
      <c r="AD106" s="58" t="str">
        <f>IF('Phytopl Count'!AD106=0,"",('Phytopl Analysis'!AD106*LN('Phytopl Analysis'!AD106)))</f>
        <v/>
      </c>
      <c r="AE106" s="21" t="str">
        <f>IF('Phytopl Count'!AE106=0,"",('Phytopl Analysis'!AE106*LN('Phytopl Analysis'!AE106)))</f>
        <v/>
      </c>
      <c r="AF106" s="58" t="str">
        <f>IF('Phytopl Count'!AF106=0,"",('Phytopl Analysis'!AF106*LN('Phytopl Analysis'!AF106)))</f>
        <v/>
      </c>
    </row>
    <row r="107" spans="1:32" hidden="1">
      <c r="A107" s="4"/>
      <c r="B107" s="4"/>
      <c r="C107" s="16" t="s">
        <v>73</v>
      </c>
      <c r="D107" s="4" t="s">
        <v>109</v>
      </c>
      <c r="E107" s="10"/>
      <c r="F107" s="11"/>
      <c r="G107" s="21" t="str">
        <f>IF('Phytopl Count'!G107=0,"",('Phytopl Analysis'!G107*LN('Phytopl Analysis'!G107)))</f>
        <v/>
      </c>
      <c r="H107" s="21" t="str">
        <f>IF('Phytopl Count'!H107=0,"",('Phytopl Analysis'!H107*LN('Phytopl Analysis'!H107)))</f>
        <v/>
      </c>
      <c r="I107" s="58" t="str">
        <f>IF('Phytopl Count'!I107=0,"",('Phytopl Analysis'!I107*LN('Phytopl Analysis'!I107)))</f>
        <v/>
      </c>
      <c r="J107" s="58" t="str">
        <f>IF('Phytopl Count'!J107=0,"",('Phytopl Analysis'!J107*LN('Phytopl Analysis'!J107)))</f>
        <v/>
      </c>
      <c r="K107" s="21" t="str">
        <f>IF('Phytopl Count'!K107=0,"",('Phytopl Analysis'!K107*LN('Phytopl Analysis'!K107)))</f>
        <v/>
      </c>
      <c r="L107" s="21" t="str">
        <f>IF('Phytopl Count'!L107=0,"",('Phytopl Analysis'!L107*LN('Phytopl Analysis'!L107)))</f>
        <v/>
      </c>
      <c r="M107" s="58" t="str">
        <f>IF('Phytopl Count'!M107=0,"",('Phytopl Analysis'!M107*LN('Phytopl Analysis'!M107)))</f>
        <v/>
      </c>
      <c r="N107" s="58" t="str">
        <f>IF('Phytopl Count'!N107=0,"",('Phytopl Analysis'!N107*LN('Phytopl Analysis'!N107)))</f>
        <v/>
      </c>
      <c r="O107" s="21" t="str">
        <f>IF('Phytopl Count'!O107=0,"",('Phytopl Analysis'!O107*LN('Phytopl Analysis'!O107)))</f>
        <v/>
      </c>
      <c r="P107" s="21" t="str">
        <f>IF('Phytopl Count'!P107=0,"",('Phytopl Analysis'!P107*LN('Phytopl Analysis'!P107)))</f>
        <v/>
      </c>
      <c r="Q107" s="58" t="str">
        <f>IF('Phytopl Count'!Q107=0,"",('Phytopl Analysis'!Q107*LN('Phytopl Analysis'!Q107)))</f>
        <v/>
      </c>
      <c r="R107" s="58" t="str">
        <f>IF('Phytopl Count'!R107=0,"",('Phytopl Analysis'!R107*LN('Phytopl Analysis'!R107)))</f>
        <v/>
      </c>
      <c r="S107" s="21" t="str">
        <f>IF('Phytopl Count'!S107=0,"",('Phytopl Analysis'!S107*LN('Phytopl Analysis'!S107)))</f>
        <v/>
      </c>
      <c r="T107" s="21" t="str">
        <f>IF('Phytopl Count'!T107=0,"",('Phytopl Analysis'!T107*LN('Phytopl Analysis'!T107)))</f>
        <v/>
      </c>
      <c r="U107" s="58" t="str">
        <f>IF('Phytopl Count'!U107=0,"",('Phytopl Analysis'!U107*LN('Phytopl Analysis'!U107)))</f>
        <v/>
      </c>
      <c r="V107" s="58" t="str">
        <f>IF('Phytopl Count'!V107=0,"",('Phytopl Analysis'!V107*LN('Phytopl Analysis'!V107)))</f>
        <v/>
      </c>
      <c r="W107" s="21" t="str">
        <f>IF('Phytopl Count'!W107=0,"",('Phytopl Analysis'!W107*LN('Phytopl Analysis'!W107)))</f>
        <v/>
      </c>
      <c r="X107" s="21" t="str">
        <f>IF('Phytopl Count'!X107=0,"",('Phytopl Analysis'!X107*LN('Phytopl Analysis'!X107)))</f>
        <v/>
      </c>
      <c r="Y107" s="58" t="str">
        <f>IF('Phytopl Count'!Y107=0,"",('Phytopl Analysis'!Y107*LN('Phytopl Analysis'!Y107)))</f>
        <v/>
      </c>
      <c r="Z107" s="58" t="str">
        <f>IF('Phytopl Count'!Z107=0,"",('Phytopl Analysis'!Z107*LN('Phytopl Analysis'!Z107)))</f>
        <v/>
      </c>
      <c r="AA107" s="21" t="str">
        <f>IF('Phytopl Count'!AA107=0,"",('Phytopl Analysis'!AA107*LN('Phytopl Analysis'!AA107)))</f>
        <v/>
      </c>
      <c r="AB107" s="21" t="str">
        <f>IF('Phytopl Count'!AB107=0,"",('Phytopl Analysis'!AB107*LN('Phytopl Analysis'!AB107)))</f>
        <v/>
      </c>
      <c r="AC107" s="58" t="str">
        <f>IF('Phytopl Count'!AC107=0,"",('Phytopl Analysis'!AC107*LN('Phytopl Analysis'!AC107)))</f>
        <v/>
      </c>
      <c r="AD107" s="58" t="str">
        <f>IF('Phytopl Count'!AD107=0,"",('Phytopl Analysis'!AD107*LN('Phytopl Analysis'!AD107)))</f>
        <v/>
      </c>
      <c r="AE107" s="21" t="str">
        <f>IF('Phytopl Count'!AE107=0,"",('Phytopl Analysis'!AE107*LN('Phytopl Analysis'!AE107)))</f>
        <v/>
      </c>
      <c r="AF107" s="58" t="str">
        <f>IF('Phytopl Count'!AF107=0,"",('Phytopl Analysis'!AF107*LN('Phytopl Analysis'!AF107)))</f>
        <v/>
      </c>
    </row>
    <row r="108" spans="1:32" hidden="1">
      <c r="A108" s="4"/>
      <c r="B108" s="4"/>
      <c r="C108" s="4"/>
      <c r="D108" s="10" t="s">
        <v>5</v>
      </c>
      <c r="E108" s="12" t="s">
        <v>110</v>
      </c>
      <c r="F108" s="11"/>
      <c r="G108" s="21" t="str">
        <f>IF('Phytopl Count'!G108=0,"",('Phytopl Analysis'!G108*LN('Phytopl Analysis'!G108)))</f>
        <v/>
      </c>
      <c r="H108" s="21" t="str">
        <f>IF('Phytopl Count'!H108=0,"",('Phytopl Analysis'!H108*LN('Phytopl Analysis'!H108)))</f>
        <v/>
      </c>
      <c r="I108" s="58" t="str">
        <f>IF('Phytopl Count'!I108=0,"",('Phytopl Analysis'!I108*LN('Phytopl Analysis'!I108)))</f>
        <v/>
      </c>
      <c r="J108" s="58" t="str">
        <f>IF('Phytopl Count'!J108=0,"",('Phytopl Analysis'!J108*LN('Phytopl Analysis'!J108)))</f>
        <v/>
      </c>
      <c r="K108" s="21" t="str">
        <f>IF('Phytopl Count'!K108=0,"",('Phytopl Analysis'!K108*LN('Phytopl Analysis'!K108)))</f>
        <v/>
      </c>
      <c r="L108" s="21" t="str">
        <f>IF('Phytopl Count'!L108=0,"",('Phytopl Analysis'!L108*LN('Phytopl Analysis'!L108)))</f>
        <v/>
      </c>
      <c r="M108" s="58" t="str">
        <f>IF('Phytopl Count'!M108=0,"",('Phytopl Analysis'!M108*LN('Phytopl Analysis'!M108)))</f>
        <v/>
      </c>
      <c r="N108" s="58" t="str">
        <f>IF('Phytopl Count'!N108=0,"",('Phytopl Analysis'!N108*LN('Phytopl Analysis'!N108)))</f>
        <v/>
      </c>
      <c r="O108" s="21" t="str">
        <f>IF('Phytopl Count'!O108=0,"",('Phytopl Analysis'!O108*LN('Phytopl Analysis'!O108)))</f>
        <v/>
      </c>
      <c r="P108" s="21" t="str">
        <f>IF('Phytopl Count'!P108=0,"",('Phytopl Analysis'!P108*LN('Phytopl Analysis'!P108)))</f>
        <v/>
      </c>
      <c r="Q108" s="58" t="str">
        <f>IF('Phytopl Count'!Q108=0,"",('Phytopl Analysis'!Q108*LN('Phytopl Analysis'!Q108)))</f>
        <v/>
      </c>
      <c r="R108" s="58" t="str">
        <f>IF('Phytopl Count'!R108=0,"",('Phytopl Analysis'!R108*LN('Phytopl Analysis'!R108)))</f>
        <v/>
      </c>
      <c r="S108" s="21" t="str">
        <f>IF('Phytopl Count'!S108=0,"",('Phytopl Analysis'!S108*LN('Phytopl Analysis'!S108)))</f>
        <v/>
      </c>
      <c r="T108" s="21" t="str">
        <f>IF('Phytopl Count'!T108=0,"",('Phytopl Analysis'!T108*LN('Phytopl Analysis'!T108)))</f>
        <v/>
      </c>
      <c r="U108" s="58" t="str">
        <f>IF('Phytopl Count'!U108=0,"",('Phytopl Analysis'!U108*LN('Phytopl Analysis'!U108)))</f>
        <v/>
      </c>
      <c r="V108" s="58" t="str">
        <f>IF('Phytopl Count'!V108=0,"",('Phytopl Analysis'!V108*LN('Phytopl Analysis'!V108)))</f>
        <v/>
      </c>
      <c r="W108" s="21" t="str">
        <f>IF('Phytopl Count'!W108=0,"",('Phytopl Analysis'!W108*LN('Phytopl Analysis'!W108)))</f>
        <v/>
      </c>
      <c r="X108" s="21" t="str">
        <f>IF('Phytopl Count'!X108=0,"",('Phytopl Analysis'!X108*LN('Phytopl Analysis'!X108)))</f>
        <v/>
      </c>
      <c r="Y108" s="58" t="str">
        <f>IF('Phytopl Count'!Y108=0,"",('Phytopl Analysis'!Y108*LN('Phytopl Analysis'!Y108)))</f>
        <v/>
      </c>
      <c r="Z108" s="58" t="str">
        <f>IF('Phytopl Count'!Z108=0,"",('Phytopl Analysis'!Z108*LN('Phytopl Analysis'!Z108)))</f>
        <v/>
      </c>
      <c r="AA108" s="21" t="str">
        <f>IF('Phytopl Count'!AA108=0,"",('Phytopl Analysis'!AA108*LN('Phytopl Analysis'!AA108)))</f>
        <v/>
      </c>
      <c r="AB108" s="21" t="str">
        <f>IF('Phytopl Count'!AB108=0,"",('Phytopl Analysis'!AB108*LN('Phytopl Analysis'!AB108)))</f>
        <v/>
      </c>
      <c r="AC108" s="58" t="str">
        <f>IF('Phytopl Count'!AC108=0,"",('Phytopl Analysis'!AC108*LN('Phytopl Analysis'!AC108)))</f>
        <v/>
      </c>
      <c r="AD108" s="58" t="str">
        <f>IF('Phytopl Count'!AD108=0,"",('Phytopl Analysis'!AD108*LN('Phytopl Analysis'!AD108)))</f>
        <v/>
      </c>
      <c r="AE108" s="21" t="str">
        <f>IF('Phytopl Count'!AE108=0,"",('Phytopl Analysis'!AE108*LN('Phytopl Analysis'!AE108)))</f>
        <v/>
      </c>
      <c r="AF108" s="58" t="str">
        <f>IF('Phytopl Count'!AF108=0,"",('Phytopl Analysis'!AF108*LN('Phytopl Analysis'!AF108)))</f>
        <v/>
      </c>
    </row>
    <row r="109" spans="1:32" hidden="1">
      <c r="A109" s="4"/>
      <c r="B109" s="4"/>
      <c r="C109" s="4"/>
      <c r="D109" s="5"/>
      <c r="E109" s="10" t="s">
        <v>6</v>
      </c>
      <c r="F109" s="11" t="s">
        <v>111</v>
      </c>
      <c r="G109" s="21" t="str">
        <f>IF('Phytopl Count'!G109=0,"",('Phytopl Analysis'!G109*LN('Phytopl Analysis'!G109)))</f>
        <v/>
      </c>
      <c r="H109" s="21" t="str">
        <f>IF('Phytopl Count'!H109=0,"",('Phytopl Analysis'!H109*LN('Phytopl Analysis'!H109)))</f>
        <v/>
      </c>
      <c r="I109" s="58" t="str">
        <f>IF('Phytopl Count'!I109=0,"",('Phytopl Analysis'!I109*LN('Phytopl Analysis'!I109)))</f>
        <v/>
      </c>
      <c r="J109" s="58" t="str">
        <f>IF('Phytopl Count'!J109=0,"",('Phytopl Analysis'!J109*LN('Phytopl Analysis'!J109)))</f>
        <v/>
      </c>
      <c r="K109" s="21" t="str">
        <f>IF('Phytopl Count'!K109=0,"",('Phytopl Analysis'!K109*LN('Phytopl Analysis'!K109)))</f>
        <v/>
      </c>
      <c r="L109" s="21" t="str">
        <f>IF('Phytopl Count'!L109=0,"",('Phytopl Analysis'!L109*LN('Phytopl Analysis'!L109)))</f>
        <v/>
      </c>
      <c r="M109" s="58" t="str">
        <f>IF('Phytopl Count'!M109=0,"",('Phytopl Analysis'!M109*LN('Phytopl Analysis'!M109)))</f>
        <v/>
      </c>
      <c r="N109" s="58" t="str">
        <f>IF('Phytopl Count'!N109=0,"",('Phytopl Analysis'!N109*LN('Phytopl Analysis'!N109)))</f>
        <v/>
      </c>
      <c r="O109" s="21" t="str">
        <f>IF('Phytopl Count'!O109=0,"",('Phytopl Analysis'!O109*LN('Phytopl Analysis'!O109)))</f>
        <v/>
      </c>
      <c r="P109" s="21" t="str">
        <f>IF('Phytopl Count'!P109=0,"",('Phytopl Analysis'!P109*LN('Phytopl Analysis'!P109)))</f>
        <v/>
      </c>
      <c r="Q109" s="58" t="str">
        <f>IF('Phytopl Count'!Q109=0,"",('Phytopl Analysis'!Q109*LN('Phytopl Analysis'!Q109)))</f>
        <v/>
      </c>
      <c r="R109" s="58" t="str">
        <f>IF('Phytopl Count'!R109=0,"",('Phytopl Analysis'!R109*LN('Phytopl Analysis'!R109)))</f>
        <v/>
      </c>
      <c r="S109" s="21" t="str">
        <f>IF('Phytopl Count'!S109=0,"",('Phytopl Analysis'!S109*LN('Phytopl Analysis'!S109)))</f>
        <v/>
      </c>
      <c r="T109" s="21" t="str">
        <f>IF('Phytopl Count'!T109=0,"",('Phytopl Analysis'!T109*LN('Phytopl Analysis'!T109)))</f>
        <v/>
      </c>
      <c r="U109" s="58" t="str">
        <f>IF('Phytopl Count'!U109=0,"",('Phytopl Analysis'!U109*LN('Phytopl Analysis'!U109)))</f>
        <v/>
      </c>
      <c r="V109" s="58" t="str">
        <f>IF('Phytopl Count'!V109=0,"",('Phytopl Analysis'!V109*LN('Phytopl Analysis'!V109)))</f>
        <v/>
      </c>
      <c r="W109" s="21" t="str">
        <f>IF('Phytopl Count'!W109=0,"",('Phytopl Analysis'!W109*LN('Phytopl Analysis'!W109)))</f>
        <v/>
      </c>
      <c r="X109" s="21" t="str">
        <f>IF('Phytopl Count'!X109=0,"",('Phytopl Analysis'!X109*LN('Phytopl Analysis'!X109)))</f>
        <v/>
      </c>
      <c r="Y109" s="58" t="str">
        <f>IF('Phytopl Count'!Y109=0,"",('Phytopl Analysis'!Y109*LN('Phytopl Analysis'!Y109)))</f>
        <v/>
      </c>
      <c r="Z109" s="58" t="str">
        <f>IF('Phytopl Count'!Z109=0,"",('Phytopl Analysis'!Z109*LN('Phytopl Analysis'!Z109)))</f>
        <v/>
      </c>
      <c r="AA109" s="21" t="str">
        <f>IF('Phytopl Count'!AA109=0,"",('Phytopl Analysis'!AA109*LN('Phytopl Analysis'!AA109)))</f>
        <v/>
      </c>
      <c r="AB109" s="21" t="str">
        <f>IF('Phytopl Count'!AB109=0,"",('Phytopl Analysis'!AB109*LN('Phytopl Analysis'!AB109)))</f>
        <v/>
      </c>
      <c r="AC109" s="58" t="str">
        <f>IF('Phytopl Count'!AC109=0,"",('Phytopl Analysis'!AC109*LN('Phytopl Analysis'!AC109)))</f>
        <v/>
      </c>
      <c r="AD109" s="58" t="str">
        <f>IF('Phytopl Count'!AD109=0,"",('Phytopl Analysis'!AD109*LN('Phytopl Analysis'!AD109)))</f>
        <v/>
      </c>
      <c r="AE109" s="21" t="str">
        <f>IF('Phytopl Count'!AE109=0,"",('Phytopl Analysis'!AE109*LN('Phytopl Analysis'!AE109)))</f>
        <v/>
      </c>
      <c r="AF109" s="58" t="str">
        <f>IF('Phytopl Count'!AF109=0,"",('Phytopl Analysis'!AF109*LN('Phytopl Analysis'!AF109)))</f>
        <v/>
      </c>
    </row>
    <row r="110" spans="1:32">
      <c r="A110" s="4"/>
      <c r="B110" s="4"/>
      <c r="C110" s="4"/>
      <c r="D110" s="5"/>
      <c r="E110" s="10"/>
      <c r="F110" s="11"/>
      <c r="G110" s="21" t="str">
        <f>IF('Phytopl Count'!G110=0,"",('Phytopl Analysis'!G110*LN('Phytopl Analysis'!G110)))</f>
        <v/>
      </c>
      <c r="H110" s="21" t="str">
        <f>IF('Phytopl Count'!H110=0,"",('Phytopl Analysis'!H110*LN('Phytopl Analysis'!H110)))</f>
        <v/>
      </c>
      <c r="I110" s="58" t="str">
        <f>IF('Phytopl Count'!I110=0,"",('Phytopl Analysis'!I110*LN('Phytopl Analysis'!I110)))</f>
        <v/>
      </c>
      <c r="J110" s="58" t="str">
        <f>IF('Phytopl Count'!J110=0,"",('Phytopl Analysis'!J110*LN('Phytopl Analysis'!J110)))</f>
        <v/>
      </c>
      <c r="K110" s="21" t="str">
        <f>IF('Phytopl Count'!K110=0,"",('Phytopl Analysis'!K110*LN('Phytopl Analysis'!K110)))</f>
        <v/>
      </c>
      <c r="L110" s="21" t="str">
        <f>IF('Phytopl Count'!L110=0,"",('Phytopl Analysis'!L110*LN('Phytopl Analysis'!L110)))</f>
        <v/>
      </c>
      <c r="M110" s="58" t="str">
        <f>IF('Phytopl Count'!M110=0,"",('Phytopl Analysis'!M110*LN('Phytopl Analysis'!M110)))</f>
        <v/>
      </c>
      <c r="N110" s="58" t="str">
        <f>IF('Phytopl Count'!N110=0,"",('Phytopl Analysis'!N110*LN('Phytopl Analysis'!N110)))</f>
        <v/>
      </c>
      <c r="O110" s="21" t="str">
        <f>IF('Phytopl Count'!O110=0,"",('Phytopl Analysis'!O110*LN('Phytopl Analysis'!O110)))</f>
        <v/>
      </c>
      <c r="P110" s="21" t="str">
        <f>IF('Phytopl Count'!P110=0,"",('Phytopl Analysis'!P110*LN('Phytopl Analysis'!P110)))</f>
        <v/>
      </c>
      <c r="Q110" s="58" t="str">
        <f>IF('Phytopl Count'!Q110=0,"",('Phytopl Analysis'!Q110*LN('Phytopl Analysis'!Q110)))</f>
        <v/>
      </c>
      <c r="R110" s="58" t="str">
        <f>IF('Phytopl Count'!R110=0,"",('Phytopl Analysis'!R110*LN('Phytopl Analysis'!R110)))</f>
        <v/>
      </c>
      <c r="S110" s="21" t="str">
        <f>IF('Phytopl Count'!S110=0,"",('Phytopl Analysis'!S110*LN('Phytopl Analysis'!S110)))</f>
        <v/>
      </c>
      <c r="T110" s="21" t="str">
        <f>IF('Phytopl Count'!T110=0,"",('Phytopl Analysis'!T110*LN('Phytopl Analysis'!T110)))</f>
        <v/>
      </c>
      <c r="U110" s="58" t="str">
        <f>IF('Phytopl Count'!U110=0,"",('Phytopl Analysis'!U110*LN('Phytopl Analysis'!U110)))</f>
        <v/>
      </c>
      <c r="V110" s="58" t="str">
        <f>IF('Phytopl Count'!V110=0,"",('Phytopl Analysis'!V110*LN('Phytopl Analysis'!V110)))</f>
        <v/>
      </c>
      <c r="W110" s="21" t="str">
        <f>IF('Phytopl Count'!W110=0,"",('Phytopl Analysis'!W110*LN('Phytopl Analysis'!W110)))</f>
        <v/>
      </c>
      <c r="X110" s="21" t="str">
        <f>IF('Phytopl Count'!X110=0,"",('Phytopl Analysis'!X110*LN('Phytopl Analysis'!X110)))</f>
        <v/>
      </c>
      <c r="Y110" s="58" t="str">
        <f>IF('Phytopl Count'!Y110=0,"",('Phytopl Analysis'!Y110*LN('Phytopl Analysis'!Y110)))</f>
        <v/>
      </c>
      <c r="Z110" s="58" t="str">
        <f>IF('Phytopl Count'!Z110=0,"",('Phytopl Analysis'!Z110*LN('Phytopl Analysis'!Z110)))</f>
        <v/>
      </c>
      <c r="AA110" s="21" t="str">
        <f>IF('Phytopl Count'!AA110=0,"",('Phytopl Analysis'!AA110*LN('Phytopl Analysis'!AA110)))</f>
        <v/>
      </c>
      <c r="AB110" s="21" t="str">
        <f>IF('Phytopl Count'!AB110=0,"",('Phytopl Analysis'!AB110*LN('Phytopl Analysis'!AB110)))</f>
        <v/>
      </c>
      <c r="AC110" s="58" t="str">
        <f>IF('Phytopl Count'!AC110=0,"",('Phytopl Analysis'!AC110*LN('Phytopl Analysis'!AC110)))</f>
        <v/>
      </c>
      <c r="AD110" s="58" t="str">
        <f>IF('Phytopl Count'!AD110=0,"",('Phytopl Analysis'!AD110*LN('Phytopl Analysis'!AD110)))</f>
        <v/>
      </c>
      <c r="AE110" s="21" t="str">
        <f>IF('Phytopl Count'!AE110=0,"",('Phytopl Analysis'!AE110*LN('Phytopl Analysis'!AE110)))</f>
        <v/>
      </c>
      <c r="AF110" s="58" t="str">
        <f>IF('Phytopl Count'!AF110=0,"",('Phytopl Analysis'!AF110*LN('Phytopl Analysis'!AF110)))</f>
        <v/>
      </c>
    </row>
    <row r="111" spans="1:32">
      <c r="A111" s="16"/>
      <c r="B111" s="16" t="s">
        <v>72</v>
      </c>
      <c r="C111" s="4" t="s">
        <v>148</v>
      </c>
      <c r="D111" s="4"/>
      <c r="E111" s="5"/>
      <c r="F111" s="9"/>
      <c r="G111" s="21" t="str">
        <f>IF('Phytopl Count'!G111=0,"",('Phytopl Analysis'!G111*LN('Phytopl Analysis'!G111)))</f>
        <v/>
      </c>
      <c r="H111" s="21" t="str">
        <f>IF('Phytopl Count'!H111=0,"",('Phytopl Analysis'!H111*LN('Phytopl Analysis'!H111)))</f>
        <v/>
      </c>
      <c r="I111" s="58" t="str">
        <f>IF('Phytopl Count'!I111=0,"",('Phytopl Analysis'!I111*LN('Phytopl Analysis'!I111)))</f>
        <v/>
      </c>
      <c r="J111" s="58" t="str">
        <f>IF('Phytopl Count'!J111=0,"",('Phytopl Analysis'!J111*LN('Phytopl Analysis'!J111)))</f>
        <v/>
      </c>
      <c r="K111" s="21" t="str">
        <f>IF('Phytopl Count'!K111=0,"",('Phytopl Analysis'!K111*LN('Phytopl Analysis'!K111)))</f>
        <v/>
      </c>
      <c r="L111" s="21" t="str">
        <f>IF('Phytopl Count'!L111=0,"",('Phytopl Analysis'!L111*LN('Phytopl Analysis'!L111)))</f>
        <v/>
      </c>
      <c r="M111" s="58" t="str">
        <f>IF('Phytopl Count'!M111=0,"",('Phytopl Analysis'!M111*LN('Phytopl Analysis'!M111)))</f>
        <v/>
      </c>
      <c r="N111" s="58" t="str">
        <f>IF('Phytopl Count'!N111=0,"",('Phytopl Analysis'!N111*LN('Phytopl Analysis'!N111)))</f>
        <v/>
      </c>
      <c r="O111" s="21" t="str">
        <f>IF('Phytopl Count'!O111=0,"",('Phytopl Analysis'!O111*LN('Phytopl Analysis'!O111)))</f>
        <v/>
      </c>
      <c r="P111" s="21" t="str">
        <f>IF('Phytopl Count'!P111=0,"",('Phytopl Analysis'!P111*LN('Phytopl Analysis'!P111)))</f>
        <v/>
      </c>
      <c r="Q111" s="58" t="str">
        <f>IF('Phytopl Count'!Q111=0,"",('Phytopl Analysis'!Q111*LN('Phytopl Analysis'!Q111)))</f>
        <v/>
      </c>
      <c r="R111" s="58" t="str">
        <f>IF('Phytopl Count'!R111=0,"",('Phytopl Analysis'!R111*LN('Phytopl Analysis'!R111)))</f>
        <v/>
      </c>
      <c r="S111" s="21" t="str">
        <f>IF('Phytopl Count'!S111=0,"",('Phytopl Analysis'!S111*LN('Phytopl Analysis'!S111)))</f>
        <v/>
      </c>
      <c r="T111" s="21" t="str">
        <f>IF('Phytopl Count'!T111=0,"",('Phytopl Analysis'!T111*LN('Phytopl Analysis'!T111)))</f>
        <v/>
      </c>
      <c r="U111" s="58" t="str">
        <f>IF('Phytopl Count'!U111=0,"",('Phytopl Analysis'!U111*LN('Phytopl Analysis'!U111)))</f>
        <v/>
      </c>
      <c r="V111" s="58" t="str">
        <f>IF('Phytopl Count'!V111=0,"",('Phytopl Analysis'!V111*LN('Phytopl Analysis'!V111)))</f>
        <v/>
      </c>
      <c r="W111" s="21" t="str">
        <f>IF('Phytopl Count'!W111=0,"",('Phytopl Analysis'!W111*LN('Phytopl Analysis'!W111)))</f>
        <v/>
      </c>
      <c r="X111" s="21" t="str">
        <f>IF('Phytopl Count'!X111=0,"",('Phytopl Analysis'!X111*LN('Phytopl Analysis'!X111)))</f>
        <v/>
      </c>
      <c r="Y111" s="58" t="str">
        <f>IF('Phytopl Count'!Y111=0,"",('Phytopl Analysis'!Y111*LN('Phytopl Analysis'!Y111)))</f>
        <v/>
      </c>
      <c r="Z111" s="58" t="str">
        <f>IF('Phytopl Count'!Z111=0,"",('Phytopl Analysis'!Z111*LN('Phytopl Analysis'!Z111)))</f>
        <v/>
      </c>
      <c r="AA111" s="21" t="str">
        <f>IF('Phytopl Count'!AA111=0,"",('Phytopl Analysis'!AA111*LN('Phytopl Analysis'!AA111)))</f>
        <v/>
      </c>
      <c r="AB111" s="21" t="str">
        <f>IF('Phytopl Count'!AB111=0,"",('Phytopl Analysis'!AB111*LN('Phytopl Analysis'!AB111)))</f>
        <v/>
      </c>
      <c r="AC111" s="58" t="str">
        <f>IF('Phytopl Count'!AC111=0,"",('Phytopl Analysis'!AC111*LN('Phytopl Analysis'!AC111)))</f>
        <v/>
      </c>
      <c r="AD111" s="58" t="str">
        <f>IF('Phytopl Count'!AD111=0,"",('Phytopl Analysis'!AD111*LN('Phytopl Analysis'!AD111)))</f>
        <v/>
      </c>
      <c r="AE111" s="21" t="str">
        <f>IF('Phytopl Count'!AE111=0,"",('Phytopl Analysis'!AE111*LN('Phytopl Analysis'!AE111)))</f>
        <v/>
      </c>
      <c r="AF111" s="58" t="str">
        <f>IF('Phytopl Count'!AF111=0,"",('Phytopl Analysis'!AF111*LN('Phytopl Analysis'!AF111)))</f>
        <v/>
      </c>
    </row>
    <row r="112" spans="1:32">
      <c r="A112" s="16"/>
      <c r="B112" s="16"/>
      <c r="C112" s="16" t="s">
        <v>73</v>
      </c>
      <c r="D112" s="4" t="s">
        <v>149</v>
      </c>
      <c r="E112" s="4"/>
      <c r="F112" s="59"/>
      <c r="G112" s="21" t="str">
        <f>IF('Phytopl Count'!G112=0,"",('Phytopl Analysis'!G112*LN('Phytopl Analysis'!G112)))</f>
        <v/>
      </c>
      <c r="H112" s="21" t="str">
        <f>IF('Phytopl Count'!H112=0,"",('Phytopl Analysis'!H112*LN('Phytopl Analysis'!H112)))</f>
        <v/>
      </c>
      <c r="I112" s="58" t="str">
        <f>IF('Phytopl Count'!I112=0,"",('Phytopl Analysis'!I112*LN('Phytopl Analysis'!I112)))</f>
        <v/>
      </c>
      <c r="J112" s="58" t="str">
        <f>IF('Phytopl Count'!J112=0,"",('Phytopl Analysis'!J112*LN('Phytopl Analysis'!J112)))</f>
        <v/>
      </c>
      <c r="K112" s="21" t="str">
        <f>IF('Phytopl Count'!K112=0,"",('Phytopl Analysis'!K112*LN('Phytopl Analysis'!K112)))</f>
        <v/>
      </c>
      <c r="L112" s="21" t="str">
        <f>IF('Phytopl Count'!L112=0,"",('Phytopl Analysis'!L112*LN('Phytopl Analysis'!L112)))</f>
        <v/>
      </c>
      <c r="M112" s="58" t="str">
        <f>IF('Phytopl Count'!M112=0,"",('Phytopl Analysis'!M112*LN('Phytopl Analysis'!M112)))</f>
        <v/>
      </c>
      <c r="N112" s="58" t="str">
        <f>IF('Phytopl Count'!N112=0,"",('Phytopl Analysis'!N112*LN('Phytopl Analysis'!N112)))</f>
        <v/>
      </c>
      <c r="O112" s="21" t="str">
        <f>IF('Phytopl Count'!O112=0,"",('Phytopl Analysis'!O112*LN('Phytopl Analysis'!O112)))</f>
        <v/>
      </c>
      <c r="P112" s="21" t="str">
        <f>IF('Phytopl Count'!P112=0,"",('Phytopl Analysis'!P112*LN('Phytopl Analysis'!P112)))</f>
        <v/>
      </c>
      <c r="Q112" s="58" t="str">
        <f>IF('Phytopl Count'!Q112=0,"",('Phytopl Analysis'!Q112*LN('Phytopl Analysis'!Q112)))</f>
        <v/>
      </c>
      <c r="R112" s="58" t="str">
        <f>IF('Phytopl Count'!R112=0,"",('Phytopl Analysis'!R112*LN('Phytopl Analysis'!R112)))</f>
        <v/>
      </c>
      <c r="S112" s="21" t="str">
        <f>IF('Phytopl Count'!S112=0,"",('Phytopl Analysis'!S112*LN('Phytopl Analysis'!S112)))</f>
        <v/>
      </c>
      <c r="T112" s="21" t="str">
        <f>IF('Phytopl Count'!T112=0,"",('Phytopl Analysis'!T112*LN('Phytopl Analysis'!T112)))</f>
        <v/>
      </c>
      <c r="U112" s="58" t="str">
        <f>IF('Phytopl Count'!U112=0,"",('Phytopl Analysis'!U112*LN('Phytopl Analysis'!U112)))</f>
        <v/>
      </c>
      <c r="V112" s="58" t="str">
        <f>IF('Phytopl Count'!V112=0,"",('Phytopl Analysis'!V112*LN('Phytopl Analysis'!V112)))</f>
        <v/>
      </c>
      <c r="W112" s="21" t="str">
        <f>IF('Phytopl Count'!W112=0,"",('Phytopl Analysis'!W112*LN('Phytopl Analysis'!W112)))</f>
        <v/>
      </c>
      <c r="X112" s="21" t="str">
        <f>IF('Phytopl Count'!X112=0,"",('Phytopl Analysis'!X112*LN('Phytopl Analysis'!X112)))</f>
        <v/>
      </c>
      <c r="Y112" s="58" t="str">
        <f>IF('Phytopl Count'!Y112=0,"",('Phytopl Analysis'!Y112*LN('Phytopl Analysis'!Y112)))</f>
        <v/>
      </c>
      <c r="Z112" s="58" t="str">
        <f>IF('Phytopl Count'!Z112=0,"",('Phytopl Analysis'!Z112*LN('Phytopl Analysis'!Z112)))</f>
        <v/>
      </c>
      <c r="AA112" s="21" t="str">
        <f>IF('Phytopl Count'!AA112=0,"",('Phytopl Analysis'!AA112*LN('Phytopl Analysis'!AA112)))</f>
        <v/>
      </c>
      <c r="AB112" s="21" t="str">
        <f>IF('Phytopl Count'!AB112=0,"",('Phytopl Analysis'!AB112*LN('Phytopl Analysis'!AB112)))</f>
        <v/>
      </c>
      <c r="AC112" s="58" t="str">
        <f>IF('Phytopl Count'!AC112=0,"",('Phytopl Analysis'!AC112*LN('Phytopl Analysis'!AC112)))</f>
        <v/>
      </c>
      <c r="AD112" s="58" t="str">
        <f>IF('Phytopl Count'!AD112=0,"",('Phytopl Analysis'!AD112*LN('Phytopl Analysis'!AD112)))</f>
        <v/>
      </c>
      <c r="AE112" s="21" t="str">
        <f>IF('Phytopl Count'!AE112=0,"",('Phytopl Analysis'!AE112*LN('Phytopl Analysis'!AE112)))</f>
        <v/>
      </c>
      <c r="AF112" s="58" t="str">
        <f>IF('Phytopl Count'!AF112=0,"",('Phytopl Analysis'!AF112*LN('Phytopl Analysis'!AF112)))</f>
        <v/>
      </c>
    </row>
    <row r="113" spans="1:32" hidden="1">
      <c r="A113" s="16"/>
      <c r="B113" s="16"/>
      <c r="C113" s="16"/>
      <c r="D113" s="10" t="s">
        <v>5</v>
      </c>
      <c r="E113" s="116" t="s">
        <v>303</v>
      </c>
      <c r="F113" s="9"/>
      <c r="G113" s="21" t="str">
        <f>IF('Phytopl Count'!G113=0,"",('Phytopl Analysis'!G113*LN('Phytopl Analysis'!G113)))</f>
        <v/>
      </c>
      <c r="H113" s="21" t="str">
        <f>IF('Phytopl Count'!H113=0,"",('Phytopl Analysis'!H113*LN('Phytopl Analysis'!H113)))</f>
        <v/>
      </c>
      <c r="I113" s="58" t="str">
        <f>IF('Phytopl Count'!I113=0,"",('Phytopl Analysis'!I113*LN('Phytopl Analysis'!I113)))</f>
        <v/>
      </c>
      <c r="J113" s="58" t="str">
        <f>IF('Phytopl Count'!J113=0,"",('Phytopl Analysis'!J113*LN('Phytopl Analysis'!J113)))</f>
        <v/>
      </c>
      <c r="K113" s="21" t="str">
        <f>IF('Phytopl Count'!K113=0,"",('Phytopl Analysis'!K113*LN('Phytopl Analysis'!K113)))</f>
        <v/>
      </c>
      <c r="L113" s="21" t="str">
        <f>IF('Phytopl Count'!L113=0,"",('Phytopl Analysis'!L113*LN('Phytopl Analysis'!L113)))</f>
        <v/>
      </c>
      <c r="M113" s="58" t="str">
        <f>IF('Phytopl Count'!M113=0,"",('Phytopl Analysis'!M113*LN('Phytopl Analysis'!M113)))</f>
        <v/>
      </c>
      <c r="N113" s="58" t="str">
        <f>IF('Phytopl Count'!N113=0,"",('Phytopl Analysis'!N113*LN('Phytopl Analysis'!N113)))</f>
        <v/>
      </c>
      <c r="O113" s="21" t="str">
        <f>IF('Phytopl Count'!O113=0,"",('Phytopl Analysis'!O113*LN('Phytopl Analysis'!O113)))</f>
        <v/>
      </c>
      <c r="P113" s="21" t="str">
        <f>IF('Phytopl Count'!P113=0,"",('Phytopl Analysis'!P113*LN('Phytopl Analysis'!P113)))</f>
        <v/>
      </c>
      <c r="Q113" s="58" t="str">
        <f>IF('Phytopl Count'!Q113=0,"",('Phytopl Analysis'!Q113*LN('Phytopl Analysis'!Q113)))</f>
        <v/>
      </c>
      <c r="R113" s="58" t="str">
        <f>IF('Phytopl Count'!R113=0,"",('Phytopl Analysis'!R113*LN('Phytopl Analysis'!R113)))</f>
        <v/>
      </c>
      <c r="S113" s="21" t="str">
        <f>IF('Phytopl Count'!S113=0,"",('Phytopl Analysis'!S113*LN('Phytopl Analysis'!S113)))</f>
        <v/>
      </c>
      <c r="T113" s="21" t="str">
        <f>IF('Phytopl Count'!T113=0,"",('Phytopl Analysis'!T113*LN('Phytopl Analysis'!T113)))</f>
        <v/>
      </c>
      <c r="U113" s="58" t="str">
        <f>IF('Phytopl Count'!U113=0,"",('Phytopl Analysis'!U113*LN('Phytopl Analysis'!U113)))</f>
        <v/>
      </c>
      <c r="V113" s="58" t="str">
        <f>IF('Phytopl Count'!V113=0,"",('Phytopl Analysis'!V113*LN('Phytopl Analysis'!V113)))</f>
        <v/>
      </c>
      <c r="W113" s="21" t="str">
        <f>IF('Phytopl Count'!W113=0,"",('Phytopl Analysis'!W113*LN('Phytopl Analysis'!W113)))</f>
        <v/>
      </c>
      <c r="X113" s="21" t="str">
        <f>IF('Phytopl Count'!X113=0,"",('Phytopl Analysis'!X113*LN('Phytopl Analysis'!X113)))</f>
        <v/>
      </c>
      <c r="Y113" s="58" t="str">
        <f>IF('Phytopl Count'!Y113=0,"",('Phytopl Analysis'!Y113*LN('Phytopl Analysis'!Y113)))</f>
        <v/>
      </c>
      <c r="Z113" s="58" t="str">
        <f>IF('Phytopl Count'!Z113=0,"",('Phytopl Analysis'!Z113*LN('Phytopl Analysis'!Z113)))</f>
        <v/>
      </c>
      <c r="AA113" s="21" t="str">
        <f>IF('Phytopl Count'!AA113=0,"",('Phytopl Analysis'!AA113*LN('Phytopl Analysis'!AA113)))</f>
        <v/>
      </c>
      <c r="AB113" s="21" t="str">
        <f>IF('Phytopl Count'!AB113=0,"",('Phytopl Analysis'!AB113*LN('Phytopl Analysis'!AB113)))</f>
        <v/>
      </c>
      <c r="AC113" s="58" t="str">
        <f>IF('Phytopl Count'!AC113=0,"",('Phytopl Analysis'!AC113*LN('Phytopl Analysis'!AC113)))</f>
        <v/>
      </c>
      <c r="AD113" s="58" t="str">
        <f>IF('Phytopl Count'!AD113=0,"",('Phytopl Analysis'!AD113*LN('Phytopl Analysis'!AD113)))</f>
        <v/>
      </c>
      <c r="AE113" s="21" t="str">
        <f>IF('Phytopl Count'!AE113=0,"",('Phytopl Analysis'!AE113*LN('Phytopl Analysis'!AE113)))</f>
        <v/>
      </c>
      <c r="AF113" s="58" t="str">
        <f>IF('Phytopl Count'!AF113=0,"",('Phytopl Analysis'!AF113*LN('Phytopl Analysis'!AF113)))</f>
        <v/>
      </c>
    </row>
    <row r="114" spans="1:32" hidden="1">
      <c r="A114" s="4"/>
      <c r="B114" s="4"/>
      <c r="C114" s="4"/>
      <c r="D114" s="5"/>
      <c r="E114" s="10" t="s">
        <v>6</v>
      </c>
      <c r="F114" s="52" t="s">
        <v>151</v>
      </c>
      <c r="G114" s="21" t="str">
        <f>IF('Phytopl Count'!G114=0,"",('Phytopl Analysis'!G114*LN('Phytopl Analysis'!G114)))</f>
        <v/>
      </c>
      <c r="H114" s="21" t="str">
        <f>IF('Phytopl Count'!H114=0,"",('Phytopl Analysis'!H114*LN('Phytopl Analysis'!H114)))</f>
        <v/>
      </c>
      <c r="I114" s="58" t="str">
        <f>IF('Phytopl Count'!I114=0,"",('Phytopl Analysis'!I114*LN('Phytopl Analysis'!I114)))</f>
        <v/>
      </c>
      <c r="J114" s="58" t="str">
        <f>IF('Phytopl Count'!J114=0,"",('Phytopl Analysis'!J114*LN('Phytopl Analysis'!J114)))</f>
        <v/>
      </c>
      <c r="K114" s="21" t="str">
        <f>IF('Phytopl Count'!K114=0,"",('Phytopl Analysis'!K114*LN('Phytopl Analysis'!K114)))</f>
        <v/>
      </c>
      <c r="L114" s="21" t="str">
        <f>IF('Phytopl Count'!L114=0,"",('Phytopl Analysis'!L114*LN('Phytopl Analysis'!L114)))</f>
        <v/>
      </c>
      <c r="M114" s="58" t="str">
        <f>IF('Phytopl Count'!M114=0,"",('Phytopl Analysis'!M114*LN('Phytopl Analysis'!M114)))</f>
        <v/>
      </c>
      <c r="N114" s="58" t="str">
        <f>IF('Phytopl Count'!N114=0,"",('Phytopl Analysis'!N114*LN('Phytopl Analysis'!N114)))</f>
        <v/>
      </c>
      <c r="O114" s="21" t="str">
        <f>IF('Phytopl Count'!O114=0,"",('Phytopl Analysis'!O114*LN('Phytopl Analysis'!O114)))</f>
        <v/>
      </c>
      <c r="P114" s="21" t="str">
        <f>IF('Phytopl Count'!P114=0,"",('Phytopl Analysis'!P114*LN('Phytopl Analysis'!P114)))</f>
        <v/>
      </c>
      <c r="Q114" s="58" t="str">
        <f>IF('Phytopl Count'!Q114=0,"",('Phytopl Analysis'!Q114*LN('Phytopl Analysis'!Q114)))</f>
        <v/>
      </c>
      <c r="R114" s="58" t="str">
        <f>IF('Phytopl Count'!R114=0,"",('Phytopl Analysis'!R114*LN('Phytopl Analysis'!R114)))</f>
        <v/>
      </c>
      <c r="S114" s="21" t="str">
        <f>IF('Phytopl Count'!S114=0,"",('Phytopl Analysis'!S114*LN('Phytopl Analysis'!S114)))</f>
        <v/>
      </c>
      <c r="T114" s="21" t="str">
        <f>IF('Phytopl Count'!T114=0,"",('Phytopl Analysis'!T114*LN('Phytopl Analysis'!T114)))</f>
        <v/>
      </c>
      <c r="U114" s="58" t="str">
        <f>IF('Phytopl Count'!U114=0,"",('Phytopl Analysis'!U114*LN('Phytopl Analysis'!U114)))</f>
        <v/>
      </c>
      <c r="V114" s="58" t="str">
        <f>IF('Phytopl Count'!V114=0,"",('Phytopl Analysis'!V114*LN('Phytopl Analysis'!V114)))</f>
        <v/>
      </c>
      <c r="W114" s="21" t="str">
        <f>IF('Phytopl Count'!W114=0,"",('Phytopl Analysis'!W114*LN('Phytopl Analysis'!W114)))</f>
        <v/>
      </c>
      <c r="X114" s="21" t="str">
        <f>IF('Phytopl Count'!X114=0,"",('Phytopl Analysis'!X114*LN('Phytopl Analysis'!X114)))</f>
        <v/>
      </c>
      <c r="Y114" s="58" t="str">
        <f>IF('Phytopl Count'!Y114=0,"",('Phytopl Analysis'!Y114*LN('Phytopl Analysis'!Y114)))</f>
        <v/>
      </c>
      <c r="Z114" s="58" t="str">
        <f>IF('Phytopl Count'!Z114=0,"",('Phytopl Analysis'!Z114*LN('Phytopl Analysis'!Z114)))</f>
        <v/>
      </c>
      <c r="AA114" s="21" t="str">
        <f>IF('Phytopl Count'!AA114=0,"",('Phytopl Analysis'!AA114*LN('Phytopl Analysis'!AA114)))</f>
        <v/>
      </c>
      <c r="AB114" s="21" t="str">
        <f>IF('Phytopl Count'!AB114=0,"",('Phytopl Analysis'!AB114*LN('Phytopl Analysis'!AB114)))</f>
        <v/>
      </c>
      <c r="AC114" s="58" t="str">
        <f>IF('Phytopl Count'!AC114=0,"",('Phytopl Analysis'!AC114*LN('Phytopl Analysis'!AC114)))</f>
        <v/>
      </c>
      <c r="AD114" s="58" t="str">
        <f>IF('Phytopl Count'!AD114=0,"",('Phytopl Analysis'!AD114*LN('Phytopl Analysis'!AD114)))</f>
        <v/>
      </c>
      <c r="AE114" s="21" t="str">
        <f>IF('Phytopl Count'!AE114=0,"",('Phytopl Analysis'!AE114*LN('Phytopl Analysis'!AE114)))</f>
        <v/>
      </c>
      <c r="AF114" s="58" t="str">
        <f>IF('Phytopl Count'!AF114=0,"",('Phytopl Analysis'!AF114*LN('Phytopl Analysis'!AF114)))</f>
        <v/>
      </c>
    </row>
    <row r="115" spans="1:32">
      <c r="A115" s="16"/>
      <c r="B115" s="16"/>
      <c r="C115" s="16"/>
      <c r="D115" s="10" t="s">
        <v>5</v>
      </c>
      <c r="E115" s="178" t="s">
        <v>413</v>
      </c>
      <c r="F115" s="9"/>
      <c r="G115" s="21" t="str">
        <f>IF('Phytopl Count'!G115=0,"",('Phytopl Analysis'!G115*LN('Phytopl Analysis'!G115)))</f>
        <v/>
      </c>
      <c r="H115" s="21" t="str">
        <f>IF('Phytopl Count'!H115=0,"",('Phytopl Analysis'!H115*LN('Phytopl Analysis'!H115)))</f>
        <v/>
      </c>
      <c r="I115" s="58" t="str">
        <f>IF('Phytopl Count'!I115=0,"",('Phytopl Analysis'!I115*LN('Phytopl Analysis'!I115)))</f>
        <v/>
      </c>
      <c r="J115" s="58" t="str">
        <f>IF('Phytopl Count'!J115=0,"",('Phytopl Analysis'!J115*LN('Phytopl Analysis'!J115)))</f>
        <v/>
      </c>
      <c r="K115" s="21" t="str">
        <f>IF('Phytopl Count'!K115=0,"",('Phytopl Analysis'!K115*LN('Phytopl Analysis'!K115)))</f>
        <v/>
      </c>
      <c r="L115" s="21" t="str">
        <f>IF('Phytopl Count'!L115=0,"",('Phytopl Analysis'!L115*LN('Phytopl Analysis'!L115)))</f>
        <v/>
      </c>
      <c r="M115" s="58" t="str">
        <f>IF('Phytopl Count'!M115=0,"",('Phytopl Analysis'!M115*LN('Phytopl Analysis'!M115)))</f>
        <v/>
      </c>
      <c r="N115" s="58" t="str">
        <f>IF('Phytopl Count'!N115=0,"",('Phytopl Analysis'!N115*LN('Phytopl Analysis'!N115)))</f>
        <v/>
      </c>
      <c r="O115" s="21" t="str">
        <f>IF('Phytopl Count'!O115=0,"",('Phytopl Analysis'!O115*LN('Phytopl Analysis'!O115)))</f>
        <v/>
      </c>
      <c r="P115" s="21" t="str">
        <f>IF('Phytopl Count'!P115=0,"",('Phytopl Analysis'!P115*LN('Phytopl Analysis'!P115)))</f>
        <v/>
      </c>
      <c r="Q115" s="58" t="str">
        <f>IF('Phytopl Count'!Q115=0,"",('Phytopl Analysis'!Q115*LN('Phytopl Analysis'!Q115)))</f>
        <v/>
      </c>
      <c r="R115" s="58" t="str">
        <f>IF('Phytopl Count'!R115=0,"",('Phytopl Analysis'!R115*LN('Phytopl Analysis'!R115)))</f>
        <v/>
      </c>
      <c r="S115" s="21" t="str">
        <f>IF('Phytopl Count'!S115=0,"",('Phytopl Analysis'!S115*LN('Phytopl Analysis'!S115)))</f>
        <v/>
      </c>
      <c r="T115" s="21" t="str">
        <f>IF('Phytopl Count'!T115=0,"",('Phytopl Analysis'!T115*LN('Phytopl Analysis'!T115)))</f>
        <v/>
      </c>
      <c r="U115" s="58" t="str">
        <f>IF('Phytopl Count'!U115=0,"",('Phytopl Analysis'!U115*LN('Phytopl Analysis'!U115)))</f>
        <v/>
      </c>
      <c r="V115" s="58" t="str">
        <f>IF('Phytopl Count'!V115=0,"",('Phytopl Analysis'!V115*LN('Phytopl Analysis'!V115)))</f>
        <v/>
      </c>
      <c r="W115" s="21" t="str">
        <f>IF('Phytopl Count'!W115=0,"",('Phytopl Analysis'!W115*LN('Phytopl Analysis'!W115)))</f>
        <v/>
      </c>
      <c r="X115" s="21" t="str">
        <f>IF('Phytopl Count'!X115=0,"",('Phytopl Analysis'!X115*LN('Phytopl Analysis'!X115)))</f>
        <v/>
      </c>
      <c r="Y115" s="58" t="str">
        <f>IF('Phytopl Count'!Y115=0,"",('Phytopl Analysis'!Y115*LN('Phytopl Analysis'!Y115)))</f>
        <v/>
      </c>
      <c r="Z115" s="58" t="str">
        <f>IF('Phytopl Count'!Z115=0,"",('Phytopl Analysis'!Z115*LN('Phytopl Analysis'!Z115)))</f>
        <v/>
      </c>
      <c r="AA115" s="21" t="str">
        <f>IF('Phytopl Count'!AA115=0,"",('Phytopl Analysis'!AA115*LN('Phytopl Analysis'!AA115)))</f>
        <v/>
      </c>
      <c r="AB115" s="21" t="str">
        <f>IF('Phytopl Count'!AB115=0,"",('Phytopl Analysis'!AB115*LN('Phytopl Analysis'!AB115)))</f>
        <v/>
      </c>
      <c r="AC115" s="58" t="str">
        <f>IF('Phytopl Count'!AC115=0,"",('Phytopl Analysis'!AC115*LN('Phytopl Analysis'!AC115)))</f>
        <v/>
      </c>
      <c r="AD115" s="58" t="str">
        <f>IF('Phytopl Count'!AD115=0,"",('Phytopl Analysis'!AD115*LN('Phytopl Analysis'!AD115)))</f>
        <v/>
      </c>
      <c r="AE115" s="21" t="str">
        <f>IF('Phytopl Count'!AE115=0,"",('Phytopl Analysis'!AE115*LN('Phytopl Analysis'!AE115)))</f>
        <v/>
      </c>
      <c r="AF115" s="58" t="str">
        <f>IF('Phytopl Count'!AF115=0,"",('Phytopl Analysis'!AF115*LN('Phytopl Analysis'!AF115)))</f>
        <v/>
      </c>
    </row>
    <row r="116" spans="1:32">
      <c r="A116" s="4"/>
      <c r="B116" s="4"/>
      <c r="C116" s="4"/>
      <c r="D116" s="5"/>
      <c r="E116" s="10" t="s">
        <v>6</v>
      </c>
      <c r="F116" s="11" t="s">
        <v>414</v>
      </c>
      <c r="G116" s="21" t="str">
        <f>IF('Phytopl Count'!G116=0,"",('Phytopl Analysis'!G116*LN('Phytopl Analysis'!G116)))</f>
        <v/>
      </c>
      <c r="H116" s="21" t="str">
        <f>IF('Phytopl Count'!H116=0,"",('Phytopl Analysis'!H116*LN('Phytopl Analysis'!H116)))</f>
        <v/>
      </c>
      <c r="I116" s="58">
        <f>IF('Phytopl Count'!I116=0,"",('Phytopl Analysis'!I116*LN('Phytopl Analysis'!I116)))</f>
        <v>-0.16151729929316433</v>
      </c>
      <c r="J116" s="58" t="str">
        <f>IF('Phytopl Count'!J116=0,"",('Phytopl Analysis'!J116*LN('Phytopl Analysis'!J116)))</f>
        <v/>
      </c>
      <c r="K116" s="21" t="str">
        <f>IF('Phytopl Count'!K116=0,"",('Phytopl Analysis'!K116*LN('Phytopl Analysis'!K116)))</f>
        <v/>
      </c>
      <c r="L116" s="21" t="str">
        <f>IF('Phytopl Count'!L116=0,"",('Phytopl Analysis'!L116*LN('Phytopl Analysis'!L116)))</f>
        <v/>
      </c>
      <c r="M116" s="58" t="str">
        <f>IF('Phytopl Count'!M116=0,"",('Phytopl Analysis'!M116*LN('Phytopl Analysis'!M116)))</f>
        <v/>
      </c>
      <c r="N116" s="58" t="str">
        <f>IF('Phytopl Count'!N116=0,"",('Phytopl Analysis'!N116*LN('Phytopl Analysis'!N116)))</f>
        <v/>
      </c>
      <c r="O116" s="21">
        <f>IF('Phytopl Count'!O116=0,"",('Phytopl Analysis'!O116*LN('Phytopl Analysis'!O116)))</f>
        <v>-0.11022075559754062</v>
      </c>
      <c r="P116" s="21">
        <f>IF('Phytopl Count'!P116=0,"",('Phytopl Analysis'!P116*LN('Phytopl Analysis'!P116)))</f>
        <v>-0.35856946742802159</v>
      </c>
      <c r="Q116" s="58">
        <f>IF('Phytopl Count'!Q116=0,"",('Phytopl Analysis'!Q116*LN('Phytopl Analysis'!Q116)))</f>
        <v>-0.12884150444391032</v>
      </c>
      <c r="R116" s="58" t="str">
        <f>IF('Phytopl Count'!R116=0,"",('Phytopl Analysis'!R116*LN('Phytopl Analysis'!R116)))</f>
        <v/>
      </c>
      <c r="S116" s="21">
        <f>IF('Phytopl Count'!S116=0,"",('Phytopl Analysis'!S116*LN('Phytopl Analysis'!S116)))</f>
        <v>-0.1458498424659852</v>
      </c>
      <c r="T116" s="21" t="str">
        <f>IF('Phytopl Count'!T116=0,"",('Phytopl Analysis'!T116*LN('Phytopl Analysis'!T116)))</f>
        <v/>
      </c>
      <c r="U116" s="58" t="str">
        <f>IF('Phytopl Count'!U116=0,"",('Phytopl Analysis'!U116*LN('Phytopl Analysis'!U116)))</f>
        <v/>
      </c>
      <c r="V116" s="58">
        <f>IF('Phytopl Count'!V116=0,"",('Phytopl Analysis'!V116*LN('Phytopl Analysis'!V116)))</f>
        <v>-0.20217719752866301</v>
      </c>
      <c r="W116" s="21" t="str">
        <f>IF('Phytopl Count'!W116=0,"",('Phytopl Analysis'!W116*LN('Phytopl Analysis'!W116)))</f>
        <v/>
      </c>
      <c r="X116" s="21" t="str">
        <f>IF('Phytopl Count'!X116=0,"",('Phytopl Analysis'!X116*LN('Phytopl Analysis'!X116)))</f>
        <v/>
      </c>
      <c r="Y116" s="58" t="str">
        <f>IF('Phytopl Count'!Y116=0,"",('Phytopl Analysis'!Y116*LN('Phytopl Analysis'!Y116)))</f>
        <v/>
      </c>
      <c r="Z116" s="58" t="str">
        <f>IF('Phytopl Count'!Z116=0,"",('Phytopl Analysis'!Z116*LN('Phytopl Analysis'!Z116)))</f>
        <v/>
      </c>
      <c r="AA116" s="21" t="str">
        <f>IF('Phytopl Count'!AA116=0,"",('Phytopl Analysis'!AA116*LN('Phytopl Analysis'!AA116)))</f>
        <v/>
      </c>
      <c r="AB116" s="21">
        <f>IF('Phytopl Count'!AB116=0,"",('Phytopl Analysis'!AB116*LN('Phytopl Analysis'!AB116)))</f>
        <v>-0.12884150444391032</v>
      </c>
      <c r="AC116" s="58" t="str">
        <f>IF('Phytopl Count'!AC116=0,"",('Phytopl Analysis'!AC116*LN('Phytopl Analysis'!AC116)))</f>
        <v/>
      </c>
      <c r="AD116" s="58" t="str">
        <f>IF('Phytopl Count'!AD116=0,"",('Phytopl Analysis'!AD116*LN('Phytopl Analysis'!AD116)))</f>
        <v/>
      </c>
      <c r="AE116" s="21" t="str">
        <f>IF('Phytopl Count'!AE116=0,"",('Phytopl Analysis'!AE116*LN('Phytopl Analysis'!AE116)))</f>
        <v/>
      </c>
      <c r="AF116" s="58" t="str">
        <f>IF('Phytopl Count'!AF116=0,"",('Phytopl Analysis'!AF116*LN('Phytopl Analysis'!AF116)))</f>
        <v/>
      </c>
    </row>
    <row r="117" spans="1:32" hidden="1">
      <c r="A117" s="4"/>
      <c r="B117" s="4"/>
      <c r="C117" s="16" t="s">
        <v>73</v>
      </c>
      <c r="D117" s="4" t="s">
        <v>301</v>
      </c>
      <c r="E117" s="10"/>
      <c r="F117" s="11"/>
      <c r="G117" s="21" t="str">
        <f>IF('Phytopl Count'!G117=0,"",('Phytopl Analysis'!G117*LN('Phytopl Analysis'!G117)))</f>
        <v/>
      </c>
      <c r="H117" s="21" t="str">
        <f>IF('Phytopl Count'!H117=0,"",('Phytopl Analysis'!H117*LN('Phytopl Analysis'!H117)))</f>
        <v/>
      </c>
      <c r="I117" s="58" t="str">
        <f>IF('Phytopl Count'!I117=0,"",('Phytopl Analysis'!I117*LN('Phytopl Analysis'!I117)))</f>
        <v/>
      </c>
      <c r="J117" s="58" t="str">
        <f>IF('Phytopl Count'!J117=0,"",('Phytopl Analysis'!J117*LN('Phytopl Analysis'!J117)))</f>
        <v/>
      </c>
      <c r="K117" s="21" t="str">
        <f>IF('Phytopl Count'!K117=0,"",('Phytopl Analysis'!K117*LN('Phytopl Analysis'!K117)))</f>
        <v/>
      </c>
      <c r="L117" s="21" t="str">
        <f>IF('Phytopl Count'!L117=0,"",('Phytopl Analysis'!L117*LN('Phytopl Analysis'!L117)))</f>
        <v/>
      </c>
      <c r="M117" s="58" t="str">
        <f>IF('Phytopl Count'!M117=0,"",('Phytopl Analysis'!M117*LN('Phytopl Analysis'!M117)))</f>
        <v/>
      </c>
      <c r="N117" s="58" t="str">
        <f>IF('Phytopl Count'!N117=0,"",('Phytopl Analysis'!N117*LN('Phytopl Analysis'!N117)))</f>
        <v/>
      </c>
      <c r="O117" s="21" t="str">
        <f>IF('Phytopl Count'!O117=0,"",('Phytopl Analysis'!O117*LN('Phytopl Analysis'!O117)))</f>
        <v/>
      </c>
      <c r="P117" s="21" t="str">
        <f>IF('Phytopl Count'!P117=0,"",('Phytopl Analysis'!P117*LN('Phytopl Analysis'!P117)))</f>
        <v/>
      </c>
      <c r="Q117" s="58" t="str">
        <f>IF('Phytopl Count'!Q117=0,"",('Phytopl Analysis'!Q117*LN('Phytopl Analysis'!Q117)))</f>
        <v/>
      </c>
      <c r="R117" s="58" t="str">
        <f>IF('Phytopl Count'!R117=0,"",('Phytopl Analysis'!R117*LN('Phytopl Analysis'!R117)))</f>
        <v/>
      </c>
      <c r="S117" s="21" t="str">
        <f>IF('Phytopl Count'!S117=0,"",('Phytopl Analysis'!S117*LN('Phytopl Analysis'!S117)))</f>
        <v/>
      </c>
      <c r="T117" s="21" t="str">
        <f>IF('Phytopl Count'!T117=0,"",('Phytopl Analysis'!T117*LN('Phytopl Analysis'!T117)))</f>
        <v/>
      </c>
      <c r="U117" s="58" t="str">
        <f>IF('Phytopl Count'!U117=0,"",('Phytopl Analysis'!U117*LN('Phytopl Analysis'!U117)))</f>
        <v/>
      </c>
      <c r="V117" s="58" t="str">
        <f>IF('Phytopl Count'!V117=0,"",('Phytopl Analysis'!V117*LN('Phytopl Analysis'!V117)))</f>
        <v/>
      </c>
      <c r="W117" s="21" t="str">
        <f>IF('Phytopl Count'!W117=0,"",('Phytopl Analysis'!W117*LN('Phytopl Analysis'!W117)))</f>
        <v/>
      </c>
      <c r="X117" s="21" t="str">
        <f>IF('Phytopl Count'!X117=0,"",('Phytopl Analysis'!X117*LN('Phytopl Analysis'!X117)))</f>
        <v/>
      </c>
      <c r="Y117" s="58" t="str">
        <f>IF('Phytopl Count'!Y117=0,"",('Phytopl Analysis'!Y117*LN('Phytopl Analysis'!Y117)))</f>
        <v/>
      </c>
      <c r="Z117" s="58" t="str">
        <f>IF('Phytopl Count'!Z117=0,"",('Phytopl Analysis'!Z117*LN('Phytopl Analysis'!Z117)))</f>
        <v/>
      </c>
      <c r="AA117" s="21" t="str">
        <f>IF('Phytopl Count'!AA117=0,"",('Phytopl Analysis'!AA117*LN('Phytopl Analysis'!AA117)))</f>
        <v/>
      </c>
      <c r="AB117" s="21" t="str">
        <f>IF('Phytopl Count'!AB117=0,"",('Phytopl Analysis'!AB117*LN('Phytopl Analysis'!AB117)))</f>
        <v/>
      </c>
      <c r="AC117" s="58" t="str">
        <f>IF('Phytopl Count'!AC117=0,"",('Phytopl Analysis'!AC117*LN('Phytopl Analysis'!AC117)))</f>
        <v/>
      </c>
      <c r="AD117" s="58" t="str">
        <f>IF('Phytopl Count'!AD117=0,"",('Phytopl Analysis'!AD117*LN('Phytopl Analysis'!AD117)))</f>
        <v/>
      </c>
      <c r="AE117" s="21" t="str">
        <f>IF('Phytopl Count'!AE117=0,"",('Phytopl Analysis'!AE117*LN('Phytopl Analysis'!AE117)))</f>
        <v/>
      </c>
      <c r="AF117" s="58" t="str">
        <f>IF('Phytopl Count'!AF117=0,"",('Phytopl Analysis'!AF117*LN('Phytopl Analysis'!AF117)))</f>
        <v/>
      </c>
    </row>
    <row r="118" spans="1:32" hidden="1">
      <c r="A118" s="4"/>
      <c r="B118" s="4"/>
      <c r="C118" s="4"/>
      <c r="D118" s="10" t="s">
        <v>5</v>
      </c>
      <c r="E118" s="12" t="s">
        <v>302</v>
      </c>
      <c r="F118" s="11"/>
      <c r="G118" s="21" t="str">
        <f>IF('Phytopl Count'!G118=0,"",('Phytopl Analysis'!G118*LN('Phytopl Analysis'!G118)))</f>
        <v/>
      </c>
      <c r="H118" s="21" t="str">
        <f>IF('Phytopl Count'!H118=0,"",('Phytopl Analysis'!H118*LN('Phytopl Analysis'!H118)))</f>
        <v/>
      </c>
      <c r="I118" s="58" t="str">
        <f>IF('Phytopl Count'!I118=0,"",('Phytopl Analysis'!I118*LN('Phytopl Analysis'!I118)))</f>
        <v/>
      </c>
      <c r="J118" s="58" t="str">
        <f>IF('Phytopl Count'!J118=0,"",('Phytopl Analysis'!J118*LN('Phytopl Analysis'!J118)))</f>
        <v/>
      </c>
      <c r="K118" s="21" t="str">
        <f>IF('Phytopl Count'!K118=0,"",('Phytopl Analysis'!K118*LN('Phytopl Analysis'!K118)))</f>
        <v/>
      </c>
      <c r="L118" s="21" t="str">
        <f>IF('Phytopl Count'!L118=0,"",('Phytopl Analysis'!L118*LN('Phytopl Analysis'!L118)))</f>
        <v/>
      </c>
      <c r="M118" s="58" t="str">
        <f>IF('Phytopl Count'!M118=0,"",('Phytopl Analysis'!M118*LN('Phytopl Analysis'!M118)))</f>
        <v/>
      </c>
      <c r="N118" s="58" t="str">
        <f>IF('Phytopl Count'!N118=0,"",('Phytopl Analysis'!N118*LN('Phytopl Analysis'!N118)))</f>
        <v/>
      </c>
      <c r="O118" s="21" t="str">
        <f>IF('Phytopl Count'!O118=0,"",('Phytopl Analysis'!O118*LN('Phytopl Analysis'!O118)))</f>
        <v/>
      </c>
      <c r="P118" s="21" t="str">
        <f>IF('Phytopl Count'!P118=0,"",('Phytopl Analysis'!P118*LN('Phytopl Analysis'!P118)))</f>
        <v/>
      </c>
      <c r="Q118" s="58" t="str">
        <f>IF('Phytopl Count'!Q118=0,"",('Phytopl Analysis'!Q118*LN('Phytopl Analysis'!Q118)))</f>
        <v/>
      </c>
      <c r="R118" s="58" t="str">
        <f>IF('Phytopl Count'!R118=0,"",('Phytopl Analysis'!R118*LN('Phytopl Analysis'!R118)))</f>
        <v/>
      </c>
      <c r="S118" s="21" t="str">
        <f>IF('Phytopl Count'!S118=0,"",('Phytopl Analysis'!S118*LN('Phytopl Analysis'!S118)))</f>
        <v/>
      </c>
      <c r="T118" s="21" t="str">
        <f>IF('Phytopl Count'!T118=0,"",('Phytopl Analysis'!T118*LN('Phytopl Analysis'!T118)))</f>
        <v/>
      </c>
      <c r="U118" s="58" t="str">
        <f>IF('Phytopl Count'!U118=0,"",('Phytopl Analysis'!U118*LN('Phytopl Analysis'!U118)))</f>
        <v/>
      </c>
      <c r="V118" s="58" t="str">
        <f>IF('Phytopl Count'!V118=0,"",('Phytopl Analysis'!V118*LN('Phytopl Analysis'!V118)))</f>
        <v/>
      </c>
      <c r="W118" s="21" t="str">
        <f>IF('Phytopl Count'!W118=0,"",('Phytopl Analysis'!W118*LN('Phytopl Analysis'!W118)))</f>
        <v/>
      </c>
      <c r="X118" s="21" t="str">
        <f>IF('Phytopl Count'!X118=0,"",('Phytopl Analysis'!X118*LN('Phytopl Analysis'!X118)))</f>
        <v/>
      </c>
      <c r="Y118" s="58" t="str">
        <f>IF('Phytopl Count'!Y118=0,"",('Phytopl Analysis'!Y118*LN('Phytopl Analysis'!Y118)))</f>
        <v/>
      </c>
      <c r="Z118" s="58" t="str">
        <f>IF('Phytopl Count'!Z118=0,"",('Phytopl Analysis'!Z118*LN('Phytopl Analysis'!Z118)))</f>
        <v/>
      </c>
      <c r="AA118" s="21" t="str">
        <f>IF('Phytopl Count'!AA118=0,"",('Phytopl Analysis'!AA118*LN('Phytopl Analysis'!AA118)))</f>
        <v/>
      </c>
      <c r="AB118" s="21" t="str">
        <f>IF('Phytopl Count'!AB118=0,"",('Phytopl Analysis'!AB118*LN('Phytopl Analysis'!AB118)))</f>
        <v/>
      </c>
      <c r="AC118" s="58" t="str">
        <f>IF('Phytopl Count'!AC118=0,"",('Phytopl Analysis'!AC118*LN('Phytopl Analysis'!AC118)))</f>
        <v/>
      </c>
      <c r="AD118" s="58" t="str">
        <f>IF('Phytopl Count'!AD118=0,"",('Phytopl Analysis'!AD118*LN('Phytopl Analysis'!AD118)))</f>
        <v/>
      </c>
      <c r="AE118" s="21" t="str">
        <f>IF('Phytopl Count'!AE118=0,"",('Phytopl Analysis'!AE118*LN('Phytopl Analysis'!AE118)))</f>
        <v/>
      </c>
      <c r="AF118" s="58" t="str">
        <f>IF('Phytopl Count'!AF118=0,"",('Phytopl Analysis'!AF118*LN('Phytopl Analysis'!AF118)))</f>
        <v/>
      </c>
    </row>
    <row r="119" spans="1:32" hidden="1">
      <c r="A119" s="4"/>
      <c r="B119" s="4"/>
      <c r="C119" s="4"/>
      <c r="D119" s="5"/>
      <c r="E119" s="10" t="s">
        <v>6</v>
      </c>
      <c r="F119" s="11" t="s">
        <v>247</v>
      </c>
      <c r="G119" s="21" t="str">
        <f>IF('Phytopl Count'!G119=0,"",('Phytopl Analysis'!G119*LN('Phytopl Analysis'!G119)))</f>
        <v/>
      </c>
      <c r="H119" s="21" t="str">
        <f>IF('Phytopl Count'!H119=0,"",('Phytopl Analysis'!H119*LN('Phytopl Analysis'!H119)))</f>
        <v/>
      </c>
      <c r="I119" s="58" t="str">
        <f>IF('Phytopl Count'!I119=0,"",('Phytopl Analysis'!I119*LN('Phytopl Analysis'!I119)))</f>
        <v/>
      </c>
      <c r="J119" s="58" t="str">
        <f>IF('Phytopl Count'!J119=0,"",('Phytopl Analysis'!J119*LN('Phytopl Analysis'!J119)))</f>
        <v/>
      </c>
      <c r="K119" s="21" t="str">
        <f>IF('Phytopl Count'!K119=0,"",('Phytopl Analysis'!K119*LN('Phytopl Analysis'!K119)))</f>
        <v/>
      </c>
      <c r="L119" s="21" t="str">
        <f>IF('Phytopl Count'!L119=0,"",('Phytopl Analysis'!L119*LN('Phytopl Analysis'!L119)))</f>
        <v/>
      </c>
      <c r="M119" s="58" t="str">
        <f>IF('Phytopl Count'!M119=0,"",('Phytopl Analysis'!M119*LN('Phytopl Analysis'!M119)))</f>
        <v/>
      </c>
      <c r="N119" s="58" t="str">
        <f>IF('Phytopl Count'!N119=0,"",('Phytopl Analysis'!N119*LN('Phytopl Analysis'!N119)))</f>
        <v/>
      </c>
      <c r="O119" s="21" t="str">
        <f>IF('Phytopl Count'!O119=0,"",('Phytopl Analysis'!O119*LN('Phytopl Analysis'!O119)))</f>
        <v/>
      </c>
      <c r="P119" s="21" t="str">
        <f>IF('Phytopl Count'!P119=0,"",('Phytopl Analysis'!P119*LN('Phytopl Analysis'!P119)))</f>
        <v/>
      </c>
      <c r="Q119" s="58" t="str">
        <f>IF('Phytopl Count'!Q119=0,"",('Phytopl Analysis'!Q119*LN('Phytopl Analysis'!Q119)))</f>
        <v/>
      </c>
      <c r="R119" s="58" t="str">
        <f>IF('Phytopl Count'!R119=0,"",('Phytopl Analysis'!R119*LN('Phytopl Analysis'!R119)))</f>
        <v/>
      </c>
      <c r="S119" s="21" t="str">
        <f>IF('Phytopl Count'!S119=0,"",('Phytopl Analysis'!S119*LN('Phytopl Analysis'!S119)))</f>
        <v/>
      </c>
      <c r="T119" s="21" t="str">
        <f>IF('Phytopl Count'!T119=0,"",('Phytopl Analysis'!T119*LN('Phytopl Analysis'!T119)))</f>
        <v/>
      </c>
      <c r="U119" s="58" t="str">
        <f>IF('Phytopl Count'!U119=0,"",('Phytopl Analysis'!U119*LN('Phytopl Analysis'!U119)))</f>
        <v/>
      </c>
      <c r="V119" s="58" t="str">
        <f>IF('Phytopl Count'!V119=0,"",('Phytopl Analysis'!V119*LN('Phytopl Analysis'!V119)))</f>
        <v/>
      </c>
      <c r="W119" s="21" t="str">
        <f>IF('Phytopl Count'!W119=0,"",('Phytopl Analysis'!W119*LN('Phytopl Analysis'!W119)))</f>
        <v/>
      </c>
      <c r="X119" s="21" t="str">
        <f>IF('Phytopl Count'!X119=0,"",('Phytopl Analysis'!X119*LN('Phytopl Analysis'!X119)))</f>
        <v/>
      </c>
      <c r="Y119" s="58" t="str">
        <f>IF('Phytopl Count'!Y119=0,"",('Phytopl Analysis'!Y119*LN('Phytopl Analysis'!Y119)))</f>
        <v/>
      </c>
      <c r="Z119" s="58" t="str">
        <f>IF('Phytopl Count'!Z119=0,"",('Phytopl Analysis'!Z119*LN('Phytopl Analysis'!Z119)))</f>
        <v/>
      </c>
      <c r="AA119" s="21" t="str">
        <f>IF('Phytopl Count'!AA119=0,"",('Phytopl Analysis'!AA119*LN('Phytopl Analysis'!AA119)))</f>
        <v/>
      </c>
      <c r="AB119" s="21" t="str">
        <f>IF('Phytopl Count'!AB119=0,"",('Phytopl Analysis'!AB119*LN('Phytopl Analysis'!AB119)))</f>
        <v/>
      </c>
      <c r="AC119" s="58" t="str">
        <f>IF('Phytopl Count'!AC119=0,"",('Phytopl Analysis'!AC119*LN('Phytopl Analysis'!AC119)))</f>
        <v/>
      </c>
      <c r="AD119" s="58" t="str">
        <f>IF('Phytopl Count'!AD119=0,"",('Phytopl Analysis'!AD119*LN('Phytopl Analysis'!AD119)))</f>
        <v/>
      </c>
      <c r="AE119" s="21" t="str">
        <f>IF('Phytopl Count'!AE119=0,"",('Phytopl Analysis'!AE119*LN('Phytopl Analysis'!AE119)))</f>
        <v/>
      </c>
      <c r="AF119" s="58" t="str">
        <f>IF('Phytopl Count'!AF119=0,"",('Phytopl Analysis'!AF119*LN('Phytopl Analysis'!AF119)))</f>
        <v/>
      </c>
    </row>
    <row r="120" spans="1:32" hidden="1">
      <c r="A120" s="16"/>
      <c r="B120" s="16"/>
      <c r="C120" s="16" t="s">
        <v>73</v>
      </c>
      <c r="D120" s="4" t="s">
        <v>77</v>
      </c>
      <c r="E120" s="4"/>
      <c r="F120" s="59"/>
      <c r="G120" s="21" t="str">
        <f>IF('Phytopl Count'!G120=0,"",('Phytopl Analysis'!G120*LN('Phytopl Analysis'!G120)))</f>
        <v/>
      </c>
      <c r="H120" s="21" t="str">
        <f>IF('Phytopl Count'!H120=0,"",('Phytopl Analysis'!H120*LN('Phytopl Analysis'!H120)))</f>
        <v/>
      </c>
      <c r="I120" s="58" t="str">
        <f>IF('Phytopl Count'!I120=0,"",('Phytopl Analysis'!I120*LN('Phytopl Analysis'!I120)))</f>
        <v/>
      </c>
      <c r="J120" s="58" t="str">
        <f>IF('Phytopl Count'!J120=0,"",('Phytopl Analysis'!J120*LN('Phytopl Analysis'!J120)))</f>
        <v/>
      </c>
      <c r="K120" s="21" t="str">
        <f>IF('Phytopl Count'!K120=0,"",('Phytopl Analysis'!K120*LN('Phytopl Analysis'!K120)))</f>
        <v/>
      </c>
      <c r="L120" s="21" t="str">
        <f>IF('Phytopl Count'!L120=0,"",('Phytopl Analysis'!L120*LN('Phytopl Analysis'!L120)))</f>
        <v/>
      </c>
      <c r="M120" s="58" t="str">
        <f>IF('Phytopl Count'!M120=0,"",('Phytopl Analysis'!M120*LN('Phytopl Analysis'!M120)))</f>
        <v/>
      </c>
      <c r="N120" s="58" t="str">
        <f>IF('Phytopl Count'!N120=0,"",('Phytopl Analysis'!N120*LN('Phytopl Analysis'!N120)))</f>
        <v/>
      </c>
      <c r="O120" s="21" t="str">
        <f>IF('Phytopl Count'!O120=0,"",('Phytopl Analysis'!O120*LN('Phytopl Analysis'!O120)))</f>
        <v/>
      </c>
      <c r="P120" s="21" t="str">
        <f>IF('Phytopl Count'!P120=0,"",('Phytopl Analysis'!P120*LN('Phytopl Analysis'!P120)))</f>
        <v/>
      </c>
      <c r="Q120" s="58" t="str">
        <f>IF('Phytopl Count'!Q120=0,"",('Phytopl Analysis'!Q120*LN('Phytopl Analysis'!Q120)))</f>
        <v/>
      </c>
      <c r="R120" s="58" t="str">
        <f>IF('Phytopl Count'!R120=0,"",('Phytopl Analysis'!R120*LN('Phytopl Analysis'!R120)))</f>
        <v/>
      </c>
      <c r="S120" s="21" t="str">
        <f>IF('Phytopl Count'!S120=0,"",('Phytopl Analysis'!S120*LN('Phytopl Analysis'!S120)))</f>
        <v/>
      </c>
      <c r="T120" s="21" t="str">
        <f>IF('Phytopl Count'!T120=0,"",('Phytopl Analysis'!T120*LN('Phytopl Analysis'!T120)))</f>
        <v/>
      </c>
      <c r="U120" s="58" t="str">
        <f>IF('Phytopl Count'!U120=0,"",('Phytopl Analysis'!U120*LN('Phytopl Analysis'!U120)))</f>
        <v/>
      </c>
      <c r="V120" s="58" t="str">
        <f>IF('Phytopl Count'!V120=0,"",('Phytopl Analysis'!V120*LN('Phytopl Analysis'!V120)))</f>
        <v/>
      </c>
      <c r="W120" s="21" t="str">
        <f>IF('Phytopl Count'!W120=0,"",('Phytopl Analysis'!W120*LN('Phytopl Analysis'!W120)))</f>
        <v/>
      </c>
      <c r="X120" s="21" t="str">
        <f>IF('Phytopl Count'!X120=0,"",('Phytopl Analysis'!X120*LN('Phytopl Analysis'!X120)))</f>
        <v/>
      </c>
      <c r="Y120" s="58" t="str">
        <f>IF('Phytopl Count'!Y120=0,"",('Phytopl Analysis'!Y120*LN('Phytopl Analysis'!Y120)))</f>
        <v/>
      </c>
      <c r="Z120" s="58" t="str">
        <f>IF('Phytopl Count'!Z120=0,"",('Phytopl Analysis'!Z120*LN('Phytopl Analysis'!Z120)))</f>
        <v/>
      </c>
      <c r="AA120" s="21" t="str">
        <f>IF('Phytopl Count'!AA120=0,"",('Phytopl Analysis'!AA120*LN('Phytopl Analysis'!AA120)))</f>
        <v/>
      </c>
      <c r="AB120" s="21" t="str">
        <f>IF('Phytopl Count'!AB120=0,"",('Phytopl Analysis'!AB120*LN('Phytopl Analysis'!AB120)))</f>
        <v/>
      </c>
      <c r="AC120" s="58" t="str">
        <f>IF('Phytopl Count'!AC120=0,"",('Phytopl Analysis'!AC120*LN('Phytopl Analysis'!AC120)))</f>
        <v/>
      </c>
      <c r="AD120" s="58" t="str">
        <f>IF('Phytopl Count'!AD120=0,"",('Phytopl Analysis'!AD120*LN('Phytopl Analysis'!AD120)))</f>
        <v/>
      </c>
      <c r="AE120" s="21" t="str">
        <f>IF('Phytopl Count'!AE120=0,"",('Phytopl Analysis'!AE120*LN('Phytopl Analysis'!AE120)))</f>
        <v/>
      </c>
      <c r="AF120" s="58" t="str">
        <f>IF('Phytopl Count'!AF120=0,"",('Phytopl Analysis'!AF120*LN('Phytopl Analysis'!AF120)))</f>
        <v/>
      </c>
    </row>
    <row r="121" spans="1:32" hidden="1">
      <c r="A121" s="4"/>
      <c r="B121" s="16"/>
      <c r="C121" s="16"/>
      <c r="D121" s="10" t="s">
        <v>5</v>
      </c>
      <c r="E121" s="120" t="s">
        <v>288</v>
      </c>
      <c r="F121" s="114"/>
      <c r="G121" s="21" t="str">
        <f>IF('Phytopl Count'!G121=0,"",('Phytopl Analysis'!G121*LN('Phytopl Analysis'!G121)))</f>
        <v/>
      </c>
      <c r="H121" s="21" t="str">
        <f>IF('Phytopl Count'!H121=0,"",('Phytopl Analysis'!H121*LN('Phytopl Analysis'!H121)))</f>
        <v/>
      </c>
      <c r="I121" s="58" t="str">
        <f>IF('Phytopl Count'!I121=0,"",('Phytopl Analysis'!I121*LN('Phytopl Analysis'!I121)))</f>
        <v/>
      </c>
      <c r="J121" s="58" t="str">
        <f>IF('Phytopl Count'!J121=0,"",('Phytopl Analysis'!J121*LN('Phytopl Analysis'!J121)))</f>
        <v/>
      </c>
      <c r="K121" s="21" t="str">
        <f>IF('Phytopl Count'!K121=0,"",('Phytopl Analysis'!K121*LN('Phytopl Analysis'!K121)))</f>
        <v/>
      </c>
      <c r="L121" s="21" t="str">
        <f>IF('Phytopl Count'!L121=0,"",('Phytopl Analysis'!L121*LN('Phytopl Analysis'!L121)))</f>
        <v/>
      </c>
      <c r="M121" s="58" t="str">
        <f>IF('Phytopl Count'!M121=0,"",('Phytopl Analysis'!M121*LN('Phytopl Analysis'!M121)))</f>
        <v/>
      </c>
      <c r="N121" s="58" t="str">
        <f>IF('Phytopl Count'!N121=0,"",('Phytopl Analysis'!N121*LN('Phytopl Analysis'!N121)))</f>
        <v/>
      </c>
      <c r="O121" s="21" t="str">
        <f>IF('Phytopl Count'!O121=0,"",('Phytopl Analysis'!O121*LN('Phytopl Analysis'!O121)))</f>
        <v/>
      </c>
      <c r="P121" s="21" t="str">
        <f>IF('Phytopl Count'!P121=0,"",('Phytopl Analysis'!P121*LN('Phytopl Analysis'!P121)))</f>
        <v/>
      </c>
      <c r="Q121" s="58" t="str">
        <f>IF('Phytopl Count'!Q121=0,"",('Phytopl Analysis'!Q121*LN('Phytopl Analysis'!Q121)))</f>
        <v/>
      </c>
      <c r="R121" s="58" t="str">
        <f>IF('Phytopl Count'!R121=0,"",('Phytopl Analysis'!R121*LN('Phytopl Analysis'!R121)))</f>
        <v/>
      </c>
      <c r="S121" s="21" t="str">
        <f>IF('Phytopl Count'!S121=0,"",('Phytopl Analysis'!S121*LN('Phytopl Analysis'!S121)))</f>
        <v/>
      </c>
      <c r="T121" s="21" t="str">
        <f>IF('Phytopl Count'!T121=0,"",('Phytopl Analysis'!T121*LN('Phytopl Analysis'!T121)))</f>
        <v/>
      </c>
      <c r="U121" s="58" t="str">
        <f>IF('Phytopl Count'!U121=0,"",('Phytopl Analysis'!U121*LN('Phytopl Analysis'!U121)))</f>
        <v/>
      </c>
      <c r="V121" s="58" t="str">
        <f>IF('Phytopl Count'!V121=0,"",('Phytopl Analysis'!V121*LN('Phytopl Analysis'!V121)))</f>
        <v/>
      </c>
      <c r="W121" s="21" t="str">
        <f>IF('Phytopl Count'!W121=0,"",('Phytopl Analysis'!W121*LN('Phytopl Analysis'!W121)))</f>
        <v/>
      </c>
      <c r="X121" s="21" t="str">
        <f>IF('Phytopl Count'!X121=0,"",('Phytopl Analysis'!X121*LN('Phytopl Analysis'!X121)))</f>
        <v/>
      </c>
      <c r="Y121" s="58" t="str">
        <f>IF('Phytopl Count'!Y121=0,"",('Phytopl Analysis'!Y121*LN('Phytopl Analysis'!Y121)))</f>
        <v/>
      </c>
      <c r="Z121" s="58" t="str">
        <f>IF('Phytopl Count'!Z121=0,"",('Phytopl Analysis'!Z121*LN('Phytopl Analysis'!Z121)))</f>
        <v/>
      </c>
      <c r="AA121" s="21" t="str">
        <f>IF('Phytopl Count'!AA121=0,"",('Phytopl Analysis'!AA121*LN('Phytopl Analysis'!AA121)))</f>
        <v/>
      </c>
      <c r="AB121" s="21" t="str">
        <f>IF('Phytopl Count'!AB121=0,"",('Phytopl Analysis'!AB121*LN('Phytopl Analysis'!AB121)))</f>
        <v/>
      </c>
      <c r="AC121" s="58" t="str">
        <f>IF('Phytopl Count'!AC121=0,"",('Phytopl Analysis'!AC121*LN('Phytopl Analysis'!AC121)))</f>
        <v/>
      </c>
      <c r="AD121" s="58" t="str">
        <f>IF('Phytopl Count'!AD121=0,"",('Phytopl Analysis'!AD121*LN('Phytopl Analysis'!AD121)))</f>
        <v/>
      </c>
      <c r="AE121" s="21" t="str">
        <f>IF('Phytopl Count'!AE121=0,"",('Phytopl Analysis'!AE121*LN('Phytopl Analysis'!AE121)))</f>
        <v/>
      </c>
      <c r="AF121" s="58" t="str">
        <f>IF('Phytopl Count'!AF121=0,"",('Phytopl Analysis'!AF121*LN('Phytopl Analysis'!AF121)))</f>
        <v/>
      </c>
    </row>
    <row r="122" spans="1:32" hidden="1">
      <c r="A122" s="16"/>
      <c r="B122" s="4"/>
      <c r="C122" s="4"/>
      <c r="D122" s="5"/>
      <c r="E122" s="10" t="s">
        <v>6</v>
      </c>
      <c r="F122" s="11" t="s">
        <v>289</v>
      </c>
      <c r="G122" s="21" t="str">
        <f>IF('Phytopl Count'!G122=0,"",('Phytopl Analysis'!G122*LN('Phytopl Analysis'!G122)))</f>
        <v/>
      </c>
      <c r="H122" s="21" t="str">
        <f>IF('Phytopl Count'!H122=0,"",('Phytopl Analysis'!H122*LN('Phytopl Analysis'!H122)))</f>
        <v/>
      </c>
      <c r="I122" s="58" t="str">
        <f>IF('Phytopl Count'!I122=0,"",('Phytopl Analysis'!I122*LN('Phytopl Analysis'!I122)))</f>
        <v/>
      </c>
      <c r="J122" s="58" t="str">
        <f>IF('Phytopl Count'!J122=0,"",('Phytopl Analysis'!J122*LN('Phytopl Analysis'!J122)))</f>
        <v/>
      </c>
      <c r="K122" s="21" t="str">
        <f>IF('Phytopl Count'!K122=0,"",('Phytopl Analysis'!K122*LN('Phytopl Analysis'!K122)))</f>
        <v/>
      </c>
      <c r="L122" s="21" t="str">
        <f>IF('Phytopl Count'!L122=0,"",('Phytopl Analysis'!L122*LN('Phytopl Analysis'!L122)))</f>
        <v/>
      </c>
      <c r="M122" s="58" t="str">
        <f>IF('Phytopl Count'!M122=0,"",('Phytopl Analysis'!M122*LN('Phytopl Analysis'!M122)))</f>
        <v/>
      </c>
      <c r="N122" s="58" t="str">
        <f>IF('Phytopl Count'!N122=0,"",('Phytopl Analysis'!N122*LN('Phytopl Analysis'!N122)))</f>
        <v/>
      </c>
      <c r="O122" s="21" t="str">
        <f>IF('Phytopl Count'!O122=0,"",('Phytopl Analysis'!O122*LN('Phytopl Analysis'!O122)))</f>
        <v/>
      </c>
      <c r="P122" s="21" t="str">
        <f>IF('Phytopl Count'!P122=0,"",('Phytopl Analysis'!P122*LN('Phytopl Analysis'!P122)))</f>
        <v/>
      </c>
      <c r="Q122" s="58" t="str">
        <f>IF('Phytopl Count'!Q122=0,"",('Phytopl Analysis'!Q122*LN('Phytopl Analysis'!Q122)))</f>
        <v/>
      </c>
      <c r="R122" s="58" t="str">
        <f>IF('Phytopl Count'!R122=0,"",('Phytopl Analysis'!R122*LN('Phytopl Analysis'!R122)))</f>
        <v/>
      </c>
      <c r="S122" s="21" t="str">
        <f>IF('Phytopl Count'!S122=0,"",('Phytopl Analysis'!S122*LN('Phytopl Analysis'!S122)))</f>
        <v/>
      </c>
      <c r="T122" s="21" t="str">
        <f>IF('Phytopl Count'!T122=0,"",('Phytopl Analysis'!T122*LN('Phytopl Analysis'!T122)))</f>
        <v/>
      </c>
      <c r="U122" s="58" t="str">
        <f>IF('Phytopl Count'!U122=0,"",('Phytopl Analysis'!U122*LN('Phytopl Analysis'!U122)))</f>
        <v/>
      </c>
      <c r="V122" s="58" t="str">
        <f>IF('Phytopl Count'!V122=0,"",('Phytopl Analysis'!V122*LN('Phytopl Analysis'!V122)))</f>
        <v/>
      </c>
      <c r="W122" s="21" t="str">
        <f>IF('Phytopl Count'!W122=0,"",('Phytopl Analysis'!W122*LN('Phytopl Analysis'!W122)))</f>
        <v/>
      </c>
      <c r="X122" s="21" t="str">
        <f>IF('Phytopl Count'!X122=0,"",('Phytopl Analysis'!X122*LN('Phytopl Analysis'!X122)))</f>
        <v/>
      </c>
      <c r="Y122" s="58" t="str">
        <f>IF('Phytopl Count'!Y122=0,"",('Phytopl Analysis'!Y122*LN('Phytopl Analysis'!Y122)))</f>
        <v/>
      </c>
      <c r="Z122" s="58" t="str">
        <f>IF('Phytopl Count'!Z122=0,"",('Phytopl Analysis'!Z122*LN('Phytopl Analysis'!Z122)))</f>
        <v/>
      </c>
      <c r="AA122" s="21" t="str">
        <f>IF('Phytopl Count'!AA122=0,"",('Phytopl Analysis'!AA122*LN('Phytopl Analysis'!AA122)))</f>
        <v/>
      </c>
      <c r="AB122" s="21" t="str">
        <f>IF('Phytopl Count'!AB122=0,"",('Phytopl Analysis'!AB122*LN('Phytopl Analysis'!AB122)))</f>
        <v/>
      </c>
      <c r="AC122" s="58" t="str">
        <f>IF('Phytopl Count'!AC122=0,"",('Phytopl Analysis'!AC122*LN('Phytopl Analysis'!AC122)))</f>
        <v/>
      </c>
      <c r="AD122" s="58" t="str">
        <f>IF('Phytopl Count'!AD122=0,"",('Phytopl Analysis'!AD122*LN('Phytopl Analysis'!AD122)))</f>
        <v/>
      </c>
      <c r="AE122" s="21" t="str">
        <f>IF('Phytopl Count'!AE122=0,"",('Phytopl Analysis'!AE122*LN('Phytopl Analysis'!AE122)))</f>
        <v/>
      </c>
      <c r="AF122" s="58" t="str">
        <f>IF('Phytopl Count'!AF122=0,"",('Phytopl Analysis'!AF122*LN('Phytopl Analysis'!AF122)))</f>
        <v/>
      </c>
    </row>
    <row r="123" spans="1:32" hidden="1">
      <c r="A123" s="16"/>
      <c r="B123" s="16"/>
      <c r="C123" s="16"/>
      <c r="D123" s="10" t="s">
        <v>5</v>
      </c>
      <c r="E123" s="85" t="s">
        <v>102</v>
      </c>
      <c r="F123" s="9"/>
      <c r="G123" s="21" t="str">
        <f>IF('Phytopl Count'!G123=0,"",('Phytopl Analysis'!G123*LN('Phytopl Analysis'!G123)))</f>
        <v/>
      </c>
      <c r="H123" s="21" t="str">
        <f>IF('Phytopl Count'!H123=0,"",('Phytopl Analysis'!H123*LN('Phytopl Analysis'!H123)))</f>
        <v/>
      </c>
      <c r="I123" s="58" t="str">
        <f>IF('Phytopl Count'!I123=0,"",('Phytopl Analysis'!I123*LN('Phytopl Analysis'!I123)))</f>
        <v/>
      </c>
      <c r="J123" s="58" t="str">
        <f>IF('Phytopl Count'!J123=0,"",('Phytopl Analysis'!J123*LN('Phytopl Analysis'!J123)))</f>
        <v/>
      </c>
      <c r="K123" s="21" t="str">
        <f>IF('Phytopl Count'!K123=0,"",('Phytopl Analysis'!K123*LN('Phytopl Analysis'!K123)))</f>
        <v/>
      </c>
      <c r="L123" s="21" t="str">
        <f>IF('Phytopl Count'!L123=0,"",('Phytopl Analysis'!L123*LN('Phytopl Analysis'!L123)))</f>
        <v/>
      </c>
      <c r="M123" s="58" t="str">
        <f>IF('Phytopl Count'!M123=0,"",('Phytopl Analysis'!M123*LN('Phytopl Analysis'!M123)))</f>
        <v/>
      </c>
      <c r="N123" s="58" t="str">
        <f>IF('Phytopl Count'!N123=0,"",('Phytopl Analysis'!N123*LN('Phytopl Analysis'!N123)))</f>
        <v/>
      </c>
      <c r="O123" s="21" t="str">
        <f>IF('Phytopl Count'!O123=0,"",('Phytopl Analysis'!O123*LN('Phytopl Analysis'!O123)))</f>
        <v/>
      </c>
      <c r="P123" s="21" t="str">
        <f>IF('Phytopl Count'!P123=0,"",('Phytopl Analysis'!P123*LN('Phytopl Analysis'!P123)))</f>
        <v/>
      </c>
      <c r="Q123" s="58" t="str">
        <f>IF('Phytopl Count'!Q123=0,"",('Phytopl Analysis'!Q123*LN('Phytopl Analysis'!Q123)))</f>
        <v/>
      </c>
      <c r="R123" s="58" t="str">
        <f>IF('Phytopl Count'!R123=0,"",('Phytopl Analysis'!R123*LN('Phytopl Analysis'!R123)))</f>
        <v/>
      </c>
      <c r="S123" s="21" t="str">
        <f>IF('Phytopl Count'!S123=0,"",('Phytopl Analysis'!S123*LN('Phytopl Analysis'!S123)))</f>
        <v/>
      </c>
      <c r="T123" s="21" t="str">
        <f>IF('Phytopl Count'!T123=0,"",('Phytopl Analysis'!T123*LN('Phytopl Analysis'!T123)))</f>
        <v/>
      </c>
      <c r="U123" s="58" t="str">
        <f>IF('Phytopl Count'!U123=0,"",('Phytopl Analysis'!U123*LN('Phytopl Analysis'!U123)))</f>
        <v/>
      </c>
      <c r="V123" s="58" t="str">
        <f>IF('Phytopl Count'!V123=0,"",('Phytopl Analysis'!V123*LN('Phytopl Analysis'!V123)))</f>
        <v/>
      </c>
      <c r="W123" s="21" t="str">
        <f>IF('Phytopl Count'!W123=0,"",('Phytopl Analysis'!W123*LN('Phytopl Analysis'!W123)))</f>
        <v/>
      </c>
      <c r="X123" s="21" t="str">
        <f>IF('Phytopl Count'!X123=0,"",('Phytopl Analysis'!X123*LN('Phytopl Analysis'!X123)))</f>
        <v/>
      </c>
      <c r="Y123" s="58" t="str">
        <f>IF('Phytopl Count'!Y123=0,"",('Phytopl Analysis'!Y123*LN('Phytopl Analysis'!Y123)))</f>
        <v/>
      </c>
      <c r="Z123" s="58" t="str">
        <f>IF('Phytopl Count'!Z123=0,"",('Phytopl Analysis'!Z123*LN('Phytopl Analysis'!Z123)))</f>
        <v/>
      </c>
      <c r="AA123" s="21" t="str">
        <f>IF('Phytopl Count'!AA123=0,"",('Phytopl Analysis'!AA123*LN('Phytopl Analysis'!AA123)))</f>
        <v/>
      </c>
      <c r="AB123" s="21" t="str">
        <f>IF('Phytopl Count'!AB123=0,"",('Phytopl Analysis'!AB123*LN('Phytopl Analysis'!AB123)))</f>
        <v/>
      </c>
      <c r="AC123" s="58" t="str">
        <f>IF('Phytopl Count'!AC123=0,"",('Phytopl Analysis'!AC123*LN('Phytopl Analysis'!AC123)))</f>
        <v/>
      </c>
      <c r="AD123" s="58" t="str">
        <f>IF('Phytopl Count'!AD123=0,"",('Phytopl Analysis'!AD123*LN('Phytopl Analysis'!AD123)))</f>
        <v/>
      </c>
      <c r="AE123" s="21" t="str">
        <f>IF('Phytopl Count'!AE123=0,"",('Phytopl Analysis'!AE123*LN('Phytopl Analysis'!AE123)))</f>
        <v/>
      </c>
      <c r="AF123" s="58" t="str">
        <f>IF('Phytopl Count'!AF123=0,"",('Phytopl Analysis'!AF123*LN('Phytopl Analysis'!AF123)))</f>
        <v/>
      </c>
    </row>
    <row r="124" spans="1:32" hidden="1">
      <c r="A124" s="4"/>
      <c r="B124" s="4"/>
      <c r="C124" s="4"/>
      <c r="D124" s="5"/>
      <c r="E124" s="10" t="s">
        <v>6</v>
      </c>
      <c r="F124" s="11" t="s">
        <v>15</v>
      </c>
      <c r="G124" s="21" t="str">
        <f>IF('Phytopl Count'!G124=0,"",('Phytopl Analysis'!G124*LN('Phytopl Analysis'!G124)))</f>
        <v/>
      </c>
      <c r="H124" s="21" t="str">
        <f>IF('Phytopl Count'!H124=0,"",('Phytopl Analysis'!H124*LN('Phytopl Analysis'!H124)))</f>
        <v/>
      </c>
      <c r="I124" s="58" t="str">
        <f>IF('Phytopl Count'!I124=0,"",('Phytopl Analysis'!I124*LN('Phytopl Analysis'!I124)))</f>
        <v/>
      </c>
      <c r="J124" s="58" t="str">
        <f>IF('Phytopl Count'!J124=0,"",('Phytopl Analysis'!J124*LN('Phytopl Analysis'!J124)))</f>
        <v/>
      </c>
      <c r="K124" s="21" t="str">
        <f>IF('Phytopl Count'!K124=0,"",('Phytopl Analysis'!K124*LN('Phytopl Analysis'!K124)))</f>
        <v/>
      </c>
      <c r="L124" s="21" t="str">
        <f>IF('Phytopl Count'!L124=0,"",('Phytopl Analysis'!L124*LN('Phytopl Analysis'!L124)))</f>
        <v/>
      </c>
      <c r="M124" s="58" t="str">
        <f>IF('Phytopl Count'!M124=0,"",('Phytopl Analysis'!M124*LN('Phytopl Analysis'!M124)))</f>
        <v/>
      </c>
      <c r="N124" s="58" t="str">
        <f>IF('Phytopl Count'!N124=0,"",('Phytopl Analysis'!N124*LN('Phytopl Analysis'!N124)))</f>
        <v/>
      </c>
      <c r="O124" s="21" t="str">
        <f>IF('Phytopl Count'!O124=0,"",('Phytopl Analysis'!O124*LN('Phytopl Analysis'!O124)))</f>
        <v/>
      </c>
      <c r="P124" s="21" t="str">
        <f>IF('Phytopl Count'!P124=0,"",('Phytopl Analysis'!P124*LN('Phytopl Analysis'!P124)))</f>
        <v/>
      </c>
      <c r="Q124" s="58" t="str">
        <f>IF('Phytopl Count'!Q124=0,"",('Phytopl Analysis'!Q124*LN('Phytopl Analysis'!Q124)))</f>
        <v/>
      </c>
      <c r="R124" s="58" t="str">
        <f>IF('Phytopl Count'!R124=0,"",('Phytopl Analysis'!R124*LN('Phytopl Analysis'!R124)))</f>
        <v/>
      </c>
      <c r="S124" s="21" t="str">
        <f>IF('Phytopl Count'!S124=0,"",('Phytopl Analysis'!S124*LN('Phytopl Analysis'!S124)))</f>
        <v/>
      </c>
      <c r="T124" s="21" t="str">
        <f>IF('Phytopl Count'!T124=0,"",('Phytopl Analysis'!T124*LN('Phytopl Analysis'!T124)))</f>
        <v/>
      </c>
      <c r="U124" s="58" t="str">
        <f>IF('Phytopl Count'!U124=0,"",('Phytopl Analysis'!U124*LN('Phytopl Analysis'!U124)))</f>
        <v/>
      </c>
      <c r="V124" s="58" t="str">
        <f>IF('Phytopl Count'!V124=0,"",('Phytopl Analysis'!V124*LN('Phytopl Analysis'!V124)))</f>
        <v/>
      </c>
      <c r="W124" s="21" t="str">
        <f>IF('Phytopl Count'!W124=0,"",('Phytopl Analysis'!W124*LN('Phytopl Analysis'!W124)))</f>
        <v/>
      </c>
      <c r="X124" s="21" t="str">
        <f>IF('Phytopl Count'!X124=0,"",('Phytopl Analysis'!X124*LN('Phytopl Analysis'!X124)))</f>
        <v/>
      </c>
      <c r="Y124" s="58" t="str">
        <f>IF('Phytopl Count'!Y124=0,"",('Phytopl Analysis'!Y124*LN('Phytopl Analysis'!Y124)))</f>
        <v/>
      </c>
      <c r="Z124" s="58" t="str">
        <f>IF('Phytopl Count'!Z124=0,"",('Phytopl Analysis'!Z124*LN('Phytopl Analysis'!Z124)))</f>
        <v/>
      </c>
      <c r="AA124" s="21" t="str">
        <f>IF('Phytopl Count'!AA124=0,"",('Phytopl Analysis'!AA124*LN('Phytopl Analysis'!AA124)))</f>
        <v/>
      </c>
      <c r="AB124" s="21" t="str">
        <f>IF('Phytopl Count'!AB124=0,"",('Phytopl Analysis'!AB124*LN('Phytopl Analysis'!AB124)))</f>
        <v/>
      </c>
      <c r="AC124" s="58" t="str">
        <f>IF('Phytopl Count'!AC124=0,"",('Phytopl Analysis'!AC124*LN('Phytopl Analysis'!AC124)))</f>
        <v/>
      </c>
      <c r="AD124" s="58" t="str">
        <f>IF('Phytopl Count'!AD124=0,"",('Phytopl Analysis'!AD124*LN('Phytopl Analysis'!AD124)))</f>
        <v/>
      </c>
      <c r="AE124" s="21" t="str">
        <f>IF('Phytopl Count'!AE124=0,"",('Phytopl Analysis'!AE124*LN('Phytopl Analysis'!AE124)))</f>
        <v/>
      </c>
      <c r="AF124" s="58" t="str">
        <f>IF('Phytopl Count'!AF124=0,"",('Phytopl Analysis'!AF124*LN('Phytopl Analysis'!AF124)))</f>
        <v/>
      </c>
    </row>
    <row r="125" spans="1:32" hidden="1">
      <c r="A125" s="4"/>
      <c r="B125" s="4"/>
      <c r="C125" s="4"/>
      <c r="D125" s="10" t="s">
        <v>5</v>
      </c>
      <c r="E125" s="5" t="s">
        <v>14</v>
      </c>
      <c r="F125" s="11"/>
      <c r="G125" s="21" t="str">
        <f>IF('Phytopl Count'!G125=0,"",('Phytopl Analysis'!G125*LN('Phytopl Analysis'!G125)))</f>
        <v/>
      </c>
      <c r="H125" s="21" t="str">
        <f>IF('Phytopl Count'!H125=0,"",('Phytopl Analysis'!H125*LN('Phytopl Analysis'!H125)))</f>
        <v/>
      </c>
      <c r="I125" s="58" t="str">
        <f>IF('Phytopl Count'!I125=0,"",('Phytopl Analysis'!I125*LN('Phytopl Analysis'!I125)))</f>
        <v/>
      </c>
      <c r="J125" s="58" t="str">
        <f>IF('Phytopl Count'!J125=0,"",('Phytopl Analysis'!J125*LN('Phytopl Analysis'!J125)))</f>
        <v/>
      </c>
      <c r="K125" s="21" t="str">
        <f>IF('Phytopl Count'!K125=0,"",('Phytopl Analysis'!K125*LN('Phytopl Analysis'!K125)))</f>
        <v/>
      </c>
      <c r="L125" s="21" t="str">
        <f>IF('Phytopl Count'!L125=0,"",('Phytopl Analysis'!L125*LN('Phytopl Analysis'!L125)))</f>
        <v/>
      </c>
      <c r="M125" s="58" t="str">
        <f>IF('Phytopl Count'!M125=0,"",('Phytopl Analysis'!M125*LN('Phytopl Analysis'!M125)))</f>
        <v/>
      </c>
      <c r="N125" s="58" t="str">
        <f>IF('Phytopl Count'!N125=0,"",('Phytopl Analysis'!N125*LN('Phytopl Analysis'!N125)))</f>
        <v/>
      </c>
      <c r="O125" s="21" t="str">
        <f>IF('Phytopl Count'!O125=0,"",('Phytopl Analysis'!O125*LN('Phytopl Analysis'!O125)))</f>
        <v/>
      </c>
      <c r="P125" s="21" t="str">
        <f>IF('Phytopl Count'!P125=0,"",('Phytopl Analysis'!P125*LN('Phytopl Analysis'!P125)))</f>
        <v/>
      </c>
      <c r="Q125" s="58" t="str">
        <f>IF('Phytopl Count'!Q125=0,"",('Phytopl Analysis'!Q125*LN('Phytopl Analysis'!Q125)))</f>
        <v/>
      </c>
      <c r="R125" s="58" t="str">
        <f>IF('Phytopl Count'!R125=0,"",('Phytopl Analysis'!R125*LN('Phytopl Analysis'!R125)))</f>
        <v/>
      </c>
      <c r="S125" s="21" t="str">
        <f>IF('Phytopl Count'!S125=0,"",('Phytopl Analysis'!S125*LN('Phytopl Analysis'!S125)))</f>
        <v/>
      </c>
      <c r="T125" s="21" t="str">
        <f>IF('Phytopl Count'!T125=0,"",('Phytopl Analysis'!T125*LN('Phytopl Analysis'!T125)))</f>
        <v/>
      </c>
      <c r="U125" s="58" t="str">
        <f>IF('Phytopl Count'!U125=0,"",('Phytopl Analysis'!U125*LN('Phytopl Analysis'!U125)))</f>
        <v/>
      </c>
      <c r="V125" s="58" t="str">
        <f>IF('Phytopl Count'!V125=0,"",('Phytopl Analysis'!V125*LN('Phytopl Analysis'!V125)))</f>
        <v/>
      </c>
      <c r="W125" s="21" t="str">
        <f>IF('Phytopl Count'!W125=0,"",('Phytopl Analysis'!W125*LN('Phytopl Analysis'!W125)))</f>
        <v/>
      </c>
      <c r="X125" s="21" t="str">
        <f>IF('Phytopl Count'!X125=0,"",('Phytopl Analysis'!X125*LN('Phytopl Analysis'!X125)))</f>
        <v/>
      </c>
      <c r="Y125" s="58" t="str">
        <f>IF('Phytopl Count'!Y125=0,"",('Phytopl Analysis'!Y125*LN('Phytopl Analysis'!Y125)))</f>
        <v/>
      </c>
      <c r="Z125" s="58" t="str">
        <f>IF('Phytopl Count'!Z125=0,"",('Phytopl Analysis'!Z125*LN('Phytopl Analysis'!Z125)))</f>
        <v/>
      </c>
      <c r="AA125" s="21" t="str">
        <f>IF('Phytopl Count'!AA125=0,"",('Phytopl Analysis'!AA125*LN('Phytopl Analysis'!AA125)))</f>
        <v/>
      </c>
      <c r="AB125" s="21" t="str">
        <f>IF('Phytopl Count'!AB125=0,"",('Phytopl Analysis'!AB125*LN('Phytopl Analysis'!AB125)))</f>
        <v/>
      </c>
      <c r="AC125" s="58" t="str">
        <f>IF('Phytopl Count'!AC125=0,"",('Phytopl Analysis'!AC125*LN('Phytopl Analysis'!AC125)))</f>
        <v/>
      </c>
      <c r="AD125" s="58" t="str">
        <f>IF('Phytopl Count'!AD125=0,"",('Phytopl Analysis'!AD125*LN('Phytopl Analysis'!AD125)))</f>
        <v/>
      </c>
      <c r="AE125" s="21" t="str">
        <f>IF('Phytopl Count'!AE125=0,"",('Phytopl Analysis'!AE125*LN('Phytopl Analysis'!AE125)))</f>
        <v/>
      </c>
      <c r="AF125" s="58" t="str">
        <f>IF('Phytopl Count'!AF125=0,"",('Phytopl Analysis'!AF125*LN('Phytopl Analysis'!AF125)))</f>
        <v/>
      </c>
    </row>
    <row r="126" spans="1:32" hidden="1">
      <c r="A126" s="4"/>
      <c r="B126" s="4"/>
      <c r="C126" s="4"/>
      <c r="D126" s="5"/>
      <c r="E126" s="10" t="s">
        <v>6</v>
      </c>
      <c r="F126" s="11" t="s">
        <v>16</v>
      </c>
      <c r="G126" s="21" t="str">
        <f>IF('Phytopl Count'!G126=0,"",('Phytopl Analysis'!G126*LN('Phytopl Analysis'!G126)))</f>
        <v/>
      </c>
      <c r="H126" s="21" t="str">
        <f>IF('Phytopl Count'!H126=0,"",('Phytopl Analysis'!H126*LN('Phytopl Analysis'!H126)))</f>
        <v/>
      </c>
      <c r="I126" s="58" t="str">
        <f>IF('Phytopl Count'!I126=0,"",('Phytopl Analysis'!I126*LN('Phytopl Analysis'!I126)))</f>
        <v/>
      </c>
      <c r="J126" s="58" t="str">
        <f>IF('Phytopl Count'!J126=0,"",('Phytopl Analysis'!J126*LN('Phytopl Analysis'!J126)))</f>
        <v/>
      </c>
      <c r="K126" s="21" t="str">
        <f>IF('Phytopl Count'!K126=0,"",('Phytopl Analysis'!K126*LN('Phytopl Analysis'!K126)))</f>
        <v/>
      </c>
      <c r="L126" s="21" t="str">
        <f>IF('Phytopl Count'!L126=0,"",('Phytopl Analysis'!L126*LN('Phytopl Analysis'!L126)))</f>
        <v/>
      </c>
      <c r="M126" s="58" t="str">
        <f>IF('Phytopl Count'!M126=0,"",('Phytopl Analysis'!M126*LN('Phytopl Analysis'!M126)))</f>
        <v/>
      </c>
      <c r="N126" s="58" t="str">
        <f>IF('Phytopl Count'!N126=0,"",('Phytopl Analysis'!N126*LN('Phytopl Analysis'!N126)))</f>
        <v/>
      </c>
      <c r="O126" s="21" t="str">
        <f>IF('Phytopl Count'!O126=0,"",('Phytopl Analysis'!O126*LN('Phytopl Analysis'!O126)))</f>
        <v/>
      </c>
      <c r="P126" s="21" t="str">
        <f>IF('Phytopl Count'!P126=0,"",('Phytopl Analysis'!P126*LN('Phytopl Analysis'!P126)))</f>
        <v/>
      </c>
      <c r="Q126" s="58" t="str">
        <f>IF('Phytopl Count'!Q126=0,"",('Phytopl Analysis'!Q126*LN('Phytopl Analysis'!Q126)))</f>
        <v/>
      </c>
      <c r="R126" s="58" t="str">
        <f>IF('Phytopl Count'!R126=0,"",('Phytopl Analysis'!R126*LN('Phytopl Analysis'!R126)))</f>
        <v/>
      </c>
      <c r="S126" s="21" t="str">
        <f>IF('Phytopl Count'!S126=0,"",('Phytopl Analysis'!S126*LN('Phytopl Analysis'!S126)))</f>
        <v/>
      </c>
      <c r="T126" s="21" t="str">
        <f>IF('Phytopl Count'!T126=0,"",('Phytopl Analysis'!T126*LN('Phytopl Analysis'!T126)))</f>
        <v/>
      </c>
      <c r="U126" s="58" t="str">
        <f>IF('Phytopl Count'!U126=0,"",('Phytopl Analysis'!U126*LN('Phytopl Analysis'!U126)))</f>
        <v/>
      </c>
      <c r="V126" s="58" t="str">
        <f>IF('Phytopl Count'!V126=0,"",('Phytopl Analysis'!V126*LN('Phytopl Analysis'!V126)))</f>
        <v/>
      </c>
      <c r="W126" s="21" t="str">
        <f>IF('Phytopl Count'!W126=0,"",('Phytopl Analysis'!W126*LN('Phytopl Analysis'!W126)))</f>
        <v/>
      </c>
      <c r="X126" s="21" t="str">
        <f>IF('Phytopl Count'!X126=0,"",('Phytopl Analysis'!X126*LN('Phytopl Analysis'!X126)))</f>
        <v/>
      </c>
      <c r="Y126" s="58" t="str">
        <f>IF('Phytopl Count'!Y126=0,"",('Phytopl Analysis'!Y126*LN('Phytopl Analysis'!Y126)))</f>
        <v/>
      </c>
      <c r="Z126" s="58" t="str">
        <f>IF('Phytopl Count'!Z126=0,"",('Phytopl Analysis'!Z126*LN('Phytopl Analysis'!Z126)))</f>
        <v/>
      </c>
      <c r="AA126" s="21" t="str">
        <f>IF('Phytopl Count'!AA126=0,"",('Phytopl Analysis'!AA126*LN('Phytopl Analysis'!AA126)))</f>
        <v/>
      </c>
      <c r="AB126" s="21" t="str">
        <f>IF('Phytopl Count'!AB126=0,"",('Phytopl Analysis'!AB126*LN('Phytopl Analysis'!AB126)))</f>
        <v/>
      </c>
      <c r="AC126" s="58" t="str">
        <f>IF('Phytopl Count'!AC126=0,"",('Phytopl Analysis'!AC126*LN('Phytopl Analysis'!AC126)))</f>
        <v/>
      </c>
      <c r="AD126" s="58" t="str">
        <f>IF('Phytopl Count'!AD126=0,"",('Phytopl Analysis'!AD126*LN('Phytopl Analysis'!AD126)))</f>
        <v/>
      </c>
      <c r="AE126" s="21" t="str">
        <f>IF('Phytopl Count'!AE126=0,"",('Phytopl Analysis'!AE126*LN('Phytopl Analysis'!AE126)))</f>
        <v/>
      </c>
      <c r="AF126" s="58" t="str">
        <f>IF('Phytopl Count'!AF126=0,"",('Phytopl Analysis'!AF126*LN('Phytopl Analysis'!AF126)))</f>
        <v/>
      </c>
    </row>
    <row r="127" spans="1:32" hidden="1">
      <c r="A127" s="4"/>
      <c r="B127" s="4"/>
      <c r="C127" s="4"/>
      <c r="D127" s="5"/>
      <c r="E127" s="5"/>
      <c r="F127" s="11" t="s">
        <v>101</v>
      </c>
      <c r="G127" s="21" t="str">
        <f>IF('Phytopl Count'!G127=0,"",('Phytopl Analysis'!G127*LN('Phytopl Analysis'!G127)))</f>
        <v/>
      </c>
      <c r="H127" s="21" t="str">
        <f>IF('Phytopl Count'!H127=0,"",('Phytopl Analysis'!H127*LN('Phytopl Analysis'!H127)))</f>
        <v/>
      </c>
      <c r="I127" s="58" t="str">
        <f>IF('Phytopl Count'!I127=0,"",('Phytopl Analysis'!I127*LN('Phytopl Analysis'!I127)))</f>
        <v/>
      </c>
      <c r="J127" s="58" t="str">
        <f>IF('Phytopl Count'!J127=0,"",('Phytopl Analysis'!J127*LN('Phytopl Analysis'!J127)))</f>
        <v/>
      </c>
      <c r="K127" s="21" t="str">
        <f>IF('Phytopl Count'!K127=0,"",('Phytopl Analysis'!K127*LN('Phytopl Analysis'!K127)))</f>
        <v/>
      </c>
      <c r="L127" s="21" t="str">
        <f>IF('Phytopl Count'!L127=0,"",('Phytopl Analysis'!L127*LN('Phytopl Analysis'!L127)))</f>
        <v/>
      </c>
      <c r="M127" s="58" t="str">
        <f>IF('Phytopl Count'!M127=0,"",('Phytopl Analysis'!M127*LN('Phytopl Analysis'!M127)))</f>
        <v/>
      </c>
      <c r="N127" s="58" t="str">
        <f>IF('Phytopl Count'!N127=0,"",('Phytopl Analysis'!N127*LN('Phytopl Analysis'!N127)))</f>
        <v/>
      </c>
      <c r="O127" s="21" t="str">
        <f>IF('Phytopl Count'!O127=0,"",('Phytopl Analysis'!O127*LN('Phytopl Analysis'!O127)))</f>
        <v/>
      </c>
      <c r="P127" s="21" t="str">
        <f>IF('Phytopl Count'!P127=0,"",('Phytopl Analysis'!P127*LN('Phytopl Analysis'!P127)))</f>
        <v/>
      </c>
      <c r="Q127" s="58" t="str">
        <f>IF('Phytopl Count'!Q127=0,"",('Phytopl Analysis'!Q127*LN('Phytopl Analysis'!Q127)))</f>
        <v/>
      </c>
      <c r="R127" s="58" t="str">
        <f>IF('Phytopl Count'!R127=0,"",('Phytopl Analysis'!R127*LN('Phytopl Analysis'!R127)))</f>
        <v/>
      </c>
      <c r="S127" s="21" t="str">
        <f>IF('Phytopl Count'!S127=0,"",('Phytopl Analysis'!S127*LN('Phytopl Analysis'!S127)))</f>
        <v/>
      </c>
      <c r="T127" s="21" t="str">
        <f>IF('Phytopl Count'!T127=0,"",('Phytopl Analysis'!T127*LN('Phytopl Analysis'!T127)))</f>
        <v/>
      </c>
      <c r="U127" s="58" t="str">
        <f>IF('Phytopl Count'!U127=0,"",('Phytopl Analysis'!U127*LN('Phytopl Analysis'!U127)))</f>
        <v/>
      </c>
      <c r="V127" s="58" t="str">
        <f>IF('Phytopl Count'!V127=0,"",('Phytopl Analysis'!V127*LN('Phytopl Analysis'!V127)))</f>
        <v/>
      </c>
      <c r="W127" s="21" t="str">
        <f>IF('Phytopl Count'!W127=0,"",('Phytopl Analysis'!W127*LN('Phytopl Analysis'!W127)))</f>
        <v/>
      </c>
      <c r="X127" s="21" t="str">
        <f>IF('Phytopl Count'!X127=0,"",('Phytopl Analysis'!X127*LN('Phytopl Analysis'!X127)))</f>
        <v/>
      </c>
      <c r="Y127" s="58" t="str">
        <f>IF('Phytopl Count'!Y127=0,"",('Phytopl Analysis'!Y127*LN('Phytopl Analysis'!Y127)))</f>
        <v/>
      </c>
      <c r="Z127" s="58" t="str">
        <f>IF('Phytopl Count'!Z127=0,"",('Phytopl Analysis'!Z127*LN('Phytopl Analysis'!Z127)))</f>
        <v/>
      </c>
      <c r="AA127" s="21" t="str">
        <f>IF('Phytopl Count'!AA127=0,"",('Phytopl Analysis'!AA127*LN('Phytopl Analysis'!AA127)))</f>
        <v/>
      </c>
      <c r="AB127" s="21" t="str">
        <f>IF('Phytopl Count'!AB127=0,"",('Phytopl Analysis'!AB127*LN('Phytopl Analysis'!AB127)))</f>
        <v/>
      </c>
      <c r="AC127" s="58" t="str">
        <f>IF('Phytopl Count'!AC127=0,"",('Phytopl Analysis'!AC127*LN('Phytopl Analysis'!AC127)))</f>
        <v/>
      </c>
      <c r="AD127" s="58" t="str">
        <f>IF('Phytopl Count'!AD127=0,"",('Phytopl Analysis'!AD127*LN('Phytopl Analysis'!AD127)))</f>
        <v/>
      </c>
      <c r="AE127" s="21" t="str">
        <f>IF('Phytopl Count'!AE127=0,"",('Phytopl Analysis'!AE127*LN('Phytopl Analysis'!AE127)))</f>
        <v/>
      </c>
      <c r="AF127" s="58" t="str">
        <f>IF('Phytopl Count'!AF127=0,"",('Phytopl Analysis'!AF127*LN('Phytopl Analysis'!AF127)))</f>
        <v/>
      </c>
    </row>
    <row r="128" spans="1:32">
      <c r="A128" s="4"/>
      <c r="B128" s="4"/>
      <c r="C128" s="16" t="s">
        <v>73</v>
      </c>
      <c r="D128" s="4" t="s">
        <v>83</v>
      </c>
      <c r="E128" s="4"/>
      <c r="F128" s="54"/>
      <c r="G128" s="21" t="str">
        <f>IF('Phytopl Count'!G128=0,"",('Phytopl Analysis'!G128*LN('Phytopl Analysis'!G128)))</f>
        <v/>
      </c>
      <c r="H128" s="21" t="str">
        <f>IF('Phytopl Count'!H128=0,"",('Phytopl Analysis'!H128*LN('Phytopl Analysis'!H128)))</f>
        <v/>
      </c>
      <c r="I128" s="58" t="str">
        <f>IF('Phytopl Count'!I128=0,"",('Phytopl Analysis'!I128*LN('Phytopl Analysis'!I128)))</f>
        <v/>
      </c>
      <c r="J128" s="58" t="str">
        <f>IF('Phytopl Count'!J128=0,"",('Phytopl Analysis'!J128*LN('Phytopl Analysis'!J128)))</f>
        <v/>
      </c>
      <c r="K128" s="21" t="str">
        <f>IF('Phytopl Count'!K128=0,"",('Phytopl Analysis'!K128*LN('Phytopl Analysis'!K128)))</f>
        <v/>
      </c>
      <c r="L128" s="21" t="str">
        <f>IF('Phytopl Count'!L128=0,"",('Phytopl Analysis'!L128*LN('Phytopl Analysis'!L128)))</f>
        <v/>
      </c>
      <c r="M128" s="58" t="str">
        <f>IF('Phytopl Count'!M128=0,"",('Phytopl Analysis'!M128*LN('Phytopl Analysis'!M128)))</f>
        <v/>
      </c>
      <c r="N128" s="58" t="str">
        <f>IF('Phytopl Count'!N128=0,"",('Phytopl Analysis'!N128*LN('Phytopl Analysis'!N128)))</f>
        <v/>
      </c>
      <c r="O128" s="21" t="str">
        <f>IF('Phytopl Count'!O128=0,"",('Phytopl Analysis'!O128*LN('Phytopl Analysis'!O128)))</f>
        <v/>
      </c>
      <c r="P128" s="21" t="str">
        <f>IF('Phytopl Count'!P128=0,"",('Phytopl Analysis'!P128*LN('Phytopl Analysis'!P128)))</f>
        <v/>
      </c>
      <c r="Q128" s="58" t="str">
        <f>IF('Phytopl Count'!Q128=0,"",('Phytopl Analysis'!Q128*LN('Phytopl Analysis'!Q128)))</f>
        <v/>
      </c>
      <c r="R128" s="58" t="str">
        <f>IF('Phytopl Count'!R128=0,"",('Phytopl Analysis'!R128*LN('Phytopl Analysis'!R128)))</f>
        <v/>
      </c>
      <c r="S128" s="21" t="str">
        <f>IF('Phytopl Count'!S128=0,"",('Phytopl Analysis'!S128*LN('Phytopl Analysis'!S128)))</f>
        <v/>
      </c>
      <c r="T128" s="21" t="str">
        <f>IF('Phytopl Count'!T128=0,"",('Phytopl Analysis'!T128*LN('Phytopl Analysis'!T128)))</f>
        <v/>
      </c>
      <c r="U128" s="58" t="str">
        <f>IF('Phytopl Count'!U128=0,"",('Phytopl Analysis'!U128*LN('Phytopl Analysis'!U128)))</f>
        <v/>
      </c>
      <c r="V128" s="58" t="str">
        <f>IF('Phytopl Count'!V128=0,"",('Phytopl Analysis'!V128*LN('Phytopl Analysis'!V128)))</f>
        <v/>
      </c>
      <c r="W128" s="21" t="str">
        <f>IF('Phytopl Count'!W128=0,"",('Phytopl Analysis'!W128*LN('Phytopl Analysis'!W128)))</f>
        <v/>
      </c>
      <c r="X128" s="21" t="str">
        <f>IF('Phytopl Count'!X128=0,"",('Phytopl Analysis'!X128*LN('Phytopl Analysis'!X128)))</f>
        <v/>
      </c>
      <c r="Y128" s="58" t="str">
        <f>IF('Phytopl Count'!Y128=0,"",('Phytopl Analysis'!Y128*LN('Phytopl Analysis'!Y128)))</f>
        <v/>
      </c>
      <c r="Z128" s="58" t="str">
        <f>IF('Phytopl Count'!Z128=0,"",('Phytopl Analysis'!Z128*LN('Phytopl Analysis'!Z128)))</f>
        <v/>
      </c>
      <c r="AA128" s="21" t="str">
        <f>IF('Phytopl Count'!AA128=0,"",('Phytopl Analysis'!AA128*LN('Phytopl Analysis'!AA128)))</f>
        <v/>
      </c>
      <c r="AB128" s="21" t="str">
        <f>IF('Phytopl Count'!AB128=0,"",('Phytopl Analysis'!AB128*LN('Phytopl Analysis'!AB128)))</f>
        <v/>
      </c>
      <c r="AC128" s="58" t="str">
        <f>IF('Phytopl Count'!AC128=0,"",('Phytopl Analysis'!AC128*LN('Phytopl Analysis'!AC128)))</f>
        <v/>
      </c>
      <c r="AD128" s="58" t="str">
        <f>IF('Phytopl Count'!AD128=0,"",('Phytopl Analysis'!AD128*LN('Phytopl Analysis'!AD128)))</f>
        <v/>
      </c>
      <c r="AE128" s="21" t="str">
        <f>IF('Phytopl Count'!AE128=0,"",('Phytopl Analysis'!AE128*LN('Phytopl Analysis'!AE128)))</f>
        <v/>
      </c>
      <c r="AF128" s="58" t="str">
        <f>IF('Phytopl Count'!AF128=0,"",('Phytopl Analysis'!AF128*LN('Phytopl Analysis'!AF128)))</f>
        <v/>
      </c>
    </row>
    <row r="129" spans="1:32">
      <c r="A129" s="4"/>
      <c r="B129" s="4"/>
      <c r="C129" s="4"/>
      <c r="D129" s="10" t="s">
        <v>5</v>
      </c>
      <c r="E129" s="5" t="s">
        <v>20</v>
      </c>
      <c r="F129" s="11"/>
      <c r="G129" s="21" t="str">
        <f>IF('Phytopl Count'!G129=0,"",('Phytopl Analysis'!G129*LN('Phytopl Analysis'!G129)))</f>
        <v/>
      </c>
      <c r="H129" s="21" t="str">
        <f>IF('Phytopl Count'!H129=0,"",('Phytopl Analysis'!H129*LN('Phytopl Analysis'!H129)))</f>
        <v/>
      </c>
      <c r="I129" s="58" t="str">
        <f>IF('Phytopl Count'!I129=0,"",('Phytopl Analysis'!I129*LN('Phytopl Analysis'!I129)))</f>
        <v/>
      </c>
      <c r="J129" s="58" t="str">
        <f>IF('Phytopl Count'!J129=0,"",('Phytopl Analysis'!J129*LN('Phytopl Analysis'!J129)))</f>
        <v/>
      </c>
      <c r="K129" s="21" t="str">
        <f>IF('Phytopl Count'!K129=0,"",('Phytopl Analysis'!K129*LN('Phytopl Analysis'!K129)))</f>
        <v/>
      </c>
      <c r="L129" s="21" t="str">
        <f>IF('Phytopl Count'!L129=0,"",('Phytopl Analysis'!L129*LN('Phytopl Analysis'!L129)))</f>
        <v/>
      </c>
      <c r="M129" s="58" t="str">
        <f>IF('Phytopl Count'!M129=0,"",('Phytopl Analysis'!M129*LN('Phytopl Analysis'!M129)))</f>
        <v/>
      </c>
      <c r="N129" s="58" t="str">
        <f>IF('Phytopl Count'!N129=0,"",('Phytopl Analysis'!N129*LN('Phytopl Analysis'!N129)))</f>
        <v/>
      </c>
      <c r="O129" s="21" t="str">
        <f>IF('Phytopl Count'!O129=0,"",('Phytopl Analysis'!O129*LN('Phytopl Analysis'!O129)))</f>
        <v/>
      </c>
      <c r="P129" s="21" t="str">
        <f>IF('Phytopl Count'!P129=0,"",('Phytopl Analysis'!P129*LN('Phytopl Analysis'!P129)))</f>
        <v/>
      </c>
      <c r="Q129" s="58" t="str">
        <f>IF('Phytopl Count'!Q129=0,"",('Phytopl Analysis'!Q129*LN('Phytopl Analysis'!Q129)))</f>
        <v/>
      </c>
      <c r="R129" s="58" t="str">
        <f>IF('Phytopl Count'!R129=0,"",('Phytopl Analysis'!R129*LN('Phytopl Analysis'!R129)))</f>
        <v/>
      </c>
      <c r="S129" s="21" t="str">
        <f>IF('Phytopl Count'!S129=0,"",('Phytopl Analysis'!S129*LN('Phytopl Analysis'!S129)))</f>
        <v/>
      </c>
      <c r="T129" s="21" t="str">
        <f>IF('Phytopl Count'!T129=0,"",('Phytopl Analysis'!T129*LN('Phytopl Analysis'!T129)))</f>
        <v/>
      </c>
      <c r="U129" s="58" t="str">
        <f>IF('Phytopl Count'!U129=0,"",('Phytopl Analysis'!U129*LN('Phytopl Analysis'!U129)))</f>
        <v/>
      </c>
      <c r="V129" s="58" t="str">
        <f>IF('Phytopl Count'!V129=0,"",('Phytopl Analysis'!V129*LN('Phytopl Analysis'!V129)))</f>
        <v/>
      </c>
      <c r="W129" s="21" t="str">
        <f>IF('Phytopl Count'!W129=0,"",('Phytopl Analysis'!W129*LN('Phytopl Analysis'!W129)))</f>
        <v/>
      </c>
      <c r="X129" s="21" t="str">
        <f>IF('Phytopl Count'!X129=0,"",('Phytopl Analysis'!X129*LN('Phytopl Analysis'!X129)))</f>
        <v/>
      </c>
      <c r="Y129" s="58" t="str">
        <f>IF('Phytopl Count'!Y129=0,"",('Phytopl Analysis'!Y129*LN('Phytopl Analysis'!Y129)))</f>
        <v/>
      </c>
      <c r="Z129" s="58" t="str">
        <f>IF('Phytopl Count'!Z129=0,"",('Phytopl Analysis'!Z129*LN('Phytopl Analysis'!Z129)))</f>
        <v/>
      </c>
      <c r="AA129" s="21" t="str">
        <f>IF('Phytopl Count'!AA129=0,"",('Phytopl Analysis'!AA129*LN('Phytopl Analysis'!AA129)))</f>
        <v/>
      </c>
      <c r="AB129" s="21" t="str">
        <f>IF('Phytopl Count'!AB129=0,"",('Phytopl Analysis'!AB129*LN('Phytopl Analysis'!AB129)))</f>
        <v/>
      </c>
      <c r="AC129" s="58" t="str">
        <f>IF('Phytopl Count'!AC129=0,"",('Phytopl Analysis'!AC129*LN('Phytopl Analysis'!AC129)))</f>
        <v/>
      </c>
      <c r="AD129" s="58" t="str">
        <f>IF('Phytopl Count'!AD129=0,"",('Phytopl Analysis'!AD129*LN('Phytopl Analysis'!AD129)))</f>
        <v/>
      </c>
      <c r="AE129" s="21" t="str">
        <f>IF('Phytopl Count'!AE129=0,"",('Phytopl Analysis'!AE129*LN('Phytopl Analysis'!AE129)))</f>
        <v/>
      </c>
      <c r="AF129" s="58" t="str">
        <f>IF('Phytopl Count'!AF129=0,"",('Phytopl Analysis'!AF129*LN('Phytopl Analysis'!AF129)))</f>
        <v/>
      </c>
    </row>
    <row r="130" spans="1:32">
      <c r="A130" s="4"/>
      <c r="B130" s="4"/>
      <c r="C130" s="4"/>
      <c r="D130" s="5"/>
      <c r="E130" s="10" t="s">
        <v>6</v>
      </c>
      <c r="F130" s="11" t="s">
        <v>79</v>
      </c>
      <c r="G130" s="21">
        <f>IF('Phytopl Count'!G130=0,"",('Phytopl Analysis'!G130*LN('Phytopl Analysis'!G130)))</f>
        <v>-8.2138855256282992E-2</v>
      </c>
      <c r="H130" s="21" t="str">
        <f>IF('Phytopl Count'!H130=0,"",('Phytopl Analysis'!H130*LN('Phytopl Analysis'!H130)))</f>
        <v/>
      </c>
      <c r="I130" s="58" t="str">
        <f>IF('Phytopl Count'!I130=0,"",('Phytopl Analysis'!I130*LN('Phytopl Analysis'!I130)))</f>
        <v/>
      </c>
      <c r="J130" s="58" t="str">
        <f>IF('Phytopl Count'!J130=0,"",('Phytopl Analysis'!J130*LN('Phytopl Analysis'!J130)))</f>
        <v/>
      </c>
      <c r="K130" s="21">
        <f>IF('Phytopl Count'!K130=0,"",('Phytopl Analysis'!K130*LN('Phytopl Analysis'!K130)))</f>
        <v>-0.11022075559754062</v>
      </c>
      <c r="L130" s="21" t="str">
        <f>IF('Phytopl Count'!L130=0,"",('Phytopl Analysis'!L130*LN('Phytopl Analysis'!L130)))</f>
        <v/>
      </c>
      <c r="M130" s="58" t="str">
        <f>IF('Phytopl Count'!M130=0,"",('Phytopl Analysis'!M130*LN('Phytopl Analysis'!M130)))</f>
        <v/>
      </c>
      <c r="N130" s="58" t="str">
        <f>IF('Phytopl Count'!N130=0,"",('Phytopl Analysis'!N130*LN('Phytopl Analysis'!N130)))</f>
        <v/>
      </c>
      <c r="O130" s="21" t="str">
        <f>IF('Phytopl Count'!O130=0,"",('Phytopl Analysis'!O130*LN('Phytopl Analysis'!O130)))</f>
        <v/>
      </c>
      <c r="P130" s="21" t="str">
        <f>IF('Phytopl Count'!P130=0,"",('Phytopl Analysis'!P130*LN('Phytopl Analysis'!P130)))</f>
        <v/>
      </c>
      <c r="Q130" s="58" t="str">
        <f>IF('Phytopl Count'!Q130=0,"",('Phytopl Analysis'!Q130*LN('Phytopl Analysis'!Q130)))</f>
        <v/>
      </c>
      <c r="R130" s="58">
        <f>IF('Phytopl Count'!R130=0,"",('Phytopl Analysis'!R130*LN('Phytopl Analysis'!R130)))</f>
        <v>-0.11022075559754062</v>
      </c>
      <c r="S130" s="21" t="str">
        <f>IF('Phytopl Count'!S130=0,"",('Phytopl Analysis'!S130*LN('Phytopl Analysis'!S130)))</f>
        <v/>
      </c>
      <c r="T130" s="21">
        <f>IF('Phytopl Count'!T130=0,"",('Phytopl Analysis'!T130*LN('Phytopl Analysis'!T130)))</f>
        <v>-0.1458498424659852</v>
      </c>
      <c r="U130" s="58" t="str">
        <f>IF('Phytopl Count'!U130=0,"",('Phytopl Analysis'!U130*LN('Phytopl Analysis'!U130)))</f>
        <v/>
      </c>
      <c r="V130" s="58">
        <f>IF('Phytopl Count'!V130=0,"",('Phytopl Analysis'!V130*LN('Phytopl Analysis'!V130)))</f>
        <v>-0.20217719752866301</v>
      </c>
      <c r="W130" s="21" t="str">
        <f>IF('Phytopl Count'!W130=0,"",('Phytopl Analysis'!W130*LN('Phytopl Analysis'!W130)))</f>
        <v/>
      </c>
      <c r="X130" s="21" t="str">
        <f>IF('Phytopl Count'!X130=0,"",('Phytopl Analysis'!X130*LN('Phytopl Analysis'!X130)))</f>
        <v/>
      </c>
      <c r="Y130" s="58" t="str">
        <f>IF('Phytopl Count'!Y130=0,"",('Phytopl Analysis'!Y130*LN('Phytopl Analysis'!Y130)))</f>
        <v/>
      </c>
      <c r="Z130" s="58" t="str">
        <f>IF('Phytopl Count'!Z130=0,"",('Phytopl Analysis'!Z130*LN('Phytopl Analysis'!Z130)))</f>
        <v/>
      </c>
      <c r="AA130" s="21" t="str">
        <f>IF('Phytopl Count'!AA130=0,"",('Phytopl Analysis'!AA130*LN('Phytopl Analysis'!AA130)))</f>
        <v/>
      </c>
      <c r="AB130" s="21" t="str">
        <f>IF('Phytopl Count'!AB130=0,"",('Phytopl Analysis'!AB130*LN('Phytopl Analysis'!AB130)))</f>
        <v/>
      </c>
      <c r="AC130" s="58" t="str">
        <f>IF('Phytopl Count'!AC130=0,"",('Phytopl Analysis'!AC130*LN('Phytopl Analysis'!AC130)))</f>
        <v/>
      </c>
      <c r="AD130" s="58">
        <f>IF('Phytopl Count'!AD130=0,"",('Phytopl Analysis'!AD130*LN('Phytopl Analysis'!AD130)))</f>
        <v>-0.11022075559754062</v>
      </c>
      <c r="AE130" s="21" t="str">
        <f>IF('Phytopl Count'!AE130=0,"",('Phytopl Analysis'!AE130*LN('Phytopl Analysis'!AE130)))</f>
        <v/>
      </c>
      <c r="AF130" s="58" t="str">
        <f>IF('Phytopl Count'!AF130=0,"",('Phytopl Analysis'!AF130*LN('Phytopl Analysis'!AF130)))</f>
        <v/>
      </c>
    </row>
    <row r="131" spans="1:32">
      <c r="A131" s="4"/>
      <c r="B131" s="4"/>
      <c r="C131" s="4"/>
      <c r="D131" s="10" t="s">
        <v>5</v>
      </c>
      <c r="E131" s="12" t="s">
        <v>31</v>
      </c>
      <c r="F131" s="11"/>
      <c r="G131" s="21" t="str">
        <f>IF('Phytopl Count'!G131=0,"",('Phytopl Analysis'!G131*LN('Phytopl Analysis'!G131)))</f>
        <v/>
      </c>
      <c r="H131" s="21" t="str">
        <f>IF('Phytopl Count'!H131=0,"",('Phytopl Analysis'!H131*LN('Phytopl Analysis'!H131)))</f>
        <v/>
      </c>
      <c r="I131" s="58" t="str">
        <f>IF('Phytopl Count'!I131=0,"",('Phytopl Analysis'!I131*LN('Phytopl Analysis'!I131)))</f>
        <v/>
      </c>
      <c r="J131" s="58" t="str">
        <f>IF('Phytopl Count'!J131=0,"",('Phytopl Analysis'!J131*LN('Phytopl Analysis'!J131)))</f>
        <v/>
      </c>
      <c r="K131" s="21" t="str">
        <f>IF('Phytopl Count'!K131=0,"",('Phytopl Analysis'!K131*LN('Phytopl Analysis'!K131)))</f>
        <v/>
      </c>
      <c r="L131" s="21" t="str">
        <f>IF('Phytopl Count'!L131=0,"",('Phytopl Analysis'!L131*LN('Phytopl Analysis'!L131)))</f>
        <v/>
      </c>
      <c r="M131" s="58" t="str">
        <f>IF('Phytopl Count'!M131=0,"",('Phytopl Analysis'!M131*LN('Phytopl Analysis'!M131)))</f>
        <v/>
      </c>
      <c r="N131" s="58" t="str">
        <f>IF('Phytopl Count'!N131=0,"",('Phytopl Analysis'!N131*LN('Phytopl Analysis'!N131)))</f>
        <v/>
      </c>
      <c r="O131" s="21" t="str">
        <f>IF('Phytopl Count'!O131=0,"",('Phytopl Analysis'!O131*LN('Phytopl Analysis'!O131)))</f>
        <v/>
      </c>
      <c r="P131" s="21" t="str">
        <f>IF('Phytopl Count'!P131=0,"",('Phytopl Analysis'!P131*LN('Phytopl Analysis'!P131)))</f>
        <v/>
      </c>
      <c r="Q131" s="58" t="str">
        <f>IF('Phytopl Count'!Q131=0,"",('Phytopl Analysis'!Q131*LN('Phytopl Analysis'!Q131)))</f>
        <v/>
      </c>
      <c r="R131" s="58" t="str">
        <f>IF('Phytopl Count'!R131=0,"",('Phytopl Analysis'!R131*LN('Phytopl Analysis'!R131)))</f>
        <v/>
      </c>
      <c r="S131" s="21" t="str">
        <f>IF('Phytopl Count'!S131=0,"",('Phytopl Analysis'!S131*LN('Phytopl Analysis'!S131)))</f>
        <v/>
      </c>
      <c r="T131" s="21" t="str">
        <f>IF('Phytopl Count'!T131=0,"",('Phytopl Analysis'!T131*LN('Phytopl Analysis'!T131)))</f>
        <v/>
      </c>
      <c r="U131" s="58" t="str">
        <f>IF('Phytopl Count'!U131=0,"",('Phytopl Analysis'!U131*LN('Phytopl Analysis'!U131)))</f>
        <v/>
      </c>
      <c r="V131" s="58" t="str">
        <f>IF('Phytopl Count'!V131=0,"",('Phytopl Analysis'!V131*LN('Phytopl Analysis'!V131)))</f>
        <v/>
      </c>
      <c r="W131" s="21" t="str">
        <f>IF('Phytopl Count'!W131=0,"",('Phytopl Analysis'!W131*LN('Phytopl Analysis'!W131)))</f>
        <v/>
      </c>
      <c r="X131" s="21" t="str">
        <f>IF('Phytopl Count'!X131=0,"",('Phytopl Analysis'!X131*LN('Phytopl Analysis'!X131)))</f>
        <v/>
      </c>
      <c r="Y131" s="58" t="str">
        <f>IF('Phytopl Count'!Y131=0,"",('Phytopl Analysis'!Y131*LN('Phytopl Analysis'!Y131)))</f>
        <v/>
      </c>
      <c r="Z131" s="58" t="str">
        <f>IF('Phytopl Count'!Z131=0,"",('Phytopl Analysis'!Z131*LN('Phytopl Analysis'!Z131)))</f>
        <v/>
      </c>
      <c r="AA131" s="21" t="str">
        <f>IF('Phytopl Count'!AA131=0,"",('Phytopl Analysis'!AA131*LN('Phytopl Analysis'!AA131)))</f>
        <v/>
      </c>
      <c r="AB131" s="21" t="str">
        <f>IF('Phytopl Count'!AB131=0,"",('Phytopl Analysis'!AB131*LN('Phytopl Analysis'!AB131)))</f>
        <v/>
      </c>
      <c r="AC131" s="58" t="str">
        <f>IF('Phytopl Count'!AC131=0,"",('Phytopl Analysis'!AC131*LN('Phytopl Analysis'!AC131)))</f>
        <v/>
      </c>
      <c r="AD131" s="58" t="str">
        <f>IF('Phytopl Count'!AD131=0,"",('Phytopl Analysis'!AD131*LN('Phytopl Analysis'!AD131)))</f>
        <v/>
      </c>
      <c r="AE131" s="21" t="str">
        <f>IF('Phytopl Count'!AE131=0,"",('Phytopl Analysis'!AE131*LN('Phytopl Analysis'!AE131)))</f>
        <v/>
      </c>
      <c r="AF131" s="58" t="str">
        <f>IF('Phytopl Count'!AF131=0,"",('Phytopl Analysis'!AF131*LN('Phytopl Analysis'!AF131)))</f>
        <v/>
      </c>
    </row>
    <row r="132" spans="1:32">
      <c r="A132" s="4"/>
      <c r="B132" s="4"/>
      <c r="C132" s="4"/>
      <c r="D132" s="5"/>
      <c r="E132" s="10" t="s">
        <v>6</v>
      </c>
      <c r="F132" s="11" t="s">
        <v>32</v>
      </c>
      <c r="G132" s="21">
        <f>IF('Phytopl Count'!G132=0,"",('Phytopl Analysis'!G132*LN('Phytopl Analysis'!G132)))</f>
        <v>-0.36335243556479851</v>
      </c>
      <c r="H132" s="21">
        <f>IF('Phytopl Count'!H132=0,"",('Phytopl Analysis'!H132*LN('Phytopl Analysis'!H132)))</f>
        <v>9.0225011728822229E-3</v>
      </c>
      <c r="I132" s="58">
        <f>IF('Phytopl Count'!I132=0,"",('Phytopl Analysis'!I132*LN('Phytopl Analysis'!I132)))</f>
        <v>-0.24532646268350805</v>
      </c>
      <c r="J132" s="58">
        <f>IF('Phytopl Count'!J132=0,"",('Phytopl Analysis'!J132*LN('Phytopl Analysis'!J132)))</f>
        <v>-0.36115447529608413</v>
      </c>
      <c r="K132" s="21">
        <f>IF('Phytopl Count'!K132=0,"",('Phytopl Analysis'!K132*LN('Phytopl Analysis'!K132)))</f>
        <v>-0.36481109627444391</v>
      </c>
      <c r="L132" s="21">
        <f>IF('Phytopl Count'!L132=0,"",('Phytopl Analysis'!L132*LN('Phytopl Analysis'!L132)))</f>
        <v>-0.36252258276910049</v>
      </c>
      <c r="M132" s="58">
        <f>IF('Phytopl Count'!M132=0,"",('Phytopl Analysis'!M132*LN('Phytopl Analysis'!M132)))</f>
        <v>-0.35218053955882889</v>
      </c>
      <c r="N132" s="58">
        <f>IF('Phytopl Count'!N132=0,"",('Phytopl Analysis'!N132*LN('Phytopl Analysis'!N132)))</f>
        <v>-0.33702577882152163</v>
      </c>
      <c r="O132" s="21">
        <f>IF('Phytopl Count'!O132=0,"",('Phytopl Analysis'!O132*LN('Phytopl Analysis'!O132)))</f>
        <v>-0.22510479398329802</v>
      </c>
      <c r="P132" s="21">
        <f>IF('Phytopl Count'!P132=0,"",('Phytopl Analysis'!P132*LN('Phytopl Analysis'!P132)))</f>
        <v>-0.20217432326410978</v>
      </c>
      <c r="Q132" s="58">
        <f>IF('Phytopl Count'!Q132=0,"",('Phytopl Analysis'!Q132*LN('Phytopl Analysis'!Q132)))</f>
        <v>-0.23605144538335684</v>
      </c>
      <c r="R132" s="58">
        <f>IF('Phytopl Count'!R132=0,"",('Phytopl Analysis'!R132*LN('Phytopl Analysis'!R132)))</f>
        <v>-0.33098284361093755</v>
      </c>
      <c r="S132" s="21">
        <f>IF('Phytopl Count'!S132=0,"",('Phytopl Analysis'!S132*LN('Phytopl Analysis'!S132)))</f>
        <v>-0.22509271130098124</v>
      </c>
      <c r="T132" s="21">
        <f>IF('Phytopl Count'!T132=0,"",('Phytopl Analysis'!T132*LN('Phytopl Analysis'!T132)))</f>
        <v>-0.31749709307010821</v>
      </c>
      <c r="U132" s="58">
        <f>IF('Phytopl Count'!U132=0,"",('Phytopl Analysis'!U132*LN('Phytopl Analysis'!U132)))</f>
        <v>-0.12558240285929856</v>
      </c>
      <c r="V132" s="58">
        <f>IF('Phytopl Count'!V132=0,"",('Phytopl Analysis'!V132*LN('Phytopl Analysis'!V132)))</f>
        <v>4.1843248361341512E-2</v>
      </c>
      <c r="W132" s="21">
        <f>IF('Phytopl Count'!W132=0,"",('Phytopl Analysis'!W132*LN('Phytopl Analysis'!W132)))</f>
        <v>-0.29395986231743093</v>
      </c>
      <c r="X132" s="21">
        <f>IF('Phytopl Count'!X132=0,"",('Phytopl Analysis'!X132*LN('Phytopl Analysis'!X132)))</f>
        <v>0.23922650102699525</v>
      </c>
      <c r="Y132" s="58">
        <f>IF('Phytopl Count'!Y132=0,"",('Phytopl Analysis'!Y132*LN('Phytopl Analysis'!Y132)))</f>
        <v>-0.35218053955882883</v>
      </c>
      <c r="Z132" s="58">
        <f>IF('Phytopl Count'!Z132=0,"",('Phytopl Analysis'!Z132*LN('Phytopl Analysis'!Z132)))</f>
        <v>-0.36481109627444391</v>
      </c>
      <c r="AA132" s="21">
        <f>IF('Phytopl Count'!AA132=0,"",('Phytopl Analysis'!AA132*LN('Phytopl Analysis'!AA132)))</f>
        <v>5.8625152297837275E-2</v>
      </c>
      <c r="AB132" s="21">
        <f>IF('Phytopl Count'!AB132=0,"",('Phytopl Analysis'!AB132*LN('Phytopl Analysis'!AB132)))</f>
        <v>-0.35218053955882889</v>
      </c>
      <c r="AC132" s="58">
        <f>IF('Phytopl Count'!AC132=0,"",('Phytopl Analysis'!AC132*LN('Phytopl Analysis'!AC132)))</f>
        <v>2.5307747864788274E-2</v>
      </c>
      <c r="AD132" s="58">
        <f>IF('Phytopl Count'!AD132=0,"",('Phytopl Analysis'!AD132*LN('Phytopl Analysis'!AD132)))</f>
        <v>-0.20217432326410978</v>
      </c>
      <c r="AE132" s="21">
        <f>IF('Phytopl Count'!AE132=0,"",('Phytopl Analysis'!AE132*LN('Phytopl Analysis'!AE132)))</f>
        <v>-0.25180153727471866</v>
      </c>
      <c r="AF132" s="58">
        <f>IF('Phytopl Count'!AF132=0,"",('Phytopl Analysis'!AF132*LN('Phytopl Analysis'!AF132)))</f>
        <v>1.6955847634944246</v>
      </c>
    </row>
    <row r="133" spans="1:32">
      <c r="A133" s="4"/>
      <c r="B133" s="4"/>
      <c r="C133" s="4"/>
      <c r="D133" s="5"/>
      <c r="E133" s="10"/>
      <c r="F133" s="11" t="s">
        <v>113</v>
      </c>
      <c r="G133" s="21">
        <f>IF('Phytopl Count'!G133=0,"",('Phytopl Analysis'!G133*LN('Phytopl Analysis'!G133)))</f>
        <v>-0.2840995630463744</v>
      </c>
      <c r="H133" s="21">
        <f>IF('Phytopl Count'!H133=0,"",('Phytopl Analysis'!H133*LN('Phytopl Analysis'!H133)))</f>
        <v>-0.34260770385688732</v>
      </c>
      <c r="I133" s="58">
        <f>IF('Phytopl Count'!I133=0,"",('Phytopl Analysis'!I133*LN('Phytopl Analysis'!I133)))</f>
        <v>-0.16151729929316433</v>
      </c>
      <c r="J133" s="58">
        <f>IF('Phytopl Count'!J133=0,"",('Phytopl Analysis'!J133*LN('Phytopl Analysis'!J133)))</f>
        <v>-0.20217719752866301</v>
      </c>
      <c r="K133" s="21" t="str">
        <f>IF('Phytopl Count'!K133=0,"",('Phytopl Analysis'!K133*LN('Phytopl Analysis'!K133)))</f>
        <v/>
      </c>
      <c r="L133" s="21">
        <f>IF('Phytopl Count'!L133=0,"",('Phytopl Analysis'!L133*LN('Phytopl Analysis'!L133)))</f>
        <v>-0.1458498424659852</v>
      </c>
      <c r="M133" s="58" t="str">
        <f>IF('Phytopl Count'!M133=0,"",('Phytopl Analysis'!M133*LN('Phytopl Analysis'!M133)))</f>
        <v/>
      </c>
      <c r="N133" s="58" t="str">
        <f>IF('Phytopl Count'!N133=0,"",('Phytopl Analysis'!N133*LN('Phytopl Analysis'!N133)))</f>
        <v/>
      </c>
      <c r="O133" s="21">
        <f>IF('Phytopl Count'!O133=0,"",('Phytopl Analysis'!O133*LN('Phytopl Analysis'!O133)))</f>
        <v>-0.33523665356137466</v>
      </c>
      <c r="P133" s="21">
        <f>IF('Phytopl Count'!P133=0,"",('Phytopl Analysis'!P133*LN('Phytopl Analysis'!P133)))</f>
        <v>-0.3169714753399841</v>
      </c>
      <c r="Q133" s="58">
        <f>IF('Phytopl Count'!Q133=0,"",('Phytopl Analysis'!Q133*LN('Phytopl Analysis'!Q133)))</f>
        <v>-0.20217719752866301</v>
      </c>
      <c r="R133" s="58">
        <f>IF('Phytopl Count'!R133=0,"",('Phytopl Analysis'!R133*LN('Phytopl Analysis'!R133)))</f>
        <v>-0.17603686210775515</v>
      </c>
      <c r="S133" s="21">
        <f>IF('Phytopl Count'!S133=0,"",('Phytopl Analysis'!S133*LN('Phytopl Analysis'!S133)))</f>
        <v>-0.1458498424659852</v>
      </c>
      <c r="T133" s="21">
        <f>IF('Phytopl Count'!T133=0,"",('Phytopl Analysis'!T133*LN('Phytopl Analysis'!T133)))</f>
        <v>-0.27919519416049449</v>
      </c>
      <c r="U133" s="58">
        <f>IF('Phytopl Count'!U133=0,"",('Phytopl Analysis'!U133*LN('Phytopl Analysis'!U133)))</f>
        <v>-0.35856946742802159</v>
      </c>
      <c r="V133" s="58">
        <f>IF('Phytopl Count'!V133=0,"",('Phytopl Analysis'!V133*LN('Phytopl Analysis'!V133)))</f>
        <v>-0.32200626515868613</v>
      </c>
      <c r="W133" s="21">
        <f>IF('Phytopl Count'!W133=0,"",('Phytopl Analysis'!W133*LN('Phytopl Analysis'!W133)))</f>
        <v>-0.3169714753399841</v>
      </c>
      <c r="X133" s="21">
        <f>IF('Phytopl Count'!X133=0,"",('Phytopl Analysis'!X133*LN('Phytopl Analysis'!X133)))</f>
        <v>-0.36466229924139099</v>
      </c>
      <c r="Y133" s="58">
        <f>IF('Phytopl Count'!Y133=0,"",('Phytopl Analysis'!Y133*LN('Phytopl Analysis'!Y133)))</f>
        <v>-0.35856946742802159</v>
      </c>
      <c r="Z133" s="58">
        <f>IF('Phytopl Count'!Z133=0,"",('Phytopl Analysis'!Z133*LN('Phytopl Analysis'!Z133)))</f>
        <v>-0.33986614965385381</v>
      </c>
      <c r="AA133" s="21">
        <f>IF('Phytopl Count'!AA133=0,"",('Phytopl Analysis'!AA133*LN('Phytopl Analysis'!AA133)))</f>
        <v>-0.26672307224263919</v>
      </c>
      <c r="AB133" s="21">
        <f>IF('Phytopl Count'!AB133=0,"",('Phytopl Analysis'!AB133*LN('Phytopl Analysis'!AB133)))</f>
        <v>-0.12884150444391032</v>
      </c>
      <c r="AC133" s="58">
        <f>IF('Phytopl Count'!AC133=0,"",('Phytopl Analysis'!AC133*LN('Phytopl Analysis'!AC133)))</f>
        <v>-0.35856946742802159</v>
      </c>
      <c r="AD133" s="58">
        <f>IF('Phytopl Count'!AD133=0,"",('Phytopl Analysis'!AD133*LN('Phytopl Analysis'!AD133)))</f>
        <v>-0.36481109627444391</v>
      </c>
      <c r="AE133" s="21">
        <f>IF('Phytopl Count'!AE133=0,"",('Phytopl Analysis'!AE133*LN('Phytopl Analysis'!AE133)))</f>
        <v>-0.1458498424659852</v>
      </c>
      <c r="AF133" s="58">
        <f>IF('Phytopl Count'!AF133=0,"",('Phytopl Analysis'!AF133*LN('Phytopl Analysis'!AF133)))</f>
        <v>-0.20217432326410978</v>
      </c>
    </row>
    <row r="134" spans="1:32">
      <c r="A134" s="4"/>
      <c r="B134" s="4"/>
      <c r="C134" s="16" t="s">
        <v>73</v>
      </c>
      <c r="D134" s="4" t="s">
        <v>82</v>
      </c>
      <c r="E134" s="12"/>
      <c r="F134" s="11"/>
      <c r="G134" s="21" t="str">
        <f>IF('Phytopl Count'!G134=0,"",('Phytopl Analysis'!G134*LN('Phytopl Analysis'!G134)))</f>
        <v/>
      </c>
      <c r="H134" s="21" t="str">
        <f>IF('Phytopl Count'!H134=0,"",('Phytopl Analysis'!H134*LN('Phytopl Analysis'!H134)))</f>
        <v/>
      </c>
      <c r="I134" s="58" t="str">
        <f>IF('Phytopl Count'!I134=0,"",('Phytopl Analysis'!I134*LN('Phytopl Analysis'!I134)))</f>
        <v/>
      </c>
      <c r="J134" s="58" t="str">
        <f>IF('Phytopl Count'!J134=0,"",('Phytopl Analysis'!J134*LN('Phytopl Analysis'!J134)))</f>
        <v/>
      </c>
      <c r="K134" s="21" t="str">
        <f>IF('Phytopl Count'!K134=0,"",('Phytopl Analysis'!K134*LN('Phytopl Analysis'!K134)))</f>
        <v/>
      </c>
      <c r="L134" s="21" t="str">
        <f>IF('Phytopl Count'!L134=0,"",('Phytopl Analysis'!L134*LN('Phytopl Analysis'!L134)))</f>
        <v/>
      </c>
      <c r="M134" s="58" t="str">
        <f>IF('Phytopl Count'!M134=0,"",('Phytopl Analysis'!M134*LN('Phytopl Analysis'!M134)))</f>
        <v/>
      </c>
      <c r="N134" s="58" t="str">
        <f>IF('Phytopl Count'!N134=0,"",('Phytopl Analysis'!N134*LN('Phytopl Analysis'!N134)))</f>
        <v/>
      </c>
      <c r="O134" s="21" t="str">
        <f>IF('Phytopl Count'!O134=0,"",('Phytopl Analysis'!O134*LN('Phytopl Analysis'!O134)))</f>
        <v/>
      </c>
      <c r="P134" s="21" t="str">
        <f>IF('Phytopl Count'!P134=0,"",('Phytopl Analysis'!P134*LN('Phytopl Analysis'!P134)))</f>
        <v/>
      </c>
      <c r="Q134" s="58" t="str">
        <f>IF('Phytopl Count'!Q134=0,"",('Phytopl Analysis'!Q134*LN('Phytopl Analysis'!Q134)))</f>
        <v/>
      </c>
      <c r="R134" s="58" t="str">
        <f>IF('Phytopl Count'!R134=0,"",('Phytopl Analysis'!R134*LN('Phytopl Analysis'!R134)))</f>
        <v/>
      </c>
      <c r="S134" s="21" t="str">
        <f>IF('Phytopl Count'!S134=0,"",('Phytopl Analysis'!S134*LN('Phytopl Analysis'!S134)))</f>
        <v/>
      </c>
      <c r="T134" s="21" t="str">
        <f>IF('Phytopl Count'!T134=0,"",('Phytopl Analysis'!T134*LN('Phytopl Analysis'!T134)))</f>
        <v/>
      </c>
      <c r="U134" s="58" t="str">
        <f>IF('Phytopl Count'!U134=0,"",('Phytopl Analysis'!U134*LN('Phytopl Analysis'!U134)))</f>
        <v/>
      </c>
      <c r="V134" s="58" t="str">
        <f>IF('Phytopl Count'!V134=0,"",('Phytopl Analysis'!V134*LN('Phytopl Analysis'!V134)))</f>
        <v/>
      </c>
      <c r="W134" s="21" t="str">
        <f>IF('Phytopl Count'!W134=0,"",('Phytopl Analysis'!W134*LN('Phytopl Analysis'!W134)))</f>
        <v/>
      </c>
      <c r="X134" s="21" t="str">
        <f>IF('Phytopl Count'!X134=0,"",('Phytopl Analysis'!X134*LN('Phytopl Analysis'!X134)))</f>
        <v/>
      </c>
      <c r="Y134" s="58" t="str">
        <f>IF('Phytopl Count'!Y134=0,"",('Phytopl Analysis'!Y134*LN('Phytopl Analysis'!Y134)))</f>
        <v/>
      </c>
      <c r="Z134" s="58" t="str">
        <f>IF('Phytopl Count'!Z134=0,"",('Phytopl Analysis'!Z134*LN('Phytopl Analysis'!Z134)))</f>
        <v/>
      </c>
      <c r="AA134" s="21" t="str">
        <f>IF('Phytopl Count'!AA134=0,"",('Phytopl Analysis'!AA134*LN('Phytopl Analysis'!AA134)))</f>
        <v/>
      </c>
      <c r="AB134" s="21" t="str">
        <f>IF('Phytopl Count'!AB134=0,"",('Phytopl Analysis'!AB134*LN('Phytopl Analysis'!AB134)))</f>
        <v/>
      </c>
      <c r="AC134" s="58" t="str">
        <f>IF('Phytopl Count'!AC134=0,"",('Phytopl Analysis'!AC134*LN('Phytopl Analysis'!AC134)))</f>
        <v/>
      </c>
      <c r="AD134" s="58" t="str">
        <f>IF('Phytopl Count'!AD134=0,"",('Phytopl Analysis'!AD134*LN('Phytopl Analysis'!AD134)))</f>
        <v/>
      </c>
      <c r="AE134" s="21" t="str">
        <f>IF('Phytopl Count'!AE134=0,"",('Phytopl Analysis'!AE134*LN('Phytopl Analysis'!AE134)))</f>
        <v/>
      </c>
      <c r="AF134" s="58" t="str">
        <f>IF('Phytopl Count'!AF134=0,"",('Phytopl Analysis'!AF134*LN('Phytopl Analysis'!AF134)))</f>
        <v/>
      </c>
    </row>
    <row r="135" spans="1:32">
      <c r="A135" s="4"/>
      <c r="B135" s="4"/>
      <c r="C135" s="4"/>
      <c r="D135" s="10" t="s">
        <v>5</v>
      </c>
      <c r="E135" s="12" t="s">
        <v>29</v>
      </c>
      <c r="F135" s="11"/>
      <c r="G135" s="21" t="str">
        <f>IF('Phytopl Count'!G135=0,"",('Phytopl Analysis'!G135*LN('Phytopl Analysis'!G135)))</f>
        <v/>
      </c>
      <c r="H135" s="21" t="str">
        <f>IF('Phytopl Count'!H135=0,"",('Phytopl Analysis'!H135*LN('Phytopl Analysis'!H135)))</f>
        <v/>
      </c>
      <c r="I135" s="58" t="str">
        <f>IF('Phytopl Count'!I135=0,"",('Phytopl Analysis'!I135*LN('Phytopl Analysis'!I135)))</f>
        <v/>
      </c>
      <c r="J135" s="58" t="str">
        <f>IF('Phytopl Count'!J135=0,"",('Phytopl Analysis'!J135*LN('Phytopl Analysis'!J135)))</f>
        <v/>
      </c>
      <c r="K135" s="21" t="str">
        <f>IF('Phytopl Count'!K135=0,"",('Phytopl Analysis'!K135*LN('Phytopl Analysis'!K135)))</f>
        <v/>
      </c>
      <c r="L135" s="21" t="str">
        <f>IF('Phytopl Count'!L135=0,"",('Phytopl Analysis'!L135*LN('Phytopl Analysis'!L135)))</f>
        <v/>
      </c>
      <c r="M135" s="58" t="str">
        <f>IF('Phytopl Count'!M135=0,"",('Phytopl Analysis'!M135*LN('Phytopl Analysis'!M135)))</f>
        <v/>
      </c>
      <c r="N135" s="58" t="str">
        <f>IF('Phytopl Count'!N135=0,"",('Phytopl Analysis'!N135*LN('Phytopl Analysis'!N135)))</f>
        <v/>
      </c>
      <c r="O135" s="21" t="str">
        <f>IF('Phytopl Count'!O135=0,"",('Phytopl Analysis'!O135*LN('Phytopl Analysis'!O135)))</f>
        <v/>
      </c>
      <c r="P135" s="21" t="str">
        <f>IF('Phytopl Count'!P135=0,"",('Phytopl Analysis'!P135*LN('Phytopl Analysis'!P135)))</f>
        <v/>
      </c>
      <c r="Q135" s="58" t="str">
        <f>IF('Phytopl Count'!Q135=0,"",('Phytopl Analysis'!Q135*LN('Phytopl Analysis'!Q135)))</f>
        <v/>
      </c>
      <c r="R135" s="58" t="str">
        <f>IF('Phytopl Count'!R135=0,"",('Phytopl Analysis'!R135*LN('Phytopl Analysis'!R135)))</f>
        <v/>
      </c>
      <c r="S135" s="21" t="str">
        <f>IF('Phytopl Count'!S135=0,"",('Phytopl Analysis'!S135*LN('Phytopl Analysis'!S135)))</f>
        <v/>
      </c>
      <c r="T135" s="21" t="str">
        <f>IF('Phytopl Count'!T135=0,"",('Phytopl Analysis'!T135*LN('Phytopl Analysis'!T135)))</f>
        <v/>
      </c>
      <c r="U135" s="58" t="str">
        <f>IF('Phytopl Count'!U135=0,"",('Phytopl Analysis'!U135*LN('Phytopl Analysis'!U135)))</f>
        <v/>
      </c>
      <c r="V135" s="58" t="str">
        <f>IF('Phytopl Count'!V135=0,"",('Phytopl Analysis'!V135*LN('Phytopl Analysis'!V135)))</f>
        <v/>
      </c>
      <c r="W135" s="21" t="str">
        <f>IF('Phytopl Count'!W135=0,"",('Phytopl Analysis'!W135*LN('Phytopl Analysis'!W135)))</f>
        <v/>
      </c>
      <c r="X135" s="21" t="str">
        <f>IF('Phytopl Count'!X135=0,"",('Phytopl Analysis'!X135*LN('Phytopl Analysis'!X135)))</f>
        <v/>
      </c>
      <c r="Y135" s="58" t="str">
        <f>IF('Phytopl Count'!Y135=0,"",('Phytopl Analysis'!Y135*LN('Phytopl Analysis'!Y135)))</f>
        <v/>
      </c>
      <c r="Z135" s="58" t="str">
        <f>IF('Phytopl Count'!Z135=0,"",('Phytopl Analysis'!Z135*LN('Phytopl Analysis'!Z135)))</f>
        <v/>
      </c>
      <c r="AA135" s="21" t="str">
        <f>IF('Phytopl Count'!AA135=0,"",('Phytopl Analysis'!AA135*LN('Phytopl Analysis'!AA135)))</f>
        <v/>
      </c>
      <c r="AB135" s="21" t="str">
        <f>IF('Phytopl Count'!AB135=0,"",('Phytopl Analysis'!AB135*LN('Phytopl Analysis'!AB135)))</f>
        <v/>
      </c>
      <c r="AC135" s="58" t="str">
        <f>IF('Phytopl Count'!AC135=0,"",('Phytopl Analysis'!AC135*LN('Phytopl Analysis'!AC135)))</f>
        <v/>
      </c>
      <c r="AD135" s="58" t="str">
        <f>IF('Phytopl Count'!AD135=0,"",('Phytopl Analysis'!AD135*LN('Phytopl Analysis'!AD135)))</f>
        <v/>
      </c>
      <c r="AE135" s="21" t="str">
        <f>IF('Phytopl Count'!AE135=0,"",('Phytopl Analysis'!AE135*LN('Phytopl Analysis'!AE135)))</f>
        <v/>
      </c>
      <c r="AF135" s="58" t="str">
        <f>IF('Phytopl Count'!AF135=0,"",('Phytopl Analysis'!AF135*LN('Phytopl Analysis'!AF135)))</f>
        <v/>
      </c>
    </row>
    <row r="136" spans="1:32" hidden="1">
      <c r="A136" s="4"/>
      <c r="B136" s="4"/>
      <c r="C136" s="4"/>
      <c r="D136" s="5"/>
      <c r="F136" s="11" t="s">
        <v>30</v>
      </c>
      <c r="G136" s="21" t="str">
        <f>IF('Phytopl Count'!G136=0,"",('Phytopl Analysis'!G136*LN('Phytopl Analysis'!G136)))</f>
        <v/>
      </c>
      <c r="H136" s="21" t="str">
        <f>IF('Phytopl Count'!H136=0,"",('Phytopl Analysis'!H136*LN('Phytopl Analysis'!H136)))</f>
        <v/>
      </c>
      <c r="I136" s="58" t="str">
        <f>IF('Phytopl Count'!I136=0,"",('Phytopl Analysis'!I136*LN('Phytopl Analysis'!I136)))</f>
        <v/>
      </c>
      <c r="J136" s="58" t="str">
        <f>IF('Phytopl Count'!J136=0,"",('Phytopl Analysis'!J136*LN('Phytopl Analysis'!J136)))</f>
        <v/>
      </c>
      <c r="K136" s="21" t="str">
        <f>IF('Phytopl Count'!K136=0,"",('Phytopl Analysis'!K136*LN('Phytopl Analysis'!K136)))</f>
        <v/>
      </c>
      <c r="L136" s="21" t="str">
        <f>IF('Phytopl Count'!L136=0,"",('Phytopl Analysis'!L136*LN('Phytopl Analysis'!L136)))</f>
        <v/>
      </c>
      <c r="M136" s="58" t="str">
        <f>IF('Phytopl Count'!M136=0,"",('Phytopl Analysis'!M136*LN('Phytopl Analysis'!M136)))</f>
        <v/>
      </c>
      <c r="N136" s="58" t="str">
        <f>IF('Phytopl Count'!N136=0,"",('Phytopl Analysis'!N136*LN('Phytopl Analysis'!N136)))</f>
        <v/>
      </c>
      <c r="O136" s="21" t="str">
        <f>IF('Phytopl Count'!O136=0,"",('Phytopl Analysis'!O136*LN('Phytopl Analysis'!O136)))</f>
        <v/>
      </c>
      <c r="P136" s="21" t="str">
        <f>IF('Phytopl Count'!P136=0,"",('Phytopl Analysis'!P136*LN('Phytopl Analysis'!P136)))</f>
        <v/>
      </c>
      <c r="Q136" s="58" t="str">
        <f>IF('Phytopl Count'!Q136=0,"",('Phytopl Analysis'!Q136*LN('Phytopl Analysis'!Q136)))</f>
        <v/>
      </c>
      <c r="R136" s="58" t="str">
        <f>IF('Phytopl Count'!R136=0,"",('Phytopl Analysis'!R136*LN('Phytopl Analysis'!R136)))</f>
        <v/>
      </c>
      <c r="S136" s="21" t="str">
        <f>IF('Phytopl Count'!S136=0,"",('Phytopl Analysis'!S136*LN('Phytopl Analysis'!S136)))</f>
        <v/>
      </c>
      <c r="T136" s="21" t="str">
        <f>IF('Phytopl Count'!T136=0,"",('Phytopl Analysis'!T136*LN('Phytopl Analysis'!T136)))</f>
        <v/>
      </c>
      <c r="U136" s="58" t="str">
        <f>IF('Phytopl Count'!U136=0,"",('Phytopl Analysis'!U136*LN('Phytopl Analysis'!U136)))</f>
        <v/>
      </c>
      <c r="V136" s="58" t="str">
        <f>IF('Phytopl Count'!V136=0,"",('Phytopl Analysis'!V136*LN('Phytopl Analysis'!V136)))</f>
        <v/>
      </c>
      <c r="W136" s="21" t="str">
        <f>IF('Phytopl Count'!W136=0,"",('Phytopl Analysis'!W136*LN('Phytopl Analysis'!W136)))</f>
        <v/>
      </c>
      <c r="X136" s="21" t="str">
        <f>IF('Phytopl Count'!X136=0,"",('Phytopl Analysis'!X136*LN('Phytopl Analysis'!X136)))</f>
        <v/>
      </c>
      <c r="Y136" s="58" t="str">
        <f>IF('Phytopl Count'!Y136=0,"",('Phytopl Analysis'!Y136*LN('Phytopl Analysis'!Y136)))</f>
        <v/>
      </c>
      <c r="Z136" s="58" t="str">
        <f>IF('Phytopl Count'!Z136=0,"",('Phytopl Analysis'!Z136*LN('Phytopl Analysis'!Z136)))</f>
        <v/>
      </c>
      <c r="AA136" s="21" t="str">
        <f>IF('Phytopl Count'!AA136=0,"",('Phytopl Analysis'!AA136*LN('Phytopl Analysis'!AA136)))</f>
        <v/>
      </c>
      <c r="AB136" s="21" t="str">
        <f>IF('Phytopl Count'!AB136=0,"",('Phytopl Analysis'!AB136*LN('Phytopl Analysis'!AB136)))</f>
        <v/>
      </c>
      <c r="AC136" s="58" t="str">
        <f>IF('Phytopl Count'!AC136=0,"",('Phytopl Analysis'!AC136*LN('Phytopl Analysis'!AC136)))</f>
        <v/>
      </c>
      <c r="AD136" s="58" t="str">
        <f>IF('Phytopl Count'!AD136=0,"",('Phytopl Analysis'!AD136*LN('Phytopl Analysis'!AD136)))</f>
        <v/>
      </c>
      <c r="AE136" s="21" t="str">
        <f>IF('Phytopl Count'!AE136=0,"",('Phytopl Analysis'!AE136*LN('Phytopl Analysis'!AE136)))</f>
        <v/>
      </c>
      <c r="AF136" s="58" t="str">
        <f>IF('Phytopl Count'!AF136=0,"",('Phytopl Analysis'!AF136*LN('Phytopl Analysis'!AF136)))</f>
        <v/>
      </c>
    </row>
    <row r="137" spans="1:32">
      <c r="A137" s="4"/>
      <c r="B137" s="4"/>
      <c r="C137" s="4"/>
      <c r="D137" s="5"/>
      <c r="E137" s="10" t="s">
        <v>6</v>
      </c>
      <c r="F137" s="11" t="s">
        <v>112</v>
      </c>
      <c r="G137" s="21">
        <f>IF('Phytopl Count'!G137=0,"",('Phytopl Analysis'!G137*LN('Phytopl Analysis'!G137)))</f>
        <v>-0.21014302345892899</v>
      </c>
      <c r="H137" s="21" t="str">
        <f>IF('Phytopl Count'!H137=0,"",('Phytopl Analysis'!H137*LN('Phytopl Analysis'!H137)))</f>
        <v/>
      </c>
      <c r="I137" s="58" t="str">
        <f>IF('Phytopl Count'!I137=0,"",('Phytopl Analysis'!I137*LN('Phytopl Analysis'!I137)))</f>
        <v/>
      </c>
      <c r="J137" s="58">
        <f>IF('Phytopl Count'!J137=0,"",('Phytopl Analysis'!J137*LN('Phytopl Analysis'!J137)))</f>
        <v>-0.12884150444391032</v>
      </c>
      <c r="K137" s="21">
        <f>IF('Phytopl Count'!K137=0,"",('Phytopl Analysis'!K137*LN('Phytopl Analysis'!K137)))</f>
        <v>-0.29334277233901074</v>
      </c>
      <c r="L137" s="21" t="str">
        <f>IF('Phytopl Count'!L137=0,"",('Phytopl Analysis'!L137*LN('Phytopl Analysis'!L137)))</f>
        <v/>
      </c>
      <c r="M137" s="58">
        <f>IF('Phytopl Count'!M137=0,"",('Phytopl Analysis'!M137*LN('Phytopl Analysis'!M137)))</f>
        <v>-0.2545625689671801</v>
      </c>
      <c r="N137" s="58">
        <f>IF('Phytopl Count'!N137=0,"",('Phytopl Analysis'!N137*LN('Phytopl Analysis'!N137)))</f>
        <v>-0.27919519416049449</v>
      </c>
      <c r="O137" s="21">
        <f>IF('Phytopl Count'!O137=0,"",('Phytopl Analysis'!O137*LN('Phytopl Analysis'!O137)))</f>
        <v>-0.22509271130098124</v>
      </c>
      <c r="P137" s="21" t="str">
        <f>IF('Phytopl Count'!P137=0,"",('Phytopl Analysis'!P137*LN('Phytopl Analysis'!P137)))</f>
        <v/>
      </c>
      <c r="Q137" s="58">
        <f>IF('Phytopl Count'!Q137=0,"",('Phytopl Analysis'!Q137*LN('Phytopl Analysis'!Q137)))</f>
        <v>-0.20217719752866301</v>
      </c>
      <c r="R137" s="58">
        <f>IF('Phytopl Count'!R137=0,"",('Phytopl Analysis'!R137*LN('Phytopl Analysis'!R137)))</f>
        <v>-0.11022075559754062</v>
      </c>
      <c r="S137" s="21" t="str">
        <f>IF('Phytopl Count'!S137=0,"",('Phytopl Analysis'!S137*LN('Phytopl Analysis'!S137)))</f>
        <v/>
      </c>
      <c r="T137" s="21">
        <f>IF('Phytopl Count'!T137=0,"",('Phytopl Analysis'!T137*LN('Phytopl Analysis'!T137)))</f>
        <v>-0.27919519416049449</v>
      </c>
      <c r="U137" s="58">
        <f>IF('Phytopl Count'!U137=0,"",('Phytopl Analysis'!U137*LN('Phytopl Analysis'!U137)))</f>
        <v>-0.35856946742802159</v>
      </c>
      <c r="V137" s="58">
        <f>IF('Phytopl Count'!V137=0,"",('Phytopl Analysis'!V137*LN('Phytopl Analysis'!V137)))</f>
        <v>-0.20217719752866301</v>
      </c>
      <c r="W137" s="21">
        <f>IF('Phytopl Count'!W137=0,"",('Phytopl Analysis'!W137*LN('Phytopl Analysis'!W137)))</f>
        <v>-0.1458498424659852</v>
      </c>
      <c r="X137" s="21">
        <f>IF('Phytopl Count'!X137=0,"",('Phytopl Analysis'!X137*LN('Phytopl Analysis'!X137)))</f>
        <v>-0.3169714753399841</v>
      </c>
      <c r="Y137" s="58">
        <f>IF('Phytopl Count'!Y137=0,"",('Phytopl Analysis'!Y137*LN('Phytopl Analysis'!Y137)))</f>
        <v>-8.9576664640739892E-2</v>
      </c>
      <c r="Z137" s="58" t="str">
        <f>IF('Phytopl Count'!Z137=0,"",('Phytopl Analysis'!Z137*LN('Phytopl Analysis'!Z137)))</f>
        <v/>
      </c>
      <c r="AA137" s="21">
        <f>IF('Phytopl Count'!AA137=0,"",('Phytopl Analysis'!AA137*LN('Phytopl Analysis'!AA137)))</f>
        <v>-0.35856946742802159</v>
      </c>
      <c r="AB137" s="21">
        <f>IF('Phytopl Count'!AB137=0,"",('Phytopl Analysis'!AB137*LN('Phytopl Analysis'!AB137)))</f>
        <v>-0.29334277233901074</v>
      </c>
      <c r="AC137" s="58">
        <f>IF('Phytopl Count'!AC137=0,"",('Phytopl Analysis'!AC137*LN('Phytopl Analysis'!AC137)))</f>
        <v>-0.11022075559754062</v>
      </c>
      <c r="AD137" s="58">
        <f>IF('Phytopl Count'!AD137=0,"",('Phytopl Analysis'!AD137*LN('Phytopl Analysis'!AD137)))</f>
        <v>-0.35856946742802159</v>
      </c>
      <c r="AE137" s="21">
        <f>IF('Phytopl Count'!AE137=0,"",('Phytopl Analysis'!AE137*LN('Phytopl Analysis'!AE137)))</f>
        <v>-0.25456256896718016</v>
      </c>
      <c r="AF137" s="58">
        <f>IF('Phytopl Count'!AF137=0,"",('Phytopl Analysis'!AF137*LN('Phytopl Analysis'!AF137)))</f>
        <v>-9.761643980036773E-2</v>
      </c>
    </row>
    <row r="138" spans="1:32" hidden="1">
      <c r="A138" s="4"/>
      <c r="B138" s="4"/>
      <c r="C138" s="4"/>
      <c r="D138" s="5"/>
      <c r="E138" s="10"/>
      <c r="F138" s="11" t="s">
        <v>242</v>
      </c>
      <c r="G138" s="21" t="str">
        <f>IF('Phytopl Count'!G138=0,"",('Phytopl Analysis'!G138*LN('Phytopl Analysis'!G138)))</f>
        <v/>
      </c>
      <c r="H138" s="21" t="str">
        <f>IF('Phytopl Count'!H138=0,"",('Phytopl Analysis'!H138*LN('Phytopl Analysis'!H138)))</f>
        <v/>
      </c>
      <c r="I138" s="58" t="str">
        <f>IF('Phytopl Count'!I138=0,"",('Phytopl Analysis'!I138*LN('Phytopl Analysis'!I138)))</f>
        <v/>
      </c>
      <c r="J138" s="58" t="str">
        <f>IF('Phytopl Count'!J138=0,"",('Phytopl Analysis'!J138*LN('Phytopl Analysis'!J138)))</f>
        <v/>
      </c>
      <c r="K138" s="21" t="str">
        <f>IF('Phytopl Count'!K138=0,"",('Phytopl Analysis'!K138*LN('Phytopl Analysis'!K138)))</f>
        <v/>
      </c>
      <c r="L138" s="21" t="str">
        <f>IF('Phytopl Count'!L138=0,"",('Phytopl Analysis'!L138*LN('Phytopl Analysis'!L138)))</f>
        <v/>
      </c>
      <c r="M138" s="58" t="str">
        <f>IF('Phytopl Count'!M138=0,"",('Phytopl Analysis'!M138*LN('Phytopl Analysis'!M138)))</f>
        <v/>
      </c>
      <c r="N138" s="58" t="str">
        <f>IF('Phytopl Count'!N138=0,"",('Phytopl Analysis'!N138*LN('Phytopl Analysis'!N138)))</f>
        <v/>
      </c>
      <c r="O138" s="21" t="str">
        <f>IF('Phytopl Count'!O138=0,"",('Phytopl Analysis'!O138*LN('Phytopl Analysis'!O138)))</f>
        <v/>
      </c>
      <c r="P138" s="21" t="str">
        <f>IF('Phytopl Count'!P138=0,"",('Phytopl Analysis'!P138*LN('Phytopl Analysis'!P138)))</f>
        <v/>
      </c>
      <c r="Q138" s="58" t="str">
        <f>IF('Phytopl Count'!Q138=0,"",('Phytopl Analysis'!Q138*LN('Phytopl Analysis'!Q138)))</f>
        <v/>
      </c>
      <c r="R138" s="58" t="str">
        <f>IF('Phytopl Count'!R138=0,"",('Phytopl Analysis'!R138*LN('Phytopl Analysis'!R138)))</f>
        <v/>
      </c>
      <c r="S138" s="21" t="str">
        <f>IF('Phytopl Count'!S138=0,"",('Phytopl Analysis'!S138*LN('Phytopl Analysis'!S138)))</f>
        <v/>
      </c>
      <c r="T138" s="21" t="str">
        <f>IF('Phytopl Count'!T138=0,"",('Phytopl Analysis'!T138*LN('Phytopl Analysis'!T138)))</f>
        <v/>
      </c>
      <c r="U138" s="58" t="str">
        <f>IF('Phytopl Count'!U138=0,"",('Phytopl Analysis'!U138*LN('Phytopl Analysis'!U138)))</f>
        <v/>
      </c>
      <c r="V138" s="58" t="str">
        <f>IF('Phytopl Count'!V138=0,"",('Phytopl Analysis'!V138*LN('Phytopl Analysis'!V138)))</f>
        <v/>
      </c>
      <c r="W138" s="21" t="str">
        <f>IF('Phytopl Count'!W138=0,"",('Phytopl Analysis'!W138*LN('Phytopl Analysis'!W138)))</f>
        <v/>
      </c>
      <c r="X138" s="21" t="str">
        <f>IF('Phytopl Count'!X138=0,"",('Phytopl Analysis'!X138*LN('Phytopl Analysis'!X138)))</f>
        <v/>
      </c>
      <c r="Y138" s="58" t="str">
        <f>IF('Phytopl Count'!Y138=0,"",('Phytopl Analysis'!Y138*LN('Phytopl Analysis'!Y138)))</f>
        <v/>
      </c>
      <c r="Z138" s="58" t="str">
        <f>IF('Phytopl Count'!Z138=0,"",('Phytopl Analysis'!Z138*LN('Phytopl Analysis'!Z138)))</f>
        <v/>
      </c>
      <c r="AA138" s="21" t="str">
        <f>IF('Phytopl Count'!AA138=0,"",('Phytopl Analysis'!AA138*LN('Phytopl Analysis'!AA138)))</f>
        <v/>
      </c>
      <c r="AB138" s="21" t="str">
        <f>IF('Phytopl Count'!AB138=0,"",('Phytopl Analysis'!AB138*LN('Phytopl Analysis'!AB138)))</f>
        <v/>
      </c>
      <c r="AC138" s="58" t="str">
        <f>IF('Phytopl Count'!AC138=0,"",('Phytopl Analysis'!AC138*LN('Phytopl Analysis'!AC138)))</f>
        <v/>
      </c>
      <c r="AD138" s="58" t="str">
        <f>IF('Phytopl Count'!AD138=0,"",('Phytopl Analysis'!AD138*LN('Phytopl Analysis'!AD138)))</f>
        <v/>
      </c>
      <c r="AE138" s="21" t="str">
        <f>IF('Phytopl Count'!AE138=0,"",('Phytopl Analysis'!AE138*LN('Phytopl Analysis'!AE138)))</f>
        <v/>
      </c>
      <c r="AF138" s="58" t="str">
        <f>IF('Phytopl Count'!AF138=0,"",('Phytopl Analysis'!AF138*LN('Phytopl Analysis'!AF138)))</f>
        <v/>
      </c>
    </row>
    <row r="139" spans="1:32" hidden="1">
      <c r="A139" s="4"/>
      <c r="B139" s="4"/>
      <c r="C139" s="16" t="s">
        <v>73</v>
      </c>
      <c r="D139" s="4" t="s">
        <v>103</v>
      </c>
      <c r="E139" s="28"/>
      <c r="F139" s="11"/>
      <c r="G139" s="21" t="str">
        <f>IF('Phytopl Count'!G139=0,"",('Phytopl Analysis'!G139*LN('Phytopl Analysis'!G139)))</f>
        <v/>
      </c>
      <c r="H139" s="21" t="str">
        <f>IF('Phytopl Count'!H139=0,"",('Phytopl Analysis'!H139*LN('Phytopl Analysis'!H139)))</f>
        <v/>
      </c>
      <c r="I139" s="58" t="str">
        <f>IF('Phytopl Count'!I139=0,"",('Phytopl Analysis'!I139*LN('Phytopl Analysis'!I139)))</f>
        <v/>
      </c>
      <c r="J139" s="58" t="str">
        <f>IF('Phytopl Count'!J139=0,"",('Phytopl Analysis'!J139*LN('Phytopl Analysis'!J139)))</f>
        <v/>
      </c>
      <c r="K139" s="21" t="str">
        <f>IF('Phytopl Count'!K139=0,"",('Phytopl Analysis'!K139*LN('Phytopl Analysis'!K139)))</f>
        <v/>
      </c>
      <c r="L139" s="21" t="str">
        <f>IF('Phytopl Count'!L139=0,"",('Phytopl Analysis'!L139*LN('Phytopl Analysis'!L139)))</f>
        <v/>
      </c>
      <c r="M139" s="58" t="str">
        <f>IF('Phytopl Count'!M139=0,"",('Phytopl Analysis'!M139*LN('Phytopl Analysis'!M139)))</f>
        <v/>
      </c>
      <c r="N139" s="58" t="str">
        <f>IF('Phytopl Count'!N139=0,"",('Phytopl Analysis'!N139*LN('Phytopl Analysis'!N139)))</f>
        <v/>
      </c>
      <c r="O139" s="21" t="str">
        <f>IF('Phytopl Count'!O139=0,"",('Phytopl Analysis'!O139*LN('Phytopl Analysis'!O139)))</f>
        <v/>
      </c>
      <c r="P139" s="21" t="str">
        <f>IF('Phytopl Count'!P139=0,"",('Phytopl Analysis'!P139*LN('Phytopl Analysis'!P139)))</f>
        <v/>
      </c>
      <c r="Q139" s="58" t="str">
        <f>IF('Phytopl Count'!Q139=0,"",('Phytopl Analysis'!Q139*LN('Phytopl Analysis'!Q139)))</f>
        <v/>
      </c>
      <c r="R139" s="58" t="str">
        <f>IF('Phytopl Count'!R139=0,"",('Phytopl Analysis'!R139*LN('Phytopl Analysis'!R139)))</f>
        <v/>
      </c>
      <c r="S139" s="21" t="str">
        <f>IF('Phytopl Count'!S139=0,"",('Phytopl Analysis'!S139*LN('Phytopl Analysis'!S139)))</f>
        <v/>
      </c>
      <c r="T139" s="21" t="str">
        <f>IF('Phytopl Count'!T139=0,"",('Phytopl Analysis'!T139*LN('Phytopl Analysis'!T139)))</f>
        <v/>
      </c>
      <c r="U139" s="58" t="str">
        <f>IF('Phytopl Count'!U139=0,"",('Phytopl Analysis'!U139*LN('Phytopl Analysis'!U139)))</f>
        <v/>
      </c>
      <c r="V139" s="58" t="str">
        <f>IF('Phytopl Count'!V139=0,"",('Phytopl Analysis'!V139*LN('Phytopl Analysis'!V139)))</f>
        <v/>
      </c>
      <c r="W139" s="21" t="str">
        <f>IF('Phytopl Count'!W139=0,"",('Phytopl Analysis'!W139*LN('Phytopl Analysis'!W139)))</f>
        <v/>
      </c>
      <c r="X139" s="21" t="str">
        <f>IF('Phytopl Count'!X139=0,"",('Phytopl Analysis'!X139*LN('Phytopl Analysis'!X139)))</f>
        <v/>
      </c>
      <c r="Y139" s="58" t="str">
        <f>IF('Phytopl Count'!Y139=0,"",('Phytopl Analysis'!Y139*LN('Phytopl Analysis'!Y139)))</f>
        <v/>
      </c>
      <c r="Z139" s="58" t="str">
        <f>IF('Phytopl Count'!Z139=0,"",('Phytopl Analysis'!Z139*LN('Phytopl Analysis'!Z139)))</f>
        <v/>
      </c>
      <c r="AA139" s="21" t="str">
        <f>IF('Phytopl Count'!AA139=0,"",('Phytopl Analysis'!AA139*LN('Phytopl Analysis'!AA139)))</f>
        <v/>
      </c>
      <c r="AB139" s="21" t="str">
        <f>IF('Phytopl Count'!AB139=0,"",('Phytopl Analysis'!AB139*LN('Phytopl Analysis'!AB139)))</f>
        <v/>
      </c>
      <c r="AC139" s="58" t="str">
        <f>IF('Phytopl Count'!AC139=0,"",('Phytopl Analysis'!AC139*LN('Phytopl Analysis'!AC139)))</f>
        <v/>
      </c>
      <c r="AD139" s="58" t="str">
        <f>IF('Phytopl Count'!AD139=0,"",('Phytopl Analysis'!AD139*LN('Phytopl Analysis'!AD139)))</f>
        <v/>
      </c>
      <c r="AE139" s="21" t="str">
        <f>IF('Phytopl Count'!AE139=0,"",('Phytopl Analysis'!AE139*LN('Phytopl Analysis'!AE139)))</f>
        <v/>
      </c>
      <c r="AF139" s="58" t="str">
        <f>IF('Phytopl Count'!AF139=0,"",('Phytopl Analysis'!AF139*LN('Phytopl Analysis'!AF139)))</f>
        <v/>
      </c>
    </row>
    <row r="140" spans="1:32" hidden="1">
      <c r="A140" s="4"/>
      <c r="B140" s="4"/>
      <c r="C140" s="4"/>
      <c r="D140" s="10" t="s">
        <v>5</v>
      </c>
      <c r="E140" s="115" t="s">
        <v>104</v>
      </c>
      <c r="F140" s="11"/>
      <c r="G140" s="21" t="str">
        <f>IF('Phytopl Count'!G140=0,"",('Phytopl Analysis'!G140*LN('Phytopl Analysis'!G140)))</f>
        <v/>
      </c>
      <c r="H140" s="21" t="str">
        <f>IF('Phytopl Count'!H140=0,"",('Phytopl Analysis'!H140*LN('Phytopl Analysis'!H140)))</f>
        <v/>
      </c>
      <c r="I140" s="58" t="str">
        <f>IF('Phytopl Count'!I140=0,"",('Phytopl Analysis'!I140*LN('Phytopl Analysis'!I140)))</f>
        <v/>
      </c>
      <c r="J140" s="58" t="str">
        <f>IF('Phytopl Count'!J140=0,"",('Phytopl Analysis'!J140*LN('Phytopl Analysis'!J140)))</f>
        <v/>
      </c>
      <c r="K140" s="21" t="str">
        <f>IF('Phytopl Count'!K140=0,"",('Phytopl Analysis'!K140*LN('Phytopl Analysis'!K140)))</f>
        <v/>
      </c>
      <c r="L140" s="21" t="str">
        <f>IF('Phytopl Count'!L140=0,"",('Phytopl Analysis'!L140*LN('Phytopl Analysis'!L140)))</f>
        <v/>
      </c>
      <c r="M140" s="58" t="str">
        <f>IF('Phytopl Count'!M140=0,"",('Phytopl Analysis'!M140*LN('Phytopl Analysis'!M140)))</f>
        <v/>
      </c>
      <c r="N140" s="58" t="str">
        <f>IF('Phytopl Count'!N140=0,"",('Phytopl Analysis'!N140*LN('Phytopl Analysis'!N140)))</f>
        <v/>
      </c>
      <c r="O140" s="21" t="str">
        <f>IF('Phytopl Count'!O140=0,"",('Phytopl Analysis'!O140*LN('Phytopl Analysis'!O140)))</f>
        <v/>
      </c>
      <c r="P140" s="21" t="str">
        <f>IF('Phytopl Count'!P140=0,"",('Phytopl Analysis'!P140*LN('Phytopl Analysis'!P140)))</f>
        <v/>
      </c>
      <c r="Q140" s="58" t="str">
        <f>IF('Phytopl Count'!Q140=0,"",('Phytopl Analysis'!Q140*LN('Phytopl Analysis'!Q140)))</f>
        <v/>
      </c>
      <c r="R140" s="58" t="str">
        <f>IF('Phytopl Count'!R140=0,"",('Phytopl Analysis'!R140*LN('Phytopl Analysis'!R140)))</f>
        <v/>
      </c>
      <c r="S140" s="21" t="str">
        <f>IF('Phytopl Count'!S140=0,"",('Phytopl Analysis'!S140*LN('Phytopl Analysis'!S140)))</f>
        <v/>
      </c>
      <c r="T140" s="21" t="str">
        <f>IF('Phytopl Count'!T140=0,"",('Phytopl Analysis'!T140*LN('Phytopl Analysis'!T140)))</f>
        <v/>
      </c>
      <c r="U140" s="58" t="str">
        <f>IF('Phytopl Count'!U140=0,"",('Phytopl Analysis'!U140*LN('Phytopl Analysis'!U140)))</f>
        <v/>
      </c>
      <c r="V140" s="58" t="str">
        <f>IF('Phytopl Count'!V140=0,"",('Phytopl Analysis'!V140*LN('Phytopl Analysis'!V140)))</f>
        <v/>
      </c>
      <c r="W140" s="21" t="str">
        <f>IF('Phytopl Count'!W140=0,"",('Phytopl Analysis'!W140*LN('Phytopl Analysis'!W140)))</f>
        <v/>
      </c>
      <c r="X140" s="21" t="str">
        <f>IF('Phytopl Count'!X140=0,"",('Phytopl Analysis'!X140*LN('Phytopl Analysis'!X140)))</f>
        <v/>
      </c>
      <c r="Y140" s="58" t="str">
        <f>IF('Phytopl Count'!Y140=0,"",('Phytopl Analysis'!Y140*LN('Phytopl Analysis'!Y140)))</f>
        <v/>
      </c>
      <c r="Z140" s="58" t="str">
        <f>IF('Phytopl Count'!Z140=0,"",('Phytopl Analysis'!Z140*LN('Phytopl Analysis'!Z140)))</f>
        <v/>
      </c>
      <c r="AA140" s="21" t="str">
        <f>IF('Phytopl Count'!AA140=0,"",('Phytopl Analysis'!AA140*LN('Phytopl Analysis'!AA140)))</f>
        <v/>
      </c>
      <c r="AB140" s="21" t="str">
        <f>IF('Phytopl Count'!AB140=0,"",('Phytopl Analysis'!AB140*LN('Phytopl Analysis'!AB140)))</f>
        <v/>
      </c>
      <c r="AC140" s="58" t="str">
        <f>IF('Phytopl Count'!AC140=0,"",('Phytopl Analysis'!AC140*LN('Phytopl Analysis'!AC140)))</f>
        <v/>
      </c>
      <c r="AD140" s="58" t="str">
        <f>IF('Phytopl Count'!AD140=0,"",('Phytopl Analysis'!AD140*LN('Phytopl Analysis'!AD140)))</f>
        <v/>
      </c>
      <c r="AE140" s="21" t="str">
        <f>IF('Phytopl Count'!AE140=0,"",('Phytopl Analysis'!AE140*LN('Phytopl Analysis'!AE140)))</f>
        <v/>
      </c>
      <c r="AF140" s="58" t="str">
        <f>IF('Phytopl Count'!AF140=0,"",('Phytopl Analysis'!AF140*LN('Phytopl Analysis'!AF140)))</f>
        <v/>
      </c>
    </row>
    <row r="141" spans="1:32" hidden="1">
      <c r="A141" s="4"/>
      <c r="B141" s="4"/>
      <c r="C141" s="4"/>
      <c r="D141" s="5"/>
      <c r="E141" s="10" t="s">
        <v>6</v>
      </c>
      <c r="F141" s="11" t="s">
        <v>105</v>
      </c>
      <c r="G141" s="21" t="str">
        <f>IF('Phytopl Count'!G141=0,"",('Phytopl Analysis'!G141*LN('Phytopl Analysis'!G141)))</f>
        <v/>
      </c>
      <c r="H141" s="21" t="str">
        <f>IF('Phytopl Count'!H141=0,"",('Phytopl Analysis'!H141*LN('Phytopl Analysis'!H141)))</f>
        <v/>
      </c>
      <c r="I141" s="58" t="str">
        <f>IF('Phytopl Count'!I141=0,"",('Phytopl Analysis'!I141*LN('Phytopl Analysis'!I141)))</f>
        <v/>
      </c>
      <c r="J141" s="58" t="str">
        <f>IF('Phytopl Count'!J141=0,"",('Phytopl Analysis'!J141*LN('Phytopl Analysis'!J141)))</f>
        <v/>
      </c>
      <c r="K141" s="21" t="str">
        <f>IF('Phytopl Count'!K141=0,"",('Phytopl Analysis'!K141*LN('Phytopl Analysis'!K141)))</f>
        <v/>
      </c>
      <c r="L141" s="21" t="str">
        <f>IF('Phytopl Count'!L141=0,"",('Phytopl Analysis'!L141*LN('Phytopl Analysis'!L141)))</f>
        <v/>
      </c>
      <c r="M141" s="58" t="str">
        <f>IF('Phytopl Count'!M141=0,"",('Phytopl Analysis'!M141*LN('Phytopl Analysis'!M141)))</f>
        <v/>
      </c>
      <c r="N141" s="58" t="str">
        <f>IF('Phytopl Count'!N141=0,"",('Phytopl Analysis'!N141*LN('Phytopl Analysis'!N141)))</f>
        <v/>
      </c>
      <c r="O141" s="21" t="str">
        <f>IF('Phytopl Count'!O141=0,"",('Phytopl Analysis'!O141*LN('Phytopl Analysis'!O141)))</f>
        <v/>
      </c>
      <c r="P141" s="21" t="str">
        <f>IF('Phytopl Count'!P141=0,"",('Phytopl Analysis'!P141*LN('Phytopl Analysis'!P141)))</f>
        <v/>
      </c>
      <c r="Q141" s="58" t="str">
        <f>IF('Phytopl Count'!Q141=0,"",('Phytopl Analysis'!Q141*LN('Phytopl Analysis'!Q141)))</f>
        <v/>
      </c>
      <c r="R141" s="58" t="str">
        <f>IF('Phytopl Count'!R141=0,"",('Phytopl Analysis'!R141*LN('Phytopl Analysis'!R141)))</f>
        <v/>
      </c>
      <c r="S141" s="21" t="str">
        <f>IF('Phytopl Count'!S141=0,"",('Phytopl Analysis'!S141*LN('Phytopl Analysis'!S141)))</f>
        <v/>
      </c>
      <c r="T141" s="21" t="str">
        <f>IF('Phytopl Count'!T141=0,"",('Phytopl Analysis'!T141*LN('Phytopl Analysis'!T141)))</f>
        <v/>
      </c>
      <c r="U141" s="58" t="str">
        <f>IF('Phytopl Count'!U141=0,"",('Phytopl Analysis'!U141*LN('Phytopl Analysis'!U141)))</f>
        <v/>
      </c>
      <c r="V141" s="58" t="str">
        <f>IF('Phytopl Count'!V141=0,"",('Phytopl Analysis'!V141*LN('Phytopl Analysis'!V141)))</f>
        <v/>
      </c>
      <c r="W141" s="21" t="str">
        <f>IF('Phytopl Count'!W141=0,"",('Phytopl Analysis'!W141*LN('Phytopl Analysis'!W141)))</f>
        <v/>
      </c>
      <c r="X141" s="21" t="str">
        <f>IF('Phytopl Count'!X141=0,"",('Phytopl Analysis'!X141*LN('Phytopl Analysis'!X141)))</f>
        <v/>
      </c>
      <c r="Y141" s="58" t="str">
        <f>IF('Phytopl Count'!Y141=0,"",('Phytopl Analysis'!Y141*LN('Phytopl Analysis'!Y141)))</f>
        <v/>
      </c>
      <c r="Z141" s="58" t="str">
        <f>IF('Phytopl Count'!Z141=0,"",('Phytopl Analysis'!Z141*LN('Phytopl Analysis'!Z141)))</f>
        <v/>
      </c>
      <c r="AA141" s="21" t="str">
        <f>IF('Phytopl Count'!AA141=0,"",('Phytopl Analysis'!AA141*LN('Phytopl Analysis'!AA141)))</f>
        <v/>
      </c>
      <c r="AB141" s="21" t="str">
        <f>IF('Phytopl Count'!AB141=0,"",('Phytopl Analysis'!AB141*LN('Phytopl Analysis'!AB141)))</f>
        <v/>
      </c>
      <c r="AC141" s="58" t="str">
        <f>IF('Phytopl Count'!AC141=0,"",('Phytopl Analysis'!AC141*LN('Phytopl Analysis'!AC141)))</f>
        <v/>
      </c>
      <c r="AD141" s="58" t="str">
        <f>IF('Phytopl Count'!AD141=0,"",('Phytopl Analysis'!AD141*LN('Phytopl Analysis'!AD141)))</f>
        <v/>
      </c>
      <c r="AE141" s="21" t="str">
        <f>IF('Phytopl Count'!AE141=0,"",('Phytopl Analysis'!AE141*LN('Phytopl Analysis'!AE141)))</f>
        <v/>
      </c>
      <c r="AF141" s="58" t="str">
        <f>IF('Phytopl Count'!AF141=0,"",('Phytopl Analysis'!AF141*LN('Phytopl Analysis'!AF141)))</f>
        <v/>
      </c>
    </row>
    <row r="142" spans="1:32">
      <c r="A142" s="4"/>
      <c r="B142" s="4"/>
      <c r="C142" s="16" t="s">
        <v>73</v>
      </c>
      <c r="D142" s="4" t="s">
        <v>84</v>
      </c>
      <c r="E142" s="28"/>
      <c r="F142" s="11"/>
      <c r="G142" s="21" t="str">
        <f>IF('Phytopl Count'!G142=0,"",('Phytopl Analysis'!G142*LN('Phytopl Analysis'!G142)))</f>
        <v/>
      </c>
      <c r="H142" s="21" t="str">
        <f>IF('Phytopl Count'!H142=0,"",('Phytopl Analysis'!H142*LN('Phytopl Analysis'!H142)))</f>
        <v/>
      </c>
      <c r="I142" s="58" t="str">
        <f>IF('Phytopl Count'!I142=0,"",('Phytopl Analysis'!I142*LN('Phytopl Analysis'!I142)))</f>
        <v/>
      </c>
      <c r="J142" s="58" t="str">
        <f>IF('Phytopl Count'!J142=0,"",('Phytopl Analysis'!J142*LN('Phytopl Analysis'!J142)))</f>
        <v/>
      </c>
      <c r="K142" s="21" t="str">
        <f>IF('Phytopl Count'!K142=0,"",('Phytopl Analysis'!K142*LN('Phytopl Analysis'!K142)))</f>
        <v/>
      </c>
      <c r="L142" s="21" t="str">
        <f>IF('Phytopl Count'!L142=0,"",('Phytopl Analysis'!L142*LN('Phytopl Analysis'!L142)))</f>
        <v/>
      </c>
      <c r="M142" s="58" t="str">
        <f>IF('Phytopl Count'!M142=0,"",('Phytopl Analysis'!M142*LN('Phytopl Analysis'!M142)))</f>
        <v/>
      </c>
      <c r="N142" s="58" t="str">
        <f>IF('Phytopl Count'!N142=0,"",('Phytopl Analysis'!N142*LN('Phytopl Analysis'!N142)))</f>
        <v/>
      </c>
      <c r="O142" s="21" t="str">
        <f>IF('Phytopl Count'!O142=0,"",('Phytopl Analysis'!O142*LN('Phytopl Analysis'!O142)))</f>
        <v/>
      </c>
      <c r="P142" s="21" t="str">
        <f>IF('Phytopl Count'!P142=0,"",('Phytopl Analysis'!P142*LN('Phytopl Analysis'!P142)))</f>
        <v/>
      </c>
      <c r="Q142" s="58" t="str">
        <f>IF('Phytopl Count'!Q142=0,"",('Phytopl Analysis'!Q142*LN('Phytopl Analysis'!Q142)))</f>
        <v/>
      </c>
      <c r="R142" s="58" t="str">
        <f>IF('Phytopl Count'!R142=0,"",('Phytopl Analysis'!R142*LN('Phytopl Analysis'!R142)))</f>
        <v/>
      </c>
      <c r="S142" s="21" t="str">
        <f>IF('Phytopl Count'!S142=0,"",('Phytopl Analysis'!S142*LN('Phytopl Analysis'!S142)))</f>
        <v/>
      </c>
      <c r="T142" s="21" t="str">
        <f>IF('Phytopl Count'!T142=0,"",('Phytopl Analysis'!T142*LN('Phytopl Analysis'!T142)))</f>
        <v/>
      </c>
      <c r="U142" s="58" t="str">
        <f>IF('Phytopl Count'!U142=0,"",('Phytopl Analysis'!U142*LN('Phytopl Analysis'!U142)))</f>
        <v/>
      </c>
      <c r="V142" s="58" t="str">
        <f>IF('Phytopl Count'!V142=0,"",('Phytopl Analysis'!V142*LN('Phytopl Analysis'!V142)))</f>
        <v/>
      </c>
      <c r="W142" s="21" t="str">
        <f>IF('Phytopl Count'!W142=0,"",('Phytopl Analysis'!W142*LN('Phytopl Analysis'!W142)))</f>
        <v/>
      </c>
      <c r="X142" s="21" t="str">
        <f>IF('Phytopl Count'!X142=0,"",('Phytopl Analysis'!X142*LN('Phytopl Analysis'!X142)))</f>
        <v/>
      </c>
      <c r="Y142" s="58" t="str">
        <f>IF('Phytopl Count'!Y142=0,"",('Phytopl Analysis'!Y142*LN('Phytopl Analysis'!Y142)))</f>
        <v/>
      </c>
      <c r="Z142" s="58" t="str">
        <f>IF('Phytopl Count'!Z142=0,"",('Phytopl Analysis'!Z142*LN('Phytopl Analysis'!Z142)))</f>
        <v/>
      </c>
      <c r="AA142" s="21" t="str">
        <f>IF('Phytopl Count'!AA142=0,"",('Phytopl Analysis'!AA142*LN('Phytopl Analysis'!AA142)))</f>
        <v/>
      </c>
      <c r="AB142" s="21" t="str">
        <f>IF('Phytopl Count'!AB142=0,"",('Phytopl Analysis'!AB142*LN('Phytopl Analysis'!AB142)))</f>
        <v/>
      </c>
      <c r="AC142" s="58" t="str">
        <f>IF('Phytopl Count'!AC142=0,"",('Phytopl Analysis'!AC142*LN('Phytopl Analysis'!AC142)))</f>
        <v/>
      </c>
      <c r="AD142" s="58" t="str">
        <f>IF('Phytopl Count'!AD142=0,"",('Phytopl Analysis'!AD142*LN('Phytopl Analysis'!AD142)))</f>
        <v/>
      </c>
      <c r="AE142" s="21" t="str">
        <f>IF('Phytopl Count'!AE142=0,"",('Phytopl Analysis'!AE142*LN('Phytopl Analysis'!AE142)))</f>
        <v/>
      </c>
      <c r="AF142" s="58" t="str">
        <f>IF('Phytopl Count'!AF142=0,"",('Phytopl Analysis'!AF142*LN('Phytopl Analysis'!AF142)))</f>
        <v/>
      </c>
    </row>
    <row r="143" spans="1:32">
      <c r="A143" s="4"/>
      <c r="B143" s="4"/>
      <c r="C143" s="4"/>
      <c r="D143" s="106" t="s">
        <v>5</v>
      </c>
      <c r="E143" s="107" t="s">
        <v>269</v>
      </c>
      <c r="F143" s="11"/>
      <c r="G143" s="21" t="str">
        <f>IF('Phytopl Count'!G143=0,"",('Phytopl Analysis'!G143*LN('Phytopl Analysis'!G143)))</f>
        <v/>
      </c>
      <c r="H143" s="21" t="str">
        <f>IF('Phytopl Count'!H143=0,"",('Phytopl Analysis'!H143*LN('Phytopl Analysis'!H143)))</f>
        <v/>
      </c>
      <c r="I143" s="58" t="str">
        <f>IF('Phytopl Count'!I143=0,"",('Phytopl Analysis'!I143*LN('Phytopl Analysis'!I143)))</f>
        <v/>
      </c>
      <c r="J143" s="58" t="str">
        <f>IF('Phytopl Count'!J143=0,"",('Phytopl Analysis'!J143*LN('Phytopl Analysis'!J143)))</f>
        <v/>
      </c>
      <c r="K143" s="21" t="str">
        <f>IF('Phytopl Count'!K143=0,"",('Phytopl Analysis'!K143*LN('Phytopl Analysis'!K143)))</f>
        <v/>
      </c>
      <c r="L143" s="21" t="str">
        <f>IF('Phytopl Count'!L143=0,"",('Phytopl Analysis'!L143*LN('Phytopl Analysis'!L143)))</f>
        <v/>
      </c>
      <c r="M143" s="58" t="str">
        <f>IF('Phytopl Count'!M143=0,"",('Phytopl Analysis'!M143*LN('Phytopl Analysis'!M143)))</f>
        <v/>
      </c>
      <c r="N143" s="58" t="str">
        <f>IF('Phytopl Count'!N143=0,"",('Phytopl Analysis'!N143*LN('Phytopl Analysis'!N143)))</f>
        <v/>
      </c>
      <c r="O143" s="21" t="str">
        <f>IF('Phytopl Count'!O143=0,"",('Phytopl Analysis'!O143*LN('Phytopl Analysis'!O143)))</f>
        <v/>
      </c>
      <c r="P143" s="21" t="str">
        <f>IF('Phytopl Count'!P143=0,"",('Phytopl Analysis'!P143*LN('Phytopl Analysis'!P143)))</f>
        <v/>
      </c>
      <c r="Q143" s="58" t="str">
        <f>IF('Phytopl Count'!Q143=0,"",('Phytopl Analysis'!Q143*LN('Phytopl Analysis'!Q143)))</f>
        <v/>
      </c>
      <c r="R143" s="58" t="str">
        <f>IF('Phytopl Count'!R143=0,"",('Phytopl Analysis'!R143*LN('Phytopl Analysis'!R143)))</f>
        <v/>
      </c>
      <c r="S143" s="21" t="str">
        <f>IF('Phytopl Count'!S143=0,"",('Phytopl Analysis'!S143*LN('Phytopl Analysis'!S143)))</f>
        <v/>
      </c>
      <c r="T143" s="21" t="str">
        <f>IF('Phytopl Count'!T143=0,"",('Phytopl Analysis'!T143*LN('Phytopl Analysis'!T143)))</f>
        <v/>
      </c>
      <c r="U143" s="58" t="str">
        <f>IF('Phytopl Count'!U143=0,"",('Phytopl Analysis'!U143*LN('Phytopl Analysis'!U143)))</f>
        <v/>
      </c>
      <c r="V143" s="58" t="str">
        <f>IF('Phytopl Count'!V143=0,"",('Phytopl Analysis'!V143*LN('Phytopl Analysis'!V143)))</f>
        <v/>
      </c>
      <c r="W143" s="21" t="str">
        <f>IF('Phytopl Count'!W143=0,"",('Phytopl Analysis'!W143*LN('Phytopl Analysis'!W143)))</f>
        <v/>
      </c>
      <c r="X143" s="21" t="str">
        <f>IF('Phytopl Count'!X143=0,"",('Phytopl Analysis'!X143*LN('Phytopl Analysis'!X143)))</f>
        <v/>
      </c>
      <c r="Y143" s="58" t="str">
        <f>IF('Phytopl Count'!Y143=0,"",('Phytopl Analysis'!Y143*LN('Phytopl Analysis'!Y143)))</f>
        <v/>
      </c>
      <c r="Z143" s="58" t="str">
        <f>IF('Phytopl Count'!Z143=0,"",('Phytopl Analysis'!Z143*LN('Phytopl Analysis'!Z143)))</f>
        <v/>
      </c>
      <c r="AA143" s="21" t="str">
        <f>IF('Phytopl Count'!AA143=0,"",('Phytopl Analysis'!AA143*LN('Phytopl Analysis'!AA143)))</f>
        <v/>
      </c>
      <c r="AB143" s="21" t="str">
        <f>IF('Phytopl Count'!AB143=0,"",('Phytopl Analysis'!AB143*LN('Phytopl Analysis'!AB143)))</f>
        <v/>
      </c>
      <c r="AC143" s="58" t="str">
        <f>IF('Phytopl Count'!AC143=0,"",('Phytopl Analysis'!AC143*LN('Phytopl Analysis'!AC143)))</f>
        <v/>
      </c>
      <c r="AD143" s="58" t="str">
        <f>IF('Phytopl Count'!AD143=0,"",('Phytopl Analysis'!AD143*LN('Phytopl Analysis'!AD143)))</f>
        <v/>
      </c>
      <c r="AE143" s="21" t="str">
        <f>IF('Phytopl Count'!AE143=0,"",('Phytopl Analysis'!AE143*LN('Phytopl Analysis'!AE143)))</f>
        <v/>
      </c>
      <c r="AF143" s="58" t="str">
        <f>IF('Phytopl Count'!AF143=0,"",('Phytopl Analysis'!AF143*LN('Phytopl Analysis'!AF143)))</f>
        <v/>
      </c>
    </row>
    <row r="144" spans="1:32" hidden="1">
      <c r="A144" s="4"/>
      <c r="B144" s="4"/>
      <c r="C144" s="4"/>
      <c r="D144" s="105"/>
      <c r="F144" s="11" t="s">
        <v>270</v>
      </c>
      <c r="G144" s="21" t="str">
        <f>IF('Phytopl Count'!G144=0,"",('Phytopl Analysis'!G144*LN('Phytopl Analysis'!G144)))</f>
        <v/>
      </c>
      <c r="H144" s="21" t="str">
        <f>IF('Phytopl Count'!H144=0,"",('Phytopl Analysis'!H144*LN('Phytopl Analysis'!H144)))</f>
        <v/>
      </c>
      <c r="I144" s="58" t="str">
        <f>IF('Phytopl Count'!I144=0,"",('Phytopl Analysis'!I144*LN('Phytopl Analysis'!I144)))</f>
        <v/>
      </c>
      <c r="J144" s="58" t="str">
        <f>IF('Phytopl Count'!J144=0,"",('Phytopl Analysis'!J144*LN('Phytopl Analysis'!J144)))</f>
        <v/>
      </c>
      <c r="K144" s="21" t="str">
        <f>IF('Phytopl Count'!K144=0,"",('Phytopl Analysis'!K144*LN('Phytopl Analysis'!K144)))</f>
        <v/>
      </c>
      <c r="L144" s="21" t="str">
        <f>IF('Phytopl Count'!L144=0,"",('Phytopl Analysis'!L144*LN('Phytopl Analysis'!L144)))</f>
        <v/>
      </c>
      <c r="M144" s="58" t="str">
        <f>IF('Phytopl Count'!M144=0,"",('Phytopl Analysis'!M144*LN('Phytopl Analysis'!M144)))</f>
        <v/>
      </c>
      <c r="N144" s="58" t="str">
        <f>IF('Phytopl Count'!N144=0,"",('Phytopl Analysis'!N144*LN('Phytopl Analysis'!N144)))</f>
        <v/>
      </c>
      <c r="O144" s="21" t="str">
        <f>IF('Phytopl Count'!O144=0,"",('Phytopl Analysis'!O144*LN('Phytopl Analysis'!O144)))</f>
        <v/>
      </c>
      <c r="P144" s="21" t="str">
        <f>IF('Phytopl Count'!P144=0,"",('Phytopl Analysis'!P144*LN('Phytopl Analysis'!P144)))</f>
        <v/>
      </c>
      <c r="Q144" s="58" t="str">
        <f>IF('Phytopl Count'!Q144=0,"",('Phytopl Analysis'!Q144*LN('Phytopl Analysis'!Q144)))</f>
        <v/>
      </c>
      <c r="R144" s="58" t="str">
        <f>IF('Phytopl Count'!R144=0,"",('Phytopl Analysis'!R144*LN('Phytopl Analysis'!R144)))</f>
        <v/>
      </c>
      <c r="S144" s="21" t="str">
        <f>IF('Phytopl Count'!S144=0,"",('Phytopl Analysis'!S144*LN('Phytopl Analysis'!S144)))</f>
        <v/>
      </c>
      <c r="T144" s="21" t="str">
        <f>IF('Phytopl Count'!T144=0,"",('Phytopl Analysis'!T144*LN('Phytopl Analysis'!T144)))</f>
        <v/>
      </c>
      <c r="U144" s="58" t="str">
        <f>IF('Phytopl Count'!U144=0,"",('Phytopl Analysis'!U144*LN('Phytopl Analysis'!U144)))</f>
        <v/>
      </c>
      <c r="V144" s="58" t="str">
        <f>IF('Phytopl Count'!V144=0,"",('Phytopl Analysis'!V144*LN('Phytopl Analysis'!V144)))</f>
        <v/>
      </c>
      <c r="W144" s="21" t="str">
        <f>IF('Phytopl Count'!W144=0,"",('Phytopl Analysis'!W144*LN('Phytopl Analysis'!W144)))</f>
        <v/>
      </c>
      <c r="X144" s="21" t="str">
        <f>IF('Phytopl Count'!X144=0,"",('Phytopl Analysis'!X144*LN('Phytopl Analysis'!X144)))</f>
        <v/>
      </c>
      <c r="Y144" s="58" t="str">
        <f>IF('Phytopl Count'!Y144=0,"",('Phytopl Analysis'!Y144*LN('Phytopl Analysis'!Y144)))</f>
        <v/>
      </c>
      <c r="Z144" s="58" t="str">
        <f>IF('Phytopl Count'!Z144=0,"",('Phytopl Analysis'!Z144*LN('Phytopl Analysis'!Z144)))</f>
        <v/>
      </c>
      <c r="AA144" s="21" t="str">
        <f>IF('Phytopl Count'!AA144=0,"",('Phytopl Analysis'!AA144*LN('Phytopl Analysis'!AA144)))</f>
        <v/>
      </c>
      <c r="AB144" s="21" t="str">
        <f>IF('Phytopl Count'!AB144=0,"",('Phytopl Analysis'!AB144*LN('Phytopl Analysis'!AB144)))</f>
        <v/>
      </c>
      <c r="AC144" s="58" t="str">
        <f>IF('Phytopl Count'!AC144=0,"",('Phytopl Analysis'!AC144*LN('Phytopl Analysis'!AC144)))</f>
        <v/>
      </c>
      <c r="AD144" s="58" t="str">
        <f>IF('Phytopl Count'!AD144=0,"",('Phytopl Analysis'!AD144*LN('Phytopl Analysis'!AD144)))</f>
        <v/>
      </c>
      <c r="AE144" s="21" t="str">
        <f>IF('Phytopl Count'!AE144=0,"",('Phytopl Analysis'!AE144*LN('Phytopl Analysis'!AE144)))</f>
        <v/>
      </c>
      <c r="AF144" s="58" t="str">
        <f>IF('Phytopl Count'!AF144=0,"",('Phytopl Analysis'!AF144*LN('Phytopl Analysis'!AF144)))</f>
        <v/>
      </c>
    </row>
    <row r="145" spans="1:32">
      <c r="A145" s="4"/>
      <c r="B145" s="4"/>
      <c r="C145" s="4"/>
      <c r="D145" s="105"/>
      <c r="E145" s="106" t="s">
        <v>6</v>
      </c>
      <c r="F145" s="11" t="s">
        <v>168</v>
      </c>
      <c r="G145" s="21" t="str">
        <f>IF('Phytopl Count'!G145=0,"",('Phytopl Analysis'!G145*LN('Phytopl Analysis'!G145)))</f>
        <v/>
      </c>
      <c r="H145" s="21" t="str">
        <f>IF('Phytopl Count'!H145=0,"",('Phytopl Analysis'!H145*LN('Phytopl Analysis'!H145)))</f>
        <v/>
      </c>
      <c r="I145" s="58" t="str">
        <f>IF('Phytopl Count'!I145=0,"",('Phytopl Analysis'!I145*LN('Phytopl Analysis'!I145)))</f>
        <v/>
      </c>
      <c r="J145" s="58">
        <f>IF('Phytopl Count'!J145=0,"",('Phytopl Analysis'!J145*LN('Phytopl Analysis'!J145)))</f>
        <v>-0.12884150444391032</v>
      </c>
      <c r="K145" s="21" t="str">
        <f>IF('Phytopl Count'!K145=0,"",('Phytopl Analysis'!K145*LN('Phytopl Analysis'!K145)))</f>
        <v/>
      </c>
      <c r="L145" s="21" t="str">
        <f>IF('Phytopl Count'!L145=0,"",('Phytopl Analysis'!L145*LN('Phytopl Analysis'!L145)))</f>
        <v/>
      </c>
      <c r="M145" s="58" t="str">
        <f>IF('Phytopl Count'!M145=0,"",('Phytopl Analysis'!M145*LN('Phytopl Analysis'!M145)))</f>
        <v/>
      </c>
      <c r="N145" s="58">
        <f>IF('Phytopl Count'!N145=0,"",('Phytopl Analysis'!N145*LN('Phytopl Analysis'!N145)))</f>
        <v>-0.1458498424659852</v>
      </c>
      <c r="O145" s="21">
        <f>IF('Phytopl Count'!O145=0,"",('Phytopl Analysis'!O145*LN('Phytopl Analysis'!O145)))</f>
        <v>-0.11022075559754062</v>
      </c>
      <c r="P145" s="21" t="str">
        <f>IF('Phytopl Count'!P145=0,"",('Phytopl Analysis'!P145*LN('Phytopl Analysis'!P145)))</f>
        <v/>
      </c>
      <c r="Q145" s="58" t="str">
        <f>IF('Phytopl Count'!Q145=0,"",('Phytopl Analysis'!Q145*LN('Phytopl Analysis'!Q145)))</f>
        <v/>
      </c>
      <c r="R145" s="58" t="str">
        <f>IF('Phytopl Count'!R145=0,"",('Phytopl Analysis'!R145*LN('Phytopl Analysis'!R145)))</f>
        <v/>
      </c>
      <c r="S145" s="21" t="str">
        <f>IF('Phytopl Count'!S145=0,"",('Phytopl Analysis'!S145*LN('Phytopl Analysis'!S145)))</f>
        <v/>
      </c>
      <c r="T145" s="21" t="str">
        <f>IF('Phytopl Count'!T145=0,"",('Phytopl Analysis'!T145*LN('Phytopl Analysis'!T145)))</f>
        <v/>
      </c>
      <c r="U145" s="58">
        <f>IF('Phytopl Count'!U145=0,"",('Phytopl Analysis'!U145*LN('Phytopl Analysis'!U145)))</f>
        <v>-0.11022075559754062</v>
      </c>
      <c r="V145" s="58">
        <f>IF('Phytopl Count'!V145=0,"",('Phytopl Analysis'!V145*LN('Phytopl Analysis'!V145)))</f>
        <v>-0.12884150444391032</v>
      </c>
      <c r="W145" s="21" t="str">
        <f>IF('Phytopl Count'!W145=0,"",('Phytopl Analysis'!W145*LN('Phytopl Analysis'!W145)))</f>
        <v/>
      </c>
      <c r="X145" s="21" t="str">
        <f>IF('Phytopl Count'!X145=0,"",('Phytopl Analysis'!X145*LN('Phytopl Analysis'!X145)))</f>
        <v/>
      </c>
      <c r="Y145" s="58" t="str">
        <f>IF('Phytopl Count'!Y145=0,"",('Phytopl Analysis'!Y145*LN('Phytopl Analysis'!Y145)))</f>
        <v/>
      </c>
      <c r="Z145" s="58" t="str">
        <f>IF('Phytopl Count'!Z145=0,"",('Phytopl Analysis'!Z145*LN('Phytopl Analysis'!Z145)))</f>
        <v/>
      </c>
      <c r="AA145" s="21" t="str">
        <f>IF('Phytopl Count'!AA145=0,"",('Phytopl Analysis'!AA145*LN('Phytopl Analysis'!AA145)))</f>
        <v/>
      </c>
      <c r="AB145" s="21" t="str">
        <f>IF('Phytopl Count'!AB145=0,"",('Phytopl Analysis'!AB145*LN('Phytopl Analysis'!AB145)))</f>
        <v/>
      </c>
      <c r="AC145" s="58">
        <f>IF('Phytopl Count'!AC145=0,"",('Phytopl Analysis'!AC145*LN('Phytopl Analysis'!AC145)))</f>
        <v>-0.11022075559754062</v>
      </c>
      <c r="AD145" s="58" t="str">
        <f>IF('Phytopl Count'!AD145=0,"",('Phytopl Analysis'!AD145*LN('Phytopl Analysis'!AD145)))</f>
        <v/>
      </c>
      <c r="AE145" s="21" t="str">
        <f>IF('Phytopl Count'!AE145=0,"",('Phytopl Analysis'!AE145*LN('Phytopl Analysis'!AE145)))</f>
        <v/>
      </c>
      <c r="AF145" s="58">
        <f>IF('Phytopl Count'!AF145=0,"",('Phytopl Analysis'!AF145*LN('Phytopl Analysis'!AF145)))</f>
        <v>-0.3169714753399841</v>
      </c>
    </row>
    <row r="146" spans="1:32" hidden="1">
      <c r="A146" s="4"/>
      <c r="B146" s="4"/>
      <c r="C146" s="4"/>
      <c r="D146" s="10" t="s">
        <v>5</v>
      </c>
      <c r="E146" s="12" t="s">
        <v>85</v>
      </c>
      <c r="F146" s="11"/>
      <c r="G146" s="21" t="str">
        <f>IF('Phytopl Count'!G146=0,"",('Phytopl Analysis'!G146*LN('Phytopl Analysis'!G146)))</f>
        <v/>
      </c>
      <c r="H146" s="21" t="str">
        <f>IF('Phytopl Count'!H146=0,"",('Phytopl Analysis'!H146*LN('Phytopl Analysis'!H146)))</f>
        <v/>
      </c>
      <c r="I146" s="58" t="str">
        <f>IF('Phytopl Count'!I146=0,"",('Phytopl Analysis'!I146*LN('Phytopl Analysis'!I146)))</f>
        <v/>
      </c>
      <c r="J146" s="58" t="str">
        <f>IF('Phytopl Count'!J146=0,"",('Phytopl Analysis'!J146*LN('Phytopl Analysis'!J146)))</f>
        <v/>
      </c>
      <c r="K146" s="21" t="str">
        <f>IF('Phytopl Count'!K146=0,"",('Phytopl Analysis'!K146*LN('Phytopl Analysis'!K146)))</f>
        <v/>
      </c>
      <c r="L146" s="21" t="str">
        <f>IF('Phytopl Count'!L146=0,"",('Phytopl Analysis'!L146*LN('Phytopl Analysis'!L146)))</f>
        <v/>
      </c>
      <c r="M146" s="58" t="str">
        <f>IF('Phytopl Count'!M146=0,"",('Phytopl Analysis'!M146*LN('Phytopl Analysis'!M146)))</f>
        <v/>
      </c>
      <c r="N146" s="58" t="str">
        <f>IF('Phytopl Count'!N146=0,"",('Phytopl Analysis'!N146*LN('Phytopl Analysis'!N146)))</f>
        <v/>
      </c>
      <c r="O146" s="21" t="str">
        <f>IF('Phytopl Count'!O146=0,"",('Phytopl Analysis'!O146*LN('Phytopl Analysis'!O146)))</f>
        <v/>
      </c>
      <c r="P146" s="21" t="str">
        <f>IF('Phytopl Count'!P146=0,"",('Phytopl Analysis'!P146*LN('Phytopl Analysis'!P146)))</f>
        <v/>
      </c>
      <c r="Q146" s="58" t="str">
        <f>IF('Phytopl Count'!Q146=0,"",('Phytopl Analysis'!Q146*LN('Phytopl Analysis'!Q146)))</f>
        <v/>
      </c>
      <c r="R146" s="58" t="str">
        <f>IF('Phytopl Count'!R146=0,"",('Phytopl Analysis'!R146*LN('Phytopl Analysis'!R146)))</f>
        <v/>
      </c>
      <c r="S146" s="21" t="str">
        <f>IF('Phytopl Count'!S146=0,"",('Phytopl Analysis'!S146*LN('Phytopl Analysis'!S146)))</f>
        <v/>
      </c>
      <c r="T146" s="21" t="str">
        <f>IF('Phytopl Count'!T146=0,"",('Phytopl Analysis'!T146*LN('Phytopl Analysis'!T146)))</f>
        <v/>
      </c>
      <c r="U146" s="58" t="str">
        <f>IF('Phytopl Count'!U146=0,"",('Phytopl Analysis'!U146*LN('Phytopl Analysis'!U146)))</f>
        <v/>
      </c>
      <c r="V146" s="58" t="str">
        <f>IF('Phytopl Count'!V146=0,"",('Phytopl Analysis'!V146*LN('Phytopl Analysis'!V146)))</f>
        <v/>
      </c>
      <c r="W146" s="21" t="str">
        <f>IF('Phytopl Count'!W146=0,"",('Phytopl Analysis'!W146*LN('Phytopl Analysis'!W146)))</f>
        <v/>
      </c>
      <c r="X146" s="21" t="str">
        <f>IF('Phytopl Count'!X146=0,"",('Phytopl Analysis'!X146*LN('Phytopl Analysis'!X146)))</f>
        <v/>
      </c>
      <c r="Y146" s="58" t="str">
        <f>IF('Phytopl Count'!Y146=0,"",('Phytopl Analysis'!Y146*LN('Phytopl Analysis'!Y146)))</f>
        <v/>
      </c>
      <c r="Z146" s="58" t="str">
        <f>IF('Phytopl Count'!Z146=0,"",('Phytopl Analysis'!Z146*LN('Phytopl Analysis'!Z146)))</f>
        <v/>
      </c>
      <c r="AA146" s="21" t="str">
        <f>IF('Phytopl Count'!AA146=0,"",('Phytopl Analysis'!AA146*LN('Phytopl Analysis'!AA146)))</f>
        <v/>
      </c>
      <c r="AB146" s="21" t="str">
        <f>IF('Phytopl Count'!AB146=0,"",('Phytopl Analysis'!AB146*LN('Phytopl Analysis'!AB146)))</f>
        <v/>
      </c>
      <c r="AC146" s="58" t="str">
        <f>IF('Phytopl Count'!AC146=0,"",('Phytopl Analysis'!AC146*LN('Phytopl Analysis'!AC146)))</f>
        <v/>
      </c>
      <c r="AD146" s="58" t="str">
        <f>IF('Phytopl Count'!AD146=0,"",('Phytopl Analysis'!AD146*LN('Phytopl Analysis'!AD146)))</f>
        <v/>
      </c>
      <c r="AE146" s="21" t="str">
        <f>IF('Phytopl Count'!AE146=0,"",('Phytopl Analysis'!AE146*LN('Phytopl Analysis'!AE146)))</f>
        <v/>
      </c>
      <c r="AF146" s="58" t="str">
        <f>IF('Phytopl Count'!AF146=0,"",('Phytopl Analysis'!AF146*LN('Phytopl Analysis'!AF146)))</f>
        <v/>
      </c>
    </row>
    <row r="147" spans="1:32" hidden="1">
      <c r="A147" s="4"/>
      <c r="B147" s="4"/>
      <c r="C147" s="4"/>
      <c r="D147" s="5"/>
      <c r="E147" s="10" t="s">
        <v>6</v>
      </c>
      <c r="F147" s="11" t="s">
        <v>33</v>
      </c>
      <c r="G147" s="21" t="str">
        <f>IF('Phytopl Count'!G147=0,"",('Phytopl Analysis'!G147*LN('Phytopl Analysis'!G147)))</f>
        <v/>
      </c>
      <c r="H147" s="21" t="str">
        <f>IF('Phytopl Count'!H147=0,"",('Phytopl Analysis'!H147*LN('Phytopl Analysis'!H147)))</f>
        <v/>
      </c>
      <c r="I147" s="58" t="str">
        <f>IF('Phytopl Count'!I147=0,"",('Phytopl Analysis'!I147*LN('Phytopl Analysis'!I147)))</f>
        <v/>
      </c>
      <c r="J147" s="58" t="str">
        <f>IF('Phytopl Count'!J147=0,"",('Phytopl Analysis'!J147*LN('Phytopl Analysis'!J147)))</f>
        <v/>
      </c>
      <c r="K147" s="21" t="str">
        <f>IF('Phytopl Count'!K147=0,"",('Phytopl Analysis'!K147*LN('Phytopl Analysis'!K147)))</f>
        <v/>
      </c>
      <c r="L147" s="21" t="str">
        <f>IF('Phytopl Count'!L147=0,"",('Phytopl Analysis'!L147*LN('Phytopl Analysis'!L147)))</f>
        <v/>
      </c>
      <c r="M147" s="58" t="str">
        <f>IF('Phytopl Count'!M147=0,"",('Phytopl Analysis'!M147*LN('Phytopl Analysis'!M147)))</f>
        <v/>
      </c>
      <c r="N147" s="58" t="str">
        <f>IF('Phytopl Count'!N147=0,"",('Phytopl Analysis'!N147*LN('Phytopl Analysis'!N147)))</f>
        <v/>
      </c>
      <c r="O147" s="21" t="str">
        <f>IF('Phytopl Count'!O147=0,"",('Phytopl Analysis'!O147*LN('Phytopl Analysis'!O147)))</f>
        <v/>
      </c>
      <c r="P147" s="21" t="str">
        <f>IF('Phytopl Count'!P147=0,"",('Phytopl Analysis'!P147*LN('Phytopl Analysis'!P147)))</f>
        <v/>
      </c>
      <c r="Q147" s="58" t="str">
        <f>IF('Phytopl Count'!Q147=0,"",('Phytopl Analysis'!Q147*LN('Phytopl Analysis'!Q147)))</f>
        <v/>
      </c>
      <c r="R147" s="58" t="str">
        <f>IF('Phytopl Count'!R147=0,"",('Phytopl Analysis'!R147*LN('Phytopl Analysis'!R147)))</f>
        <v/>
      </c>
      <c r="S147" s="21" t="str">
        <f>IF('Phytopl Count'!S147=0,"",('Phytopl Analysis'!S147*LN('Phytopl Analysis'!S147)))</f>
        <v/>
      </c>
      <c r="T147" s="21" t="str">
        <f>IF('Phytopl Count'!T147=0,"",('Phytopl Analysis'!T147*LN('Phytopl Analysis'!T147)))</f>
        <v/>
      </c>
      <c r="U147" s="58" t="str">
        <f>IF('Phytopl Count'!U147=0,"",('Phytopl Analysis'!U147*LN('Phytopl Analysis'!U147)))</f>
        <v/>
      </c>
      <c r="V147" s="58" t="str">
        <f>IF('Phytopl Count'!V147=0,"",('Phytopl Analysis'!V147*LN('Phytopl Analysis'!V147)))</f>
        <v/>
      </c>
      <c r="W147" s="21" t="str">
        <f>IF('Phytopl Count'!W147=0,"",('Phytopl Analysis'!W147*LN('Phytopl Analysis'!W147)))</f>
        <v/>
      </c>
      <c r="X147" s="21" t="str">
        <f>IF('Phytopl Count'!X147=0,"",('Phytopl Analysis'!X147*LN('Phytopl Analysis'!X147)))</f>
        <v/>
      </c>
      <c r="Y147" s="58" t="str">
        <f>IF('Phytopl Count'!Y147=0,"",('Phytopl Analysis'!Y147*LN('Phytopl Analysis'!Y147)))</f>
        <v/>
      </c>
      <c r="Z147" s="58" t="str">
        <f>IF('Phytopl Count'!Z147=0,"",('Phytopl Analysis'!Z147*LN('Phytopl Analysis'!Z147)))</f>
        <v/>
      </c>
      <c r="AA147" s="21" t="str">
        <f>IF('Phytopl Count'!AA147=0,"",('Phytopl Analysis'!AA147*LN('Phytopl Analysis'!AA147)))</f>
        <v/>
      </c>
      <c r="AB147" s="21" t="str">
        <f>IF('Phytopl Count'!AB147=0,"",('Phytopl Analysis'!AB147*LN('Phytopl Analysis'!AB147)))</f>
        <v/>
      </c>
      <c r="AC147" s="58" t="str">
        <f>IF('Phytopl Count'!AC147=0,"",('Phytopl Analysis'!AC147*LN('Phytopl Analysis'!AC147)))</f>
        <v/>
      </c>
      <c r="AD147" s="58" t="str">
        <f>IF('Phytopl Count'!AD147=0,"",('Phytopl Analysis'!AD147*LN('Phytopl Analysis'!AD147)))</f>
        <v/>
      </c>
      <c r="AE147" s="21" t="str">
        <f>IF('Phytopl Count'!AE147=0,"",('Phytopl Analysis'!AE147*LN('Phytopl Analysis'!AE147)))</f>
        <v/>
      </c>
      <c r="AF147" s="58" t="str">
        <f>IF('Phytopl Count'!AF147=0,"",('Phytopl Analysis'!AF147*LN('Phytopl Analysis'!AF147)))</f>
        <v/>
      </c>
    </row>
    <row r="148" spans="1:32" hidden="1">
      <c r="A148" s="4"/>
      <c r="B148" s="4"/>
      <c r="C148" s="4"/>
      <c r="D148" s="5"/>
      <c r="E148" s="10"/>
      <c r="F148" s="11" t="s">
        <v>348</v>
      </c>
      <c r="G148" s="21" t="str">
        <f>IF('Phytopl Count'!G148=0,"",('Phytopl Analysis'!G148*LN('Phytopl Analysis'!G148)))</f>
        <v/>
      </c>
      <c r="H148" s="21" t="str">
        <f>IF('Phytopl Count'!H148=0,"",('Phytopl Analysis'!H148*LN('Phytopl Analysis'!H148)))</f>
        <v/>
      </c>
      <c r="I148" s="58" t="str">
        <f>IF('Phytopl Count'!I148=0,"",('Phytopl Analysis'!I148*LN('Phytopl Analysis'!I148)))</f>
        <v/>
      </c>
      <c r="J148" s="58" t="str">
        <f>IF('Phytopl Count'!J148=0,"",('Phytopl Analysis'!J148*LN('Phytopl Analysis'!J148)))</f>
        <v/>
      </c>
      <c r="K148" s="21" t="str">
        <f>IF('Phytopl Count'!K148=0,"",('Phytopl Analysis'!K148*LN('Phytopl Analysis'!K148)))</f>
        <v/>
      </c>
      <c r="L148" s="21" t="str">
        <f>IF('Phytopl Count'!L148=0,"",('Phytopl Analysis'!L148*LN('Phytopl Analysis'!L148)))</f>
        <v/>
      </c>
      <c r="M148" s="58" t="str">
        <f>IF('Phytopl Count'!M148=0,"",('Phytopl Analysis'!M148*LN('Phytopl Analysis'!M148)))</f>
        <v/>
      </c>
      <c r="N148" s="58" t="str">
        <f>IF('Phytopl Count'!N148=0,"",('Phytopl Analysis'!N148*LN('Phytopl Analysis'!N148)))</f>
        <v/>
      </c>
      <c r="O148" s="21" t="str">
        <f>IF('Phytopl Count'!O148=0,"",('Phytopl Analysis'!O148*LN('Phytopl Analysis'!O148)))</f>
        <v/>
      </c>
      <c r="P148" s="21" t="str">
        <f>IF('Phytopl Count'!P148=0,"",('Phytopl Analysis'!P148*LN('Phytopl Analysis'!P148)))</f>
        <v/>
      </c>
      <c r="Q148" s="58" t="str">
        <f>IF('Phytopl Count'!Q148=0,"",('Phytopl Analysis'!Q148*LN('Phytopl Analysis'!Q148)))</f>
        <v/>
      </c>
      <c r="R148" s="58" t="str">
        <f>IF('Phytopl Count'!R148=0,"",('Phytopl Analysis'!R148*LN('Phytopl Analysis'!R148)))</f>
        <v/>
      </c>
      <c r="S148" s="21" t="str">
        <f>IF('Phytopl Count'!S148=0,"",('Phytopl Analysis'!S148*LN('Phytopl Analysis'!S148)))</f>
        <v/>
      </c>
      <c r="T148" s="21" t="str">
        <f>IF('Phytopl Count'!T148=0,"",('Phytopl Analysis'!T148*LN('Phytopl Analysis'!T148)))</f>
        <v/>
      </c>
      <c r="U148" s="58" t="str">
        <f>IF('Phytopl Count'!U148=0,"",('Phytopl Analysis'!U148*LN('Phytopl Analysis'!U148)))</f>
        <v/>
      </c>
      <c r="V148" s="58" t="str">
        <f>IF('Phytopl Count'!V148=0,"",('Phytopl Analysis'!V148*LN('Phytopl Analysis'!V148)))</f>
        <v/>
      </c>
      <c r="W148" s="21" t="str">
        <f>IF('Phytopl Count'!W148=0,"",('Phytopl Analysis'!W148*LN('Phytopl Analysis'!W148)))</f>
        <v/>
      </c>
      <c r="X148" s="21" t="str">
        <f>IF('Phytopl Count'!X148=0,"",('Phytopl Analysis'!X148*LN('Phytopl Analysis'!X148)))</f>
        <v/>
      </c>
      <c r="Y148" s="58" t="str">
        <f>IF('Phytopl Count'!Y148=0,"",('Phytopl Analysis'!Y148*LN('Phytopl Analysis'!Y148)))</f>
        <v/>
      </c>
      <c r="Z148" s="58" t="str">
        <f>IF('Phytopl Count'!Z148=0,"",('Phytopl Analysis'!Z148*LN('Phytopl Analysis'!Z148)))</f>
        <v/>
      </c>
      <c r="AA148" s="21" t="str">
        <f>IF('Phytopl Count'!AA148=0,"",('Phytopl Analysis'!AA148*LN('Phytopl Analysis'!AA148)))</f>
        <v/>
      </c>
      <c r="AB148" s="21" t="str">
        <f>IF('Phytopl Count'!AB148=0,"",('Phytopl Analysis'!AB148*LN('Phytopl Analysis'!AB148)))</f>
        <v/>
      </c>
      <c r="AC148" s="58" t="str">
        <f>IF('Phytopl Count'!AC148=0,"",('Phytopl Analysis'!AC148*LN('Phytopl Analysis'!AC148)))</f>
        <v/>
      </c>
      <c r="AD148" s="58" t="str">
        <f>IF('Phytopl Count'!AD148=0,"",('Phytopl Analysis'!AD148*LN('Phytopl Analysis'!AD148)))</f>
        <v/>
      </c>
      <c r="AE148" s="21" t="str">
        <f>IF('Phytopl Count'!AE148=0,"",('Phytopl Analysis'!AE148*LN('Phytopl Analysis'!AE148)))</f>
        <v/>
      </c>
      <c r="AF148" s="58" t="str">
        <f>IF('Phytopl Count'!AF148=0,"",('Phytopl Analysis'!AF148*LN('Phytopl Analysis'!AF148)))</f>
        <v/>
      </c>
    </row>
    <row r="149" spans="1:32" hidden="1">
      <c r="A149" s="4"/>
      <c r="B149" s="4"/>
      <c r="C149" s="4"/>
      <c r="D149" s="5"/>
      <c r="E149" s="10"/>
      <c r="F149" s="11" t="s">
        <v>388</v>
      </c>
      <c r="G149" s="21" t="str">
        <f>IF('Phytopl Count'!G149=0,"",('Phytopl Analysis'!G149*LN('Phytopl Analysis'!G149)))</f>
        <v/>
      </c>
      <c r="H149" s="21" t="str">
        <f>IF('Phytopl Count'!H149=0,"",('Phytopl Analysis'!H149*LN('Phytopl Analysis'!H149)))</f>
        <v/>
      </c>
      <c r="I149" s="58" t="str">
        <f>IF('Phytopl Count'!I149=0,"",('Phytopl Analysis'!I149*LN('Phytopl Analysis'!I149)))</f>
        <v/>
      </c>
      <c r="J149" s="58" t="str">
        <f>IF('Phytopl Count'!J149=0,"",('Phytopl Analysis'!J149*LN('Phytopl Analysis'!J149)))</f>
        <v/>
      </c>
      <c r="K149" s="21" t="str">
        <f>IF('Phytopl Count'!K149=0,"",('Phytopl Analysis'!K149*LN('Phytopl Analysis'!K149)))</f>
        <v/>
      </c>
      <c r="L149" s="21" t="str">
        <f>IF('Phytopl Count'!L149=0,"",('Phytopl Analysis'!L149*LN('Phytopl Analysis'!L149)))</f>
        <v/>
      </c>
      <c r="M149" s="58" t="str">
        <f>IF('Phytopl Count'!M149=0,"",('Phytopl Analysis'!M149*LN('Phytopl Analysis'!M149)))</f>
        <v/>
      </c>
      <c r="N149" s="58" t="str">
        <f>IF('Phytopl Count'!N149=0,"",('Phytopl Analysis'!N149*LN('Phytopl Analysis'!N149)))</f>
        <v/>
      </c>
      <c r="O149" s="21" t="str">
        <f>IF('Phytopl Count'!O149=0,"",('Phytopl Analysis'!O149*LN('Phytopl Analysis'!O149)))</f>
        <v/>
      </c>
      <c r="P149" s="21" t="str">
        <f>IF('Phytopl Count'!P149=0,"",('Phytopl Analysis'!P149*LN('Phytopl Analysis'!P149)))</f>
        <v/>
      </c>
      <c r="Q149" s="58" t="str">
        <f>IF('Phytopl Count'!Q149=0,"",('Phytopl Analysis'!Q149*LN('Phytopl Analysis'!Q149)))</f>
        <v/>
      </c>
      <c r="R149" s="58" t="str">
        <f>IF('Phytopl Count'!R149=0,"",('Phytopl Analysis'!R149*LN('Phytopl Analysis'!R149)))</f>
        <v/>
      </c>
      <c r="S149" s="21" t="str">
        <f>IF('Phytopl Count'!S149=0,"",('Phytopl Analysis'!S149*LN('Phytopl Analysis'!S149)))</f>
        <v/>
      </c>
      <c r="T149" s="21" t="str">
        <f>IF('Phytopl Count'!T149=0,"",('Phytopl Analysis'!T149*LN('Phytopl Analysis'!T149)))</f>
        <v/>
      </c>
      <c r="U149" s="58" t="str">
        <f>IF('Phytopl Count'!U149=0,"",('Phytopl Analysis'!U149*LN('Phytopl Analysis'!U149)))</f>
        <v/>
      </c>
      <c r="V149" s="58" t="str">
        <f>IF('Phytopl Count'!V149=0,"",('Phytopl Analysis'!V149*LN('Phytopl Analysis'!V149)))</f>
        <v/>
      </c>
      <c r="W149" s="21" t="str">
        <f>IF('Phytopl Count'!W149=0,"",('Phytopl Analysis'!W149*LN('Phytopl Analysis'!W149)))</f>
        <v/>
      </c>
      <c r="X149" s="21" t="str">
        <f>IF('Phytopl Count'!X149=0,"",('Phytopl Analysis'!X149*LN('Phytopl Analysis'!X149)))</f>
        <v/>
      </c>
      <c r="Y149" s="58" t="str">
        <f>IF('Phytopl Count'!Y149=0,"",('Phytopl Analysis'!Y149*LN('Phytopl Analysis'!Y149)))</f>
        <v/>
      </c>
      <c r="Z149" s="58" t="str">
        <f>IF('Phytopl Count'!Z149=0,"",('Phytopl Analysis'!Z149*LN('Phytopl Analysis'!Z149)))</f>
        <v/>
      </c>
      <c r="AA149" s="21" t="str">
        <f>IF('Phytopl Count'!AA149=0,"",('Phytopl Analysis'!AA149*LN('Phytopl Analysis'!AA149)))</f>
        <v/>
      </c>
      <c r="AB149" s="21" t="str">
        <f>IF('Phytopl Count'!AB149=0,"",('Phytopl Analysis'!AB149*LN('Phytopl Analysis'!AB149)))</f>
        <v/>
      </c>
      <c r="AC149" s="58" t="str">
        <f>IF('Phytopl Count'!AC149=0,"",('Phytopl Analysis'!AC149*LN('Phytopl Analysis'!AC149)))</f>
        <v/>
      </c>
      <c r="AD149" s="58" t="str">
        <f>IF('Phytopl Count'!AD149=0,"",('Phytopl Analysis'!AD149*LN('Phytopl Analysis'!AD149)))</f>
        <v/>
      </c>
      <c r="AE149" s="21" t="str">
        <f>IF('Phytopl Count'!AE149=0,"",('Phytopl Analysis'!AE149*LN('Phytopl Analysis'!AE149)))</f>
        <v/>
      </c>
      <c r="AF149" s="58" t="str">
        <f>IF('Phytopl Count'!AF149=0,"",('Phytopl Analysis'!AF149*LN('Phytopl Analysis'!AF149)))</f>
        <v/>
      </c>
    </row>
    <row r="150" spans="1:32">
      <c r="A150" s="4"/>
      <c r="B150" s="4"/>
      <c r="C150" s="16" t="s">
        <v>73</v>
      </c>
      <c r="D150" s="4" t="s">
        <v>261</v>
      </c>
      <c r="E150" s="10"/>
      <c r="F150" s="11"/>
      <c r="G150" s="21" t="str">
        <f>IF('Phytopl Count'!G150=0,"",('Phytopl Analysis'!G150*LN('Phytopl Analysis'!G150)))</f>
        <v/>
      </c>
      <c r="H150" s="21" t="str">
        <f>IF('Phytopl Count'!H150=0,"",('Phytopl Analysis'!H150*LN('Phytopl Analysis'!H150)))</f>
        <v/>
      </c>
      <c r="I150" s="58" t="str">
        <f>IF('Phytopl Count'!I150=0,"",('Phytopl Analysis'!I150*LN('Phytopl Analysis'!I150)))</f>
        <v/>
      </c>
      <c r="J150" s="58" t="str">
        <f>IF('Phytopl Count'!J150=0,"",('Phytopl Analysis'!J150*LN('Phytopl Analysis'!J150)))</f>
        <v/>
      </c>
      <c r="K150" s="21" t="str">
        <f>IF('Phytopl Count'!K150=0,"",('Phytopl Analysis'!K150*LN('Phytopl Analysis'!K150)))</f>
        <v/>
      </c>
      <c r="L150" s="21" t="str">
        <f>IF('Phytopl Count'!L150=0,"",('Phytopl Analysis'!L150*LN('Phytopl Analysis'!L150)))</f>
        <v/>
      </c>
      <c r="M150" s="58" t="str">
        <f>IF('Phytopl Count'!M150=0,"",('Phytopl Analysis'!M150*LN('Phytopl Analysis'!M150)))</f>
        <v/>
      </c>
      <c r="N150" s="58" t="str">
        <f>IF('Phytopl Count'!N150=0,"",('Phytopl Analysis'!N150*LN('Phytopl Analysis'!N150)))</f>
        <v/>
      </c>
      <c r="O150" s="21" t="str">
        <f>IF('Phytopl Count'!O150=0,"",('Phytopl Analysis'!O150*LN('Phytopl Analysis'!O150)))</f>
        <v/>
      </c>
      <c r="P150" s="21" t="str">
        <f>IF('Phytopl Count'!P150=0,"",('Phytopl Analysis'!P150*LN('Phytopl Analysis'!P150)))</f>
        <v/>
      </c>
      <c r="Q150" s="58" t="str">
        <f>IF('Phytopl Count'!Q150=0,"",('Phytopl Analysis'!Q150*LN('Phytopl Analysis'!Q150)))</f>
        <v/>
      </c>
      <c r="R150" s="58" t="str">
        <f>IF('Phytopl Count'!R150=0,"",('Phytopl Analysis'!R150*LN('Phytopl Analysis'!R150)))</f>
        <v/>
      </c>
      <c r="S150" s="21" t="str">
        <f>IF('Phytopl Count'!S150=0,"",('Phytopl Analysis'!S150*LN('Phytopl Analysis'!S150)))</f>
        <v/>
      </c>
      <c r="T150" s="21" t="str">
        <f>IF('Phytopl Count'!T150=0,"",('Phytopl Analysis'!T150*LN('Phytopl Analysis'!T150)))</f>
        <v/>
      </c>
      <c r="U150" s="58" t="str">
        <f>IF('Phytopl Count'!U150=0,"",('Phytopl Analysis'!U150*LN('Phytopl Analysis'!U150)))</f>
        <v/>
      </c>
      <c r="V150" s="58" t="str">
        <f>IF('Phytopl Count'!V150=0,"",('Phytopl Analysis'!V150*LN('Phytopl Analysis'!V150)))</f>
        <v/>
      </c>
      <c r="W150" s="21" t="str">
        <f>IF('Phytopl Count'!W150=0,"",('Phytopl Analysis'!W150*LN('Phytopl Analysis'!W150)))</f>
        <v/>
      </c>
      <c r="X150" s="21" t="str">
        <f>IF('Phytopl Count'!X150=0,"",('Phytopl Analysis'!X150*LN('Phytopl Analysis'!X150)))</f>
        <v/>
      </c>
      <c r="Y150" s="58" t="str">
        <f>IF('Phytopl Count'!Y150=0,"",('Phytopl Analysis'!Y150*LN('Phytopl Analysis'!Y150)))</f>
        <v/>
      </c>
      <c r="Z150" s="58" t="str">
        <f>IF('Phytopl Count'!Z150=0,"",('Phytopl Analysis'!Z150*LN('Phytopl Analysis'!Z150)))</f>
        <v/>
      </c>
      <c r="AA150" s="21" t="str">
        <f>IF('Phytopl Count'!AA150=0,"",('Phytopl Analysis'!AA150*LN('Phytopl Analysis'!AA150)))</f>
        <v/>
      </c>
      <c r="AB150" s="21" t="str">
        <f>IF('Phytopl Count'!AB150=0,"",('Phytopl Analysis'!AB150*LN('Phytopl Analysis'!AB150)))</f>
        <v/>
      </c>
      <c r="AC150" s="58" t="str">
        <f>IF('Phytopl Count'!AC150=0,"",('Phytopl Analysis'!AC150*LN('Phytopl Analysis'!AC150)))</f>
        <v/>
      </c>
      <c r="AD150" s="58" t="str">
        <f>IF('Phytopl Count'!AD150=0,"",('Phytopl Analysis'!AD150*LN('Phytopl Analysis'!AD150)))</f>
        <v/>
      </c>
      <c r="AE150" s="21" t="str">
        <f>IF('Phytopl Count'!AE150=0,"",('Phytopl Analysis'!AE150*LN('Phytopl Analysis'!AE150)))</f>
        <v/>
      </c>
      <c r="AF150" s="58" t="str">
        <f>IF('Phytopl Count'!AF150=0,"",('Phytopl Analysis'!AF150*LN('Phytopl Analysis'!AF150)))</f>
        <v/>
      </c>
    </row>
    <row r="151" spans="1:32">
      <c r="A151" s="4"/>
      <c r="B151" s="4"/>
      <c r="C151" s="4"/>
      <c r="D151" s="10" t="s">
        <v>5</v>
      </c>
      <c r="E151" s="104" t="s">
        <v>262</v>
      </c>
      <c r="F151" s="9"/>
      <c r="G151" s="21" t="str">
        <f>IF('Phytopl Count'!G151=0,"",('Phytopl Analysis'!G151*LN('Phytopl Analysis'!G151)))</f>
        <v/>
      </c>
      <c r="H151" s="21" t="str">
        <f>IF('Phytopl Count'!H151=0,"",('Phytopl Analysis'!H151*LN('Phytopl Analysis'!H151)))</f>
        <v/>
      </c>
      <c r="I151" s="58" t="str">
        <f>IF('Phytopl Count'!I151=0,"",('Phytopl Analysis'!I151*LN('Phytopl Analysis'!I151)))</f>
        <v/>
      </c>
      <c r="J151" s="58" t="str">
        <f>IF('Phytopl Count'!J151=0,"",('Phytopl Analysis'!J151*LN('Phytopl Analysis'!J151)))</f>
        <v/>
      </c>
      <c r="K151" s="21" t="str">
        <f>IF('Phytopl Count'!K151=0,"",('Phytopl Analysis'!K151*LN('Phytopl Analysis'!K151)))</f>
        <v/>
      </c>
      <c r="L151" s="21" t="str">
        <f>IF('Phytopl Count'!L151=0,"",('Phytopl Analysis'!L151*LN('Phytopl Analysis'!L151)))</f>
        <v/>
      </c>
      <c r="M151" s="58" t="str">
        <f>IF('Phytopl Count'!M151=0,"",('Phytopl Analysis'!M151*LN('Phytopl Analysis'!M151)))</f>
        <v/>
      </c>
      <c r="N151" s="58" t="str">
        <f>IF('Phytopl Count'!N151=0,"",('Phytopl Analysis'!N151*LN('Phytopl Analysis'!N151)))</f>
        <v/>
      </c>
      <c r="O151" s="21" t="str">
        <f>IF('Phytopl Count'!O151=0,"",('Phytopl Analysis'!O151*LN('Phytopl Analysis'!O151)))</f>
        <v/>
      </c>
      <c r="P151" s="21" t="str">
        <f>IF('Phytopl Count'!P151=0,"",('Phytopl Analysis'!P151*LN('Phytopl Analysis'!P151)))</f>
        <v/>
      </c>
      <c r="Q151" s="58" t="str">
        <f>IF('Phytopl Count'!Q151=0,"",('Phytopl Analysis'!Q151*LN('Phytopl Analysis'!Q151)))</f>
        <v/>
      </c>
      <c r="R151" s="58" t="str">
        <f>IF('Phytopl Count'!R151=0,"",('Phytopl Analysis'!R151*LN('Phytopl Analysis'!R151)))</f>
        <v/>
      </c>
      <c r="S151" s="21" t="str">
        <f>IF('Phytopl Count'!S151=0,"",('Phytopl Analysis'!S151*LN('Phytopl Analysis'!S151)))</f>
        <v/>
      </c>
      <c r="T151" s="21" t="str">
        <f>IF('Phytopl Count'!T151=0,"",('Phytopl Analysis'!T151*LN('Phytopl Analysis'!T151)))</f>
        <v/>
      </c>
      <c r="U151" s="58" t="str">
        <f>IF('Phytopl Count'!U151=0,"",('Phytopl Analysis'!U151*LN('Phytopl Analysis'!U151)))</f>
        <v/>
      </c>
      <c r="V151" s="58" t="str">
        <f>IF('Phytopl Count'!V151=0,"",('Phytopl Analysis'!V151*LN('Phytopl Analysis'!V151)))</f>
        <v/>
      </c>
      <c r="W151" s="21" t="str">
        <f>IF('Phytopl Count'!W151=0,"",('Phytopl Analysis'!W151*LN('Phytopl Analysis'!W151)))</f>
        <v/>
      </c>
      <c r="X151" s="21" t="str">
        <f>IF('Phytopl Count'!X151=0,"",('Phytopl Analysis'!X151*LN('Phytopl Analysis'!X151)))</f>
        <v/>
      </c>
      <c r="Y151" s="58" t="str">
        <f>IF('Phytopl Count'!Y151=0,"",('Phytopl Analysis'!Y151*LN('Phytopl Analysis'!Y151)))</f>
        <v/>
      </c>
      <c r="Z151" s="58" t="str">
        <f>IF('Phytopl Count'!Z151=0,"",('Phytopl Analysis'!Z151*LN('Phytopl Analysis'!Z151)))</f>
        <v/>
      </c>
      <c r="AA151" s="21" t="str">
        <f>IF('Phytopl Count'!AA151=0,"",('Phytopl Analysis'!AA151*LN('Phytopl Analysis'!AA151)))</f>
        <v/>
      </c>
      <c r="AB151" s="21" t="str">
        <f>IF('Phytopl Count'!AB151=0,"",('Phytopl Analysis'!AB151*LN('Phytopl Analysis'!AB151)))</f>
        <v/>
      </c>
      <c r="AC151" s="58" t="str">
        <f>IF('Phytopl Count'!AC151=0,"",('Phytopl Analysis'!AC151*LN('Phytopl Analysis'!AC151)))</f>
        <v/>
      </c>
      <c r="AD151" s="58" t="str">
        <f>IF('Phytopl Count'!AD151=0,"",('Phytopl Analysis'!AD151*LN('Phytopl Analysis'!AD151)))</f>
        <v/>
      </c>
      <c r="AE151" s="21" t="str">
        <f>IF('Phytopl Count'!AE151=0,"",('Phytopl Analysis'!AE151*LN('Phytopl Analysis'!AE151)))</f>
        <v/>
      </c>
      <c r="AF151" s="58" t="str">
        <f>IF('Phytopl Count'!AF151=0,"",('Phytopl Analysis'!AF151*LN('Phytopl Analysis'!AF151)))</f>
        <v/>
      </c>
    </row>
    <row r="152" spans="1:32">
      <c r="A152" s="4"/>
      <c r="B152" s="4"/>
      <c r="C152" s="4"/>
      <c r="D152" s="5"/>
      <c r="E152" s="10" t="s">
        <v>6</v>
      </c>
      <c r="F152" s="11" t="s">
        <v>276</v>
      </c>
      <c r="G152" s="21" t="str">
        <f>IF('Phytopl Count'!G152=0,"",('Phytopl Analysis'!G152*LN('Phytopl Analysis'!G152)))</f>
        <v/>
      </c>
      <c r="H152" s="21" t="str">
        <f>IF('Phytopl Count'!H152=0,"",('Phytopl Analysis'!H152*LN('Phytopl Analysis'!H152)))</f>
        <v/>
      </c>
      <c r="I152" s="58" t="str">
        <f>IF('Phytopl Count'!I152=0,"",('Phytopl Analysis'!I152*LN('Phytopl Analysis'!I152)))</f>
        <v/>
      </c>
      <c r="J152" s="58" t="str">
        <f>IF('Phytopl Count'!J152=0,"",('Phytopl Analysis'!J152*LN('Phytopl Analysis'!J152)))</f>
        <v/>
      </c>
      <c r="K152" s="21" t="str">
        <f>IF('Phytopl Count'!K152=0,"",('Phytopl Analysis'!K152*LN('Phytopl Analysis'!K152)))</f>
        <v/>
      </c>
      <c r="L152" s="21" t="str">
        <f>IF('Phytopl Count'!L152=0,"",('Phytopl Analysis'!L152*LN('Phytopl Analysis'!L152)))</f>
        <v/>
      </c>
      <c r="M152" s="58" t="str">
        <f>IF('Phytopl Count'!M152=0,"",('Phytopl Analysis'!M152*LN('Phytopl Analysis'!M152)))</f>
        <v/>
      </c>
      <c r="N152" s="58" t="str">
        <f>IF('Phytopl Count'!N152=0,"",('Phytopl Analysis'!N152*LN('Phytopl Analysis'!N152)))</f>
        <v/>
      </c>
      <c r="O152" s="21" t="str">
        <f>IF('Phytopl Count'!O152=0,"",('Phytopl Analysis'!O152*LN('Phytopl Analysis'!O152)))</f>
        <v/>
      </c>
      <c r="P152" s="21" t="str">
        <f>IF('Phytopl Count'!P152=0,"",('Phytopl Analysis'!P152*LN('Phytopl Analysis'!P152)))</f>
        <v/>
      </c>
      <c r="Q152" s="58" t="str">
        <f>IF('Phytopl Count'!Q152=0,"",('Phytopl Analysis'!Q152*LN('Phytopl Analysis'!Q152)))</f>
        <v/>
      </c>
      <c r="R152" s="58">
        <f>IF('Phytopl Count'!R152=0,"",('Phytopl Analysis'!R152*LN('Phytopl Analysis'!R152)))</f>
        <v>-0.11022075559754062</v>
      </c>
      <c r="S152" s="21" t="str">
        <f>IF('Phytopl Count'!S152=0,"",('Phytopl Analysis'!S152*LN('Phytopl Analysis'!S152)))</f>
        <v/>
      </c>
      <c r="T152" s="21" t="str">
        <f>IF('Phytopl Count'!T152=0,"",('Phytopl Analysis'!T152*LN('Phytopl Analysis'!T152)))</f>
        <v/>
      </c>
      <c r="U152" s="58" t="str">
        <f>IF('Phytopl Count'!U152=0,"",('Phytopl Analysis'!U152*LN('Phytopl Analysis'!U152)))</f>
        <v/>
      </c>
      <c r="V152" s="58" t="str">
        <f>IF('Phytopl Count'!V152=0,"",('Phytopl Analysis'!V152*LN('Phytopl Analysis'!V152)))</f>
        <v/>
      </c>
      <c r="W152" s="21" t="str">
        <f>IF('Phytopl Count'!W152=0,"",('Phytopl Analysis'!W152*LN('Phytopl Analysis'!W152)))</f>
        <v/>
      </c>
      <c r="X152" s="21" t="str">
        <f>IF('Phytopl Count'!X152=0,"",('Phytopl Analysis'!X152*LN('Phytopl Analysis'!X152)))</f>
        <v/>
      </c>
      <c r="Y152" s="58" t="str">
        <f>IF('Phytopl Count'!Y152=0,"",('Phytopl Analysis'!Y152*LN('Phytopl Analysis'!Y152)))</f>
        <v/>
      </c>
      <c r="Z152" s="58" t="str">
        <f>IF('Phytopl Count'!Z152=0,"",('Phytopl Analysis'!Z152*LN('Phytopl Analysis'!Z152)))</f>
        <v/>
      </c>
      <c r="AA152" s="21" t="str">
        <f>IF('Phytopl Count'!AA152=0,"",('Phytopl Analysis'!AA152*LN('Phytopl Analysis'!AA152)))</f>
        <v/>
      </c>
      <c r="AB152" s="21" t="str">
        <f>IF('Phytopl Count'!AB152=0,"",('Phytopl Analysis'!AB152*LN('Phytopl Analysis'!AB152)))</f>
        <v/>
      </c>
      <c r="AC152" s="58" t="str">
        <f>IF('Phytopl Count'!AC152=0,"",('Phytopl Analysis'!AC152*LN('Phytopl Analysis'!AC152)))</f>
        <v/>
      </c>
      <c r="AD152" s="58" t="str">
        <f>IF('Phytopl Count'!AD152=0,"",('Phytopl Analysis'!AD152*LN('Phytopl Analysis'!AD152)))</f>
        <v/>
      </c>
      <c r="AE152" s="21" t="str">
        <f>IF('Phytopl Count'!AE152=0,"",('Phytopl Analysis'!AE152*LN('Phytopl Analysis'!AE152)))</f>
        <v/>
      </c>
      <c r="AF152" s="58" t="str">
        <f>IF('Phytopl Count'!AF152=0,"",('Phytopl Analysis'!AF152*LN('Phytopl Analysis'!AF152)))</f>
        <v/>
      </c>
    </row>
    <row r="153" spans="1:32" hidden="1">
      <c r="A153" s="4"/>
      <c r="B153" s="4"/>
      <c r="C153" s="4"/>
      <c r="D153" s="5"/>
      <c r="E153" s="10"/>
      <c r="F153" s="11" t="s">
        <v>263</v>
      </c>
      <c r="G153" s="21" t="str">
        <f>IF('Phytopl Count'!G153=0,"",('Phytopl Analysis'!G153*LN('Phytopl Analysis'!G153)))</f>
        <v/>
      </c>
      <c r="H153" s="21" t="str">
        <f>IF('Phytopl Count'!H153=0,"",('Phytopl Analysis'!H153*LN('Phytopl Analysis'!H153)))</f>
        <v/>
      </c>
      <c r="I153" s="58" t="str">
        <f>IF('Phytopl Count'!I153=0,"",('Phytopl Analysis'!I153*LN('Phytopl Analysis'!I153)))</f>
        <v/>
      </c>
      <c r="J153" s="58" t="str">
        <f>IF('Phytopl Count'!J153=0,"",('Phytopl Analysis'!J153*LN('Phytopl Analysis'!J153)))</f>
        <v/>
      </c>
      <c r="K153" s="21" t="str">
        <f>IF('Phytopl Count'!K153=0,"",('Phytopl Analysis'!K153*LN('Phytopl Analysis'!K153)))</f>
        <v/>
      </c>
      <c r="L153" s="21" t="str">
        <f>IF('Phytopl Count'!L153=0,"",('Phytopl Analysis'!L153*LN('Phytopl Analysis'!L153)))</f>
        <v/>
      </c>
      <c r="M153" s="58" t="str">
        <f>IF('Phytopl Count'!M153=0,"",('Phytopl Analysis'!M153*LN('Phytopl Analysis'!M153)))</f>
        <v/>
      </c>
      <c r="N153" s="58" t="str">
        <f>IF('Phytopl Count'!N153=0,"",('Phytopl Analysis'!N153*LN('Phytopl Analysis'!N153)))</f>
        <v/>
      </c>
      <c r="O153" s="21" t="str">
        <f>IF('Phytopl Count'!O153=0,"",('Phytopl Analysis'!O153*LN('Phytopl Analysis'!O153)))</f>
        <v/>
      </c>
      <c r="P153" s="21" t="str">
        <f>IF('Phytopl Count'!P153=0,"",('Phytopl Analysis'!P153*LN('Phytopl Analysis'!P153)))</f>
        <v/>
      </c>
      <c r="Q153" s="58" t="str">
        <f>IF('Phytopl Count'!Q153=0,"",('Phytopl Analysis'!Q153*LN('Phytopl Analysis'!Q153)))</f>
        <v/>
      </c>
      <c r="R153" s="58" t="str">
        <f>IF('Phytopl Count'!R153=0,"",('Phytopl Analysis'!R153*LN('Phytopl Analysis'!R153)))</f>
        <v/>
      </c>
      <c r="S153" s="21" t="str">
        <f>IF('Phytopl Count'!S153=0,"",('Phytopl Analysis'!S153*LN('Phytopl Analysis'!S153)))</f>
        <v/>
      </c>
      <c r="T153" s="21" t="str">
        <f>IF('Phytopl Count'!T153=0,"",('Phytopl Analysis'!T153*LN('Phytopl Analysis'!T153)))</f>
        <v/>
      </c>
      <c r="U153" s="58" t="str">
        <f>IF('Phytopl Count'!U153=0,"",('Phytopl Analysis'!U153*LN('Phytopl Analysis'!U153)))</f>
        <v/>
      </c>
      <c r="V153" s="58" t="str">
        <f>IF('Phytopl Count'!V153=0,"",('Phytopl Analysis'!V153*LN('Phytopl Analysis'!V153)))</f>
        <v/>
      </c>
      <c r="W153" s="21" t="str">
        <f>IF('Phytopl Count'!W153=0,"",('Phytopl Analysis'!W153*LN('Phytopl Analysis'!W153)))</f>
        <v/>
      </c>
      <c r="X153" s="21" t="str">
        <f>IF('Phytopl Count'!X153=0,"",('Phytopl Analysis'!X153*LN('Phytopl Analysis'!X153)))</f>
        <v/>
      </c>
      <c r="Y153" s="58" t="str">
        <f>IF('Phytopl Count'!Y153=0,"",('Phytopl Analysis'!Y153*LN('Phytopl Analysis'!Y153)))</f>
        <v/>
      </c>
      <c r="Z153" s="58" t="str">
        <f>IF('Phytopl Count'!Z153=0,"",('Phytopl Analysis'!Z153*LN('Phytopl Analysis'!Z153)))</f>
        <v/>
      </c>
      <c r="AA153" s="21" t="str">
        <f>IF('Phytopl Count'!AA153=0,"",('Phytopl Analysis'!AA153*LN('Phytopl Analysis'!AA153)))</f>
        <v/>
      </c>
      <c r="AB153" s="21" t="str">
        <f>IF('Phytopl Count'!AB153=0,"",('Phytopl Analysis'!AB153*LN('Phytopl Analysis'!AB153)))</f>
        <v/>
      </c>
      <c r="AC153" s="58" t="str">
        <f>IF('Phytopl Count'!AC153=0,"",('Phytopl Analysis'!AC153*LN('Phytopl Analysis'!AC153)))</f>
        <v/>
      </c>
      <c r="AD153" s="58" t="str">
        <f>IF('Phytopl Count'!AD153=0,"",('Phytopl Analysis'!AD153*LN('Phytopl Analysis'!AD153)))</f>
        <v/>
      </c>
      <c r="AE153" s="21" t="str">
        <f>IF('Phytopl Count'!AE153=0,"",('Phytopl Analysis'!AE153*LN('Phytopl Analysis'!AE153)))</f>
        <v/>
      </c>
      <c r="AF153" s="58" t="str">
        <f>IF('Phytopl Count'!AF153=0,"",('Phytopl Analysis'!AF153*LN('Phytopl Analysis'!AF153)))</f>
        <v/>
      </c>
    </row>
    <row r="154" spans="1:32">
      <c r="A154" s="4"/>
      <c r="B154" s="4"/>
      <c r="C154" s="4"/>
      <c r="D154" s="5"/>
      <c r="E154" s="10"/>
      <c r="F154" s="11"/>
      <c r="G154" s="21" t="str">
        <f>IF('Phytopl Count'!G154=0,"",('Phytopl Analysis'!G154*LN('Phytopl Analysis'!G154)))</f>
        <v/>
      </c>
      <c r="H154" s="21" t="str">
        <f>IF('Phytopl Count'!H154=0,"",('Phytopl Analysis'!H154*LN('Phytopl Analysis'!H154)))</f>
        <v/>
      </c>
      <c r="I154" s="58" t="str">
        <f>IF('Phytopl Count'!I154=0,"",('Phytopl Analysis'!I154*LN('Phytopl Analysis'!I154)))</f>
        <v/>
      </c>
      <c r="J154" s="58" t="str">
        <f>IF('Phytopl Count'!J154=0,"",('Phytopl Analysis'!J154*LN('Phytopl Analysis'!J154)))</f>
        <v/>
      </c>
      <c r="K154" s="21" t="str">
        <f>IF('Phytopl Count'!K154=0,"",('Phytopl Analysis'!K154*LN('Phytopl Analysis'!K154)))</f>
        <v/>
      </c>
      <c r="L154" s="21" t="str">
        <f>IF('Phytopl Count'!L154=0,"",('Phytopl Analysis'!L154*LN('Phytopl Analysis'!L154)))</f>
        <v/>
      </c>
      <c r="M154" s="58" t="str">
        <f>IF('Phytopl Count'!M154=0,"",('Phytopl Analysis'!M154*LN('Phytopl Analysis'!M154)))</f>
        <v/>
      </c>
      <c r="N154" s="58" t="str">
        <f>IF('Phytopl Count'!N154=0,"",('Phytopl Analysis'!N154*LN('Phytopl Analysis'!N154)))</f>
        <v/>
      </c>
      <c r="O154" s="21" t="str">
        <f>IF('Phytopl Count'!O154=0,"",('Phytopl Analysis'!O154*LN('Phytopl Analysis'!O154)))</f>
        <v/>
      </c>
      <c r="P154" s="21" t="str">
        <f>IF('Phytopl Count'!P154=0,"",('Phytopl Analysis'!P154*LN('Phytopl Analysis'!P154)))</f>
        <v/>
      </c>
      <c r="Q154" s="58" t="str">
        <f>IF('Phytopl Count'!Q154=0,"",('Phytopl Analysis'!Q154*LN('Phytopl Analysis'!Q154)))</f>
        <v/>
      </c>
      <c r="R154" s="58" t="str">
        <f>IF('Phytopl Count'!R154=0,"",('Phytopl Analysis'!R154*LN('Phytopl Analysis'!R154)))</f>
        <v/>
      </c>
      <c r="S154" s="21" t="str">
        <f>IF('Phytopl Count'!S154=0,"",('Phytopl Analysis'!S154*LN('Phytopl Analysis'!S154)))</f>
        <v/>
      </c>
      <c r="T154" s="21" t="str">
        <f>IF('Phytopl Count'!T154=0,"",('Phytopl Analysis'!T154*LN('Phytopl Analysis'!T154)))</f>
        <v/>
      </c>
      <c r="U154" s="58" t="str">
        <f>IF('Phytopl Count'!U154=0,"",('Phytopl Analysis'!U154*LN('Phytopl Analysis'!U154)))</f>
        <v/>
      </c>
      <c r="V154" s="58" t="str">
        <f>IF('Phytopl Count'!V154=0,"",('Phytopl Analysis'!V154*LN('Phytopl Analysis'!V154)))</f>
        <v/>
      </c>
      <c r="W154" s="21" t="str">
        <f>IF('Phytopl Count'!W154=0,"",('Phytopl Analysis'!W154*LN('Phytopl Analysis'!W154)))</f>
        <v/>
      </c>
      <c r="X154" s="21" t="str">
        <f>IF('Phytopl Count'!X154=0,"",('Phytopl Analysis'!X154*LN('Phytopl Analysis'!X154)))</f>
        <v/>
      </c>
      <c r="Y154" s="58" t="str">
        <f>IF('Phytopl Count'!Y154=0,"",('Phytopl Analysis'!Y154*LN('Phytopl Analysis'!Y154)))</f>
        <v/>
      </c>
      <c r="Z154" s="58" t="str">
        <f>IF('Phytopl Count'!Z154=0,"",('Phytopl Analysis'!Z154*LN('Phytopl Analysis'!Z154)))</f>
        <v/>
      </c>
      <c r="AA154" s="21" t="str">
        <f>IF('Phytopl Count'!AA154=0,"",('Phytopl Analysis'!AA154*LN('Phytopl Analysis'!AA154)))</f>
        <v/>
      </c>
      <c r="AB154" s="21" t="str">
        <f>IF('Phytopl Count'!AB154=0,"",('Phytopl Analysis'!AB154*LN('Phytopl Analysis'!AB154)))</f>
        <v/>
      </c>
      <c r="AC154" s="58" t="str">
        <f>IF('Phytopl Count'!AC154=0,"",('Phytopl Analysis'!AC154*LN('Phytopl Analysis'!AC154)))</f>
        <v/>
      </c>
      <c r="AD154" s="58" t="str">
        <f>IF('Phytopl Count'!AD154=0,"",('Phytopl Analysis'!AD154*LN('Phytopl Analysis'!AD154)))</f>
        <v/>
      </c>
      <c r="AE154" s="21" t="str">
        <f>IF('Phytopl Count'!AE154=0,"",('Phytopl Analysis'!AE154*LN('Phytopl Analysis'!AE154)))</f>
        <v/>
      </c>
      <c r="AF154" s="58" t="str">
        <f>IF('Phytopl Count'!AF154=0,"",('Phytopl Analysis'!AF154*LN('Phytopl Analysis'!AF154)))</f>
        <v/>
      </c>
    </row>
    <row r="155" spans="1:32">
      <c r="A155" s="16"/>
      <c r="B155" s="16" t="s">
        <v>72</v>
      </c>
      <c r="C155" s="28" t="s">
        <v>233</v>
      </c>
      <c r="D155" s="4"/>
      <c r="E155" s="5"/>
      <c r="F155" s="9"/>
      <c r="G155" s="21" t="str">
        <f>IF('Phytopl Count'!G155=0,"",('Phytopl Analysis'!G155*LN('Phytopl Analysis'!G155)))</f>
        <v/>
      </c>
      <c r="H155" s="21" t="str">
        <f>IF('Phytopl Count'!H155=0,"",('Phytopl Analysis'!H155*LN('Phytopl Analysis'!H155)))</f>
        <v/>
      </c>
      <c r="I155" s="58" t="str">
        <f>IF('Phytopl Count'!I155=0,"",('Phytopl Analysis'!I155*LN('Phytopl Analysis'!I155)))</f>
        <v/>
      </c>
      <c r="J155" s="58" t="str">
        <f>IF('Phytopl Count'!J155=0,"",('Phytopl Analysis'!J155*LN('Phytopl Analysis'!J155)))</f>
        <v/>
      </c>
      <c r="K155" s="21" t="str">
        <f>IF('Phytopl Count'!K155=0,"",('Phytopl Analysis'!K155*LN('Phytopl Analysis'!K155)))</f>
        <v/>
      </c>
      <c r="L155" s="21" t="str">
        <f>IF('Phytopl Count'!L155=0,"",('Phytopl Analysis'!L155*LN('Phytopl Analysis'!L155)))</f>
        <v/>
      </c>
      <c r="M155" s="58" t="str">
        <f>IF('Phytopl Count'!M155=0,"",('Phytopl Analysis'!M155*LN('Phytopl Analysis'!M155)))</f>
        <v/>
      </c>
      <c r="N155" s="58" t="str">
        <f>IF('Phytopl Count'!N155=0,"",('Phytopl Analysis'!N155*LN('Phytopl Analysis'!N155)))</f>
        <v/>
      </c>
      <c r="O155" s="21" t="str">
        <f>IF('Phytopl Count'!O155=0,"",('Phytopl Analysis'!O155*LN('Phytopl Analysis'!O155)))</f>
        <v/>
      </c>
      <c r="P155" s="21" t="str">
        <f>IF('Phytopl Count'!P155=0,"",('Phytopl Analysis'!P155*LN('Phytopl Analysis'!P155)))</f>
        <v/>
      </c>
      <c r="Q155" s="58" t="str">
        <f>IF('Phytopl Count'!Q155=0,"",('Phytopl Analysis'!Q155*LN('Phytopl Analysis'!Q155)))</f>
        <v/>
      </c>
      <c r="R155" s="58" t="str">
        <f>IF('Phytopl Count'!R155=0,"",('Phytopl Analysis'!R155*LN('Phytopl Analysis'!R155)))</f>
        <v/>
      </c>
      <c r="S155" s="21" t="str">
        <f>IF('Phytopl Count'!S155=0,"",('Phytopl Analysis'!S155*LN('Phytopl Analysis'!S155)))</f>
        <v/>
      </c>
      <c r="T155" s="21" t="str">
        <f>IF('Phytopl Count'!T155=0,"",('Phytopl Analysis'!T155*LN('Phytopl Analysis'!T155)))</f>
        <v/>
      </c>
      <c r="U155" s="58" t="str">
        <f>IF('Phytopl Count'!U155=0,"",('Phytopl Analysis'!U155*LN('Phytopl Analysis'!U155)))</f>
        <v/>
      </c>
      <c r="V155" s="58" t="str">
        <f>IF('Phytopl Count'!V155=0,"",('Phytopl Analysis'!V155*LN('Phytopl Analysis'!V155)))</f>
        <v/>
      </c>
      <c r="W155" s="21" t="str">
        <f>IF('Phytopl Count'!W155=0,"",('Phytopl Analysis'!W155*LN('Phytopl Analysis'!W155)))</f>
        <v/>
      </c>
      <c r="X155" s="21" t="str">
        <f>IF('Phytopl Count'!X155=0,"",('Phytopl Analysis'!X155*LN('Phytopl Analysis'!X155)))</f>
        <v/>
      </c>
      <c r="Y155" s="58" t="str">
        <f>IF('Phytopl Count'!Y155=0,"",('Phytopl Analysis'!Y155*LN('Phytopl Analysis'!Y155)))</f>
        <v/>
      </c>
      <c r="Z155" s="58" t="str">
        <f>IF('Phytopl Count'!Z155=0,"",('Phytopl Analysis'!Z155*LN('Phytopl Analysis'!Z155)))</f>
        <v/>
      </c>
      <c r="AA155" s="21" t="str">
        <f>IF('Phytopl Count'!AA155=0,"",('Phytopl Analysis'!AA155*LN('Phytopl Analysis'!AA155)))</f>
        <v/>
      </c>
      <c r="AB155" s="21" t="str">
        <f>IF('Phytopl Count'!AB155=0,"",('Phytopl Analysis'!AB155*LN('Phytopl Analysis'!AB155)))</f>
        <v/>
      </c>
      <c r="AC155" s="58" t="str">
        <f>IF('Phytopl Count'!AC155=0,"",('Phytopl Analysis'!AC155*LN('Phytopl Analysis'!AC155)))</f>
        <v/>
      </c>
      <c r="AD155" s="58" t="str">
        <f>IF('Phytopl Count'!AD155=0,"",('Phytopl Analysis'!AD155*LN('Phytopl Analysis'!AD155)))</f>
        <v/>
      </c>
      <c r="AE155" s="21" t="str">
        <f>IF('Phytopl Count'!AE155=0,"",('Phytopl Analysis'!AE155*LN('Phytopl Analysis'!AE155)))</f>
        <v/>
      </c>
      <c r="AF155" s="58" t="str">
        <f>IF('Phytopl Count'!AF155=0,"",('Phytopl Analysis'!AF155*LN('Phytopl Analysis'!AF155)))</f>
        <v/>
      </c>
    </row>
    <row r="156" spans="1:32">
      <c r="A156" s="16"/>
      <c r="B156" s="16"/>
      <c r="C156" s="16" t="s">
        <v>73</v>
      </c>
      <c r="D156" s="4" t="s">
        <v>234</v>
      </c>
      <c r="E156" s="5"/>
      <c r="F156" s="9"/>
      <c r="G156" s="21" t="str">
        <f>IF('Phytopl Count'!G156=0,"",('Phytopl Analysis'!G156*LN('Phytopl Analysis'!G156)))</f>
        <v/>
      </c>
      <c r="H156" s="21" t="str">
        <f>IF('Phytopl Count'!H156=0,"",('Phytopl Analysis'!H156*LN('Phytopl Analysis'!H156)))</f>
        <v/>
      </c>
      <c r="I156" s="58" t="str">
        <f>IF('Phytopl Count'!I156=0,"",('Phytopl Analysis'!I156*LN('Phytopl Analysis'!I156)))</f>
        <v/>
      </c>
      <c r="J156" s="58" t="str">
        <f>IF('Phytopl Count'!J156=0,"",('Phytopl Analysis'!J156*LN('Phytopl Analysis'!J156)))</f>
        <v/>
      </c>
      <c r="K156" s="21" t="str">
        <f>IF('Phytopl Count'!K156=0,"",('Phytopl Analysis'!K156*LN('Phytopl Analysis'!K156)))</f>
        <v/>
      </c>
      <c r="L156" s="21" t="str">
        <f>IF('Phytopl Count'!L156=0,"",('Phytopl Analysis'!L156*LN('Phytopl Analysis'!L156)))</f>
        <v/>
      </c>
      <c r="M156" s="58" t="str">
        <f>IF('Phytopl Count'!M156=0,"",('Phytopl Analysis'!M156*LN('Phytopl Analysis'!M156)))</f>
        <v/>
      </c>
      <c r="N156" s="58" t="str">
        <f>IF('Phytopl Count'!N156=0,"",('Phytopl Analysis'!N156*LN('Phytopl Analysis'!N156)))</f>
        <v/>
      </c>
      <c r="O156" s="21" t="str">
        <f>IF('Phytopl Count'!O156=0,"",('Phytopl Analysis'!O156*LN('Phytopl Analysis'!O156)))</f>
        <v/>
      </c>
      <c r="P156" s="21" t="str">
        <f>IF('Phytopl Count'!P156=0,"",('Phytopl Analysis'!P156*LN('Phytopl Analysis'!P156)))</f>
        <v/>
      </c>
      <c r="Q156" s="58" t="str">
        <f>IF('Phytopl Count'!Q156=0,"",('Phytopl Analysis'!Q156*LN('Phytopl Analysis'!Q156)))</f>
        <v/>
      </c>
      <c r="R156" s="58" t="str">
        <f>IF('Phytopl Count'!R156=0,"",('Phytopl Analysis'!R156*LN('Phytopl Analysis'!R156)))</f>
        <v/>
      </c>
      <c r="S156" s="21" t="str">
        <f>IF('Phytopl Count'!S156=0,"",('Phytopl Analysis'!S156*LN('Phytopl Analysis'!S156)))</f>
        <v/>
      </c>
      <c r="T156" s="21" t="str">
        <f>IF('Phytopl Count'!T156=0,"",('Phytopl Analysis'!T156*LN('Phytopl Analysis'!T156)))</f>
        <v/>
      </c>
      <c r="U156" s="58" t="str">
        <f>IF('Phytopl Count'!U156=0,"",('Phytopl Analysis'!U156*LN('Phytopl Analysis'!U156)))</f>
        <v/>
      </c>
      <c r="V156" s="58" t="str">
        <f>IF('Phytopl Count'!V156=0,"",('Phytopl Analysis'!V156*LN('Phytopl Analysis'!V156)))</f>
        <v/>
      </c>
      <c r="W156" s="21" t="str">
        <f>IF('Phytopl Count'!W156=0,"",('Phytopl Analysis'!W156*LN('Phytopl Analysis'!W156)))</f>
        <v/>
      </c>
      <c r="X156" s="21" t="str">
        <f>IF('Phytopl Count'!X156=0,"",('Phytopl Analysis'!X156*LN('Phytopl Analysis'!X156)))</f>
        <v/>
      </c>
      <c r="Y156" s="58" t="str">
        <f>IF('Phytopl Count'!Y156=0,"",('Phytopl Analysis'!Y156*LN('Phytopl Analysis'!Y156)))</f>
        <v/>
      </c>
      <c r="Z156" s="58" t="str">
        <f>IF('Phytopl Count'!Z156=0,"",('Phytopl Analysis'!Z156*LN('Phytopl Analysis'!Z156)))</f>
        <v/>
      </c>
      <c r="AA156" s="21" t="str">
        <f>IF('Phytopl Count'!AA156=0,"",('Phytopl Analysis'!AA156*LN('Phytopl Analysis'!AA156)))</f>
        <v/>
      </c>
      <c r="AB156" s="21" t="str">
        <f>IF('Phytopl Count'!AB156=0,"",('Phytopl Analysis'!AB156*LN('Phytopl Analysis'!AB156)))</f>
        <v/>
      </c>
      <c r="AC156" s="58" t="str">
        <f>IF('Phytopl Count'!AC156=0,"",('Phytopl Analysis'!AC156*LN('Phytopl Analysis'!AC156)))</f>
        <v/>
      </c>
      <c r="AD156" s="58" t="str">
        <f>IF('Phytopl Count'!AD156=0,"",('Phytopl Analysis'!AD156*LN('Phytopl Analysis'!AD156)))</f>
        <v/>
      </c>
      <c r="AE156" s="21" t="str">
        <f>IF('Phytopl Count'!AE156=0,"",('Phytopl Analysis'!AE156*LN('Phytopl Analysis'!AE156)))</f>
        <v/>
      </c>
      <c r="AF156" s="58" t="str">
        <f>IF('Phytopl Count'!AF156=0,"",('Phytopl Analysis'!AF156*LN('Phytopl Analysis'!AF156)))</f>
        <v/>
      </c>
    </row>
    <row r="157" spans="1:32">
      <c r="A157" s="16"/>
      <c r="B157" s="16"/>
      <c r="C157" s="16"/>
      <c r="D157" s="10" t="s">
        <v>5</v>
      </c>
      <c r="E157" s="87" t="s">
        <v>235</v>
      </c>
      <c r="F157" s="9"/>
      <c r="G157" s="21" t="str">
        <f>IF('Phytopl Count'!G157=0,"",('Phytopl Analysis'!G157*LN('Phytopl Analysis'!G157)))</f>
        <v/>
      </c>
      <c r="H157" s="21" t="str">
        <f>IF('Phytopl Count'!H157=0,"",('Phytopl Analysis'!H157*LN('Phytopl Analysis'!H157)))</f>
        <v/>
      </c>
      <c r="I157" s="58" t="str">
        <f>IF('Phytopl Count'!I157=0,"",('Phytopl Analysis'!I157*LN('Phytopl Analysis'!I157)))</f>
        <v/>
      </c>
      <c r="J157" s="58" t="str">
        <f>IF('Phytopl Count'!J157=0,"",('Phytopl Analysis'!J157*LN('Phytopl Analysis'!J157)))</f>
        <v/>
      </c>
      <c r="K157" s="21" t="str">
        <f>IF('Phytopl Count'!K157=0,"",('Phytopl Analysis'!K157*LN('Phytopl Analysis'!K157)))</f>
        <v/>
      </c>
      <c r="L157" s="21" t="str">
        <f>IF('Phytopl Count'!L157=0,"",('Phytopl Analysis'!L157*LN('Phytopl Analysis'!L157)))</f>
        <v/>
      </c>
      <c r="M157" s="58" t="str">
        <f>IF('Phytopl Count'!M157=0,"",('Phytopl Analysis'!M157*LN('Phytopl Analysis'!M157)))</f>
        <v/>
      </c>
      <c r="N157" s="58" t="str">
        <f>IF('Phytopl Count'!N157=0,"",('Phytopl Analysis'!N157*LN('Phytopl Analysis'!N157)))</f>
        <v/>
      </c>
      <c r="O157" s="21" t="str">
        <f>IF('Phytopl Count'!O157=0,"",('Phytopl Analysis'!O157*LN('Phytopl Analysis'!O157)))</f>
        <v/>
      </c>
      <c r="P157" s="21" t="str">
        <f>IF('Phytopl Count'!P157=0,"",('Phytopl Analysis'!P157*LN('Phytopl Analysis'!P157)))</f>
        <v/>
      </c>
      <c r="Q157" s="58" t="str">
        <f>IF('Phytopl Count'!Q157=0,"",('Phytopl Analysis'!Q157*LN('Phytopl Analysis'!Q157)))</f>
        <v/>
      </c>
      <c r="R157" s="58" t="str">
        <f>IF('Phytopl Count'!R157=0,"",('Phytopl Analysis'!R157*LN('Phytopl Analysis'!R157)))</f>
        <v/>
      </c>
      <c r="S157" s="21" t="str">
        <f>IF('Phytopl Count'!S157=0,"",('Phytopl Analysis'!S157*LN('Phytopl Analysis'!S157)))</f>
        <v/>
      </c>
      <c r="T157" s="21" t="str">
        <f>IF('Phytopl Count'!T157=0,"",('Phytopl Analysis'!T157*LN('Phytopl Analysis'!T157)))</f>
        <v/>
      </c>
      <c r="U157" s="58" t="str">
        <f>IF('Phytopl Count'!U157=0,"",('Phytopl Analysis'!U157*LN('Phytopl Analysis'!U157)))</f>
        <v/>
      </c>
      <c r="V157" s="58" t="str">
        <f>IF('Phytopl Count'!V157=0,"",('Phytopl Analysis'!V157*LN('Phytopl Analysis'!V157)))</f>
        <v/>
      </c>
      <c r="W157" s="21" t="str">
        <f>IF('Phytopl Count'!W157=0,"",('Phytopl Analysis'!W157*LN('Phytopl Analysis'!W157)))</f>
        <v/>
      </c>
      <c r="X157" s="21" t="str">
        <f>IF('Phytopl Count'!X157=0,"",('Phytopl Analysis'!X157*LN('Phytopl Analysis'!X157)))</f>
        <v/>
      </c>
      <c r="Y157" s="58" t="str">
        <f>IF('Phytopl Count'!Y157=0,"",('Phytopl Analysis'!Y157*LN('Phytopl Analysis'!Y157)))</f>
        <v/>
      </c>
      <c r="Z157" s="58" t="str">
        <f>IF('Phytopl Count'!Z157=0,"",('Phytopl Analysis'!Z157*LN('Phytopl Analysis'!Z157)))</f>
        <v/>
      </c>
      <c r="AA157" s="21" t="str">
        <f>IF('Phytopl Count'!AA157=0,"",('Phytopl Analysis'!AA157*LN('Phytopl Analysis'!AA157)))</f>
        <v/>
      </c>
      <c r="AB157" s="21" t="str">
        <f>IF('Phytopl Count'!AB157=0,"",('Phytopl Analysis'!AB157*LN('Phytopl Analysis'!AB157)))</f>
        <v/>
      </c>
      <c r="AC157" s="58" t="str">
        <f>IF('Phytopl Count'!AC157=0,"",('Phytopl Analysis'!AC157*LN('Phytopl Analysis'!AC157)))</f>
        <v/>
      </c>
      <c r="AD157" s="58" t="str">
        <f>IF('Phytopl Count'!AD157=0,"",('Phytopl Analysis'!AD157*LN('Phytopl Analysis'!AD157)))</f>
        <v/>
      </c>
      <c r="AE157" s="21" t="str">
        <f>IF('Phytopl Count'!AE157=0,"",('Phytopl Analysis'!AE157*LN('Phytopl Analysis'!AE157)))</f>
        <v/>
      </c>
      <c r="AF157" s="58" t="str">
        <f>IF('Phytopl Count'!AF157=0,"",('Phytopl Analysis'!AF157*LN('Phytopl Analysis'!AF157)))</f>
        <v/>
      </c>
    </row>
    <row r="158" spans="1:32">
      <c r="A158" s="4"/>
      <c r="B158" s="4"/>
      <c r="C158" s="4"/>
      <c r="D158" s="5"/>
      <c r="E158" s="10" t="s">
        <v>6</v>
      </c>
      <c r="F158" s="11" t="s">
        <v>236</v>
      </c>
      <c r="G158" s="21">
        <f>IF('Phytopl Count'!G158=0,"",('Phytopl Analysis'!G158*LN('Phytopl Analysis'!G158)))</f>
        <v>-0.21014302345892899</v>
      </c>
      <c r="H158" s="21" t="str">
        <f>IF('Phytopl Count'!H158=0,"",('Phytopl Analysis'!H158*LN('Phytopl Analysis'!H158)))</f>
        <v/>
      </c>
      <c r="I158" s="58" t="str">
        <f>IF('Phytopl Count'!I158=0,"",('Phytopl Analysis'!I158*LN('Phytopl Analysis'!I158)))</f>
        <v/>
      </c>
      <c r="J158" s="58">
        <f>IF('Phytopl Count'!J158=0,"",('Phytopl Analysis'!J158*LN('Phytopl Analysis'!J158)))</f>
        <v>-0.12884150444391032</v>
      </c>
      <c r="K158" s="21" t="str">
        <f>IF('Phytopl Count'!K158=0,"",('Phytopl Analysis'!K158*LN('Phytopl Analysis'!K158)))</f>
        <v/>
      </c>
      <c r="L158" s="21" t="str">
        <f>IF('Phytopl Count'!L158=0,"",('Phytopl Analysis'!L158*LN('Phytopl Analysis'!L158)))</f>
        <v/>
      </c>
      <c r="M158" s="58">
        <f>IF('Phytopl Count'!M158=0,"",('Phytopl Analysis'!M158*LN('Phytopl Analysis'!M158)))</f>
        <v>-0.12884150444391032</v>
      </c>
      <c r="N158" s="58" t="str">
        <f>IF('Phytopl Count'!N158=0,"",('Phytopl Analysis'!N158*LN('Phytopl Analysis'!N158)))</f>
        <v/>
      </c>
      <c r="O158" s="21" t="str">
        <f>IF('Phytopl Count'!O158=0,"",('Phytopl Analysis'!O158*LN('Phytopl Analysis'!O158)))</f>
        <v/>
      </c>
      <c r="P158" s="21" t="str">
        <f>IF('Phytopl Count'!P158=0,"",('Phytopl Analysis'!P158*LN('Phytopl Analysis'!P158)))</f>
        <v/>
      </c>
      <c r="Q158" s="58" t="str">
        <f>IF('Phytopl Count'!Q158=0,"",('Phytopl Analysis'!Q158*LN('Phytopl Analysis'!Q158)))</f>
        <v/>
      </c>
      <c r="R158" s="58" t="str">
        <f>IF('Phytopl Count'!R158=0,"",('Phytopl Analysis'!R158*LN('Phytopl Analysis'!R158)))</f>
        <v/>
      </c>
      <c r="S158" s="21" t="str">
        <f>IF('Phytopl Count'!S158=0,"",('Phytopl Analysis'!S158*LN('Phytopl Analysis'!S158)))</f>
        <v/>
      </c>
      <c r="T158" s="21" t="str">
        <f>IF('Phytopl Count'!T158=0,"",('Phytopl Analysis'!T158*LN('Phytopl Analysis'!T158)))</f>
        <v/>
      </c>
      <c r="U158" s="58" t="str">
        <f>IF('Phytopl Count'!U158=0,"",('Phytopl Analysis'!U158*LN('Phytopl Analysis'!U158)))</f>
        <v/>
      </c>
      <c r="V158" s="58">
        <f>IF('Phytopl Count'!V158=0,"",('Phytopl Analysis'!V158*LN('Phytopl Analysis'!V158)))</f>
        <v>-0.12884150444391032</v>
      </c>
      <c r="W158" s="21" t="str">
        <f>IF('Phytopl Count'!W158=0,"",('Phytopl Analysis'!W158*LN('Phytopl Analysis'!W158)))</f>
        <v/>
      </c>
      <c r="X158" s="21" t="str">
        <f>IF('Phytopl Count'!X158=0,"",('Phytopl Analysis'!X158*LN('Phytopl Analysis'!X158)))</f>
        <v/>
      </c>
      <c r="Y158" s="58" t="str">
        <f>IF('Phytopl Count'!Y158=0,"",('Phytopl Analysis'!Y158*LN('Phytopl Analysis'!Y158)))</f>
        <v/>
      </c>
      <c r="Z158" s="58" t="str">
        <f>IF('Phytopl Count'!Z158=0,"",('Phytopl Analysis'!Z158*LN('Phytopl Analysis'!Z158)))</f>
        <v/>
      </c>
      <c r="AA158" s="21" t="str">
        <f>IF('Phytopl Count'!AA158=0,"",('Phytopl Analysis'!AA158*LN('Phytopl Analysis'!AA158)))</f>
        <v/>
      </c>
      <c r="AB158" s="21" t="str">
        <f>IF('Phytopl Count'!AB158=0,"",('Phytopl Analysis'!AB158*LN('Phytopl Analysis'!AB158)))</f>
        <v/>
      </c>
      <c r="AC158" s="58" t="str">
        <f>IF('Phytopl Count'!AC158=0,"",('Phytopl Analysis'!AC158*LN('Phytopl Analysis'!AC158)))</f>
        <v/>
      </c>
      <c r="AD158" s="58" t="str">
        <f>IF('Phytopl Count'!AD158=0,"",('Phytopl Analysis'!AD158*LN('Phytopl Analysis'!AD158)))</f>
        <v/>
      </c>
      <c r="AE158" s="21" t="str">
        <f>IF('Phytopl Count'!AE158=0,"",('Phytopl Analysis'!AE158*LN('Phytopl Analysis'!AE158)))</f>
        <v/>
      </c>
      <c r="AF158" s="58" t="str">
        <f>IF('Phytopl Count'!AF158=0,"",('Phytopl Analysis'!AF158*LN('Phytopl Analysis'!AF158)))</f>
        <v/>
      </c>
    </row>
    <row r="159" spans="1:32" hidden="1">
      <c r="A159" s="4"/>
      <c r="B159" s="4"/>
      <c r="C159" s="4"/>
      <c r="D159" s="5"/>
      <c r="E159" s="10"/>
      <c r="F159" s="11"/>
      <c r="G159" s="21" t="str">
        <f>IF('Phytopl Count'!G159=0,"",('Phytopl Analysis'!G159*LN('Phytopl Analysis'!G159)))</f>
        <v/>
      </c>
      <c r="H159" s="21" t="str">
        <f>IF('Phytopl Count'!H159=0,"",('Phytopl Analysis'!H159*LN('Phytopl Analysis'!H159)))</f>
        <v/>
      </c>
      <c r="I159" s="58" t="str">
        <f>IF('Phytopl Count'!I159=0,"",('Phytopl Analysis'!I159*LN('Phytopl Analysis'!I159)))</f>
        <v/>
      </c>
      <c r="J159" s="58" t="str">
        <f>IF('Phytopl Count'!J159=0,"",('Phytopl Analysis'!J159*LN('Phytopl Analysis'!J159)))</f>
        <v/>
      </c>
      <c r="K159" s="21" t="str">
        <f>IF('Phytopl Count'!K159=0,"",('Phytopl Analysis'!K159*LN('Phytopl Analysis'!K159)))</f>
        <v/>
      </c>
      <c r="L159" s="21" t="str">
        <f>IF('Phytopl Count'!L159=0,"",('Phytopl Analysis'!L159*LN('Phytopl Analysis'!L159)))</f>
        <v/>
      </c>
      <c r="M159" s="58" t="str">
        <f>IF('Phytopl Count'!M159=0,"",('Phytopl Analysis'!M159*LN('Phytopl Analysis'!M159)))</f>
        <v/>
      </c>
      <c r="N159" s="58" t="str">
        <f>IF('Phytopl Count'!N159=0,"",('Phytopl Analysis'!N159*LN('Phytopl Analysis'!N159)))</f>
        <v/>
      </c>
      <c r="O159" s="21" t="str">
        <f>IF('Phytopl Count'!O159=0,"",('Phytopl Analysis'!O159*LN('Phytopl Analysis'!O159)))</f>
        <v/>
      </c>
      <c r="P159" s="21" t="str">
        <f>IF('Phytopl Count'!P159=0,"",('Phytopl Analysis'!P159*LN('Phytopl Analysis'!P159)))</f>
        <v/>
      </c>
      <c r="Q159" s="58" t="str">
        <f>IF('Phytopl Count'!Q159=0,"",('Phytopl Analysis'!Q159*LN('Phytopl Analysis'!Q159)))</f>
        <v/>
      </c>
      <c r="R159" s="58" t="str">
        <f>IF('Phytopl Count'!R159=0,"",('Phytopl Analysis'!R159*LN('Phytopl Analysis'!R159)))</f>
        <v/>
      </c>
      <c r="S159" s="21" t="str">
        <f>IF('Phytopl Count'!S159=0,"",('Phytopl Analysis'!S159*LN('Phytopl Analysis'!S159)))</f>
        <v/>
      </c>
      <c r="T159" s="21" t="str">
        <f>IF('Phytopl Count'!T159=0,"",('Phytopl Analysis'!T159*LN('Phytopl Analysis'!T159)))</f>
        <v/>
      </c>
      <c r="U159" s="58" t="str">
        <f>IF('Phytopl Count'!U159=0,"",('Phytopl Analysis'!U159*LN('Phytopl Analysis'!U159)))</f>
        <v/>
      </c>
      <c r="V159" s="58" t="str">
        <f>IF('Phytopl Count'!V159=0,"",('Phytopl Analysis'!V159*LN('Phytopl Analysis'!V159)))</f>
        <v/>
      </c>
      <c r="W159" s="21" t="str">
        <f>IF('Phytopl Count'!W159=0,"",('Phytopl Analysis'!W159*LN('Phytopl Analysis'!W159)))</f>
        <v/>
      </c>
      <c r="X159" s="21" t="str">
        <f>IF('Phytopl Count'!X159=0,"",('Phytopl Analysis'!X159*LN('Phytopl Analysis'!X159)))</f>
        <v/>
      </c>
      <c r="Y159" s="58" t="str">
        <f>IF('Phytopl Count'!Y159=0,"",('Phytopl Analysis'!Y159*LN('Phytopl Analysis'!Y159)))</f>
        <v/>
      </c>
      <c r="Z159" s="58" t="str">
        <f>IF('Phytopl Count'!Z159=0,"",('Phytopl Analysis'!Z159*LN('Phytopl Analysis'!Z159)))</f>
        <v/>
      </c>
      <c r="AA159" s="21" t="str">
        <f>IF('Phytopl Count'!AA159=0,"",('Phytopl Analysis'!AA159*LN('Phytopl Analysis'!AA159)))</f>
        <v/>
      </c>
      <c r="AB159" s="21" t="str">
        <f>IF('Phytopl Count'!AB159=0,"",('Phytopl Analysis'!AB159*LN('Phytopl Analysis'!AB159)))</f>
        <v/>
      </c>
      <c r="AC159" s="58" t="str">
        <f>IF('Phytopl Count'!AC159=0,"",('Phytopl Analysis'!AC159*LN('Phytopl Analysis'!AC159)))</f>
        <v/>
      </c>
      <c r="AD159" s="58" t="str">
        <f>IF('Phytopl Count'!AD159=0,"",('Phytopl Analysis'!AD159*LN('Phytopl Analysis'!AD159)))</f>
        <v/>
      </c>
      <c r="AE159" s="21" t="str">
        <f>IF('Phytopl Count'!AE159=0,"",('Phytopl Analysis'!AE159*LN('Phytopl Analysis'!AE159)))</f>
        <v/>
      </c>
      <c r="AF159" s="58" t="str">
        <f>IF('Phytopl Count'!AF159=0,"",('Phytopl Analysis'!AF159*LN('Phytopl Analysis'!AF159)))</f>
        <v/>
      </c>
    </row>
    <row r="160" spans="1:32" hidden="1">
      <c r="A160" s="16"/>
      <c r="B160" s="16" t="s">
        <v>72</v>
      </c>
      <c r="C160" s="28" t="s">
        <v>394</v>
      </c>
      <c r="D160" s="4"/>
      <c r="E160" s="5"/>
      <c r="F160" s="9"/>
      <c r="G160" s="21" t="str">
        <f>IF('Phytopl Count'!G160=0,"",('Phytopl Analysis'!G160*LN('Phytopl Analysis'!G160)))</f>
        <v/>
      </c>
      <c r="H160" s="21" t="str">
        <f>IF('Phytopl Count'!H160=0,"",('Phytopl Analysis'!H160*LN('Phytopl Analysis'!H160)))</f>
        <v/>
      </c>
      <c r="I160" s="58" t="str">
        <f>IF('Phytopl Count'!I160=0,"",('Phytopl Analysis'!I160*LN('Phytopl Analysis'!I160)))</f>
        <v/>
      </c>
      <c r="J160" s="58" t="str">
        <f>IF('Phytopl Count'!J160=0,"",('Phytopl Analysis'!J160*LN('Phytopl Analysis'!J160)))</f>
        <v/>
      </c>
      <c r="K160" s="21" t="str">
        <f>IF('Phytopl Count'!K160=0,"",('Phytopl Analysis'!K160*LN('Phytopl Analysis'!K160)))</f>
        <v/>
      </c>
      <c r="L160" s="21" t="str">
        <f>IF('Phytopl Count'!L160=0,"",('Phytopl Analysis'!L160*LN('Phytopl Analysis'!L160)))</f>
        <v/>
      </c>
      <c r="M160" s="58" t="str">
        <f>IF('Phytopl Count'!M160=0,"",('Phytopl Analysis'!M160*LN('Phytopl Analysis'!M160)))</f>
        <v/>
      </c>
      <c r="N160" s="58" t="str">
        <f>IF('Phytopl Count'!N160=0,"",('Phytopl Analysis'!N160*LN('Phytopl Analysis'!N160)))</f>
        <v/>
      </c>
      <c r="O160" s="21" t="str">
        <f>IF('Phytopl Count'!O160=0,"",('Phytopl Analysis'!O160*LN('Phytopl Analysis'!O160)))</f>
        <v/>
      </c>
      <c r="P160" s="21" t="str">
        <f>IF('Phytopl Count'!P160=0,"",('Phytopl Analysis'!P160*LN('Phytopl Analysis'!P160)))</f>
        <v/>
      </c>
      <c r="Q160" s="58" t="str">
        <f>IF('Phytopl Count'!Q160=0,"",('Phytopl Analysis'!Q160*LN('Phytopl Analysis'!Q160)))</f>
        <v/>
      </c>
      <c r="R160" s="58" t="str">
        <f>IF('Phytopl Count'!R160=0,"",('Phytopl Analysis'!R160*LN('Phytopl Analysis'!R160)))</f>
        <v/>
      </c>
      <c r="S160" s="21" t="str">
        <f>IF('Phytopl Count'!S160=0,"",('Phytopl Analysis'!S160*LN('Phytopl Analysis'!S160)))</f>
        <v/>
      </c>
      <c r="T160" s="21" t="str">
        <f>IF('Phytopl Count'!T160=0,"",('Phytopl Analysis'!T160*LN('Phytopl Analysis'!T160)))</f>
        <v/>
      </c>
      <c r="U160" s="58" t="str">
        <f>IF('Phytopl Count'!U160=0,"",('Phytopl Analysis'!U160*LN('Phytopl Analysis'!U160)))</f>
        <v/>
      </c>
      <c r="V160" s="58" t="str">
        <f>IF('Phytopl Count'!V160=0,"",('Phytopl Analysis'!V160*LN('Phytopl Analysis'!V160)))</f>
        <v/>
      </c>
      <c r="W160" s="21" t="str">
        <f>IF('Phytopl Count'!W160=0,"",('Phytopl Analysis'!W160*LN('Phytopl Analysis'!W160)))</f>
        <v/>
      </c>
      <c r="X160" s="21" t="str">
        <f>IF('Phytopl Count'!X160=0,"",('Phytopl Analysis'!X160*LN('Phytopl Analysis'!X160)))</f>
        <v/>
      </c>
      <c r="Y160" s="58" t="str">
        <f>IF('Phytopl Count'!Y160=0,"",('Phytopl Analysis'!Y160*LN('Phytopl Analysis'!Y160)))</f>
        <v/>
      </c>
      <c r="Z160" s="58" t="str">
        <f>IF('Phytopl Count'!Z160=0,"",('Phytopl Analysis'!Z160*LN('Phytopl Analysis'!Z160)))</f>
        <v/>
      </c>
      <c r="AA160" s="21" t="str">
        <f>IF('Phytopl Count'!AA160=0,"",('Phytopl Analysis'!AA160*LN('Phytopl Analysis'!AA160)))</f>
        <v/>
      </c>
      <c r="AB160" s="21" t="str">
        <f>IF('Phytopl Count'!AB160=0,"",('Phytopl Analysis'!AB160*LN('Phytopl Analysis'!AB160)))</f>
        <v/>
      </c>
      <c r="AC160" s="58" t="str">
        <f>IF('Phytopl Count'!AC160=0,"",('Phytopl Analysis'!AC160*LN('Phytopl Analysis'!AC160)))</f>
        <v/>
      </c>
      <c r="AD160" s="58" t="str">
        <f>IF('Phytopl Count'!AD160=0,"",('Phytopl Analysis'!AD160*LN('Phytopl Analysis'!AD160)))</f>
        <v/>
      </c>
      <c r="AE160" s="21" t="str">
        <f>IF('Phytopl Count'!AE160=0,"",('Phytopl Analysis'!AE160*LN('Phytopl Analysis'!AE160)))</f>
        <v/>
      </c>
      <c r="AF160" s="58" t="str">
        <f>IF('Phytopl Count'!AF160=0,"",('Phytopl Analysis'!AF160*LN('Phytopl Analysis'!AF160)))</f>
        <v/>
      </c>
    </row>
    <row r="161" spans="1:32" hidden="1">
      <c r="A161" s="16"/>
      <c r="B161" s="16"/>
      <c r="C161" s="16" t="s">
        <v>73</v>
      </c>
      <c r="D161" s="4" t="s">
        <v>395</v>
      </c>
      <c r="E161" s="5"/>
      <c r="F161" s="9"/>
      <c r="G161" s="21" t="str">
        <f>IF('Phytopl Count'!G161=0,"",('Phytopl Analysis'!G161*LN('Phytopl Analysis'!G161)))</f>
        <v/>
      </c>
      <c r="H161" s="21" t="str">
        <f>IF('Phytopl Count'!H161=0,"",('Phytopl Analysis'!H161*LN('Phytopl Analysis'!H161)))</f>
        <v/>
      </c>
      <c r="I161" s="58" t="str">
        <f>IF('Phytopl Count'!I161=0,"",('Phytopl Analysis'!I161*LN('Phytopl Analysis'!I161)))</f>
        <v/>
      </c>
      <c r="J161" s="58" t="str">
        <f>IF('Phytopl Count'!J161=0,"",('Phytopl Analysis'!J161*LN('Phytopl Analysis'!J161)))</f>
        <v/>
      </c>
      <c r="K161" s="21" t="str">
        <f>IF('Phytopl Count'!K161=0,"",('Phytopl Analysis'!K161*LN('Phytopl Analysis'!K161)))</f>
        <v/>
      </c>
      <c r="L161" s="21" t="str">
        <f>IF('Phytopl Count'!L161=0,"",('Phytopl Analysis'!L161*LN('Phytopl Analysis'!L161)))</f>
        <v/>
      </c>
      <c r="M161" s="58" t="str">
        <f>IF('Phytopl Count'!M161=0,"",('Phytopl Analysis'!M161*LN('Phytopl Analysis'!M161)))</f>
        <v/>
      </c>
      <c r="N161" s="58" t="str">
        <f>IF('Phytopl Count'!N161=0,"",('Phytopl Analysis'!N161*LN('Phytopl Analysis'!N161)))</f>
        <v/>
      </c>
      <c r="O161" s="21" t="str">
        <f>IF('Phytopl Count'!O161=0,"",('Phytopl Analysis'!O161*LN('Phytopl Analysis'!O161)))</f>
        <v/>
      </c>
      <c r="P161" s="21" t="str">
        <f>IF('Phytopl Count'!P161=0,"",('Phytopl Analysis'!P161*LN('Phytopl Analysis'!P161)))</f>
        <v/>
      </c>
      <c r="Q161" s="58" t="str">
        <f>IF('Phytopl Count'!Q161=0,"",('Phytopl Analysis'!Q161*LN('Phytopl Analysis'!Q161)))</f>
        <v/>
      </c>
      <c r="R161" s="58" t="str">
        <f>IF('Phytopl Count'!R161=0,"",('Phytopl Analysis'!R161*LN('Phytopl Analysis'!R161)))</f>
        <v/>
      </c>
      <c r="S161" s="21" t="str">
        <f>IF('Phytopl Count'!S161=0,"",('Phytopl Analysis'!S161*LN('Phytopl Analysis'!S161)))</f>
        <v/>
      </c>
      <c r="T161" s="21" t="str">
        <f>IF('Phytopl Count'!T161=0,"",('Phytopl Analysis'!T161*LN('Phytopl Analysis'!T161)))</f>
        <v/>
      </c>
      <c r="U161" s="58" t="str">
        <f>IF('Phytopl Count'!U161=0,"",('Phytopl Analysis'!U161*LN('Phytopl Analysis'!U161)))</f>
        <v/>
      </c>
      <c r="V161" s="58" t="str">
        <f>IF('Phytopl Count'!V161=0,"",('Phytopl Analysis'!V161*LN('Phytopl Analysis'!V161)))</f>
        <v/>
      </c>
      <c r="W161" s="21" t="str">
        <f>IF('Phytopl Count'!W161=0,"",('Phytopl Analysis'!W161*LN('Phytopl Analysis'!W161)))</f>
        <v/>
      </c>
      <c r="X161" s="21" t="str">
        <f>IF('Phytopl Count'!X161=0,"",('Phytopl Analysis'!X161*LN('Phytopl Analysis'!X161)))</f>
        <v/>
      </c>
      <c r="Y161" s="58" t="str">
        <f>IF('Phytopl Count'!Y161=0,"",('Phytopl Analysis'!Y161*LN('Phytopl Analysis'!Y161)))</f>
        <v/>
      </c>
      <c r="Z161" s="58" t="str">
        <f>IF('Phytopl Count'!Z161=0,"",('Phytopl Analysis'!Z161*LN('Phytopl Analysis'!Z161)))</f>
        <v/>
      </c>
      <c r="AA161" s="21" t="str">
        <f>IF('Phytopl Count'!AA161=0,"",('Phytopl Analysis'!AA161*LN('Phytopl Analysis'!AA161)))</f>
        <v/>
      </c>
      <c r="AB161" s="21" t="str">
        <f>IF('Phytopl Count'!AB161=0,"",('Phytopl Analysis'!AB161*LN('Phytopl Analysis'!AB161)))</f>
        <v/>
      </c>
      <c r="AC161" s="58" t="str">
        <f>IF('Phytopl Count'!AC161=0,"",('Phytopl Analysis'!AC161*LN('Phytopl Analysis'!AC161)))</f>
        <v/>
      </c>
      <c r="AD161" s="58" t="str">
        <f>IF('Phytopl Count'!AD161=0,"",('Phytopl Analysis'!AD161*LN('Phytopl Analysis'!AD161)))</f>
        <v/>
      </c>
      <c r="AE161" s="21" t="str">
        <f>IF('Phytopl Count'!AE161=0,"",('Phytopl Analysis'!AE161*LN('Phytopl Analysis'!AE161)))</f>
        <v/>
      </c>
      <c r="AF161" s="58" t="str">
        <f>IF('Phytopl Count'!AF161=0,"",('Phytopl Analysis'!AF161*LN('Phytopl Analysis'!AF161)))</f>
        <v/>
      </c>
    </row>
    <row r="162" spans="1:32" hidden="1">
      <c r="A162" s="16"/>
      <c r="B162" s="16"/>
      <c r="C162" s="16"/>
      <c r="D162" s="10" t="s">
        <v>5</v>
      </c>
      <c r="E162" s="172" t="s">
        <v>396</v>
      </c>
      <c r="F162" s="9"/>
      <c r="G162" s="21" t="str">
        <f>IF('Phytopl Count'!G162=0,"",('Phytopl Analysis'!G162*LN('Phytopl Analysis'!G162)))</f>
        <v/>
      </c>
      <c r="H162" s="21" t="str">
        <f>IF('Phytopl Count'!H162=0,"",('Phytopl Analysis'!H162*LN('Phytopl Analysis'!H162)))</f>
        <v/>
      </c>
      <c r="I162" s="58" t="str">
        <f>IF('Phytopl Count'!I162=0,"",('Phytopl Analysis'!I162*LN('Phytopl Analysis'!I162)))</f>
        <v/>
      </c>
      <c r="J162" s="58" t="str">
        <f>IF('Phytopl Count'!J162=0,"",('Phytopl Analysis'!J162*LN('Phytopl Analysis'!J162)))</f>
        <v/>
      </c>
      <c r="K162" s="21" t="str">
        <f>IF('Phytopl Count'!K162=0,"",('Phytopl Analysis'!K162*LN('Phytopl Analysis'!K162)))</f>
        <v/>
      </c>
      <c r="L162" s="21" t="str">
        <f>IF('Phytopl Count'!L162=0,"",('Phytopl Analysis'!L162*LN('Phytopl Analysis'!L162)))</f>
        <v/>
      </c>
      <c r="M162" s="58" t="str">
        <f>IF('Phytopl Count'!M162=0,"",('Phytopl Analysis'!M162*LN('Phytopl Analysis'!M162)))</f>
        <v/>
      </c>
      <c r="N162" s="58" t="str">
        <f>IF('Phytopl Count'!N162=0,"",('Phytopl Analysis'!N162*LN('Phytopl Analysis'!N162)))</f>
        <v/>
      </c>
      <c r="O162" s="21" t="str">
        <f>IF('Phytopl Count'!O162=0,"",('Phytopl Analysis'!O162*LN('Phytopl Analysis'!O162)))</f>
        <v/>
      </c>
      <c r="P162" s="21" t="str">
        <f>IF('Phytopl Count'!P162=0,"",('Phytopl Analysis'!P162*LN('Phytopl Analysis'!P162)))</f>
        <v/>
      </c>
      <c r="Q162" s="58" t="str">
        <f>IF('Phytopl Count'!Q162=0,"",('Phytopl Analysis'!Q162*LN('Phytopl Analysis'!Q162)))</f>
        <v/>
      </c>
      <c r="R162" s="58" t="str">
        <f>IF('Phytopl Count'!R162=0,"",('Phytopl Analysis'!R162*LN('Phytopl Analysis'!R162)))</f>
        <v/>
      </c>
      <c r="S162" s="21" t="str">
        <f>IF('Phytopl Count'!S162=0,"",('Phytopl Analysis'!S162*LN('Phytopl Analysis'!S162)))</f>
        <v/>
      </c>
      <c r="T162" s="21" t="str">
        <f>IF('Phytopl Count'!T162=0,"",('Phytopl Analysis'!T162*LN('Phytopl Analysis'!T162)))</f>
        <v/>
      </c>
      <c r="U162" s="58" t="str">
        <f>IF('Phytopl Count'!U162=0,"",('Phytopl Analysis'!U162*LN('Phytopl Analysis'!U162)))</f>
        <v/>
      </c>
      <c r="V162" s="58" t="str">
        <f>IF('Phytopl Count'!V162=0,"",('Phytopl Analysis'!V162*LN('Phytopl Analysis'!V162)))</f>
        <v/>
      </c>
      <c r="W162" s="21" t="str">
        <f>IF('Phytopl Count'!W162=0,"",('Phytopl Analysis'!W162*LN('Phytopl Analysis'!W162)))</f>
        <v/>
      </c>
      <c r="X162" s="21" t="str">
        <f>IF('Phytopl Count'!X162=0,"",('Phytopl Analysis'!X162*LN('Phytopl Analysis'!X162)))</f>
        <v/>
      </c>
      <c r="Y162" s="58" t="str">
        <f>IF('Phytopl Count'!Y162=0,"",('Phytopl Analysis'!Y162*LN('Phytopl Analysis'!Y162)))</f>
        <v/>
      </c>
      <c r="Z162" s="58" t="str">
        <f>IF('Phytopl Count'!Z162=0,"",('Phytopl Analysis'!Z162*LN('Phytopl Analysis'!Z162)))</f>
        <v/>
      </c>
      <c r="AA162" s="21" t="str">
        <f>IF('Phytopl Count'!AA162=0,"",('Phytopl Analysis'!AA162*LN('Phytopl Analysis'!AA162)))</f>
        <v/>
      </c>
      <c r="AB162" s="21" t="str">
        <f>IF('Phytopl Count'!AB162=0,"",('Phytopl Analysis'!AB162*LN('Phytopl Analysis'!AB162)))</f>
        <v/>
      </c>
      <c r="AC162" s="58" t="str">
        <f>IF('Phytopl Count'!AC162=0,"",('Phytopl Analysis'!AC162*LN('Phytopl Analysis'!AC162)))</f>
        <v/>
      </c>
      <c r="AD162" s="58" t="str">
        <f>IF('Phytopl Count'!AD162=0,"",('Phytopl Analysis'!AD162*LN('Phytopl Analysis'!AD162)))</f>
        <v/>
      </c>
      <c r="AE162" s="21" t="str">
        <f>IF('Phytopl Count'!AE162=0,"",('Phytopl Analysis'!AE162*LN('Phytopl Analysis'!AE162)))</f>
        <v/>
      </c>
      <c r="AF162" s="58" t="str">
        <f>IF('Phytopl Count'!AF162=0,"",('Phytopl Analysis'!AF162*LN('Phytopl Analysis'!AF162)))</f>
        <v/>
      </c>
    </row>
    <row r="163" spans="1:32" hidden="1">
      <c r="A163" s="4"/>
      <c r="B163" s="4"/>
      <c r="C163" s="4"/>
      <c r="D163" s="5"/>
      <c r="E163" s="10" t="s">
        <v>6</v>
      </c>
      <c r="F163" s="11" t="s">
        <v>397</v>
      </c>
      <c r="G163" s="21" t="str">
        <f>IF('Phytopl Count'!G163=0,"",('Phytopl Analysis'!G163*LN('Phytopl Analysis'!G163)))</f>
        <v/>
      </c>
      <c r="H163" s="21" t="str">
        <f>IF('Phytopl Count'!H163=0,"",('Phytopl Analysis'!H163*LN('Phytopl Analysis'!H163)))</f>
        <v/>
      </c>
      <c r="I163" s="58" t="str">
        <f>IF('Phytopl Count'!I163=0,"",('Phytopl Analysis'!I163*LN('Phytopl Analysis'!I163)))</f>
        <v/>
      </c>
      <c r="J163" s="58" t="str">
        <f>IF('Phytopl Count'!J163=0,"",('Phytopl Analysis'!J163*LN('Phytopl Analysis'!J163)))</f>
        <v/>
      </c>
      <c r="K163" s="21" t="str">
        <f>IF('Phytopl Count'!K163=0,"",('Phytopl Analysis'!K163*LN('Phytopl Analysis'!K163)))</f>
        <v/>
      </c>
      <c r="L163" s="21" t="str">
        <f>IF('Phytopl Count'!L163=0,"",('Phytopl Analysis'!L163*LN('Phytopl Analysis'!L163)))</f>
        <v/>
      </c>
      <c r="M163" s="58" t="str">
        <f>IF('Phytopl Count'!M163=0,"",('Phytopl Analysis'!M163*LN('Phytopl Analysis'!M163)))</f>
        <v/>
      </c>
      <c r="N163" s="58" t="str">
        <f>IF('Phytopl Count'!N163=0,"",('Phytopl Analysis'!N163*LN('Phytopl Analysis'!N163)))</f>
        <v/>
      </c>
      <c r="O163" s="21" t="str">
        <f>IF('Phytopl Count'!O163=0,"",('Phytopl Analysis'!O163*LN('Phytopl Analysis'!O163)))</f>
        <v/>
      </c>
      <c r="P163" s="21" t="str">
        <f>IF('Phytopl Count'!P163=0,"",('Phytopl Analysis'!P163*LN('Phytopl Analysis'!P163)))</f>
        <v/>
      </c>
      <c r="Q163" s="58" t="str">
        <f>IF('Phytopl Count'!Q163=0,"",('Phytopl Analysis'!Q163*LN('Phytopl Analysis'!Q163)))</f>
        <v/>
      </c>
      <c r="R163" s="58" t="str">
        <f>IF('Phytopl Count'!R163=0,"",('Phytopl Analysis'!R163*LN('Phytopl Analysis'!R163)))</f>
        <v/>
      </c>
      <c r="S163" s="21" t="str">
        <f>IF('Phytopl Count'!S163=0,"",('Phytopl Analysis'!S163*LN('Phytopl Analysis'!S163)))</f>
        <v/>
      </c>
      <c r="T163" s="21" t="str">
        <f>IF('Phytopl Count'!T163=0,"",('Phytopl Analysis'!T163*LN('Phytopl Analysis'!T163)))</f>
        <v/>
      </c>
      <c r="U163" s="58" t="str">
        <f>IF('Phytopl Count'!U163=0,"",('Phytopl Analysis'!U163*LN('Phytopl Analysis'!U163)))</f>
        <v/>
      </c>
      <c r="V163" s="58" t="str">
        <f>IF('Phytopl Count'!V163=0,"",('Phytopl Analysis'!V163*LN('Phytopl Analysis'!V163)))</f>
        <v/>
      </c>
      <c r="W163" s="21" t="str">
        <f>IF('Phytopl Count'!W163=0,"",('Phytopl Analysis'!W163*LN('Phytopl Analysis'!W163)))</f>
        <v/>
      </c>
      <c r="X163" s="21" t="str">
        <f>IF('Phytopl Count'!X163=0,"",('Phytopl Analysis'!X163*LN('Phytopl Analysis'!X163)))</f>
        <v/>
      </c>
      <c r="Y163" s="58" t="str">
        <f>IF('Phytopl Count'!Y163=0,"",('Phytopl Analysis'!Y163*LN('Phytopl Analysis'!Y163)))</f>
        <v/>
      </c>
      <c r="Z163" s="58" t="str">
        <f>IF('Phytopl Count'!Z163=0,"",('Phytopl Analysis'!Z163*LN('Phytopl Analysis'!Z163)))</f>
        <v/>
      </c>
      <c r="AA163" s="21" t="str">
        <f>IF('Phytopl Count'!AA163=0,"",('Phytopl Analysis'!AA163*LN('Phytopl Analysis'!AA163)))</f>
        <v/>
      </c>
      <c r="AB163" s="21" t="str">
        <f>IF('Phytopl Count'!AB163=0,"",('Phytopl Analysis'!AB163*LN('Phytopl Analysis'!AB163)))</f>
        <v/>
      </c>
      <c r="AC163" s="58" t="str">
        <f>IF('Phytopl Count'!AC163=0,"",('Phytopl Analysis'!AC163*LN('Phytopl Analysis'!AC163)))</f>
        <v/>
      </c>
      <c r="AD163" s="58" t="str">
        <f>IF('Phytopl Count'!AD163=0,"",('Phytopl Analysis'!AD163*LN('Phytopl Analysis'!AD163)))</f>
        <v/>
      </c>
      <c r="AE163" s="21" t="str">
        <f>IF('Phytopl Count'!AE163=0,"",('Phytopl Analysis'!AE163*LN('Phytopl Analysis'!AE163)))</f>
        <v/>
      </c>
      <c r="AF163" s="58" t="str">
        <f>IF('Phytopl Count'!AF163=0,"",('Phytopl Analysis'!AF163*LN('Phytopl Analysis'!AF163)))</f>
        <v/>
      </c>
    </row>
    <row r="164" spans="1:32" hidden="1">
      <c r="A164" s="4"/>
      <c r="B164" s="4"/>
      <c r="C164" s="4"/>
      <c r="D164" s="5"/>
      <c r="E164" s="10"/>
      <c r="F164" s="11"/>
      <c r="G164" s="21" t="str">
        <f>IF('Phytopl Count'!G164=0,"",('Phytopl Analysis'!G164*LN('Phytopl Analysis'!G164)))</f>
        <v/>
      </c>
      <c r="H164" s="21" t="str">
        <f>IF('Phytopl Count'!H164=0,"",('Phytopl Analysis'!H164*LN('Phytopl Analysis'!H164)))</f>
        <v/>
      </c>
      <c r="I164" s="58" t="str">
        <f>IF('Phytopl Count'!I164=0,"",('Phytopl Analysis'!I164*LN('Phytopl Analysis'!I164)))</f>
        <v/>
      </c>
      <c r="J164" s="58" t="str">
        <f>IF('Phytopl Count'!J164=0,"",('Phytopl Analysis'!J164*LN('Phytopl Analysis'!J164)))</f>
        <v/>
      </c>
      <c r="K164" s="21" t="str">
        <f>IF('Phytopl Count'!K164=0,"",('Phytopl Analysis'!K164*LN('Phytopl Analysis'!K164)))</f>
        <v/>
      </c>
      <c r="L164" s="21" t="str">
        <f>IF('Phytopl Count'!L164=0,"",('Phytopl Analysis'!L164*LN('Phytopl Analysis'!L164)))</f>
        <v/>
      </c>
      <c r="M164" s="58" t="str">
        <f>IF('Phytopl Count'!M164=0,"",('Phytopl Analysis'!M164*LN('Phytopl Analysis'!M164)))</f>
        <v/>
      </c>
      <c r="N164" s="58" t="str">
        <f>IF('Phytopl Count'!N164=0,"",('Phytopl Analysis'!N164*LN('Phytopl Analysis'!N164)))</f>
        <v/>
      </c>
      <c r="O164" s="21" t="str">
        <f>IF('Phytopl Count'!O164=0,"",('Phytopl Analysis'!O164*LN('Phytopl Analysis'!O164)))</f>
        <v/>
      </c>
      <c r="P164" s="21" t="str">
        <f>IF('Phytopl Count'!P164=0,"",('Phytopl Analysis'!P164*LN('Phytopl Analysis'!P164)))</f>
        <v/>
      </c>
      <c r="Q164" s="58" t="str">
        <f>IF('Phytopl Count'!Q164=0,"",('Phytopl Analysis'!Q164*LN('Phytopl Analysis'!Q164)))</f>
        <v/>
      </c>
      <c r="R164" s="58" t="str">
        <f>IF('Phytopl Count'!R164=0,"",('Phytopl Analysis'!R164*LN('Phytopl Analysis'!R164)))</f>
        <v/>
      </c>
      <c r="S164" s="21" t="str">
        <f>IF('Phytopl Count'!S164=0,"",('Phytopl Analysis'!S164*LN('Phytopl Analysis'!S164)))</f>
        <v/>
      </c>
      <c r="T164" s="21" t="str">
        <f>IF('Phytopl Count'!T164=0,"",('Phytopl Analysis'!T164*LN('Phytopl Analysis'!T164)))</f>
        <v/>
      </c>
      <c r="U164" s="58" t="str">
        <f>IF('Phytopl Count'!U164=0,"",('Phytopl Analysis'!U164*LN('Phytopl Analysis'!U164)))</f>
        <v/>
      </c>
      <c r="V164" s="58" t="str">
        <f>IF('Phytopl Count'!V164=0,"",('Phytopl Analysis'!V164*LN('Phytopl Analysis'!V164)))</f>
        <v/>
      </c>
      <c r="W164" s="21" t="str">
        <f>IF('Phytopl Count'!W164=0,"",('Phytopl Analysis'!W164*LN('Phytopl Analysis'!W164)))</f>
        <v/>
      </c>
      <c r="X164" s="21" t="str">
        <f>IF('Phytopl Count'!X164=0,"",('Phytopl Analysis'!X164*LN('Phytopl Analysis'!X164)))</f>
        <v/>
      </c>
      <c r="Y164" s="58" t="str">
        <f>IF('Phytopl Count'!Y164=0,"",('Phytopl Analysis'!Y164*LN('Phytopl Analysis'!Y164)))</f>
        <v/>
      </c>
      <c r="Z164" s="58" t="str">
        <f>IF('Phytopl Count'!Z164=0,"",('Phytopl Analysis'!Z164*LN('Phytopl Analysis'!Z164)))</f>
        <v/>
      </c>
      <c r="AA164" s="21" t="str">
        <f>IF('Phytopl Count'!AA164=0,"",('Phytopl Analysis'!AA164*LN('Phytopl Analysis'!AA164)))</f>
        <v/>
      </c>
      <c r="AB164" s="21" t="str">
        <f>IF('Phytopl Count'!AB164=0,"",('Phytopl Analysis'!AB164*LN('Phytopl Analysis'!AB164)))</f>
        <v/>
      </c>
      <c r="AC164" s="58" t="str">
        <f>IF('Phytopl Count'!AC164=0,"",('Phytopl Analysis'!AC164*LN('Phytopl Analysis'!AC164)))</f>
        <v/>
      </c>
      <c r="AD164" s="58" t="str">
        <f>IF('Phytopl Count'!AD164=0,"",('Phytopl Analysis'!AD164*LN('Phytopl Analysis'!AD164)))</f>
        <v/>
      </c>
      <c r="AE164" s="21" t="str">
        <f>IF('Phytopl Count'!AE164=0,"",('Phytopl Analysis'!AE164*LN('Phytopl Analysis'!AE164)))</f>
        <v/>
      </c>
      <c r="AF164" s="58" t="str">
        <f>IF('Phytopl Count'!AF164=0,"",('Phytopl Analysis'!AF164*LN('Phytopl Analysis'!AF164)))</f>
        <v/>
      </c>
    </row>
    <row r="165" spans="1:32" hidden="1">
      <c r="A165" s="16" t="s">
        <v>4</v>
      </c>
      <c r="B165" s="4" t="s">
        <v>294</v>
      </c>
      <c r="C165" s="16"/>
      <c r="D165" s="4"/>
      <c r="E165" s="5"/>
      <c r="F165" s="9"/>
      <c r="G165" s="21" t="str">
        <f>IF('Phytopl Count'!G165=0,"",('Phytopl Analysis'!G165*LN('Phytopl Analysis'!G165)))</f>
        <v/>
      </c>
      <c r="H165" s="21" t="str">
        <f>IF('Phytopl Count'!H165=0,"",('Phytopl Analysis'!H165*LN('Phytopl Analysis'!H165)))</f>
        <v/>
      </c>
      <c r="I165" s="58" t="str">
        <f>IF('Phytopl Count'!I165=0,"",('Phytopl Analysis'!I165*LN('Phytopl Analysis'!I165)))</f>
        <v/>
      </c>
      <c r="J165" s="58" t="str">
        <f>IF('Phytopl Count'!J165=0,"",('Phytopl Analysis'!J165*LN('Phytopl Analysis'!J165)))</f>
        <v/>
      </c>
      <c r="K165" s="21" t="str">
        <f>IF('Phytopl Count'!K165=0,"",('Phytopl Analysis'!K165*LN('Phytopl Analysis'!K165)))</f>
        <v/>
      </c>
      <c r="L165" s="21" t="str">
        <f>IF('Phytopl Count'!L165=0,"",('Phytopl Analysis'!L165*LN('Phytopl Analysis'!L165)))</f>
        <v/>
      </c>
      <c r="M165" s="58" t="str">
        <f>IF('Phytopl Count'!M165=0,"",('Phytopl Analysis'!M165*LN('Phytopl Analysis'!M165)))</f>
        <v/>
      </c>
      <c r="N165" s="58" t="str">
        <f>IF('Phytopl Count'!N165=0,"",('Phytopl Analysis'!N165*LN('Phytopl Analysis'!N165)))</f>
        <v/>
      </c>
      <c r="O165" s="21" t="str">
        <f>IF('Phytopl Count'!O165=0,"",('Phytopl Analysis'!O165*LN('Phytopl Analysis'!O165)))</f>
        <v/>
      </c>
      <c r="P165" s="21" t="str">
        <f>IF('Phytopl Count'!P165=0,"",('Phytopl Analysis'!P165*LN('Phytopl Analysis'!P165)))</f>
        <v/>
      </c>
      <c r="Q165" s="58" t="str">
        <f>IF('Phytopl Count'!Q165=0,"",('Phytopl Analysis'!Q165*LN('Phytopl Analysis'!Q165)))</f>
        <v/>
      </c>
      <c r="R165" s="58" t="str">
        <f>IF('Phytopl Count'!R165=0,"",('Phytopl Analysis'!R165*LN('Phytopl Analysis'!R165)))</f>
        <v/>
      </c>
      <c r="S165" s="21" t="str">
        <f>IF('Phytopl Count'!S165=0,"",('Phytopl Analysis'!S165*LN('Phytopl Analysis'!S165)))</f>
        <v/>
      </c>
      <c r="T165" s="21" t="str">
        <f>IF('Phytopl Count'!T165=0,"",('Phytopl Analysis'!T165*LN('Phytopl Analysis'!T165)))</f>
        <v/>
      </c>
      <c r="U165" s="58" t="str">
        <f>IF('Phytopl Count'!U165=0,"",('Phytopl Analysis'!U165*LN('Phytopl Analysis'!U165)))</f>
        <v/>
      </c>
      <c r="V165" s="58" t="str">
        <f>IF('Phytopl Count'!V165=0,"",('Phytopl Analysis'!V165*LN('Phytopl Analysis'!V165)))</f>
        <v/>
      </c>
      <c r="W165" s="21" t="str">
        <f>IF('Phytopl Count'!W165=0,"",('Phytopl Analysis'!W165*LN('Phytopl Analysis'!W165)))</f>
        <v/>
      </c>
      <c r="X165" s="21" t="str">
        <f>IF('Phytopl Count'!X165=0,"",('Phytopl Analysis'!X165*LN('Phytopl Analysis'!X165)))</f>
        <v/>
      </c>
      <c r="Y165" s="58" t="str">
        <f>IF('Phytopl Count'!Y165=0,"",('Phytopl Analysis'!Y165*LN('Phytopl Analysis'!Y165)))</f>
        <v/>
      </c>
      <c r="Z165" s="58" t="str">
        <f>IF('Phytopl Count'!Z165=0,"",('Phytopl Analysis'!Z165*LN('Phytopl Analysis'!Z165)))</f>
        <v/>
      </c>
      <c r="AA165" s="21" t="str">
        <f>IF('Phytopl Count'!AA165=0,"",('Phytopl Analysis'!AA165*LN('Phytopl Analysis'!AA165)))</f>
        <v/>
      </c>
      <c r="AB165" s="21" t="str">
        <f>IF('Phytopl Count'!AB165=0,"",('Phytopl Analysis'!AB165*LN('Phytopl Analysis'!AB165)))</f>
        <v/>
      </c>
      <c r="AC165" s="58" t="str">
        <f>IF('Phytopl Count'!AC165=0,"",('Phytopl Analysis'!AC165*LN('Phytopl Analysis'!AC165)))</f>
        <v/>
      </c>
      <c r="AD165" s="58" t="str">
        <f>IF('Phytopl Count'!AD165=0,"",('Phytopl Analysis'!AD165*LN('Phytopl Analysis'!AD165)))</f>
        <v/>
      </c>
      <c r="AE165" s="21" t="str">
        <f>IF('Phytopl Count'!AE165=0,"",('Phytopl Analysis'!AE165*LN('Phytopl Analysis'!AE165)))</f>
        <v/>
      </c>
      <c r="AF165" s="58" t="str">
        <f>IF('Phytopl Count'!AF165=0,"",('Phytopl Analysis'!AF165*LN('Phytopl Analysis'!AF165)))</f>
        <v/>
      </c>
    </row>
    <row r="166" spans="1:32" hidden="1">
      <c r="A166" s="16"/>
      <c r="B166" s="16" t="s">
        <v>72</v>
      </c>
      <c r="C166" s="28" t="s">
        <v>295</v>
      </c>
      <c r="D166" s="4"/>
      <c r="E166" s="5"/>
      <c r="F166" s="9"/>
      <c r="G166" s="21" t="str">
        <f>IF('Phytopl Count'!G166=0,"",('Phytopl Analysis'!G166*LN('Phytopl Analysis'!G166)))</f>
        <v/>
      </c>
      <c r="H166" s="21" t="str">
        <f>IF('Phytopl Count'!H166=0,"",('Phytopl Analysis'!H166*LN('Phytopl Analysis'!H166)))</f>
        <v/>
      </c>
      <c r="I166" s="58" t="str">
        <f>IF('Phytopl Count'!I166=0,"",('Phytopl Analysis'!I166*LN('Phytopl Analysis'!I166)))</f>
        <v/>
      </c>
      <c r="J166" s="58" t="str">
        <f>IF('Phytopl Count'!J166=0,"",('Phytopl Analysis'!J166*LN('Phytopl Analysis'!J166)))</f>
        <v/>
      </c>
      <c r="K166" s="21" t="str">
        <f>IF('Phytopl Count'!K166=0,"",('Phytopl Analysis'!K166*LN('Phytopl Analysis'!K166)))</f>
        <v/>
      </c>
      <c r="L166" s="21" t="str">
        <f>IF('Phytopl Count'!L166=0,"",('Phytopl Analysis'!L166*LN('Phytopl Analysis'!L166)))</f>
        <v/>
      </c>
      <c r="M166" s="58" t="str">
        <f>IF('Phytopl Count'!M166=0,"",('Phytopl Analysis'!M166*LN('Phytopl Analysis'!M166)))</f>
        <v/>
      </c>
      <c r="N166" s="58" t="str">
        <f>IF('Phytopl Count'!N166=0,"",('Phytopl Analysis'!N166*LN('Phytopl Analysis'!N166)))</f>
        <v/>
      </c>
      <c r="O166" s="21" t="str">
        <f>IF('Phytopl Count'!O166=0,"",('Phytopl Analysis'!O166*LN('Phytopl Analysis'!O166)))</f>
        <v/>
      </c>
      <c r="P166" s="21" t="str">
        <f>IF('Phytopl Count'!P166=0,"",('Phytopl Analysis'!P166*LN('Phytopl Analysis'!P166)))</f>
        <v/>
      </c>
      <c r="Q166" s="58" t="str">
        <f>IF('Phytopl Count'!Q166=0,"",('Phytopl Analysis'!Q166*LN('Phytopl Analysis'!Q166)))</f>
        <v/>
      </c>
      <c r="R166" s="58" t="str">
        <f>IF('Phytopl Count'!R166=0,"",('Phytopl Analysis'!R166*LN('Phytopl Analysis'!R166)))</f>
        <v/>
      </c>
      <c r="S166" s="21" t="str">
        <f>IF('Phytopl Count'!S166=0,"",('Phytopl Analysis'!S166*LN('Phytopl Analysis'!S166)))</f>
        <v/>
      </c>
      <c r="T166" s="21" t="str">
        <f>IF('Phytopl Count'!T166=0,"",('Phytopl Analysis'!T166*LN('Phytopl Analysis'!T166)))</f>
        <v/>
      </c>
      <c r="U166" s="58" t="str">
        <f>IF('Phytopl Count'!U166=0,"",('Phytopl Analysis'!U166*LN('Phytopl Analysis'!U166)))</f>
        <v/>
      </c>
      <c r="V166" s="58" t="str">
        <f>IF('Phytopl Count'!V166=0,"",('Phytopl Analysis'!V166*LN('Phytopl Analysis'!V166)))</f>
        <v/>
      </c>
      <c r="W166" s="21" t="str">
        <f>IF('Phytopl Count'!W166=0,"",('Phytopl Analysis'!W166*LN('Phytopl Analysis'!W166)))</f>
        <v/>
      </c>
      <c r="X166" s="21" t="str">
        <f>IF('Phytopl Count'!X166=0,"",('Phytopl Analysis'!X166*LN('Phytopl Analysis'!X166)))</f>
        <v/>
      </c>
      <c r="Y166" s="58" t="str">
        <f>IF('Phytopl Count'!Y166=0,"",('Phytopl Analysis'!Y166*LN('Phytopl Analysis'!Y166)))</f>
        <v/>
      </c>
      <c r="Z166" s="58" t="str">
        <f>IF('Phytopl Count'!Z166=0,"",('Phytopl Analysis'!Z166*LN('Phytopl Analysis'!Z166)))</f>
        <v/>
      </c>
      <c r="AA166" s="21" t="str">
        <f>IF('Phytopl Count'!AA166=0,"",('Phytopl Analysis'!AA166*LN('Phytopl Analysis'!AA166)))</f>
        <v/>
      </c>
      <c r="AB166" s="21" t="str">
        <f>IF('Phytopl Count'!AB166=0,"",('Phytopl Analysis'!AB166*LN('Phytopl Analysis'!AB166)))</f>
        <v/>
      </c>
      <c r="AC166" s="58" t="str">
        <f>IF('Phytopl Count'!AC166=0,"",('Phytopl Analysis'!AC166*LN('Phytopl Analysis'!AC166)))</f>
        <v/>
      </c>
      <c r="AD166" s="58" t="str">
        <f>IF('Phytopl Count'!AD166=0,"",('Phytopl Analysis'!AD166*LN('Phytopl Analysis'!AD166)))</f>
        <v/>
      </c>
      <c r="AE166" s="21" t="str">
        <f>IF('Phytopl Count'!AE166=0,"",('Phytopl Analysis'!AE166*LN('Phytopl Analysis'!AE166)))</f>
        <v/>
      </c>
      <c r="AF166" s="58" t="str">
        <f>IF('Phytopl Count'!AF166=0,"",('Phytopl Analysis'!AF166*LN('Phytopl Analysis'!AF166)))</f>
        <v/>
      </c>
    </row>
    <row r="167" spans="1:32" hidden="1">
      <c r="A167" s="16"/>
      <c r="B167" s="16"/>
      <c r="C167" s="16" t="s">
        <v>73</v>
      </c>
      <c r="D167" s="4" t="s">
        <v>296</v>
      </c>
      <c r="E167" s="5"/>
      <c r="F167" s="9"/>
      <c r="G167" s="21" t="str">
        <f>IF('Phytopl Count'!G167=0,"",('Phytopl Analysis'!G167*LN('Phytopl Analysis'!G167)))</f>
        <v/>
      </c>
      <c r="H167" s="21" t="str">
        <f>IF('Phytopl Count'!H167=0,"",('Phytopl Analysis'!H167*LN('Phytopl Analysis'!H167)))</f>
        <v/>
      </c>
      <c r="I167" s="58" t="str">
        <f>IF('Phytopl Count'!I167=0,"",('Phytopl Analysis'!I167*LN('Phytopl Analysis'!I167)))</f>
        <v/>
      </c>
      <c r="J167" s="58" t="str">
        <f>IF('Phytopl Count'!J167=0,"",('Phytopl Analysis'!J167*LN('Phytopl Analysis'!J167)))</f>
        <v/>
      </c>
      <c r="K167" s="21" t="str">
        <f>IF('Phytopl Count'!K167=0,"",('Phytopl Analysis'!K167*LN('Phytopl Analysis'!K167)))</f>
        <v/>
      </c>
      <c r="L167" s="21" t="str">
        <f>IF('Phytopl Count'!L167=0,"",('Phytopl Analysis'!L167*LN('Phytopl Analysis'!L167)))</f>
        <v/>
      </c>
      <c r="M167" s="58" t="str">
        <f>IF('Phytopl Count'!M167=0,"",('Phytopl Analysis'!M167*LN('Phytopl Analysis'!M167)))</f>
        <v/>
      </c>
      <c r="N167" s="58" t="str">
        <f>IF('Phytopl Count'!N167=0,"",('Phytopl Analysis'!N167*LN('Phytopl Analysis'!N167)))</f>
        <v/>
      </c>
      <c r="O167" s="21" t="str">
        <f>IF('Phytopl Count'!O167=0,"",('Phytopl Analysis'!O167*LN('Phytopl Analysis'!O167)))</f>
        <v/>
      </c>
      <c r="P167" s="21" t="str">
        <f>IF('Phytopl Count'!P167=0,"",('Phytopl Analysis'!P167*LN('Phytopl Analysis'!P167)))</f>
        <v/>
      </c>
      <c r="Q167" s="58" t="str">
        <f>IF('Phytopl Count'!Q167=0,"",('Phytopl Analysis'!Q167*LN('Phytopl Analysis'!Q167)))</f>
        <v/>
      </c>
      <c r="R167" s="58" t="str">
        <f>IF('Phytopl Count'!R167=0,"",('Phytopl Analysis'!R167*LN('Phytopl Analysis'!R167)))</f>
        <v/>
      </c>
      <c r="S167" s="21" t="str">
        <f>IF('Phytopl Count'!S167=0,"",('Phytopl Analysis'!S167*LN('Phytopl Analysis'!S167)))</f>
        <v/>
      </c>
      <c r="T167" s="21" t="str">
        <f>IF('Phytopl Count'!T167=0,"",('Phytopl Analysis'!T167*LN('Phytopl Analysis'!T167)))</f>
        <v/>
      </c>
      <c r="U167" s="58" t="str">
        <f>IF('Phytopl Count'!U167=0,"",('Phytopl Analysis'!U167*LN('Phytopl Analysis'!U167)))</f>
        <v/>
      </c>
      <c r="V167" s="58" t="str">
        <f>IF('Phytopl Count'!V167=0,"",('Phytopl Analysis'!V167*LN('Phytopl Analysis'!V167)))</f>
        <v/>
      </c>
      <c r="W167" s="21" t="str">
        <f>IF('Phytopl Count'!W167=0,"",('Phytopl Analysis'!W167*LN('Phytopl Analysis'!W167)))</f>
        <v/>
      </c>
      <c r="X167" s="21" t="str">
        <f>IF('Phytopl Count'!X167=0,"",('Phytopl Analysis'!X167*LN('Phytopl Analysis'!X167)))</f>
        <v/>
      </c>
      <c r="Y167" s="58" t="str">
        <f>IF('Phytopl Count'!Y167=0,"",('Phytopl Analysis'!Y167*LN('Phytopl Analysis'!Y167)))</f>
        <v/>
      </c>
      <c r="Z167" s="58" t="str">
        <f>IF('Phytopl Count'!Z167=0,"",('Phytopl Analysis'!Z167*LN('Phytopl Analysis'!Z167)))</f>
        <v/>
      </c>
      <c r="AA167" s="21" t="str">
        <f>IF('Phytopl Count'!AA167=0,"",('Phytopl Analysis'!AA167*LN('Phytopl Analysis'!AA167)))</f>
        <v/>
      </c>
      <c r="AB167" s="21" t="str">
        <f>IF('Phytopl Count'!AB167=0,"",('Phytopl Analysis'!AB167*LN('Phytopl Analysis'!AB167)))</f>
        <v/>
      </c>
      <c r="AC167" s="58" t="str">
        <f>IF('Phytopl Count'!AC167=0,"",('Phytopl Analysis'!AC167*LN('Phytopl Analysis'!AC167)))</f>
        <v/>
      </c>
      <c r="AD167" s="58" t="str">
        <f>IF('Phytopl Count'!AD167=0,"",('Phytopl Analysis'!AD167*LN('Phytopl Analysis'!AD167)))</f>
        <v/>
      </c>
      <c r="AE167" s="21" t="str">
        <f>IF('Phytopl Count'!AE167=0,"",('Phytopl Analysis'!AE167*LN('Phytopl Analysis'!AE167)))</f>
        <v/>
      </c>
      <c r="AF167" s="58" t="str">
        <f>IF('Phytopl Count'!AF167=0,"",('Phytopl Analysis'!AF167*LN('Phytopl Analysis'!AF167)))</f>
        <v/>
      </c>
    </row>
    <row r="168" spans="1:32" hidden="1">
      <c r="A168" s="16"/>
      <c r="B168" s="16"/>
      <c r="C168" s="16"/>
      <c r="D168" s="10" t="s">
        <v>5</v>
      </c>
      <c r="E168" s="87" t="s">
        <v>297</v>
      </c>
      <c r="F168" s="9"/>
      <c r="G168" s="21" t="str">
        <f>IF('Phytopl Count'!G168=0,"",('Phytopl Analysis'!G168*LN('Phytopl Analysis'!G168)))</f>
        <v/>
      </c>
      <c r="H168" s="21" t="str">
        <f>IF('Phytopl Count'!H168=0,"",('Phytopl Analysis'!H168*LN('Phytopl Analysis'!H168)))</f>
        <v/>
      </c>
      <c r="I168" s="58" t="str">
        <f>IF('Phytopl Count'!I168=0,"",('Phytopl Analysis'!I168*LN('Phytopl Analysis'!I168)))</f>
        <v/>
      </c>
      <c r="J168" s="58" t="str">
        <f>IF('Phytopl Count'!J168=0,"",('Phytopl Analysis'!J168*LN('Phytopl Analysis'!J168)))</f>
        <v/>
      </c>
      <c r="K168" s="21" t="str">
        <f>IF('Phytopl Count'!K168=0,"",('Phytopl Analysis'!K168*LN('Phytopl Analysis'!K168)))</f>
        <v/>
      </c>
      <c r="L168" s="21" t="str">
        <f>IF('Phytopl Count'!L168=0,"",('Phytopl Analysis'!L168*LN('Phytopl Analysis'!L168)))</f>
        <v/>
      </c>
      <c r="M168" s="58" t="str">
        <f>IF('Phytopl Count'!M168=0,"",('Phytopl Analysis'!M168*LN('Phytopl Analysis'!M168)))</f>
        <v/>
      </c>
      <c r="N168" s="58" t="str">
        <f>IF('Phytopl Count'!N168=0,"",('Phytopl Analysis'!N168*LN('Phytopl Analysis'!N168)))</f>
        <v/>
      </c>
      <c r="O168" s="21" t="str">
        <f>IF('Phytopl Count'!O168=0,"",('Phytopl Analysis'!O168*LN('Phytopl Analysis'!O168)))</f>
        <v/>
      </c>
      <c r="P168" s="21" t="str">
        <f>IF('Phytopl Count'!P168=0,"",('Phytopl Analysis'!P168*LN('Phytopl Analysis'!P168)))</f>
        <v/>
      </c>
      <c r="Q168" s="58" t="str">
        <f>IF('Phytopl Count'!Q168=0,"",('Phytopl Analysis'!Q168*LN('Phytopl Analysis'!Q168)))</f>
        <v/>
      </c>
      <c r="R168" s="58" t="str">
        <f>IF('Phytopl Count'!R168=0,"",('Phytopl Analysis'!R168*LN('Phytopl Analysis'!R168)))</f>
        <v/>
      </c>
      <c r="S168" s="21" t="str">
        <f>IF('Phytopl Count'!S168=0,"",('Phytopl Analysis'!S168*LN('Phytopl Analysis'!S168)))</f>
        <v/>
      </c>
      <c r="T168" s="21" t="str">
        <f>IF('Phytopl Count'!T168=0,"",('Phytopl Analysis'!T168*LN('Phytopl Analysis'!T168)))</f>
        <v/>
      </c>
      <c r="U168" s="58" t="str">
        <f>IF('Phytopl Count'!U168=0,"",('Phytopl Analysis'!U168*LN('Phytopl Analysis'!U168)))</f>
        <v/>
      </c>
      <c r="V168" s="58" t="str">
        <f>IF('Phytopl Count'!V168=0,"",('Phytopl Analysis'!V168*LN('Phytopl Analysis'!V168)))</f>
        <v/>
      </c>
      <c r="W168" s="21" t="str">
        <f>IF('Phytopl Count'!W168=0,"",('Phytopl Analysis'!W168*LN('Phytopl Analysis'!W168)))</f>
        <v/>
      </c>
      <c r="X168" s="21" t="str">
        <f>IF('Phytopl Count'!X168=0,"",('Phytopl Analysis'!X168*LN('Phytopl Analysis'!X168)))</f>
        <v/>
      </c>
      <c r="Y168" s="58" t="str">
        <f>IF('Phytopl Count'!Y168=0,"",('Phytopl Analysis'!Y168*LN('Phytopl Analysis'!Y168)))</f>
        <v/>
      </c>
      <c r="Z168" s="58" t="str">
        <f>IF('Phytopl Count'!Z168=0,"",('Phytopl Analysis'!Z168*LN('Phytopl Analysis'!Z168)))</f>
        <v/>
      </c>
      <c r="AA168" s="21" t="str">
        <f>IF('Phytopl Count'!AA168=0,"",('Phytopl Analysis'!AA168*LN('Phytopl Analysis'!AA168)))</f>
        <v/>
      </c>
      <c r="AB168" s="21" t="str">
        <f>IF('Phytopl Count'!AB168=0,"",('Phytopl Analysis'!AB168*LN('Phytopl Analysis'!AB168)))</f>
        <v/>
      </c>
      <c r="AC168" s="58" t="str">
        <f>IF('Phytopl Count'!AC168=0,"",('Phytopl Analysis'!AC168*LN('Phytopl Analysis'!AC168)))</f>
        <v/>
      </c>
      <c r="AD168" s="58" t="str">
        <f>IF('Phytopl Count'!AD168=0,"",('Phytopl Analysis'!AD168*LN('Phytopl Analysis'!AD168)))</f>
        <v/>
      </c>
      <c r="AE168" s="21" t="str">
        <f>IF('Phytopl Count'!AE168=0,"",('Phytopl Analysis'!AE168*LN('Phytopl Analysis'!AE168)))</f>
        <v/>
      </c>
      <c r="AF168" s="58" t="str">
        <f>IF('Phytopl Count'!AF168=0,"",('Phytopl Analysis'!AF168*LN('Phytopl Analysis'!AF168)))</f>
        <v/>
      </c>
    </row>
    <row r="169" spans="1:32" hidden="1">
      <c r="A169" s="4"/>
      <c r="B169" s="4"/>
      <c r="C169" s="4"/>
      <c r="D169" s="5"/>
      <c r="E169" s="10" t="s">
        <v>6</v>
      </c>
      <c r="F169" s="11" t="s">
        <v>298</v>
      </c>
      <c r="G169" s="21" t="str">
        <f>IF('Phytopl Count'!G169=0,"",('Phytopl Analysis'!G169*LN('Phytopl Analysis'!G169)))</f>
        <v/>
      </c>
      <c r="H169" s="21" t="str">
        <f>IF('Phytopl Count'!H169=0,"",('Phytopl Analysis'!H169*LN('Phytopl Analysis'!H169)))</f>
        <v/>
      </c>
      <c r="I169" s="58" t="str">
        <f>IF('Phytopl Count'!I169=0,"",('Phytopl Analysis'!I169*LN('Phytopl Analysis'!I169)))</f>
        <v/>
      </c>
      <c r="J169" s="58" t="str">
        <f>IF('Phytopl Count'!J169=0,"",('Phytopl Analysis'!J169*LN('Phytopl Analysis'!J169)))</f>
        <v/>
      </c>
      <c r="K169" s="21" t="str">
        <f>IF('Phytopl Count'!K169=0,"",('Phytopl Analysis'!K169*LN('Phytopl Analysis'!K169)))</f>
        <v/>
      </c>
      <c r="L169" s="21" t="str">
        <f>IF('Phytopl Count'!L169=0,"",('Phytopl Analysis'!L169*LN('Phytopl Analysis'!L169)))</f>
        <v/>
      </c>
      <c r="M169" s="58" t="str">
        <f>IF('Phytopl Count'!M169=0,"",('Phytopl Analysis'!M169*LN('Phytopl Analysis'!M169)))</f>
        <v/>
      </c>
      <c r="N169" s="58" t="str">
        <f>IF('Phytopl Count'!N169=0,"",('Phytopl Analysis'!N169*LN('Phytopl Analysis'!N169)))</f>
        <v/>
      </c>
      <c r="O169" s="21" t="str">
        <f>IF('Phytopl Count'!O169=0,"",('Phytopl Analysis'!O169*LN('Phytopl Analysis'!O169)))</f>
        <v/>
      </c>
      <c r="P169" s="21" t="str">
        <f>IF('Phytopl Count'!P169=0,"",('Phytopl Analysis'!P169*LN('Phytopl Analysis'!P169)))</f>
        <v/>
      </c>
      <c r="Q169" s="58" t="str">
        <f>IF('Phytopl Count'!Q169=0,"",('Phytopl Analysis'!Q169*LN('Phytopl Analysis'!Q169)))</f>
        <v/>
      </c>
      <c r="R169" s="58" t="str">
        <f>IF('Phytopl Count'!R169=0,"",('Phytopl Analysis'!R169*LN('Phytopl Analysis'!R169)))</f>
        <v/>
      </c>
      <c r="S169" s="21" t="str">
        <f>IF('Phytopl Count'!S169=0,"",('Phytopl Analysis'!S169*LN('Phytopl Analysis'!S169)))</f>
        <v/>
      </c>
      <c r="T169" s="21" t="str">
        <f>IF('Phytopl Count'!T169=0,"",('Phytopl Analysis'!T169*LN('Phytopl Analysis'!T169)))</f>
        <v/>
      </c>
      <c r="U169" s="58" t="str">
        <f>IF('Phytopl Count'!U169=0,"",('Phytopl Analysis'!U169*LN('Phytopl Analysis'!U169)))</f>
        <v/>
      </c>
      <c r="V169" s="58" t="str">
        <f>IF('Phytopl Count'!V169=0,"",('Phytopl Analysis'!V169*LN('Phytopl Analysis'!V169)))</f>
        <v/>
      </c>
      <c r="W169" s="21" t="str">
        <f>IF('Phytopl Count'!W169=0,"",('Phytopl Analysis'!W169*LN('Phytopl Analysis'!W169)))</f>
        <v/>
      </c>
      <c r="X169" s="21" t="str">
        <f>IF('Phytopl Count'!X169=0,"",('Phytopl Analysis'!X169*LN('Phytopl Analysis'!X169)))</f>
        <v/>
      </c>
      <c r="Y169" s="58" t="str">
        <f>IF('Phytopl Count'!Y169=0,"",('Phytopl Analysis'!Y169*LN('Phytopl Analysis'!Y169)))</f>
        <v/>
      </c>
      <c r="Z169" s="58" t="str">
        <f>IF('Phytopl Count'!Z169=0,"",('Phytopl Analysis'!Z169*LN('Phytopl Analysis'!Z169)))</f>
        <v/>
      </c>
      <c r="AA169" s="21" t="str">
        <f>IF('Phytopl Count'!AA169=0,"",('Phytopl Analysis'!AA169*LN('Phytopl Analysis'!AA169)))</f>
        <v/>
      </c>
      <c r="AB169" s="21" t="str">
        <f>IF('Phytopl Count'!AB169=0,"",('Phytopl Analysis'!AB169*LN('Phytopl Analysis'!AB169)))</f>
        <v/>
      </c>
      <c r="AC169" s="58" t="str">
        <f>IF('Phytopl Count'!AC169=0,"",('Phytopl Analysis'!AC169*LN('Phytopl Analysis'!AC169)))</f>
        <v/>
      </c>
      <c r="AD169" s="58" t="str">
        <f>IF('Phytopl Count'!AD169=0,"",('Phytopl Analysis'!AD169*LN('Phytopl Analysis'!AD169)))</f>
        <v/>
      </c>
      <c r="AE169" s="21" t="str">
        <f>IF('Phytopl Count'!AE169=0,"",('Phytopl Analysis'!AE169*LN('Phytopl Analysis'!AE169)))</f>
        <v/>
      </c>
      <c r="AF169" s="58" t="str">
        <f>IF('Phytopl Count'!AF169=0,"",('Phytopl Analysis'!AF169*LN('Phytopl Analysis'!AF169)))</f>
        <v/>
      </c>
    </row>
    <row r="170" spans="1:32" hidden="1">
      <c r="A170" s="16"/>
      <c r="B170" s="16"/>
      <c r="C170" s="16"/>
      <c r="D170" s="10" t="s">
        <v>5</v>
      </c>
      <c r="E170" s="164" t="s">
        <v>356</v>
      </c>
      <c r="F170" s="9"/>
      <c r="G170" s="21" t="str">
        <f>IF('Phytopl Count'!G170=0,"",('Phytopl Analysis'!G170*LN('Phytopl Analysis'!G170)))</f>
        <v/>
      </c>
      <c r="H170" s="21" t="str">
        <f>IF('Phytopl Count'!H170=0,"",('Phytopl Analysis'!H170*LN('Phytopl Analysis'!H170)))</f>
        <v/>
      </c>
      <c r="I170" s="58" t="str">
        <f>IF('Phytopl Count'!I170=0,"",('Phytopl Analysis'!I170*LN('Phytopl Analysis'!I170)))</f>
        <v/>
      </c>
      <c r="J170" s="58" t="str">
        <f>IF('Phytopl Count'!J170=0,"",('Phytopl Analysis'!J170*LN('Phytopl Analysis'!J170)))</f>
        <v/>
      </c>
      <c r="K170" s="21" t="str">
        <f>IF('Phytopl Count'!K170=0,"",('Phytopl Analysis'!K170*LN('Phytopl Analysis'!K170)))</f>
        <v/>
      </c>
      <c r="L170" s="21" t="str">
        <f>IF('Phytopl Count'!L170=0,"",('Phytopl Analysis'!L170*LN('Phytopl Analysis'!L170)))</f>
        <v/>
      </c>
      <c r="M170" s="58" t="str">
        <f>IF('Phytopl Count'!M170=0,"",('Phytopl Analysis'!M170*LN('Phytopl Analysis'!M170)))</f>
        <v/>
      </c>
      <c r="N170" s="58" t="str">
        <f>IF('Phytopl Count'!N170=0,"",('Phytopl Analysis'!N170*LN('Phytopl Analysis'!N170)))</f>
        <v/>
      </c>
      <c r="O170" s="21" t="str">
        <f>IF('Phytopl Count'!O170=0,"",('Phytopl Analysis'!O170*LN('Phytopl Analysis'!O170)))</f>
        <v/>
      </c>
      <c r="P170" s="21" t="str">
        <f>IF('Phytopl Count'!P170=0,"",('Phytopl Analysis'!P170*LN('Phytopl Analysis'!P170)))</f>
        <v/>
      </c>
      <c r="Q170" s="58" t="str">
        <f>IF('Phytopl Count'!Q170=0,"",('Phytopl Analysis'!Q170*LN('Phytopl Analysis'!Q170)))</f>
        <v/>
      </c>
      <c r="R170" s="58" t="str">
        <f>IF('Phytopl Count'!R170=0,"",('Phytopl Analysis'!R170*LN('Phytopl Analysis'!R170)))</f>
        <v/>
      </c>
      <c r="S170" s="21" t="str">
        <f>IF('Phytopl Count'!S170=0,"",('Phytopl Analysis'!S170*LN('Phytopl Analysis'!S170)))</f>
        <v/>
      </c>
      <c r="T170" s="21" t="str">
        <f>IF('Phytopl Count'!T170=0,"",('Phytopl Analysis'!T170*LN('Phytopl Analysis'!T170)))</f>
        <v/>
      </c>
      <c r="U170" s="58" t="str">
        <f>IF('Phytopl Count'!U170=0,"",('Phytopl Analysis'!U170*LN('Phytopl Analysis'!U170)))</f>
        <v/>
      </c>
      <c r="V170" s="58" t="str">
        <f>IF('Phytopl Count'!V170=0,"",('Phytopl Analysis'!V170*LN('Phytopl Analysis'!V170)))</f>
        <v/>
      </c>
      <c r="W170" s="21" t="str">
        <f>IF('Phytopl Count'!W170=0,"",('Phytopl Analysis'!W170*LN('Phytopl Analysis'!W170)))</f>
        <v/>
      </c>
      <c r="X170" s="21" t="str">
        <f>IF('Phytopl Count'!X170=0,"",('Phytopl Analysis'!X170*LN('Phytopl Analysis'!X170)))</f>
        <v/>
      </c>
      <c r="Y170" s="58" t="str">
        <f>IF('Phytopl Count'!Y170=0,"",('Phytopl Analysis'!Y170*LN('Phytopl Analysis'!Y170)))</f>
        <v/>
      </c>
      <c r="Z170" s="58" t="str">
        <f>IF('Phytopl Count'!Z170=0,"",('Phytopl Analysis'!Z170*LN('Phytopl Analysis'!Z170)))</f>
        <v/>
      </c>
      <c r="AA170" s="21" t="str">
        <f>IF('Phytopl Count'!AA170=0,"",('Phytopl Analysis'!AA170*LN('Phytopl Analysis'!AA170)))</f>
        <v/>
      </c>
      <c r="AB170" s="21" t="str">
        <f>IF('Phytopl Count'!AB170=0,"",('Phytopl Analysis'!AB170*LN('Phytopl Analysis'!AB170)))</f>
        <v/>
      </c>
      <c r="AC170" s="58" t="str">
        <f>IF('Phytopl Count'!AC170=0,"",('Phytopl Analysis'!AC170*LN('Phytopl Analysis'!AC170)))</f>
        <v/>
      </c>
      <c r="AD170" s="58" t="str">
        <f>IF('Phytopl Count'!AD170=0,"",('Phytopl Analysis'!AD170*LN('Phytopl Analysis'!AD170)))</f>
        <v/>
      </c>
      <c r="AE170" s="21" t="str">
        <f>IF('Phytopl Count'!AE170=0,"",('Phytopl Analysis'!AE170*LN('Phytopl Analysis'!AE170)))</f>
        <v/>
      </c>
      <c r="AF170" s="58" t="str">
        <f>IF('Phytopl Count'!AF170=0,"",('Phytopl Analysis'!AF170*LN('Phytopl Analysis'!AF170)))</f>
        <v/>
      </c>
    </row>
    <row r="171" spans="1:32" hidden="1">
      <c r="A171" s="4"/>
      <c r="B171" s="4"/>
      <c r="C171" s="4"/>
      <c r="D171" s="5"/>
      <c r="E171" s="10" t="s">
        <v>6</v>
      </c>
      <c r="F171" s="11" t="s">
        <v>358</v>
      </c>
      <c r="G171" s="21" t="str">
        <f>IF('Phytopl Count'!G171=0,"",('Phytopl Analysis'!G171*LN('Phytopl Analysis'!G171)))</f>
        <v/>
      </c>
      <c r="H171" s="21" t="str">
        <f>IF('Phytopl Count'!H171=0,"",('Phytopl Analysis'!H171*LN('Phytopl Analysis'!H171)))</f>
        <v/>
      </c>
      <c r="I171" s="58" t="str">
        <f>IF('Phytopl Count'!I171=0,"",('Phytopl Analysis'!I171*LN('Phytopl Analysis'!I171)))</f>
        <v/>
      </c>
      <c r="J171" s="58" t="str">
        <f>IF('Phytopl Count'!J171=0,"",('Phytopl Analysis'!J171*LN('Phytopl Analysis'!J171)))</f>
        <v/>
      </c>
      <c r="K171" s="21" t="str">
        <f>IF('Phytopl Count'!K171=0,"",('Phytopl Analysis'!K171*LN('Phytopl Analysis'!K171)))</f>
        <v/>
      </c>
      <c r="L171" s="21" t="str">
        <f>IF('Phytopl Count'!L171=0,"",('Phytopl Analysis'!L171*LN('Phytopl Analysis'!L171)))</f>
        <v/>
      </c>
      <c r="M171" s="58" t="str">
        <f>IF('Phytopl Count'!M171=0,"",('Phytopl Analysis'!M171*LN('Phytopl Analysis'!M171)))</f>
        <v/>
      </c>
      <c r="N171" s="58" t="str">
        <f>IF('Phytopl Count'!N171=0,"",('Phytopl Analysis'!N171*LN('Phytopl Analysis'!N171)))</f>
        <v/>
      </c>
      <c r="O171" s="21" t="str">
        <f>IF('Phytopl Count'!O171=0,"",('Phytopl Analysis'!O171*LN('Phytopl Analysis'!O171)))</f>
        <v/>
      </c>
      <c r="P171" s="21" t="str">
        <f>IF('Phytopl Count'!P171=0,"",('Phytopl Analysis'!P171*LN('Phytopl Analysis'!P171)))</f>
        <v/>
      </c>
      <c r="Q171" s="58" t="str">
        <f>IF('Phytopl Count'!Q171=0,"",('Phytopl Analysis'!Q171*LN('Phytopl Analysis'!Q171)))</f>
        <v/>
      </c>
      <c r="R171" s="58" t="str">
        <f>IF('Phytopl Count'!R171=0,"",('Phytopl Analysis'!R171*LN('Phytopl Analysis'!R171)))</f>
        <v/>
      </c>
      <c r="S171" s="21" t="str">
        <f>IF('Phytopl Count'!S171=0,"",('Phytopl Analysis'!S171*LN('Phytopl Analysis'!S171)))</f>
        <v/>
      </c>
      <c r="T171" s="21" t="str">
        <f>IF('Phytopl Count'!T171=0,"",('Phytopl Analysis'!T171*LN('Phytopl Analysis'!T171)))</f>
        <v/>
      </c>
      <c r="U171" s="58" t="str">
        <f>IF('Phytopl Count'!U171=0,"",('Phytopl Analysis'!U171*LN('Phytopl Analysis'!U171)))</f>
        <v/>
      </c>
      <c r="V171" s="58" t="str">
        <f>IF('Phytopl Count'!V171=0,"",('Phytopl Analysis'!V171*LN('Phytopl Analysis'!V171)))</f>
        <v/>
      </c>
      <c r="W171" s="21" t="str">
        <f>IF('Phytopl Count'!W171=0,"",('Phytopl Analysis'!W171*LN('Phytopl Analysis'!W171)))</f>
        <v/>
      </c>
      <c r="X171" s="21" t="str">
        <f>IF('Phytopl Count'!X171=0,"",('Phytopl Analysis'!X171*LN('Phytopl Analysis'!X171)))</f>
        <v/>
      </c>
      <c r="Y171" s="58" t="str">
        <f>IF('Phytopl Count'!Y171=0,"",('Phytopl Analysis'!Y171*LN('Phytopl Analysis'!Y171)))</f>
        <v/>
      </c>
      <c r="Z171" s="58" t="str">
        <f>IF('Phytopl Count'!Z171=0,"",('Phytopl Analysis'!Z171*LN('Phytopl Analysis'!Z171)))</f>
        <v/>
      </c>
      <c r="AA171" s="21" t="str">
        <f>IF('Phytopl Count'!AA171=0,"",('Phytopl Analysis'!AA171*LN('Phytopl Analysis'!AA171)))</f>
        <v/>
      </c>
      <c r="AB171" s="21" t="str">
        <f>IF('Phytopl Count'!AB171=0,"",('Phytopl Analysis'!AB171*LN('Phytopl Analysis'!AB171)))</f>
        <v/>
      </c>
      <c r="AC171" s="58" t="str">
        <f>IF('Phytopl Count'!AC171=0,"",('Phytopl Analysis'!AC171*LN('Phytopl Analysis'!AC171)))</f>
        <v/>
      </c>
      <c r="AD171" s="58" t="str">
        <f>IF('Phytopl Count'!AD171=0,"",('Phytopl Analysis'!AD171*LN('Phytopl Analysis'!AD171)))</f>
        <v/>
      </c>
      <c r="AE171" s="21" t="str">
        <f>IF('Phytopl Count'!AE171=0,"",('Phytopl Analysis'!AE171*LN('Phytopl Analysis'!AE171)))</f>
        <v/>
      </c>
      <c r="AF171" s="58" t="str">
        <f>IF('Phytopl Count'!AF171=0,"",('Phytopl Analysis'!AF171*LN('Phytopl Analysis'!AF171)))</f>
        <v/>
      </c>
    </row>
    <row r="172" spans="1:32" hidden="1">
      <c r="A172" s="4"/>
      <c r="B172" s="4"/>
      <c r="C172" s="4"/>
      <c r="D172" s="5"/>
      <c r="E172" s="10"/>
      <c r="F172" s="11" t="s">
        <v>368</v>
      </c>
      <c r="G172" s="21" t="str">
        <f>IF('Phytopl Count'!G172=0,"",('Phytopl Analysis'!G172*LN('Phytopl Analysis'!G172)))</f>
        <v/>
      </c>
      <c r="H172" s="21" t="str">
        <f>IF('Phytopl Count'!H172=0,"",('Phytopl Analysis'!H172*LN('Phytopl Analysis'!H172)))</f>
        <v/>
      </c>
      <c r="I172" s="58" t="str">
        <f>IF('Phytopl Count'!I172=0,"",('Phytopl Analysis'!I172*LN('Phytopl Analysis'!I172)))</f>
        <v/>
      </c>
      <c r="J172" s="58" t="str">
        <f>IF('Phytopl Count'!J172=0,"",('Phytopl Analysis'!J172*LN('Phytopl Analysis'!J172)))</f>
        <v/>
      </c>
      <c r="K172" s="21" t="str">
        <f>IF('Phytopl Count'!K172=0,"",('Phytopl Analysis'!K172*LN('Phytopl Analysis'!K172)))</f>
        <v/>
      </c>
      <c r="L172" s="21" t="str">
        <f>IF('Phytopl Count'!L172=0,"",('Phytopl Analysis'!L172*LN('Phytopl Analysis'!L172)))</f>
        <v/>
      </c>
      <c r="M172" s="58" t="str">
        <f>IF('Phytopl Count'!M172=0,"",('Phytopl Analysis'!M172*LN('Phytopl Analysis'!M172)))</f>
        <v/>
      </c>
      <c r="N172" s="58" t="str">
        <f>IF('Phytopl Count'!N172=0,"",('Phytopl Analysis'!N172*LN('Phytopl Analysis'!N172)))</f>
        <v/>
      </c>
      <c r="O172" s="21" t="str">
        <f>IF('Phytopl Count'!O172=0,"",('Phytopl Analysis'!O172*LN('Phytopl Analysis'!O172)))</f>
        <v/>
      </c>
      <c r="P172" s="21" t="str">
        <f>IF('Phytopl Count'!P172=0,"",('Phytopl Analysis'!P172*LN('Phytopl Analysis'!P172)))</f>
        <v/>
      </c>
      <c r="Q172" s="58" t="str">
        <f>IF('Phytopl Count'!Q172=0,"",('Phytopl Analysis'!Q172*LN('Phytopl Analysis'!Q172)))</f>
        <v/>
      </c>
      <c r="R172" s="58" t="str">
        <f>IF('Phytopl Count'!R172=0,"",('Phytopl Analysis'!R172*LN('Phytopl Analysis'!R172)))</f>
        <v/>
      </c>
      <c r="S172" s="21" t="str">
        <f>IF('Phytopl Count'!S172=0,"",('Phytopl Analysis'!S172*LN('Phytopl Analysis'!S172)))</f>
        <v/>
      </c>
      <c r="T172" s="21" t="str">
        <f>IF('Phytopl Count'!T172=0,"",('Phytopl Analysis'!T172*LN('Phytopl Analysis'!T172)))</f>
        <v/>
      </c>
      <c r="U172" s="58" t="str">
        <f>IF('Phytopl Count'!U172=0,"",('Phytopl Analysis'!U172*LN('Phytopl Analysis'!U172)))</f>
        <v/>
      </c>
      <c r="V172" s="58" t="str">
        <f>IF('Phytopl Count'!V172=0,"",('Phytopl Analysis'!V172*LN('Phytopl Analysis'!V172)))</f>
        <v/>
      </c>
      <c r="W172" s="21" t="str">
        <f>IF('Phytopl Count'!W172=0,"",('Phytopl Analysis'!W172*LN('Phytopl Analysis'!W172)))</f>
        <v/>
      </c>
      <c r="X172" s="21" t="str">
        <f>IF('Phytopl Count'!X172=0,"",('Phytopl Analysis'!X172*LN('Phytopl Analysis'!X172)))</f>
        <v/>
      </c>
      <c r="Y172" s="58" t="str">
        <f>IF('Phytopl Count'!Y172=0,"",('Phytopl Analysis'!Y172*LN('Phytopl Analysis'!Y172)))</f>
        <v/>
      </c>
      <c r="Z172" s="58" t="str">
        <f>IF('Phytopl Count'!Z172=0,"",('Phytopl Analysis'!Z172*LN('Phytopl Analysis'!Z172)))</f>
        <v/>
      </c>
      <c r="AA172" s="21" t="str">
        <f>IF('Phytopl Count'!AA172=0,"",('Phytopl Analysis'!AA172*LN('Phytopl Analysis'!AA172)))</f>
        <v/>
      </c>
      <c r="AB172" s="21" t="str">
        <f>IF('Phytopl Count'!AB172=0,"",('Phytopl Analysis'!AB172*LN('Phytopl Analysis'!AB172)))</f>
        <v/>
      </c>
      <c r="AC172" s="58" t="str">
        <f>IF('Phytopl Count'!AC172=0,"",('Phytopl Analysis'!AC172*LN('Phytopl Analysis'!AC172)))</f>
        <v/>
      </c>
      <c r="AD172" s="58" t="str">
        <f>IF('Phytopl Count'!AD172=0,"",('Phytopl Analysis'!AD172*LN('Phytopl Analysis'!AD172)))</f>
        <v/>
      </c>
      <c r="AE172" s="21" t="str">
        <f>IF('Phytopl Count'!AE172=0,"",('Phytopl Analysis'!AE172*LN('Phytopl Analysis'!AE172)))</f>
        <v/>
      </c>
      <c r="AF172" s="58" t="str">
        <f>IF('Phytopl Count'!AF172=0,"",('Phytopl Analysis'!AF172*LN('Phytopl Analysis'!AF172)))</f>
        <v/>
      </c>
    </row>
    <row r="173" spans="1:32" hidden="1">
      <c r="A173" s="4"/>
      <c r="B173" s="4"/>
      <c r="C173" s="4"/>
      <c r="D173" s="5"/>
      <c r="E173" s="10"/>
      <c r="F173" s="11" t="s">
        <v>357</v>
      </c>
      <c r="G173" s="21" t="str">
        <f>IF('Phytopl Count'!G173=0,"",('Phytopl Analysis'!G173*LN('Phytopl Analysis'!G173)))</f>
        <v/>
      </c>
      <c r="H173" s="21" t="str">
        <f>IF('Phytopl Count'!H173=0,"",('Phytopl Analysis'!H173*LN('Phytopl Analysis'!H173)))</f>
        <v/>
      </c>
      <c r="I173" s="58" t="str">
        <f>IF('Phytopl Count'!I173=0,"",('Phytopl Analysis'!I173*LN('Phytopl Analysis'!I173)))</f>
        <v/>
      </c>
      <c r="J173" s="58" t="str">
        <f>IF('Phytopl Count'!J173=0,"",('Phytopl Analysis'!J173*LN('Phytopl Analysis'!J173)))</f>
        <v/>
      </c>
      <c r="K173" s="21" t="str">
        <f>IF('Phytopl Count'!K173=0,"",('Phytopl Analysis'!K173*LN('Phytopl Analysis'!K173)))</f>
        <v/>
      </c>
      <c r="L173" s="21" t="str">
        <f>IF('Phytopl Count'!L173=0,"",('Phytopl Analysis'!L173*LN('Phytopl Analysis'!L173)))</f>
        <v/>
      </c>
      <c r="M173" s="58" t="str">
        <f>IF('Phytopl Count'!M173=0,"",('Phytopl Analysis'!M173*LN('Phytopl Analysis'!M173)))</f>
        <v/>
      </c>
      <c r="N173" s="58" t="str">
        <f>IF('Phytopl Count'!N173=0,"",('Phytopl Analysis'!N173*LN('Phytopl Analysis'!N173)))</f>
        <v/>
      </c>
      <c r="O173" s="21" t="str">
        <f>IF('Phytopl Count'!O173=0,"",('Phytopl Analysis'!O173*LN('Phytopl Analysis'!O173)))</f>
        <v/>
      </c>
      <c r="P173" s="21" t="str">
        <f>IF('Phytopl Count'!P173=0,"",('Phytopl Analysis'!P173*LN('Phytopl Analysis'!P173)))</f>
        <v/>
      </c>
      <c r="Q173" s="58" t="str">
        <f>IF('Phytopl Count'!Q173=0,"",('Phytopl Analysis'!Q173*LN('Phytopl Analysis'!Q173)))</f>
        <v/>
      </c>
      <c r="R173" s="58" t="str">
        <f>IF('Phytopl Count'!R173=0,"",('Phytopl Analysis'!R173*LN('Phytopl Analysis'!R173)))</f>
        <v/>
      </c>
      <c r="S173" s="21" t="str">
        <f>IF('Phytopl Count'!S173=0,"",('Phytopl Analysis'!S173*LN('Phytopl Analysis'!S173)))</f>
        <v/>
      </c>
      <c r="T173" s="21" t="str">
        <f>IF('Phytopl Count'!T173=0,"",('Phytopl Analysis'!T173*LN('Phytopl Analysis'!T173)))</f>
        <v/>
      </c>
      <c r="U173" s="58" t="str">
        <f>IF('Phytopl Count'!U173=0,"",('Phytopl Analysis'!U173*LN('Phytopl Analysis'!U173)))</f>
        <v/>
      </c>
      <c r="V173" s="58" t="str">
        <f>IF('Phytopl Count'!V173=0,"",('Phytopl Analysis'!V173*LN('Phytopl Analysis'!V173)))</f>
        <v/>
      </c>
      <c r="W173" s="21" t="str">
        <f>IF('Phytopl Count'!W173=0,"",('Phytopl Analysis'!W173*LN('Phytopl Analysis'!W173)))</f>
        <v/>
      </c>
      <c r="X173" s="21" t="str">
        <f>IF('Phytopl Count'!X173=0,"",('Phytopl Analysis'!X173*LN('Phytopl Analysis'!X173)))</f>
        <v/>
      </c>
      <c r="Y173" s="58" t="str">
        <f>IF('Phytopl Count'!Y173=0,"",('Phytopl Analysis'!Y173*LN('Phytopl Analysis'!Y173)))</f>
        <v/>
      </c>
      <c r="Z173" s="58" t="str">
        <f>IF('Phytopl Count'!Z173=0,"",('Phytopl Analysis'!Z173*LN('Phytopl Analysis'!Z173)))</f>
        <v/>
      </c>
      <c r="AA173" s="21" t="str">
        <f>IF('Phytopl Count'!AA173=0,"",('Phytopl Analysis'!AA173*LN('Phytopl Analysis'!AA173)))</f>
        <v/>
      </c>
      <c r="AB173" s="21" t="str">
        <f>IF('Phytopl Count'!AB173=0,"",('Phytopl Analysis'!AB173*LN('Phytopl Analysis'!AB173)))</f>
        <v/>
      </c>
      <c r="AC173" s="58" t="str">
        <f>IF('Phytopl Count'!AC173=0,"",('Phytopl Analysis'!AC173*LN('Phytopl Analysis'!AC173)))</f>
        <v/>
      </c>
      <c r="AD173" s="58" t="str">
        <f>IF('Phytopl Count'!AD173=0,"",('Phytopl Analysis'!AD173*LN('Phytopl Analysis'!AD173)))</f>
        <v/>
      </c>
      <c r="AE173" s="21" t="str">
        <f>IF('Phytopl Count'!AE173=0,"",('Phytopl Analysis'!AE173*LN('Phytopl Analysis'!AE173)))</f>
        <v/>
      </c>
      <c r="AF173" s="58" t="str">
        <f>IF('Phytopl Count'!AF173=0,"",('Phytopl Analysis'!AF173*LN('Phytopl Analysis'!AF173)))</f>
        <v/>
      </c>
    </row>
    <row r="174" spans="1:32" hidden="1">
      <c r="A174" s="4"/>
      <c r="B174" s="4"/>
      <c r="C174" s="4"/>
      <c r="D174" s="5"/>
      <c r="E174" s="10"/>
      <c r="F174" s="11" t="s">
        <v>359</v>
      </c>
      <c r="G174" s="21" t="str">
        <f>IF('Phytopl Count'!G174=0,"",('Phytopl Analysis'!G174*LN('Phytopl Analysis'!G174)))</f>
        <v/>
      </c>
      <c r="H174" s="21" t="str">
        <f>IF('Phytopl Count'!H174=0,"",('Phytopl Analysis'!H174*LN('Phytopl Analysis'!H174)))</f>
        <v/>
      </c>
      <c r="I174" s="58" t="str">
        <f>IF('Phytopl Count'!I174=0,"",('Phytopl Analysis'!I174*LN('Phytopl Analysis'!I174)))</f>
        <v/>
      </c>
      <c r="J174" s="58" t="str">
        <f>IF('Phytopl Count'!J174=0,"",('Phytopl Analysis'!J174*LN('Phytopl Analysis'!J174)))</f>
        <v/>
      </c>
      <c r="K174" s="21" t="str">
        <f>IF('Phytopl Count'!K174=0,"",('Phytopl Analysis'!K174*LN('Phytopl Analysis'!K174)))</f>
        <v/>
      </c>
      <c r="L174" s="21" t="str">
        <f>IF('Phytopl Count'!L174=0,"",('Phytopl Analysis'!L174*LN('Phytopl Analysis'!L174)))</f>
        <v/>
      </c>
      <c r="M174" s="58" t="str">
        <f>IF('Phytopl Count'!M174=0,"",('Phytopl Analysis'!M174*LN('Phytopl Analysis'!M174)))</f>
        <v/>
      </c>
      <c r="N174" s="58" t="str">
        <f>IF('Phytopl Count'!N174=0,"",('Phytopl Analysis'!N174*LN('Phytopl Analysis'!N174)))</f>
        <v/>
      </c>
      <c r="O174" s="21" t="str">
        <f>IF('Phytopl Count'!O174=0,"",('Phytopl Analysis'!O174*LN('Phytopl Analysis'!O174)))</f>
        <v/>
      </c>
      <c r="P174" s="21" t="str">
        <f>IF('Phytopl Count'!P174=0,"",('Phytopl Analysis'!P174*LN('Phytopl Analysis'!P174)))</f>
        <v/>
      </c>
      <c r="Q174" s="58" t="str">
        <f>IF('Phytopl Count'!Q174=0,"",('Phytopl Analysis'!Q174*LN('Phytopl Analysis'!Q174)))</f>
        <v/>
      </c>
      <c r="R174" s="58" t="str">
        <f>IF('Phytopl Count'!R174=0,"",('Phytopl Analysis'!R174*LN('Phytopl Analysis'!R174)))</f>
        <v/>
      </c>
      <c r="S174" s="21" t="str">
        <f>IF('Phytopl Count'!S174=0,"",('Phytopl Analysis'!S174*LN('Phytopl Analysis'!S174)))</f>
        <v/>
      </c>
      <c r="T174" s="21" t="str">
        <f>IF('Phytopl Count'!T174=0,"",('Phytopl Analysis'!T174*LN('Phytopl Analysis'!T174)))</f>
        <v/>
      </c>
      <c r="U174" s="58" t="str">
        <f>IF('Phytopl Count'!U174=0,"",('Phytopl Analysis'!U174*LN('Phytopl Analysis'!U174)))</f>
        <v/>
      </c>
      <c r="V174" s="58" t="str">
        <f>IF('Phytopl Count'!V174=0,"",('Phytopl Analysis'!V174*LN('Phytopl Analysis'!V174)))</f>
        <v/>
      </c>
      <c r="W174" s="21" t="str">
        <f>IF('Phytopl Count'!W174=0,"",('Phytopl Analysis'!W174*LN('Phytopl Analysis'!W174)))</f>
        <v/>
      </c>
      <c r="X174" s="21" t="str">
        <f>IF('Phytopl Count'!X174=0,"",('Phytopl Analysis'!X174*LN('Phytopl Analysis'!X174)))</f>
        <v/>
      </c>
      <c r="Y174" s="58" t="str">
        <f>IF('Phytopl Count'!Y174=0,"",('Phytopl Analysis'!Y174*LN('Phytopl Analysis'!Y174)))</f>
        <v/>
      </c>
      <c r="Z174" s="58" t="str">
        <f>IF('Phytopl Count'!Z174=0,"",('Phytopl Analysis'!Z174*LN('Phytopl Analysis'!Z174)))</f>
        <v/>
      </c>
      <c r="AA174" s="21" t="str">
        <f>IF('Phytopl Count'!AA174=0,"",('Phytopl Analysis'!AA174*LN('Phytopl Analysis'!AA174)))</f>
        <v/>
      </c>
      <c r="AB174" s="21" t="str">
        <f>IF('Phytopl Count'!AB174=0,"",('Phytopl Analysis'!AB174*LN('Phytopl Analysis'!AB174)))</f>
        <v/>
      </c>
      <c r="AC174" s="58" t="str">
        <f>IF('Phytopl Count'!AC174=0,"",('Phytopl Analysis'!AC174*LN('Phytopl Analysis'!AC174)))</f>
        <v/>
      </c>
      <c r="AD174" s="58" t="str">
        <f>IF('Phytopl Count'!AD174=0,"",('Phytopl Analysis'!AD174*LN('Phytopl Analysis'!AD174)))</f>
        <v/>
      </c>
      <c r="AE174" s="21" t="str">
        <f>IF('Phytopl Count'!AE174=0,"",('Phytopl Analysis'!AE174*LN('Phytopl Analysis'!AE174)))</f>
        <v/>
      </c>
      <c r="AF174" s="58" t="str">
        <f>IF('Phytopl Count'!AF174=0,"",('Phytopl Analysis'!AF174*LN('Phytopl Analysis'!AF174)))</f>
        <v/>
      </c>
    </row>
    <row r="175" spans="1:32" hidden="1">
      <c r="A175" s="16"/>
      <c r="B175" s="16"/>
      <c r="C175" s="16" t="s">
        <v>73</v>
      </c>
      <c r="D175" s="4" t="s">
        <v>369</v>
      </c>
      <c r="E175" s="5"/>
      <c r="F175" s="9"/>
      <c r="G175" s="21" t="str">
        <f>IF('Phytopl Count'!G175=0,"",('Phytopl Analysis'!G175*LN('Phytopl Analysis'!G175)))</f>
        <v/>
      </c>
      <c r="H175" s="21" t="str">
        <f>IF('Phytopl Count'!H175=0,"",('Phytopl Analysis'!H175*LN('Phytopl Analysis'!H175)))</f>
        <v/>
      </c>
      <c r="I175" s="58" t="str">
        <f>IF('Phytopl Count'!I175=0,"",('Phytopl Analysis'!I175*LN('Phytopl Analysis'!I175)))</f>
        <v/>
      </c>
      <c r="J175" s="58" t="str">
        <f>IF('Phytopl Count'!J175=0,"",('Phytopl Analysis'!J175*LN('Phytopl Analysis'!J175)))</f>
        <v/>
      </c>
      <c r="K175" s="21" t="str">
        <f>IF('Phytopl Count'!K175=0,"",('Phytopl Analysis'!K175*LN('Phytopl Analysis'!K175)))</f>
        <v/>
      </c>
      <c r="L175" s="21" t="str">
        <f>IF('Phytopl Count'!L175=0,"",('Phytopl Analysis'!L175*LN('Phytopl Analysis'!L175)))</f>
        <v/>
      </c>
      <c r="M175" s="58" t="str">
        <f>IF('Phytopl Count'!M175=0,"",('Phytopl Analysis'!M175*LN('Phytopl Analysis'!M175)))</f>
        <v/>
      </c>
      <c r="N175" s="58" t="str">
        <f>IF('Phytopl Count'!N175=0,"",('Phytopl Analysis'!N175*LN('Phytopl Analysis'!N175)))</f>
        <v/>
      </c>
      <c r="O175" s="21" t="str">
        <f>IF('Phytopl Count'!O175=0,"",('Phytopl Analysis'!O175*LN('Phytopl Analysis'!O175)))</f>
        <v/>
      </c>
      <c r="P175" s="21" t="str">
        <f>IF('Phytopl Count'!P175=0,"",('Phytopl Analysis'!P175*LN('Phytopl Analysis'!P175)))</f>
        <v/>
      </c>
      <c r="Q175" s="58" t="str">
        <f>IF('Phytopl Count'!Q175=0,"",('Phytopl Analysis'!Q175*LN('Phytopl Analysis'!Q175)))</f>
        <v/>
      </c>
      <c r="R175" s="58" t="str">
        <f>IF('Phytopl Count'!R175=0,"",('Phytopl Analysis'!R175*LN('Phytopl Analysis'!R175)))</f>
        <v/>
      </c>
      <c r="S175" s="21" t="str">
        <f>IF('Phytopl Count'!S175=0,"",('Phytopl Analysis'!S175*LN('Phytopl Analysis'!S175)))</f>
        <v/>
      </c>
      <c r="T175" s="21" t="str">
        <f>IF('Phytopl Count'!T175=0,"",('Phytopl Analysis'!T175*LN('Phytopl Analysis'!T175)))</f>
        <v/>
      </c>
      <c r="U175" s="58" t="str">
        <f>IF('Phytopl Count'!U175=0,"",('Phytopl Analysis'!U175*LN('Phytopl Analysis'!U175)))</f>
        <v/>
      </c>
      <c r="V175" s="58" t="str">
        <f>IF('Phytopl Count'!V175=0,"",('Phytopl Analysis'!V175*LN('Phytopl Analysis'!V175)))</f>
        <v/>
      </c>
      <c r="W175" s="21" t="str">
        <f>IF('Phytopl Count'!W175=0,"",('Phytopl Analysis'!W175*LN('Phytopl Analysis'!W175)))</f>
        <v/>
      </c>
      <c r="X175" s="21" t="str">
        <f>IF('Phytopl Count'!X175=0,"",('Phytopl Analysis'!X175*LN('Phytopl Analysis'!X175)))</f>
        <v/>
      </c>
      <c r="Y175" s="58" t="str">
        <f>IF('Phytopl Count'!Y175=0,"",('Phytopl Analysis'!Y175*LN('Phytopl Analysis'!Y175)))</f>
        <v/>
      </c>
      <c r="Z175" s="58" t="str">
        <f>IF('Phytopl Count'!Z175=0,"",('Phytopl Analysis'!Z175*LN('Phytopl Analysis'!Z175)))</f>
        <v/>
      </c>
      <c r="AA175" s="21" t="str">
        <f>IF('Phytopl Count'!AA175=0,"",('Phytopl Analysis'!AA175*LN('Phytopl Analysis'!AA175)))</f>
        <v/>
      </c>
      <c r="AB175" s="21" t="str">
        <f>IF('Phytopl Count'!AB175=0,"",('Phytopl Analysis'!AB175*LN('Phytopl Analysis'!AB175)))</f>
        <v/>
      </c>
      <c r="AC175" s="58" t="str">
        <f>IF('Phytopl Count'!AC175=0,"",('Phytopl Analysis'!AC175*LN('Phytopl Analysis'!AC175)))</f>
        <v/>
      </c>
      <c r="AD175" s="58" t="str">
        <f>IF('Phytopl Count'!AD175=0,"",('Phytopl Analysis'!AD175*LN('Phytopl Analysis'!AD175)))</f>
        <v/>
      </c>
      <c r="AE175" s="21" t="str">
        <f>IF('Phytopl Count'!AE175=0,"",('Phytopl Analysis'!AE175*LN('Phytopl Analysis'!AE175)))</f>
        <v/>
      </c>
      <c r="AF175" s="58" t="str">
        <f>IF('Phytopl Count'!AF175=0,"",('Phytopl Analysis'!AF175*LN('Phytopl Analysis'!AF175)))</f>
        <v/>
      </c>
    </row>
    <row r="176" spans="1:32" hidden="1">
      <c r="A176" s="10"/>
      <c r="B176" s="10"/>
      <c r="C176" s="10"/>
      <c r="D176" s="10" t="s">
        <v>5</v>
      </c>
      <c r="E176" s="164" t="s">
        <v>370</v>
      </c>
      <c r="F176" s="9"/>
      <c r="G176" s="21" t="str">
        <f>IF('Phytopl Count'!G176=0,"",('Phytopl Analysis'!G176*LN('Phytopl Analysis'!G176)))</f>
        <v/>
      </c>
      <c r="H176" s="21" t="str">
        <f>IF('Phytopl Count'!H176=0,"",('Phytopl Analysis'!H176*LN('Phytopl Analysis'!H176)))</f>
        <v/>
      </c>
      <c r="I176" s="58" t="str">
        <f>IF('Phytopl Count'!I176=0,"",('Phytopl Analysis'!I176*LN('Phytopl Analysis'!I176)))</f>
        <v/>
      </c>
      <c r="J176" s="58" t="str">
        <f>IF('Phytopl Count'!J176=0,"",('Phytopl Analysis'!J176*LN('Phytopl Analysis'!J176)))</f>
        <v/>
      </c>
      <c r="K176" s="21" t="str">
        <f>IF('Phytopl Count'!K176=0,"",('Phytopl Analysis'!K176*LN('Phytopl Analysis'!K176)))</f>
        <v/>
      </c>
      <c r="L176" s="21" t="str">
        <f>IF('Phytopl Count'!L176=0,"",('Phytopl Analysis'!L176*LN('Phytopl Analysis'!L176)))</f>
        <v/>
      </c>
      <c r="M176" s="58" t="str">
        <f>IF('Phytopl Count'!M176=0,"",('Phytopl Analysis'!M176*LN('Phytopl Analysis'!M176)))</f>
        <v/>
      </c>
      <c r="N176" s="58" t="str">
        <f>IF('Phytopl Count'!N176=0,"",('Phytopl Analysis'!N176*LN('Phytopl Analysis'!N176)))</f>
        <v/>
      </c>
      <c r="O176" s="21" t="str">
        <f>IF('Phytopl Count'!O176=0,"",('Phytopl Analysis'!O176*LN('Phytopl Analysis'!O176)))</f>
        <v/>
      </c>
      <c r="P176" s="21" t="str">
        <f>IF('Phytopl Count'!P176=0,"",('Phytopl Analysis'!P176*LN('Phytopl Analysis'!P176)))</f>
        <v/>
      </c>
      <c r="Q176" s="58" t="str">
        <f>IF('Phytopl Count'!Q176=0,"",('Phytopl Analysis'!Q176*LN('Phytopl Analysis'!Q176)))</f>
        <v/>
      </c>
      <c r="R176" s="58" t="str">
        <f>IF('Phytopl Count'!R176=0,"",('Phytopl Analysis'!R176*LN('Phytopl Analysis'!R176)))</f>
        <v/>
      </c>
      <c r="S176" s="21" t="str">
        <f>IF('Phytopl Count'!S176=0,"",('Phytopl Analysis'!S176*LN('Phytopl Analysis'!S176)))</f>
        <v/>
      </c>
      <c r="T176" s="21" t="str">
        <f>IF('Phytopl Count'!T176=0,"",('Phytopl Analysis'!T176*LN('Phytopl Analysis'!T176)))</f>
        <v/>
      </c>
      <c r="U176" s="58" t="str">
        <f>IF('Phytopl Count'!U176=0,"",('Phytopl Analysis'!U176*LN('Phytopl Analysis'!U176)))</f>
        <v/>
      </c>
      <c r="V176" s="58" t="str">
        <f>IF('Phytopl Count'!V176=0,"",('Phytopl Analysis'!V176*LN('Phytopl Analysis'!V176)))</f>
        <v/>
      </c>
      <c r="W176" s="21" t="str">
        <f>IF('Phytopl Count'!W176=0,"",('Phytopl Analysis'!W176*LN('Phytopl Analysis'!W176)))</f>
        <v/>
      </c>
      <c r="X176" s="21" t="str">
        <f>IF('Phytopl Count'!X176=0,"",('Phytopl Analysis'!X176*LN('Phytopl Analysis'!X176)))</f>
        <v/>
      </c>
      <c r="Y176" s="58" t="str">
        <f>IF('Phytopl Count'!Y176=0,"",('Phytopl Analysis'!Y176*LN('Phytopl Analysis'!Y176)))</f>
        <v/>
      </c>
      <c r="Z176" s="58" t="str">
        <f>IF('Phytopl Count'!Z176=0,"",('Phytopl Analysis'!Z176*LN('Phytopl Analysis'!Z176)))</f>
        <v/>
      </c>
      <c r="AA176" s="21" t="str">
        <f>IF('Phytopl Count'!AA176=0,"",('Phytopl Analysis'!AA176*LN('Phytopl Analysis'!AA176)))</f>
        <v/>
      </c>
      <c r="AB176" s="21" t="str">
        <f>IF('Phytopl Count'!AB176=0,"",('Phytopl Analysis'!AB176*LN('Phytopl Analysis'!AB176)))</f>
        <v/>
      </c>
      <c r="AC176" s="58" t="str">
        <f>IF('Phytopl Count'!AC176=0,"",('Phytopl Analysis'!AC176*LN('Phytopl Analysis'!AC176)))</f>
        <v/>
      </c>
      <c r="AD176" s="58" t="str">
        <f>IF('Phytopl Count'!AD176=0,"",('Phytopl Analysis'!AD176*LN('Phytopl Analysis'!AD176)))</f>
        <v/>
      </c>
      <c r="AE176" s="21" t="str">
        <f>IF('Phytopl Count'!AE176=0,"",('Phytopl Analysis'!AE176*LN('Phytopl Analysis'!AE176)))</f>
        <v/>
      </c>
      <c r="AF176" s="58" t="str">
        <f>IF('Phytopl Count'!AF176=0,"",('Phytopl Analysis'!AF176*LN('Phytopl Analysis'!AF176)))</f>
        <v/>
      </c>
    </row>
    <row r="177" spans="1:32" hidden="1">
      <c r="A177" s="5"/>
      <c r="B177" s="5"/>
      <c r="C177" s="5"/>
      <c r="D177" s="5"/>
      <c r="E177" s="10" t="s">
        <v>6</v>
      </c>
      <c r="F177" s="11" t="s">
        <v>371</v>
      </c>
      <c r="G177" s="21" t="str">
        <f>IF('Phytopl Count'!G177=0,"",('Phytopl Analysis'!G177*LN('Phytopl Analysis'!G177)))</f>
        <v/>
      </c>
      <c r="H177" s="21" t="str">
        <f>IF('Phytopl Count'!H177=0,"",('Phytopl Analysis'!H177*LN('Phytopl Analysis'!H177)))</f>
        <v/>
      </c>
      <c r="I177" s="58" t="str">
        <f>IF('Phytopl Count'!I177=0,"",('Phytopl Analysis'!I177*LN('Phytopl Analysis'!I177)))</f>
        <v/>
      </c>
      <c r="J177" s="58" t="str">
        <f>IF('Phytopl Count'!J177=0,"",('Phytopl Analysis'!J177*LN('Phytopl Analysis'!J177)))</f>
        <v/>
      </c>
      <c r="K177" s="21" t="str">
        <f>IF('Phytopl Count'!K177=0,"",('Phytopl Analysis'!K177*LN('Phytopl Analysis'!K177)))</f>
        <v/>
      </c>
      <c r="L177" s="21" t="str">
        <f>IF('Phytopl Count'!L177=0,"",('Phytopl Analysis'!L177*LN('Phytopl Analysis'!L177)))</f>
        <v/>
      </c>
      <c r="M177" s="58" t="str">
        <f>IF('Phytopl Count'!M177=0,"",('Phytopl Analysis'!M177*LN('Phytopl Analysis'!M177)))</f>
        <v/>
      </c>
      <c r="N177" s="58" t="str">
        <f>IF('Phytopl Count'!N177=0,"",('Phytopl Analysis'!N177*LN('Phytopl Analysis'!N177)))</f>
        <v/>
      </c>
      <c r="O177" s="21" t="str">
        <f>IF('Phytopl Count'!O177=0,"",('Phytopl Analysis'!O177*LN('Phytopl Analysis'!O177)))</f>
        <v/>
      </c>
      <c r="P177" s="21" t="str">
        <f>IF('Phytopl Count'!P177=0,"",('Phytopl Analysis'!P177*LN('Phytopl Analysis'!P177)))</f>
        <v/>
      </c>
      <c r="Q177" s="58" t="str">
        <f>IF('Phytopl Count'!Q177=0,"",('Phytopl Analysis'!Q177*LN('Phytopl Analysis'!Q177)))</f>
        <v/>
      </c>
      <c r="R177" s="58" t="str">
        <f>IF('Phytopl Count'!R177=0,"",('Phytopl Analysis'!R177*LN('Phytopl Analysis'!R177)))</f>
        <v/>
      </c>
      <c r="S177" s="21" t="str">
        <f>IF('Phytopl Count'!S177=0,"",('Phytopl Analysis'!S177*LN('Phytopl Analysis'!S177)))</f>
        <v/>
      </c>
      <c r="T177" s="21" t="str">
        <f>IF('Phytopl Count'!T177=0,"",('Phytopl Analysis'!T177*LN('Phytopl Analysis'!T177)))</f>
        <v/>
      </c>
      <c r="U177" s="58" t="str">
        <f>IF('Phytopl Count'!U177=0,"",('Phytopl Analysis'!U177*LN('Phytopl Analysis'!U177)))</f>
        <v/>
      </c>
      <c r="V177" s="58" t="str">
        <f>IF('Phytopl Count'!V177=0,"",('Phytopl Analysis'!V177*LN('Phytopl Analysis'!V177)))</f>
        <v/>
      </c>
      <c r="W177" s="21" t="str">
        <f>IF('Phytopl Count'!W177=0,"",('Phytopl Analysis'!W177*LN('Phytopl Analysis'!W177)))</f>
        <v/>
      </c>
      <c r="X177" s="21" t="str">
        <f>IF('Phytopl Count'!X177=0,"",('Phytopl Analysis'!X177*LN('Phytopl Analysis'!X177)))</f>
        <v/>
      </c>
      <c r="Y177" s="58" t="str">
        <f>IF('Phytopl Count'!Y177=0,"",('Phytopl Analysis'!Y177*LN('Phytopl Analysis'!Y177)))</f>
        <v/>
      </c>
      <c r="Z177" s="58" t="str">
        <f>IF('Phytopl Count'!Z177=0,"",('Phytopl Analysis'!Z177*LN('Phytopl Analysis'!Z177)))</f>
        <v/>
      </c>
      <c r="AA177" s="21" t="str">
        <f>IF('Phytopl Count'!AA177=0,"",('Phytopl Analysis'!AA177*LN('Phytopl Analysis'!AA177)))</f>
        <v/>
      </c>
      <c r="AB177" s="21" t="str">
        <f>IF('Phytopl Count'!AB177=0,"",('Phytopl Analysis'!AB177*LN('Phytopl Analysis'!AB177)))</f>
        <v/>
      </c>
      <c r="AC177" s="58" t="str">
        <f>IF('Phytopl Count'!AC177=0,"",('Phytopl Analysis'!AC177*LN('Phytopl Analysis'!AC177)))</f>
        <v/>
      </c>
      <c r="AD177" s="58" t="str">
        <f>IF('Phytopl Count'!AD177=0,"",('Phytopl Analysis'!AD177*LN('Phytopl Analysis'!AD177)))</f>
        <v/>
      </c>
      <c r="AE177" s="21" t="str">
        <f>IF('Phytopl Count'!AE177=0,"",('Phytopl Analysis'!AE177*LN('Phytopl Analysis'!AE177)))</f>
        <v/>
      </c>
      <c r="AF177" s="58" t="str">
        <f>IF('Phytopl Count'!AF177=0,"",('Phytopl Analysis'!AF177*LN('Phytopl Analysis'!AF177)))</f>
        <v/>
      </c>
    </row>
    <row r="178" spans="1:32" hidden="1">
      <c r="A178" s="16"/>
      <c r="B178" s="16"/>
      <c r="C178" s="16" t="s">
        <v>73</v>
      </c>
      <c r="D178" s="4" t="s">
        <v>324</v>
      </c>
      <c r="E178" s="5"/>
      <c r="F178" s="9"/>
      <c r="G178" s="21" t="str">
        <f>IF('Phytopl Count'!G178=0,"",('Phytopl Analysis'!G178*LN('Phytopl Analysis'!G178)))</f>
        <v/>
      </c>
      <c r="H178" s="21" t="str">
        <f>IF('Phytopl Count'!H178=0,"",('Phytopl Analysis'!H178*LN('Phytopl Analysis'!H178)))</f>
        <v/>
      </c>
      <c r="I178" s="58" t="str">
        <f>IF('Phytopl Count'!I178=0,"",('Phytopl Analysis'!I178*LN('Phytopl Analysis'!I178)))</f>
        <v/>
      </c>
      <c r="J178" s="58" t="str">
        <f>IF('Phytopl Count'!J178=0,"",('Phytopl Analysis'!J178*LN('Phytopl Analysis'!J178)))</f>
        <v/>
      </c>
      <c r="K178" s="21" t="str">
        <f>IF('Phytopl Count'!K178=0,"",('Phytopl Analysis'!K178*LN('Phytopl Analysis'!K178)))</f>
        <v/>
      </c>
      <c r="L178" s="21" t="str">
        <f>IF('Phytopl Count'!L178=0,"",('Phytopl Analysis'!L178*LN('Phytopl Analysis'!L178)))</f>
        <v/>
      </c>
      <c r="M178" s="58" t="str">
        <f>IF('Phytopl Count'!M178=0,"",('Phytopl Analysis'!M178*LN('Phytopl Analysis'!M178)))</f>
        <v/>
      </c>
      <c r="N178" s="58" t="str">
        <f>IF('Phytopl Count'!N178=0,"",('Phytopl Analysis'!N178*LN('Phytopl Analysis'!N178)))</f>
        <v/>
      </c>
      <c r="O178" s="21" t="str">
        <f>IF('Phytopl Count'!O178=0,"",('Phytopl Analysis'!O178*LN('Phytopl Analysis'!O178)))</f>
        <v/>
      </c>
      <c r="P178" s="21" t="str">
        <f>IF('Phytopl Count'!P178=0,"",('Phytopl Analysis'!P178*LN('Phytopl Analysis'!P178)))</f>
        <v/>
      </c>
      <c r="Q178" s="58" t="str">
        <f>IF('Phytopl Count'!Q178=0,"",('Phytopl Analysis'!Q178*LN('Phytopl Analysis'!Q178)))</f>
        <v/>
      </c>
      <c r="R178" s="58" t="str">
        <f>IF('Phytopl Count'!R178=0,"",('Phytopl Analysis'!R178*LN('Phytopl Analysis'!R178)))</f>
        <v/>
      </c>
      <c r="S178" s="21" t="str">
        <f>IF('Phytopl Count'!S178=0,"",('Phytopl Analysis'!S178*LN('Phytopl Analysis'!S178)))</f>
        <v/>
      </c>
      <c r="T178" s="21" t="str">
        <f>IF('Phytopl Count'!T178=0,"",('Phytopl Analysis'!T178*LN('Phytopl Analysis'!T178)))</f>
        <v/>
      </c>
      <c r="U178" s="58" t="str">
        <f>IF('Phytopl Count'!U178=0,"",('Phytopl Analysis'!U178*LN('Phytopl Analysis'!U178)))</f>
        <v/>
      </c>
      <c r="V178" s="58" t="str">
        <f>IF('Phytopl Count'!V178=0,"",('Phytopl Analysis'!V178*LN('Phytopl Analysis'!V178)))</f>
        <v/>
      </c>
      <c r="W178" s="21" t="str">
        <f>IF('Phytopl Count'!W178=0,"",('Phytopl Analysis'!W178*LN('Phytopl Analysis'!W178)))</f>
        <v/>
      </c>
      <c r="X178" s="21" t="str">
        <f>IF('Phytopl Count'!X178=0,"",('Phytopl Analysis'!X178*LN('Phytopl Analysis'!X178)))</f>
        <v/>
      </c>
      <c r="Y178" s="58" t="str">
        <f>IF('Phytopl Count'!Y178=0,"",('Phytopl Analysis'!Y178*LN('Phytopl Analysis'!Y178)))</f>
        <v/>
      </c>
      <c r="Z178" s="58" t="str">
        <f>IF('Phytopl Count'!Z178=0,"",('Phytopl Analysis'!Z178*LN('Phytopl Analysis'!Z178)))</f>
        <v/>
      </c>
      <c r="AA178" s="21" t="str">
        <f>IF('Phytopl Count'!AA178=0,"",('Phytopl Analysis'!AA178*LN('Phytopl Analysis'!AA178)))</f>
        <v/>
      </c>
      <c r="AB178" s="21" t="str">
        <f>IF('Phytopl Count'!AB178=0,"",('Phytopl Analysis'!AB178*LN('Phytopl Analysis'!AB178)))</f>
        <v/>
      </c>
      <c r="AC178" s="58" t="str">
        <f>IF('Phytopl Count'!AC178=0,"",('Phytopl Analysis'!AC178*LN('Phytopl Analysis'!AC178)))</f>
        <v/>
      </c>
      <c r="AD178" s="58" t="str">
        <f>IF('Phytopl Count'!AD178=0,"",('Phytopl Analysis'!AD178*LN('Phytopl Analysis'!AD178)))</f>
        <v/>
      </c>
      <c r="AE178" s="21" t="str">
        <f>IF('Phytopl Count'!AE178=0,"",('Phytopl Analysis'!AE178*LN('Phytopl Analysis'!AE178)))</f>
        <v/>
      </c>
      <c r="AF178" s="58" t="str">
        <f>IF('Phytopl Count'!AF178=0,"",('Phytopl Analysis'!AF178*LN('Phytopl Analysis'!AF178)))</f>
        <v/>
      </c>
    </row>
    <row r="179" spans="1:32" hidden="1">
      <c r="A179" s="10"/>
      <c r="B179" s="10"/>
      <c r="C179" s="10"/>
      <c r="D179" s="10" t="s">
        <v>5</v>
      </c>
      <c r="E179" s="164" t="s">
        <v>374</v>
      </c>
      <c r="F179" s="9"/>
      <c r="G179" s="21" t="str">
        <f>IF('Phytopl Count'!G179=0,"",('Phytopl Analysis'!G179*LN('Phytopl Analysis'!G179)))</f>
        <v/>
      </c>
      <c r="H179" s="21" t="str">
        <f>IF('Phytopl Count'!H179=0,"",('Phytopl Analysis'!H179*LN('Phytopl Analysis'!H179)))</f>
        <v/>
      </c>
      <c r="I179" s="58" t="str">
        <f>IF('Phytopl Count'!I179=0,"",('Phytopl Analysis'!I179*LN('Phytopl Analysis'!I179)))</f>
        <v/>
      </c>
      <c r="J179" s="58" t="str">
        <f>IF('Phytopl Count'!J179=0,"",('Phytopl Analysis'!J179*LN('Phytopl Analysis'!J179)))</f>
        <v/>
      </c>
      <c r="K179" s="21" t="str">
        <f>IF('Phytopl Count'!K179=0,"",('Phytopl Analysis'!K179*LN('Phytopl Analysis'!K179)))</f>
        <v/>
      </c>
      <c r="L179" s="21" t="str">
        <f>IF('Phytopl Count'!L179=0,"",('Phytopl Analysis'!L179*LN('Phytopl Analysis'!L179)))</f>
        <v/>
      </c>
      <c r="M179" s="58" t="str">
        <f>IF('Phytopl Count'!M179=0,"",('Phytopl Analysis'!M179*LN('Phytopl Analysis'!M179)))</f>
        <v/>
      </c>
      <c r="N179" s="58" t="str">
        <f>IF('Phytopl Count'!N179=0,"",('Phytopl Analysis'!N179*LN('Phytopl Analysis'!N179)))</f>
        <v/>
      </c>
      <c r="O179" s="21" t="str">
        <f>IF('Phytopl Count'!O179=0,"",('Phytopl Analysis'!O179*LN('Phytopl Analysis'!O179)))</f>
        <v/>
      </c>
      <c r="P179" s="21" t="str">
        <f>IF('Phytopl Count'!P179=0,"",('Phytopl Analysis'!P179*LN('Phytopl Analysis'!P179)))</f>
        <v/>
      </c>
      <c r="Q179" s="58" t="str">
        <f>IF('Phytopl Count'!Q179=0,"",('Phytopl Analysis'!Q179*LN('Phytopl Analysis'!Q179)))</f>
        <v/>
      </c>
      <c r="R179" s="58" t="str">
        <f>IF('Phytopl Count'!R179=0,"",('Phytopl Analysis'!R179*LN('Phytopl Analysis'!R179)))</f>
        <v/>
      </c>
      <c r="S179" s="21" t="str">
        <f>IF('Phytopl Count'!S179=0,"",('Phytopl Analysis'!S179*LN('Phytopl Analysis'!S179)))</f>
        <v/>
      </c>
      <c r="T179" s="21" t="str">
        <f>IF('Phytopl Count'!T179=0,"",('Phytopl Analysis'!T179*LN('Phytopl Analysis'!T179)))</f>
        <v/>
      </c>
      <c r="U179" s="58" t="str">
        <f>IF('Phytopl Count'!U179=0,"",('Phytopl Analysis'!U179*LN('Phytopl Analysis'!U179)))</f>
        <v/>
      </c>
      <c r="V179" s="58" t="str">
        <f>IF('Phytopl Count'!V179=0,"",('Phytopl Analysis'!V179*LN('Phytopl Analysis'!V179)))</f>
        <v/>
      </c>
      <c r="W179" s="21" t="str">
        <f>IF('Phytopl Count'!W179=0,"",('Phytopl Analysis'!W179*LN('Phytopl Analysis'!W179)))</f>
        <v/>
      </c>
      <c r="X179" s="21" t="str">
        <f>IF('Phytopl Count'!X179=0,"",('Phytopl Analysis'!X179*LN('Phytopl Analysis'!X179)))</f>
        <v/>
      </c>
      <c r="Y179" s="58" t="str">
        <f>IF('Phytopl Count'!Y179=0,"",('Phytopl Analysis'!Y179*LN('Phytopl Analysis'!Y179)))</f>
        <v/>
      </c>
      <c r="Z179" s="58" t="str">
        <f>IF('Phytopl Count'!Z179=0,"",('Phytopl Analysis'!Z179*LN('Phytopl Analysis'!Z179)))</f>
        <v/>
      </c>
      <c r="AA179" s="21" t="str">
        <f>IF('Phytopl Count'!AA179=0,"",('Phytopl Analysis'!AA179*LN('Phytopl Analysis'!AA179)))</f>
        <v/>
      </c>
      <c r="AB179" s="21" t="str">
        <f>IF('Phytopl Count'!AB179=0,"",('Phytopl Analysis'!AB179*LN('Phytopl Analysis'!AB179)))</f>
        <v/>
      </c>
      <c r="AC179" s="58" t="str">
        <f>IF('Phytopl Count'!AC179=0,"",('Phytopl Analysis'!AC179*LN('Phytopl Analysis'!AC179)))</f>
        <v/>
      </c>
      <c r="AD179" s="58" t="str">
        <f>IF('Phytopl Count'!AD179=0,"",('Phytopl Analysis'!AD179*LN('Phytopl Analysis'!AD179)))</f>
        <v/>
      </c>
      <c r="AE179" s="21" t="str">
        <f>IF('Phytopl Count'!AE179=0,"",('Phytopl Analysis'!AE179*LN('Phytopl Analysis'!AE179)))</f>
        <v/>
      </c>
      <c r="AF179" s="58" t="str">
        <f>IF('Phytopl Count'!AF179=0,"",('Phytopl Analysis'!AF179*LN('Phytopl Analysis'!AF179)))</f>
        <v/>
      </c>
    </row>
    <row r="180" spans="1:32" hidden="1">
      <c r="A180" s="5"/>
      <c r="B180" s="5"/>
      <c r="C180" s="5"/>
      <c r="D180" s="5"/>
      <c r="E180" s="10" t="s">
        <v>6</v>
      </c>
      <c r="F180" s="11" t="s">
        <v>375</v>
      </c>
      <c r="G180" s="21" t="str">
        <f>IF('Phytopl Count'!G180=0,"",('Phytopl Analysis'!G180*LN('Phytopl Analysis'!G180)))</f>
        <v/>
      </c>
      <c r="H180" s="21" t="str">
        <f>IF('Phytopl Count'!H180=0,"",('Phytopl Analysis'!H180*LN('Phytopl Analysis'!H180)))</f>
        <v/>
      </c>
      <c r="I180" s="58" t="str">
        <f>IF('Phytopl Count'!I180=0,"",('Phytopl Analysis'!I180*LN('Phytopl Analysis'!I180)))</f>
        <v/>
      </c>
      <c r="J180" s="58" t="str">
        <f>IF('Phytopl Count'!J180=0,"",('Phytopl Analysis'!J180*LN('Phytopl Analysis'!J180)))</f>
        <v/>
      </c>
      <c r="K180" s="21" t="str">
        <f>IF('Phytopl Count'!K180=0,"",('Phytopl Analysis'!K180*LN('Phytopl Analysis'!K180)))</f>
        <v/>
      </c>
      <c r="L180" s="21" t="str">
        <f>IF('Phytopl Count'!L180=0,"",('Phytopl Analysis'!L180*LN('Phytopl Analysis'!L180)))</f>
        <v/>
      </c>
      <c r="M180" s="58" t="str">
        <f>IF('Phytopl Count'!M180=0,"",('Phytopl Analysis'!M180*LN('Phytopl Analysis'!M180)))</f>
        <v/>
      </c>
      <c r="N180" s="58" t="str">
        <f>IF('Phytopl Count'!N180=0,"",('Phytopl Analysis'!N180*LN('Phytopl Analysis'!N180)))</f>
        <v/>
      </c>
      <c r="O180" s="21" t="str">
        <f>IF('Phytopl Count'!O180=0,"",('Phytopl Analysis'!O180*LN('Phytopl Analysis'!O180)))</f>
        <v/>
      </c>
      <c r="P180" s="21" t="str">
        <f>IF('Phytopl Count'!P180=0,"",('Phytopl Analysis'!P180*LN('Phytopl Analysis'!P180)))</f>
        <v/>
      </c>
      <c r="Q180" s="58" t="str">
        <f>IF('Phytopl Count'!Q180=0,"",('Phytopl Analysis'!Q180*LN('Phytopl Analysis'!Q180)))</f>
        <v/>
      </c>
      <c r="R180" s="58" t="str">
        <f>IF('Phytopl Count'!R180=0,"",('Phytopl Analysis'!R180*LN('Phytopl Analysis'!R180)))</f>
        <v/>
      </c>
      <c r="S180" s="21" t="str">
        <f>IF('Phytopl Count'!S180=0,"",('Phytopl Analysis'!S180*LN('Phytopl Analysis'!S180)))</f>
        <v/>
      </c>
      <c r="T180" s="21" t="str">
        <f>IF('Phytopl Count'!T180=0,"",('Phytopl Analysis'!T180*LN('Phytopl Analysis'!T180)))</f>
        <v/>
      </c>
      <c r="U180" s="58" t="str">
        <f>IF('Phytopl Count'!U180=0,"",('Phytopl Analysis'!U180*LN('Phytopl Analysis'!U180)))</f>
        <v/>
      </c>
      <c r="V180" s="58" t="str">
        <f>IF('Phytopl Count'!V180=0,"",('Phytopl Analysis'!V180*LN('Phytopl Analysis'!V180)))</f>
        <v/>
      </c>
      <c r="W180" s="21" t="str">
        <f>IF('Phytopl Count'!W180=0,"",('Phytopl Analysis'!W180*LN('Phytopl Analysis'!W180)))</f>
        <v/>
      </c>
      <c r="X180" s="21" t="str">
        <f>IF('Phytopl Count'!X180=0,"",('Phytopl Analysis'!X180*LN('Phytopl Analysis'!X180)))</f>
        <v/>
      </c>
      <c r="Y180" s="58" t="str">
        <f>IF('Phytopl Count'!Y180=0,"",('Phytopl Analysis'!Y180*LN('Phytopl Analysis'!Y180)))</f>
        <v/>
      </c>
      <c r="Z180" s="58" t="str">
        <f>IF('Phytopl Count'!Z180=0,"",('Phytopl Analysis'!Z180*LN('Phytopl Analysis'!Z180)))</f>
        <v/>
      </c>
      <c r="AA180" s="21" t="str">
        <f>IF('Phytopl Count'!AA180=0,"",('Phytopl Analysis'!AA180*LN('Phytopl Analysis'!AA180)))</f>
        <v/>
      </c>
      <c r="AB180" s="21" t="str">
        <f>IF('Phytopl Count'!AB180=0,"",('Phytopl Analysis'!AB180*LN('Phytopl Analysis'!AB180)))</f>
        <v/>
      </c>
      <c r="AC180" s="58" t="str">
        <f>IF('Phytopl Count'!AC180=0,"",('Phytopl Analysis'!AC180*LN('Phytopl Analysis'!AC180)))</f>
        <v/>
      </c>
      <c r="AD180" s="58" t="str">
        <f>IF('Phytopl Count'!AD180=0,"",('Phytopl Analysis'!AD180*LN('Phytopl Analysis'!AD180)))</f>
        <v/>
      </c>
      <c r="AE180" s="21" t="str">
        <f>IF('Phytopl Count'!AE180=0,"",('Phytopl Analysis'!AE180*LN('Phytopl Analysis'!AE180)))</f>
        <v/>
      </c>
      <c r="AF180" s="58" t="str">
        <f>IF('Phytopl Count'!AF180=0,"",('Phytopl Analysis'!AF180*LN('Phytopl Analysis'!AF180)))</f>
        <v/>
      </c>
    </row>
    <row r="181" spans="1:32" hidden="1">
      <c r="A181" s="10"/>
      <c r="B181" s="10"/>
      <c r="C181" s="10"/>
      <c r="D181" s="10" t="s">
        <v>5</v>
      </c>
      <c r="E181" s="144" t="s">
        <v>325</v>
      </c>
      <c r="F181" s="9"/>
      <c r="G181" s="21" t="str">
        <f>IF('Phytopl Count'!G181=0,"",('Phytopl Analysis'!G181*LN('Phytopl Analysis'!G181)))</f>
        <v/>
      </c>
      <c r="H181" s="21" t="str">
        <f>IF('Phytopl Count'!H181=0,"",('Phytopl Analysis'!H181*LN('Phytopl Analysis'!H181)))</f>
        <v/>
      </c>
      <c r="I181" s="58" t="str">
        <f>IF('Phytopl Count'!I181=0,"",('Phytopl Analysis'!I181*LN('Phytopl Analysis'!I181)))</f>
        <v/>
      </c>
      <c r="J181" s="58" t="str">
        <f>IF('Phytopl Count'!J181=0,"",('Phytopl Analysis'!J181*LN('Phytopl Analysis'!J181)))</f>
        <v/>
      </c>
      <c r="K181" s="21" t="str">
        <f>IF('Phytopl Count'!K181=0,"",('Phytopl Analysis'!K181*LN('Phytopl Analysis'!K181)))</f>
        <v/>
      </c>
      <c r="L181" s="21" t="str">
        <f>IF('Phytopl Count'!L181=0,"",('Phytopl Analysis'!L181*LN('Phytopl Analysis'!L181)))</f>
        <v/>
      </c>
      <c r="M181" s="58" t="str">
        <f>IF('Phytopl Count'!M181=0,"",('Phytopl Analysis'!M181*LN('Phytopl Analysis'!M181)))</f>
        <v/>
      </c>
      <c r="N181" s="58" t="str">
        <f>IF('Phytopl Count'!N181=0,"",('Phytopl Analysis'!N181*LN('Phytopl Analysis'!N181)))</f>
        <v/>
      </c>
      <c r="O181" s="21" t="str">
        <f>IF('Phytopl Count'!O181=0,"",('Phytopl Analysis'!O181*LN('Phytopl Analysis'!O181)))</f>
        <v/>
      </c>
      <c r="P181" s="21" t="str">
        <f>IF('Phytopl Count'!P181=0,"",('Phytopl Analysis'!P181*LN('Phytopl Analysis'!P181)))</f>
        <v/>
      </c>
      <c r="Q181" s="58" t="str">
        <f>IF('Phytopl Count'!Q181=0,"",('Phytopl Analysis'!Q181*LN('Phytopl Analysis'!Q181)))</f>
        <v/>
      </c>
      <c r="R181" s="58" t="str">
        <f>IF('Phytopl Count'!R181=0,"",('Phytopl Analysis'!R181*LN('Phytopl Analysis'!R181)))</f>
        <v/>
      </c>
      <c r="S181" s="21" t="str">
        <f>IF('Phytopl Count'!S181=0,"",('Phytopl Analysis'!S181*LN('Phytopl Analysis'!S181)))</f>
        <v/>
      </c>
      <c r="T181" s="21" t="str">
        <f>IF('Phytopl Count'!T181=0,"",('Phytopl Analysis'!T181*LN('Phytopl Analysis'!T181)))</f>
        <v/>
      </c>
      <c r="U181" s="58" t="str">
        <f>IF('Phytopl Count'!U181=0,"",('Phytopl Analysis'!U181*LN('Phytopl Analysis'!U181)))</f>
        <v/>
      </c>
      <c r="V181" s="58" t="str">
        <f>IF('Phytopl Count'!V181=0,"",('Phytopl Analysis'!V181*LN('Phytopl Analysis'!V181)))</f>
        <v/>
      </c>
      <c r="W181" s="21" t="str">
        <f>IF('Phytopl Count'!W181=0,"",('Phytopl Analysis'!W181*LN('Phytopl Analysis'!W181)))</f>
        <v/>
      </c>
      <c r="X181" s="21" t="str">
        <f>IF('Phytopl Count'!X181=0,"",('Phytopl Analysis'!X181*LN('Phytopl Analysis'!X181)))</f>
        <v/>
      </c>
      <c r="Y181" s="58" t="str">
        <f>IF('Phytopl Count'!Y181=0,"",('Phytopl Analysis'!Y181*LN('Phytopl Analysis'!Y181)))</f>
        <v/>
      </c>
      <c r="Z181" s="58" t="str">
        <f>IF('Phytopl Count'!Z181=0,"",('Phytopl Analysis'!Z181*LN('Phytopl Analysis'!Z181)))</f>
        <v/>
      </c>
      <c r="AA181" s="21" t="str">
        <f>IF('Phytopl Count'!AA181=0,"",('Phytopl Analysis'!AA181*LN('Phytopl Analysis'!AA181)))</f>
        <v/>
      </c>
      <c r="AB181" s="21" t="str">
        <f>IF('Phytopl Count'!AB181=0,"",('Phytopl Analysis'!AB181*LN('Phytopl Analysis'!AB181)))</f>
        <v/>
      </c>
      <c r="AC181" s="58" t="str">
        <f>IF('Phytopl Count'!AC181=0,"",('Phytopl Analysis'!AC181*LN('Phytopl Analysis'!AC181)))</f>
        <v/>
      </c>
      <c r="AD181" s="58" t="str">
        <f>IF('Phytopl Count'!AD181=0,"",('Phytopl Analysis'!AD181*LN('Phytopl Analysis'!AD181)))</f>
        <v/>
      </c>
      <c r="AE181" s="21" t="str">
        <f>IF('Phytopl Count'!AE181=0,"",('Phytopl Analysis'!AE181*LN('Phytopl Analysis'!AE181)))</f>
        <v/>
      </c>
      <c r="AF181" s="58" t="str">
        <f>IF('Phytopl Count'!AF181=0,"",('Phytopl Analysis'!AF181*LN('Phytopl Analysis'!AF181)))</f>
        <v/>
      </c>
    </row>
    <row r="182" spans="1:32" hidden="1">
      <c r="A182" s="5"/>
      <c r="B182" s="5"/>
      <c r="C182" s="5"/>
      <c r="D182" s="5"/>
      <c r="E182" s="10" t="s">
        <v>6</v>
      </c>
      <c r="F182" s="11" t="s">
        <v>326</v>
      </c>
      <c r="G182" s="21" t="str">
        <f>IF('Phytopl Count'!G182=0,"",('Phytopl Analysis'!G182*LN('Phytopl Analysis'!G182)))</f>
        <v/>
      </c>
      <c r="H182" s="21" t="str">
        <f>IF('Phytopl Count'!H182=0,"",('Phytopl Analysis'!H182*LN('Phytopl Analysis'!H182)))</f>
        <v/>
      </c>
      <c r="I182" s="58" t="str">
        <f>IF('Phytopl Count'!I182=0,"",('Phytopl Analysis'!I182*LN('Phytopl Analysis'!I182)))</f>
        <v/>
      </c>
      <c r="J182" s="58" t="str">
        <f>IF('Phytopl Count'!J182=0,"",('Phytopl Analysis'!J182*LN('Phytopl Analysis'!J182)))</f>
        <v/>
      </c>
      <c r="K182" s="21" t="str">
        <f>IF('Phytopl Count'!K182=0,"",('Phytopl Analysis'!K182*LN('Phytopl Analysis'!K182)))</f>
        <v/>
      </c>
      <c r="L182" s="21" t="str">
        <f>IF('Phytopl Count'!L182=0,"",('Phytopl Analysis'!L182*LN('Phytopl Analysis'!L182)))</f>
        <v/>
      </c>
      <c r="M182" s="58" t="str">
        <f>IF('Phytopl Count'!M182=0,"",('Phytopl Analysis'!M182*LN('Phytopl Analysis'!M182)))</f>
        <v/>
      </c>
      <c r="N182" s="58" t="str">
        <f>IF('Phytopl Count'!N182=0,"",('Phytopl Analysis'!N182*LN('Phytopl Analysis'!N182)))</f>
        <v/>
      </c>
      <c r="O182" s="21" t="str">
        <f>IF('Phytopl Count'!O182=0,"",('Phytopl Analysis'!O182*LN('Phytopl Analysis'!O182)))</f>
        <v/>
      </c>
      <c r="P182" s="21" t="str">
        <f>IF('Phytopl Count'!P182=0,"",('Phytopl Analysis'!P182*LN('Phytopl Analysis'!P182)))</f>
        <v/>
      </c>
      <c r="Q182" s="58" t="str">
        <f>IF('Phytopl Count'!Q182=0,"",('Phytopl Analysis'!Q182*LN('Phytopl Analysis'!Q182)))</f>
        <v/>
      </c>
      <c r="R182" s="58" t="str">
        <f>IF('Phytopl Count'!R182=0,"",('Phytopl Analysis'!R182*LN('Phytopl Analysis'!R182)))</f>
        <v/>
      </c>
      <c r="S182" s="21" t="str">
        <f>IF('Phytopl Count'!S182=0,"",('Phytopl Analysis'!S182*LN('Phytopl Analysis'!S182)))</f>
        <v/>
      </c>
      <c r="T182" s="21" t="str">
        <f>IF('Phytopl Count'!T182=0,"",('Phytopl Analysis'!T182*LN('Phytopl Analysis'!T182)))</f>
        <v/>
      </c>
      <c r="U182" s="58" t="str">
        <f>IF('Phytopl Count'!U182=0,"",('Phytopl Analysis'!U182*LN('Phytopl Analysis'!U182)))</f>
        <v/>
      </c>
      <c r="V182" s="58" t="str">
        <f>IF('Phytopl Count'!V182=0,"",('Phytopl Analysis'!V182*LN('Phytopl Analysis'!V182)))</f>
        <v/>
      </c>
      <c r="W182" s="21" t="str">
        <f>IF('Phytopl Count'!W182=0,"",('Phytopl Analysis'!W182*LN('Phytopl Analysis'!W182)))</f>
        <v/>
      </c>
      <c r="X182" s="21" t="str">
        <f>IF('Phytopl Count'!X182=0,"",('Phytopl Analysis'!X182*LN('Phytopl Analysis'!X182)))</f>
        <v/>
      </c>
      <c r="Y182" s="58" t="str">
        <f>IF('Phytopl Count'!Y182=0,"",('Phytopl Analysis'!Y182*LN('Phytopl Analysis'!Y182)))</f>
        <v/>
      </c>
      <c r="Z182" s="58" t="str">
        <f>IF('Phytopl Count'!Z182=0,"",('Phytopl Analysis'!Z182*LN('Phytopl Analysis'!Z182)))</f>
        <v/>
      </c>
      <c r="AA182" s="21" t="str">
        <f>IF('Phytopl Count'!AA182=0,"",('Phytopl Analysis'!AA182*LN('Phytopl Analysis'!AA182)))</f>
        <v/>
      </c>
      <c r="AB182" s="21" t="str">
        <f>IF('Phytopl Count'!AB182=0,"",('Phytopl Analysis'!AB182*LN('Phytopl Analysis'!AB182)))</f>
        <v/>
      </c>
      <c r="AC182" s="58" t="str">
        <f>IF('Phytopl Count'!AC182=0,"",('Phytopl Analysis'!AC182*LN('Phytopl Analysis'!AC182)))</f>
        <v/>
      </c>
      <c r="AD182" s="58" t="str">
        <f>IF('Phytopl Count'!AD182=0,"",('Phytopl Analysis'!AD182*LN('Phytopl Analysis'!AD182)))</f>
        <v/>
      </c>
      <c r="AE182" s="21" t="str">
        <f>IF('Phytopl Count'!AE182=0,"",('Phytopl Analysis'!AE182*LN('Phytopl Analysis'!AE182)))</f>
        <v/>
      </c>
      <c r="AF182" s="58" t="str">
        <f>IF('Phytopl Count'!AF182=0,"",('Phytopl Analysis'!AF182*LN('Phytopl Analysis'!AF182)))</f>
        <v/>
      </c>
    </row>
    <row r="183" spans="1:32" hidden="1">
      <c r="A183" s="4"/>
      <c r="B183" s="4"/>
      <c r="C183" s="4"/>
      <c r="D183" s="4"/>
      <c r="E183" s="4"/>
      <c r="F183" s="16"/>
      <c r="G183" s="21" t="str">
        <f>IF('Phytopl Count'!G183=0,"",('Phytopl Analysis'!G183*LN('Phytopl Analysis'!G183)))</f>
        <v/>
      </c>
      <c r="H183" s="21" t="str">
        <f>IF('Phytopl Count'!H183=0,"",('Phytopl Analysis'!H183*LN('Phytopl Analysis'!H183)))</f>
        <v/>
      </c>
      <c r="I183" s="58" t="str">
        <f>IF('Phytopl Count'!I183=0,"",('Phytopl Analysis'!I183*LN('Phytopl Analysis'!I183)))</f>
        <v/>
      </c>
      <c r="J183" s="58" t="str">
        <f>IF('Phytopl Count'!J183=0,"",('Phytopl Analysis'!J183*LN('Phytopl Analysis'!J183)))</f>
        <v/>
      </c>
      <c r="K183" s="21" t="str">
        <f>IF('Phytopl Count'!K183=0,"",('Phytopl Analysis'!K183*LN('Phytopl Analysis'!K183)))</f>
        <v/>
      </c>
      <c r="L183" s="21" t="str">
        <f>IF('Phytopl Count'!L183=0,"",('Phytopl Analysis'!L183*LN('Phytopl Analysis'!L183)))</f>
        <v/>
      </c>
      <c r="M183" s="58" t="str">
        <f>IF('Phytopl Count'!M183=0,"",('Phytopl Analysis'!M183*LN('Phytopl Analysis'!M183)))</f>
        <v/>
      </c>
      <c r="N183" s="58" t="str">
        <f>IF('Phytopl Count'!N183=0,"",('Phytopl Analysis'!N183*LN('Phytopl Analysis'!N183)))</f>
        <v/>
      </c>
      <c r="O183" s="21" t="str">
        <f>IF('Phytopl Count'!O183=0,"",('Phytopl Analysis'!O183*LN('Phytopl Analysis'!O183)))</f>
        <v/>
      </c>
      <c r="P183" s="21" t="str">
        <f>IF('Phytopl Count'!P183=0,"",('Phytopl Analysis'!P183*LN('Phytopl Analysis'!P183)))</f>
        <v/>
      </c>
      <c r="Q183" s="58" t="str">
        <f>IF('Phytopl Count'!Q183=0,"",('Phytopl Analysis'!Q183*LN('Phytopl Analysis'!Q183)))</f>
        <v/>
      </c>
      <c r="R183" s="58" t="str">
        <f>IF('Phytopl Count'!R183=0,"",('Phytopl Analysis'!R183*LN('Phytopl Analysis'!R183)))</f>
        <v/>
      </c>
      <c r="S183" s="21" t="str">
        <f>IF('Phytopl Count'!S183=0,"",('Phytopl Analysis'!S183*LN('Phytopl Analysis'!S183)))</f>
        <v/>
      </c>
      <c r="T183" s="21" t="str">
        <f>IF('Phytopl Count'!T183=0,"",('Phytopl Analysis'!T183*LN('Phytopl Analysis'!T183)))</f>
        <v/>
      </c>
      <c r="U183" s="58" t="str">
        <f>IF('Phytopl Count'!U183=0,"",('Phytopl Analysis'!U183*LN('Phytopl Analysis'!U183)))</f>
        <v/>
      </c>
      <c r="V183" s="58" t="str">
        <f>IF('Phytopl Count'!V183=0,"",('Phytopl Analysis'!V183*LN('Phytopl Analysis'!V183)))</f>
        <v/>
      </c>
      <c r="W183" s="21" t="str">
        <f>IF('Phytopl Count'!W183=0,"",('Phytopl Analysis'!W183*LN('Phytopl Analysis'!W183)))</f>
        <v/>
      </c>
      <c r="X183" s="21" t="str">
        <f>IF('Phytopl Count'!X183=0,"",('Phytopl Analysis'!X183*LN('Phytopl Analysis'!X183)))</f>
        <v/>
      </c>
      <c r="Y183" s="58" t="str">
        <f>IF('Phytopl Count'!Y183=0,"",('Phytopl Analysis'!Y183*LN('Phytopl Analysis'!Y183)))</f>
        <v/>
      </c>
      <c r="Z183" s="58" t="str">
        <f>IF('Phytopl Count'!Z183=0,"",('Phytopl Analysis'!Z183*LN('Phytopl Analysis'!Z183)))</f>
        <v/>
      </c>
      <c r="AA183" s="21" t="str">
        <f>IF('Phytopl Count'!AA183=0,"",('Phytopl Analysis'!AA183*LN('Phytopl Analysis'!AA183)))</f>
        <v/>
      </c>
      <c r="AB183" s="21" t="str">
        <f>IF('Phytopl Count'!AB183=0,"",('Phytopl Analysis'!AB183*LN('Phytopl Analysis'!AB183)))</f>
        <v/>
      </c>
      <c r="AC183" s="58" t="str">
        <f>IF('Phytopl Count'!AC183=0,"",('Phytopl Analysis'!AC183*LN('Phytopl Analysis'!AC183)))</f>
        <v/>
      </c>
      <c r="AD183" s="58" t="str">
        <f>IF('Phytopl Count'!AD183=0,"",('Phytopl Analysis'!AD183*LN('Phytopl Analysis'!AD183)))</f>
        <v/>
      </c>
      <c r="AE183" s="21" t="str">
        <f>IF('Phytopl Count'!AE183=0,"",('Phytopl Analysis'!AE183*LN('Phytopl Analysis'!AE183)))</f>
        <v/>
      </c>
      <c r="AF183" s="58" t="str">
        <f>IF('Phytopl Count'!AF183=0,"",('Phytopl Analysis'!AF183*LN('Phytopl Analysis'!AF183)))</f>
        <v/>
      </c>
    </row>
    <row r="184" spans="1:32" hidden="1">
      <c r="A184" s="16" t="s">
        <v>4</v>
      </c>
      <c r="B184" s="4" t="s">
        <v>383</v>
      </c>
      <c r="C184" s="16"/>
      <c r="D184" s="4"/>
      <c r="E184" s="5"/>
      <c r="F184" s="9"/>
      <c r="G184" s="21" t="str">
        <f>IF('Phytopl Count'!G184=0,"",('Phytopl Analysis'!G184*LN('Phytopl Analysis'!G184)))</f>
        <v/>
      </c>
      <c r="H184" s="21" t="str">
        <f>IF('Phytopl Count'!H184=0,"",('Phytopl Analysis'!H184*LN('Phytopl Analysis'!H184)))</f>
        <v/>
      </c>
      <c r="I184" s="58" t="str">
        <f>IF('Phytopl Count'!I184=0,"",('Phytopl Analysis'!I184*LN('Phytopl Analysis'!I184)))</f>
        <v/>
      </c>
      <c r="J184" s="58" t="str">
        <f>IF('Phytopl Count'!J184=0,"",('Phytopl Analysis'!J184*LN('Phytopl Analysis'!J184)))</f>
        <v/>
      </c>
      <c r="K184" s="21" t="str">
        <f>IF('Phytopl Count'!K184=0,"",('Phytopl Analysis'!K184*LN('Phytopl Analysis'!K184)))</f>
        <v/>
      </c>
      <c r="L184" s="21" t="str">
        <f>IF('Phytopl Count'!L184=0,"",('Phytopl Analysis'!L184*LN('Phytopl Analysis'!L184)))</f>
        <v/>
      </c>
      <c r="M184" s="58" t="str">
        <f>IF('Phytopl Count'!M184=0,"",('Phytopl Analysis'!M184*LN('Phytopl Analysis'!M184)))</f>
        <v/>
      </c>
      <c r="N184" s="58" t="str">
        <f>IF('Phytopl Count'!N184=0,"",('Phytopl Analysis'!N184*LN('Phytopl Analysis'!N184)))</f>
        <v/>
      </c>
      <c r="O184" s="21" t="str">
        <f>IF('Phytopl Count'!O184=0,"",('Phytopl Analysis'!O184*LN('Phytopl Analysis'!O184)))</f>
        <v/>
      </c>
      <c r="P184" s="21" t="str">
        <f>IF('Phytopl Count'!P184=0,"",('Phytopl Analysis'!P184*LN('Phytopl Analysis'!P184)))</f>
        <v/>
      </c>
      <c r="Q184" s="58" t="str">
        <f>IF('Phytopl Count'!Q184=0,"",('Phytopl Analysis'!Q184*LN('Phytopl Analysis'!Q184)))</f>
        <v/>
      </c>
      <c r="R184" s="58" t="str">
        <f>IF('Phytopl Count'!R184=0,"",('Phytopl Analysis'!R184*LN('Phytopl Analysis'!R184)))</f>
        <v/>
      </c>
      <c r="S184" s="21" t="str">
        <f>IF('Phytopl Count'!S184=0,"",('Phytopl Analysis'!S184*LN('Phytopl Analysis'!S184)))</f>
        <v/>
      </c>
      <c r="T184" s="21" t="str">
        <f>IF('Phytopl Count'!T184=0,"",('Phytopl Analysis'!T184*LN('Phytopl Analysis'!T184)))</f>
        <v/>
      </c>
      <c r="U184" s="58" t="str">
        <f>IF('Phytopl Count'!U184=0,"",('Phytopl Analysis'!U184*LN('Phytopl Analysis'!U184)))</f>
        <v/>
      </c>
      <c r="V184" s="58" t="str">
        <f>IF('Phytopl Count'!V184=0,"",('Phytopl Analysis'!V184*LN('Phytopl Analysis'!V184)))</f>
        <v/>
      </c>
      <c r="W184" s="21" t="str">
        <f>IF('Phytopl Count'!W184=0,"",('Phytopl Analysis'!W184*LN('Phytopl Analysis'!W184)))</f>
        <v/>
      </c>
      <c r="X184" s="21" t="str">
        <f>IF('Phytopl Count'!X184=0,"",('Phytopl Analysis'!X184*LN('Phytopl Analysis'!X184)))</f>
        <v/>
      </c>
      <c r="Y184" s="58" t="str">
        <f>IF('Phytopl Count'!Y184=0,"",('Phytopl Analysis'!Y184*LN('Phytopl Analysis'!Y184)))</f>
        <v/>
      </c>
      <c r="Z184" s="58" t="str">
        <f>IF('Phytopl Count'!Z184=0,"",('Phytopl Analysis'!Z184*LN('Phytopl Analysis'!Z184)))</f>
        <v/>
      </c>
      <c r="AA184" s="21" t="str">
        <f>IF('Phytopl Count'!AA184=0,"",('Phytopl Analysis'!AA184*LN('Phytopl Analysis'!AA184)))</f>
        <v/>
      </c>
      <c r="AB184" s="21" t="str">
        <f>IF('Phytopl Count'!AB184=0,"",('Phytopl Analysis'!AB184*LN('Phytopl Analysis'!AB184)))</f>
        <v/>
      </c>
      <c r="AC184" s="58" t="str">
        <f>IF('Phytopl Count'!AC184=0,"",('Phytopl Analysis'!AC184*LN('Phytopl Analysis'!AC184)))</f>
        <v/>
      </c>
      <c r="AD184" s="58" t="str">
        <f>IF('Phytopl Count'!AD184=0,"",('Phytopl Analysis'!AD184*LN('Phytopl Analysis'!AD184)))</f>
        <v/>
      </c>
      <c r="AE184" s="21" t="str">
        <f>IF('Phytopl Count'!AE184=0,"",('Phytopl Analysis'!AE184*LN('Phytopl Analysis'!AE184)))</f>
        <v/>
      </c>
      <c r="AF184" s="58" t="str">
        <f>IF('Phytopl Count'!AF184=0,"",('Phytopl Analysis'!AF184*LN('Phytopl Analysis'!AF184)))</f>
        <v/>
      </c>
    </row>
    <row r="185" spans="1:32" hidden="1">
      <c r="A185" s="16"/>
      <c r="B185" s="16" t="s">
        <v>72</v>
      </c>
      <c r="C185" s="28" t="s">
        <v>384</v>
      </c>
      <c r="D185" s="4"/>
      <c r="E185" s="5"/>
      <c r="F185" s="9"/>
      <c r="G185" s="21" t="str">
        <f>IF('Phytopl Count'!G185=0,"",('Phytopl Analysis'!G185*LN('Phytopl Analysis'!G185)))</f>
        <v/>
      </c>
      <c r="H185" s="21" t="str">
        <f>IF('Phytopl Count'!H185=0,"",('Phytopl Analysis'!H185*LN('Phytopl Analysis'!H185)))</f>
        <v/>
      </c>
      <c r="I185" s="58" t="str">
        <f>IF('Phytopl Count'!I185=0,"",('Phytopl Analysis'!I185*LN('Phytopl Analysis'!I185)))</f>
        <v/>
      </c>
      <c r="J185" s="58" t="str">
        <f>IF('Phytopl Count'!J185=0,"",('Phytopl Analysis'!J185*LN('Phytopl Analysis'!J185)))</f>
        <v/>
      </c>
      <c r="K185" s="21" t="str">
        <f>IF('Phytopl Count'!K185=0,"",('Phytopl Analysis'!K185*LN('Phytopl Analysis'!K185)))</f>
        <v/>
      </c>
      <c r="L185" s="21" t="str">
        <f>IF('Phytopl Count'!L185=0,"",('Phytopl Analysis'!L185*LN('Phytopl Analysis'!L185)))</f>
        <v/>
      </c>
      <c r="M185" s="58" t="str">
        <f>IF('Phytopl Count'!M185=0,"",('Phytopl Analysis'!M185*LN('Phytopl Analysis'!M185)))</f>
        <v/>
      </c>
      <c r="N185" s="58" t="str">
        <f>IF('Phytopl Count'!N185=0,"",('Phytopl Analysis'!N185*LN('Phytopl Analysis'!N185)))</f>
        <v/>
      </c>
      <c r="O185" s="21" t="str">
        <f>IF('Phytopl Count'!O185=0,"",('Phytopl Analysis'!O185*LN('Phytopl Analysis'!O185)))</f>
        <v/>
      </c>
      <c r="P185" s="21" t="str">
        <f>IF('Phytopl Count'!P185=0,"",('Phytopl Analysis'!P185*LN('Phytopl Analysis'!P185)))</f>
        <v/>
      </c>
      <c r="Q185" s="58" t="str">
        <f>IF('Phytopl Count'!Q185=0,"",('Phytopl Analysis'!Q185*LN('Phytopl Analysis'!Q185)))</f>
        <v/>
      </c>
      <c r="R185" s="58" t="str">
        <f>IF('Phytopl Count'!R185=0,"",('Phytopl Analysis'!R185*LN('Phytopl Analysis'!R185)))</f>
        <v/>
      </c>
      <c r="S185" s="21" t="str">
        <f>IF('Phytopl Count'!S185=0,"",('Phytopl Analysis'!S185*LN('Phytopl Analysis'!S185)))</f>
        <v/>
      </c>
      <c r="T185" s="21" t="str">
        <f>IF('Phytopl Count'!T185=0,"",('Phytopl Analysis'!T185*LN('Phytopl Analysis'!T185)))</f>
        <v/>
      </c>
      <c r="U185" s="58" t="str">
        <f>IF('Phytopl Count'!U185=0,"",('Phytopl Analysis'!U185*LN('Phytopl Analysis'!U185)))</f>
        <v/>
      </c>
      <c r="V185" s="58" t="str">
        <f>IF('Phytopl Count'!V185=0,"",('Phytopl Analysis'!V185*LN('Phytopl Analysis'!V185)))</f>
        <v/>
      </c>
      <c r="W185" s="21" t="str">
        <f>IF('Phytopl Count'!W185=0,"",('Phytopl Analysis'!W185*LN('Phytopl Analysis'!W185)))</f>
        <v/>
      </c>
      <c r="X185" s="21" t="str">
        <f>IF('Phytopl Count'!X185=0,"",('Phytopl Analysis'!X185*LN('Phytopl Analysis'!X185)))</f>
        <v/>
      </c>
      <c r="Y185" s="58" t="str">
        <f>IF('Phytopl Count'!Y185=0,"",('Phytopl Analysis'!Y185*LN('Phytopl Analysis'!Y185)))</f>
        <v/>
      </c>
      <c r="Z185" s="58" t="str">
        <f>IF('Phytopl Count'!Z185=0,"",('Phytopl Analysis'!Z185*LN('Phytopl Analysis'!Z185)))</f>
        <v/>
      </c>
      <c r="AA185" s="21" t="str">
        <f>IF('Phytopl Count'!AA185=0,"",('Phytopl Analysis'!AA185*LN('Phytopl Analysis'!AA185)))</f>
        <v/>
      </c>
      <c r="AB185" s="21" t="str">
        <f>IF('Phytopl Count'!AB185=0,"",('Phytopl Analysis'!AB185*LN('Phytopl Analysis'!AB185)))</f>
        <v/>
      </c>
      <c r="AC185" s="58" t="str">
        <f>IF('Phytopl Count'!AC185=0,"",('Phytopl Analysis'!AC185*LN('Phytopl Analysis'!AC185)))</f>
        <v/>
      </c>
      <c r="AD185" s="58" t="str">
        <f>IF('Phytopl Count'!AD185=0,"",('Phytopl Analysis'!AD185*LN('Phytopl Analysis'!AD185)))</f>
        <v/>
      </c>
      <c r="AE185" s="21" t="str">
        <f>IF('Phytopl Count'!AE185=0,"",('Phytopl Analysis'!AE185*LN('Phytopl Analysis'!AE185)))</f>
        <v/>
      </c>
      <c r="AF185" s="58" t="str">
        <f>IF('Phytopl Count'!AF185=0,"",('Phytopl Analysis'!AF185*LN('Phytopl Analysis'!AF185)))</f>
        <v/>
      </c>
    </row>
    <row r="186" spans="1:32" hidden="1">
      <c r="A186" s="16"/>
      <c r="B186" s="16"/>
      <c r="C186" s="16" t="s">
        <v>73</v>
      </c>
      <c r="D186" s="4" t="s">
        <v>385</v>
      </c>
      <c r="E186" s="5"/>
      <c r="F186" s="9"/>
      <c r="G186" s="21" t="str">
        <f>IF('Phytopl Count'!G186=0,"",('Phytopl Analysis'!G186*LN('Phytopl Analysis'!G186)))</f>
        <v/>
      </c>
      <c r="H186" s="21" t="str">
        <f>IF('Phytopl Count'!H186=0,"",('Phytopl Analysis'!H186*LN('Phytopl Analysis'!H186)))</f>
        <v/>
      </c>
      <c r="I186" s="58" t="str">
        <f>IF('Phytopl Count'!I186=0,"",('Phytopl Analysis'!I186*LN('Phytopl Analysis'!I186)))</f>
        <v/>
      </c>
      <c r="J186" s="58" t="str">
        <f>IF('Phytopl Count'!J186=0,"",('Phytopl Analysis'!J186*LN('Phytopl Analysis'!J186)))</f>
        <v/>
      </c>
      <c r="K186" s="21" t="str">
        <f>IF('Phytopl Count'!K186=0,"",('Phytopl Analysis'!K186*LN('Phytopl Analysis'!K186)))</f>
        <v/>
      </c>
      <c r="L186" s="21" t="str">
        <f>IF('Phytopl Count'!L186=0,"",('Phytopl Analysis'!L186*LN('Phytopl Analysis'!L186)))</f>
        <v/>
      </c>
      <c r="M186" s="58" t="str">
        <f>IF('Phytopl Count'!M186=0,"",('Phytopl Analysis'!M186*LN('Phytopl Analysis'!M186)))</f>
        <v/>
      </c>
      <c r="N186" s="58" t="str">
        <f>IF('Phytopl Count'!N186=0,"",('Phytopl Analysis'!N186*LN('Phytopl Analysis'!N186)))</f>
        <v/>
      </c>
      <c r="O186" s="21" t="str">
        <f>IF('Phytopl Count'!O186=0,"",('Phytopl Analysis'!O186*LN('Phytopl Analysis'!O186)))</f>
        <v/>
      </c>
      <c r="P186" s="21" t="str">
        <f>IF('Phytopl Count'!P186=0,"",('Phytopl Analysis'!P186*LN('Phytopl Analysis'!P186)))</f>
        <v/>
      </c>
      <c r="Q186" s="58" t="str">
        <f>IF('Phytopl Count'!Q186=0,"",('Phytopl Analysis'!Q186*LN('Phytopl Analysis'!Q186)))</f>
        <v/>
      </c>
      <c r="R186" s="58" t="str">
        <f>IF('Phytopl Count'!R186=0,"",('Phytopl Analysis'!R186*LN('Phytopl Analysis'!R186)))</f>
        <v/>
      </c>
      <c r="S186" s="21" t="str">
        <f>IF('Phytopl Count'!S186=0,"",('Phytopl Analysis'!S186*LN('Phytopl Analysis'!S186)))</f>
        <v/>
      </c>
      <c r="T186" s="21" t="str">
        <f>IF('Phytopl Count'!T186=0,"",('Phytopl Analysis'!T186*LN('Phytopl Analysis'!T186)))</f>
        <v/>
      </c>
      <c r="U186" s="58" t="str">
        <f>IF('Phytopl Count'!U186=0,"",('Phytopl Analysis'!U186*LN('Phytopl Analysis'!U186)))</f>
        <v/>
      </c>
      <c r="V186" s="58" t="str">
        <f>IF('Phytopl Count'!V186=0,"",('Phytopl Analysis'!V186*LN('Phytopl Analysis'!V186)))</f>
        <v/>
      </c>
      <c r="W186" s="21" t="str">
        <f>IF('Phytopl Count'!W186=0,"",('Phytopl Analysis'!W186*LN('Phytopl Analysis'!W186)))</f>
        <v/>
      </c>
      <c r="X186" s="21" t="str">
        <f>IF('Phytopl Count'!X186=0,"",('Phytopl Analysis'!X186*LN('Phytopl Analysis'!X186)))</f>
        <v/>
      </c>
      <c r="Y186" s="58" t="str">
        <f>IF('Phytopl Count'!Y186=0,"",('Phytopl Analysis'!Y186*LN('Phytopl Analysis'!Y186)))</f>
        <v/>
      </c>
      <c r="Z186" s="58" t="str">
        <f>IF('Phytopl Count'!Z186=0,"",('Phytopl Analysis'!Z186*LN('Phytopl Analysis'!Z186)))</f>
        <v/>
      </c>
      <c r="AA186" s="21" t="str">
        <f>IF('Phytopl Count'!AA186=0,"",('Phytopl Analysis'!AA186*LN('Phytopl Analysis'!AA186)))</f>
        <v/>
      </c>
      <c r="AB186" s="21" t="str">
        <f>IF('Phytopl Count'!AB186=0,"",('Phytopl Analysis'!AB186*LN('Phytopl Analysis'!AB186)))</f>
        <v/>
      </c>
      <c r="AC186" s="58" t="str">
        <f>IF('Phytopl Count'!AC186=0,"",('Phytopl Analysis'!AC186*LN('Phytopl Analysis'!AC186)))</f>
        <v/>
      </c>
      <c r="AD186" s="58" t="str">
        <f>IF('Phytopl Count'!AD186=0,"",('Phytopl Analysis'!AD186*LN('Phytopl Analysis'!AD186)))</f>
        <v/>
      </c>
      <c r="AE186" s="21" t="str">
        <f>IF('Phytopl Count'!AE186=0,"",('Phytopl Analysis'!AE186*LN('Phytopl Analysis'!AE186)))</f>
        <v/>
      </c>
      <c r="AF186" s="58" t="str">
        <f>IF('Phytopl Count'!AF186=0,"",('Phytopl Analysis'!AF186*LN('Phytopl Analysis'!AF186)))</f>
        <v/>
      </c>
    </row>
    <row r="187" spans="1:32" hidden="1">
      <c r="A187" s="16"/>
      <c r="B187" s="16"/>
      <c r="C187" s="16"/>
      <c r="D187" s="10" t="s">
        <v>5</v>
      </c>
      <c r="E187" s="169" t="s">
        <v>386</v>
      </c>
      <c r="F187" s="9"/>
      <c r="G187" s="21" t="str">
        <f>IF('Phytopl Count'!G187=0,"",('Phytopl Analysis'!G187*LN('Phytopl Analysis'!G187)))</f>
        <v/>
      </c>
      <c r="H187" s="21" t="str">
        <f>IF('Phytopl Count'!H187=0,"",('Phytopl Analysis'!H187*LN('Phytopl Analysis'!H187)))</f>
        <v/>
      </c>
      <c r="I187" s="58" t="str">
        <f>IF('Phytopl Count'!I187=0,"",('Phytopl Analysis'!I187*LN('Phytopl Analysis'!I187)))</f>
        <v/>
      </c>
      <c r="J187" s="58" t="str">
        <f>IF('Phytopl Count'!J187=0,"",('Phytopl Analysis'!J187*LN('Phytopl Analysis'!J187)))</f>
        <v/>
      </c>
      <c r="K187" s="21" t="str">
        <f>IF('Phytopl Count'!K187=0,"",('Phytopl Analysis'!K187*LN('Phytopl Analysis'!K187)))</f>
        <v/>
      </c>
      <c r="L187" s="21" t="str">
        <f>IF('Phytopl Count'!L187=0,"",('Phytopl Analysis'!L187*LN('Phytopl Analysis'!L187)))</f>
        <v/>
      </c>
      <c r="M187" s="58" t="str">
        <f>IF('Phytopl Count'!M187=0,"",('Phytopl Analysis'!M187*LN('Phytopl Analysis'!M187)))</f>
        <v/>
      </c>
      <c r="N187" s="58" t="str">
        <f>IF('Phytopl Count'!N187=0,"",('Phytopl Analysis'!N187*LN('Phytopl Analysis'!N187)))</f>
        <v/>
      </c>
      <c r="O187" s="21" t="str">
        <f>IF('Phytopl Count'!O187=0,"",('Phytopl Analysis'!O187*LN('Phytopl Analysis'!O187)))</f>
        <v/>
      </c>
      <c r="P187" s="21" t="str">
        <f>IF('Phytopl Count'!P187=0,"",('Phytopl Analysis'!P187*LN('Phytopl Analysis'!P187)))</f>
        <v/>
      </c>
      <c r="Q187" s="58" t="str">
        <f>IF('Phytopl Count'!Q187=0,"",('Phytopl Analysis'!Q187*LN('Phytopl Analysis'!Q187)))</f>
        <v/>
      </c>
      <c r="R187" s="58" t="str">
        <f>IF('Phytopl Count'!R187=0,"",('Phytopl Analysis'!R187*LN('Phytopl Analysis'!R187)))</f>
        <v/>
      </c>
      <c r="S187" s="21" t="str">
        <f>IF('Phytopl Count'!S187=0,"",('Phytopl Analysis'!S187*LN('Phytopl Analysis'!S187)))</f>
        <v/>
      </c>
      <c r="T187" s="21" t="str">
        <f>IF('Phytopl Count'!T187=0,"",('Phytopl Analysis'!T187*LN('Phytopl Analysis'!T187)))</f>
        <v/>
      </c>
      <c r="U187" s="58" t="str">
        <f>IF('Phytopl Count'!U187=0,"",('Phytopl Analysis'!U187*LN('Phytopl Analysis'!U187)))</f>
        <v/>
      </c>
      <c r="V187" s="58" t="str">
        <f>IF('Phytopl Count'!V187=0,"",('Phytopl Analysis'!V187*LN('Phytopl Analysis'!V187)))</f>
        <v/>
      </c>
      <c r="W187" s="21" t="str">
        <f>IF('Phytopl Count'!W187=0,"",('Phytopl Analysis'!W187*LN('Phytopl Analysis'!W187)))</f>
        <v/>
      </c>
      <c r="X187" s="21" t="str">
        <f>IF('Phytopl Count'!X187=0,"",('Phytopl Analysis'!X187*LN('Phytopl Analysis'!X187)))</f>
        <v/>
      </c>
      <c r="Y187" s="58" t="str">
        <f>IF('Phytopl Count'!Y187=0,"",('Phytopl Analysis'!Y187*LN('Phytopl Analysis'!Y187)))</f>
        <v/>
      </c>
      <c r="Z187" s="58" t="str">
        <f>IF('Phytopl Count'!Z187=0,"",('Phytopl Analysis'!Z187*LN('Phytopl Analysis'!Z187)))</f>
        <v/>
      </c>
      <c r="AA187" s="21" t="str">
        <f>IF('Phytopl Count'!AA187=0,"",('Phytopl Analysis'!AA187*LN('Phytopl Analysis'!AA187)))</f>
        <v/>
      </c>
      <c r="AB187" s="21" t="str">
        <f>IF('Phytopl Count'!AB187=0,"",('Phytopl Analysis'!AB187*LN('Phytopl Analysis'!AB187)))</f>
        <v/>
      </c>
      <c r="AC187" s="58" t="str">
        <f>IF('Phytopl Count'!AC187=0,"",('Phytopl Analysis'!AC187*LN('Phytopl Analysis'!AC187)))</f>
        <v/>
      </c>
      <c r="AD187" s="58" t="str">
        <f>IF('Phytopl Count'!AD187=0,"",('Phytopl Analysis'!AD187*LN('Phytopl Analysis'!AD187)))</f>
        <v/>
      </c>
      <c r="AE187" s="21" t="str">
        <f>IF('Phytopl Count'!AE187=0,"",('Phytopl Analysis'!AE187*LN('Phytopl Analysis'!AE187)))</f>
        <v/>
      </c>
      <c r="AF187" s="58" t="str">
        <f>IF('Phytopl Count'!AF187=0,"",('Phytopl Analysis'!AF187*LN('Phytopl Analysis'!AF187)))</f>
        <v/>
      </c>
    </row>
    <row r="188" spans="1:32" hidden="1">
      <c r="A188" s="4"/>
      <c r="B188" s="4"/>
      <c r="C188" s="4"/>
      <c r="D188" s="5"/>
      <c r="E188" s="10" t="s">
        <v>6</v>
      </c>
      <c r="F188" s="11" t="s">
        <v>387</v>
      </c>
      <c r="G188" s="21" t="str">
        <f>IF('Phytopl Count'!G188=0,"",('Phytopl Analysis'!G188*LN('Phytopl Analysis'!G188)))</f>
        <v/>
      </c>
      <c r="H188" s="21" t="str">
        <f>IF('Phytopl Count'!H188=0,"",('Phytopl Analysis'!H188*LN('Phytopl Analysis'!H188)))</f>
        <v/>
      </c>
      <c r="I188" s="58" t="str">
        <f>IF('Phytopl Count'!I188=0,"",('Phytopl Analysis'!I188*LN('Phytopl Analysis'!I188)))</f>
        <v/>
      </c>
      <c r="J188" s="58" t="str">
        <f>IF('Phytopl Count'!J188=0,"",('Phytopl Analysis'!J188*LN('Phytopl Analysis'!J188)))</f>
        <v/>
      </c>
      <c r="K188" s="21" t="str">
        <f>IF('Phytopl Count'!K188=0,"",('Phytopl Analysis'!K188*LN('Phytopl Analysis'!K188)))</f>
        <v/>
      </c>
      <c r="L188" s="21" t="str">
        <f>IF('Phytopl Count'!L188=0,"",('Phytopl Analysis'!L188*LN('Phytopl Analysis'!L188)))</f>
        <v/>
      </c>
      <c r="M188" s="58" t="str">
        <f>IF('Phytopl Count'!M188=0,"",('Phytopl Analysis'!M188*LN('Phytopl Analysis'!M188)))</f>
        <v/>
      </c>
      <c r="N188" s="58" t="str">
        <f>IF('Phytopl Count'!N188=0,"",('Phytopl Analysis'!N188*LN('Phytopl Analysis'!N188)))</f>
        <v/>
      </c>
      <c r="O188" s="21" t="str">
        <f>IF('Phytopl Count'!O188=0,"",('Phytopl Analysis'!O188*LN('Phytopl Analysis'!O188)))</f>
        <v/>
      </c>
      <c r="P188" s="21" t="str">
        <f>IF('Phytopl Count'!P188=0,"",('Phytopl Analysis'!P188*LN('Phytopl Analysis'!P188)))</f>
        <v/>
      </c>
      <c r="Q188" s="58" t="str">
        <f>IF('Phytopl Count'!Q188=0,"",('Phytopl Analysis'!Q188*LN('Phytopl Analysis'!Q188)))</f>
        <v/>
      </c>
      <c r="R188" s="58" t="str">
        <f>IF('Phytopl Count'!R188=0,"",('Phytopl Analysis'!R188*LN('Phytopl Analysis'!R188)))</f>
        <v/>
      </c>
      <c r="S188" s="21" t="str">
        <f>IF('Phytopl Count'!S188=0,"",('Phytopl Analysis'!S188*LN('Phytopl Analysis'!S188)))</f>
        <v/>
      </c>
      <c r="T188" s="21" t="str">
        <f>IF('Phytopl Count'!T188=0,"",('Phytopl Analysis'!T188*LN('Phytopl Analysis'!T188)))</f>
        <v/>
      </c>
      <c r="U188" s="58" t="str">
        <f>IF('Phytopl Count'!U188=0,"",('Phytopl Analysis'!U188*LN('Phytopl Analysis'!U188)))</f>
        <v/>
      </c>
      <c r="V188" s="58" t="str">
        <f>IF('Phytopl Count'!V188=0,"",('Phytopl Analysis'!V188*LN('Phytopl Analysis'!V188)))</f>
        <v/>
      </c>
      <c r="W188" s="21" t="str">
        <f>IF('Phytopl Count'!W188=0,"",('Phytopl Analysis'!W188*LN('Phytopl Analysis'!W188)))</f>
        <v/>
      </c>
      <c r="X188" s="21" t="str">
        <f>IF('Phytopl Count'!X188=0,"",('Phytopl Analysis'!X188*LN('Phytopl Analysis'!X188)))</f>
        <v/>
      </c>
      <c r="Y188" s="58" t="str">
        <f>IF('Phytopl Count'!Y188=0,"",('Phytopl Analysis'!Y188*LN('Phytopl Analysis'!Y188)))</f>
        <v/>
      </c>
      <c r="Z188" s="58" t="str">
        <f>IF('Phytopl Count'!Z188=0,"",('Phytopl Analysis'!Z188*LN('Phytopl Analysis'!Z188)))</f>
        <v/>
      </c>
      <c r="AA188" s="21" t="str">
        <f>IF('Phytopl Count'!AA188=0,"",('Phytopl Analysis'!AA188*LN('Phytopl Analysis'!AA188)))</f>
        <v/>
      </c>
      <c r="AB188" s="21" t="str">
        <f>IF('Phytopl Count'!AB188=0,"",('Phytopl Analysis'!AB188*LN('Phytopl Analysis'!AB188)))</f>
        <v/>
      </c>
      <c r="AC188" s="58" t="str">
        <f>IF('Phytopl Count'!AC188=0,"",('Phytopl Analysis'!AC188*LN('Phytopl Analysis'!AC188)))</f>
        <v/>
      </c>
      <c r="AD188" s="58" t="str">
        <f>IF('Phytopl Count'!AD188=0,"",('Phytopl Analysis'!AD188*LN('Phytopl Analysis'!AD188)))</f>
        <v/>
      </c>
      <c r="AE188" s="21" t="str">
        <f>IF('Phytopl Count'!AE188=0,"",('Phytopl Analysis'!AE188*LN('Phytopl Analysis'!AE188)))</f>
        <v/>
      </c>
      <c r="AF188" s="58" t="str">
        <f>IF('Phytopl Count'!AF188=0,"",('Phytopl Analysis'!AF188*LN('Phytopl Analysis'!AF188)))</f>
        <v/>
      </c>
    </row>
    <row r="189" spans="1:32">
      <c r="A189" s="4"/>
      <c r="B189" s="4"/>
      <c r="C189" s="4"/>
      <c r="D189" s="5"/>
      <c r="E189" s="10"/>
      <c r="F189" s="11"/>
      <c r="G189" s="21"/>
      <c r="H189" s="21"/>
      <c r="I189" s="58"/>
      <c r="J189" s="58"/>
      <c r="K189" s="21"/>
      <c r="L189" s="21"/>
      <c r="M189" s="58"/>
      <c r="N189" s="58"/>
      <c r="O189" s="21"/>
      <c r="P189" s="21"/>
      <c r="Q189" s="58"/>
      <c r="R189" s="58"/>
      <c r="S189" s="21"/>
      <c r="T189" s="21"/>
      <c r="U189" s="58"/>
      <c r="V189" s="58"/>
      <c r="W189" s="21"/>
      <c r="X189" s="21"/>
      <c r="Y189" s="58"/>
      <c r="Z189" s="58"/>
      <c r="AA189" s="21"/>
      <c r="AB189" s="21"/>
      <c r="AC189" s="58"/>
      <c r="AD189" s="58"/>
      <c r="AE189" s="21"/>
      <c r="AF189" s="58"/>
    </row>
    <row r="190" spans="1:32">
      <c r="A190" s="16" t="s">
        <v>4</v>
      </c>
      <c r="B190" s="4" t="s">
        <v>304</v>
      </c>
      <c r="C190" s="16"/>
      <c r="D190" s="4"/>
      <c r="E190" s="4"/>
      <c r="F190" s="59"/>
      <c r="G190" s="21" t="str">
        <f>IF('Phytopl Count'!G190=0,"",('Phytopl Analysis'!G190*LN('Phytopl Analysis'!G190)))</f>
        <v/>
      </c>
      <c r="H190" s="21" t="str">
        <f>IF('Phytopl Count'!H190=0,"",('Phytopl Analysis'!H190*LN('Phytopl Analysis'!H190)))</f>
        <v/>
      </c>
      <c r="I190" s="58" t="str">
        <f>IF('Phytopl Count'!I190=0,"",('Phytopl Analysis'!I190*LN('Phytopl Analysis'!I190)))</f>
        <v/>
      </c>
      <c r="J190" s="58" t="str">
        <f>IF('Phytopl Count'!J190=0,"",('Phytopl Analysis'!J190*LN('Phytopl Analysis'!J190)))</f>
        <v/>
      </c>
      <c r="K190" s="21" t="str">
        <f>IF('Phytopl Count'!K190=0,"",('Phytopl Analysis'!K190*LN('Phytopl Analysis'!K190)))</f>
        <v/>
      </c>
      <c r="L190" s="21" t="str">
        <f>IF('Phytopl Count'!L190=0,"",('Phytopl Analysis'!L190*LN('Phytopl Analysis'!L190)))</f>
        <v/>
      </c>
      <c r="M190" s="58" t="str">
        <f>IF('Phytopl Count'!M190=0,"",('Phytopl Analysis'!M190*LN('Phytopl Analysis'!M190)))</f>
        <v/>
      </c>
      <c r="N190" s="58" t="str">
        <f>IF('Phytopl Count'!N190=0,"",('Phytopl Analysis'!N190*LN('Phytopl Analysis'!N190)))</f>
        <v/>
      </c>
      <c r="O190" s="21" t="str">
        <f>IF('Phytopl Count'!O190=0,"",('Phytopl Analysis'!O190*LN('Phytopl Analysis'!O190)))</f>
        <v/>
      </c>
      <c r="P190" s="21" t="str">
        <f>IF('Phytopl Count'!P190=0,"",('Phytopl Analysis'!P190*LN('Phytopl Analysis'!P190)))</f>
        <v/>
      </c>
      <c r="Q190" s="58" t="str">
        <f>IF('Phytopl Count'!Q190=0,"",('Phytopl Analysis'!Q190*LN('Phytopl Analysis'!Q190)))</f>
        <v/>
      </c>
      <c r="R190" s="58" t="str">
        <f>IF('Phytopl Count'!R190=0,"",('Phytopl Analysis'!R190*LN('Phytopl Analysis'!R190)))</f>
        <v/>
      </c>
      <c r="S190" s="21" t="str">
        <f>IF('Phytopl Count'!S190=0,"",('Phytopl Analysis'!S190*LN('Phytopl Analysis'!S190)))</f>
        <v/>
      </c>
      <c r="T190" s="21" t="str">
        <f>IF('Phytopl Count'!T190=0,"",('Phytopl Analysis'!T190*LN('Phytopl Analysis'!T190)))</f>
        <v/>
      </c>
      <c r="U190" s="58" t="str">
        <f>IF('Phytopl Count'!U190=0,"",('Phytopl Analysis'!U190*LN('Phytopl Analysis'!U190)))</f>
        <v/>
      </c>
      <c r="V190" s="58" t="str">
        <f>IF('Phytopl Count'!V190=0,"",('Phytopl Analysis'!V190*LN('Phytopl Analysis'!V190)))</f>
        <v/>
      </c>
      <c r="W190" s="21" t="str">
        <f>IF('Phytopl Count'!W190=0,"",('Phytopl Analysis'!W190*LN('Phytopl Analysis'!W190)))</f>
        <v/>
      </c>
      <c r="X190" s="21" t="str">
        <f>IF('Phytopl Count'!X190=0,"",('Phytopl Analysis'!X190*LN('Phytopl Analysis'!X190)))</f>
        <v/>
      </c>
      <c r="Y190" s="58" t="str">
        <f>IF('Phytopl Count'!Y190=0,"",('Phytopl Analysis'!Y190*LN('Phytopl Analysis'!Y190)))</f>
        <v/>
      </c>
      <c r="Z190" s="58" t="str">
        <f>IF('Phytopl Count'!Z190=0,"",('Phytopl Analysis'!Z190*LN('Phytopl Analysis'!Z190)))</f>
        <v/>
      </c>
      <c r="AA190" s="21" t="str">
        <f>IF('Phytopl Count'!AA190=0,"",('Phytopl Analysis'!AA190*LN('Phytopl Analysis'!AA190)))</f>
        <v/>
      </c>
      <c r="AB190" s="21" t="str">
        <f>IF('Phytopl Count'!AB190=0,"",('Phytopl Analysis'!AB190*LN('Phytopl Analysis'!AB190)))</f>
        <v/>
      </c>
      <c r="AC190" s="58" t="str">
        <f>IF('Phytopl Count'!AC190=0,"",('Phytopl Analysis'!AC190*LN('Phytopl Analysis'!AC190)))</f>
        <v/>
      </c>
      <c r="AD190" s="58" t="str">
        <f>IF('Phytopl Count'!AD190=0,"",('Phytopl Analysis'!AD190*LN('Phytopl Analysis'!AD190)))</f>
        <v/>
      </c>
      <c r="AE190" s="21" t="str">
        <f>IF('Phytopl Count'!AE190=0,"",('Phytopl Analysis'!AE190*LN('Phytopl Analysis'!AE190)))</f>
        <v/>
      </c>
      <c r="AF190" s="58" t="str">
        <f>IF('Phytopl Count'!AF190=0,"",('Phytopl Analysis'!AF190*LN('Phytopl Analysis'!AF190)))</f>
        <v/>
      </c>
    </row>
    <row r="191" spans="1:32">
      <c r="A191" s="10"/>
      <c r="B191" s="16" t="s">
        <v>72</v>
      </c>
      <c r="C191" s="53" t="s">
        <v>92</v>
      </c>
      <c r="D191" s="4"/>
      <c r="E191" s="5"/>
      <c r="F191" s="9"/>
      <c r="G191" s="21" t="str">
        <f>IF('Phytopl Count'!G191=0,"",('Phytopl Analysis'!G191*LN('Phytopl Analysis'!G191)))</f>
        <v/>
      </c>
      <c r="H191" s="21" t="str">
        <f>IF('Phytopl Count'!H191=0,"",('Phytopl Analysis'!H191*LN('Phytopl Analysis'!H191)))</f>
        <v/>
      </c>
      <c r="I191" s="58" t="str">
        <f>IF('Phytopl Count'!I191=0,"",('Phytopl Analysis'!I191*LN('Phytopl Analysis'!I191)))</f>
        <v/>
      </c>
      <c r="J191" s="58" t="str">
        <f>IF('Phytopl Count'!J191=0,"",('Phytopl Analysis'!J191*LN('Phytopl Analysis'!J191)))</f>
        <v/>
      </c>
      <c r="K191" s="21" t="str">
        <f>IF('Phytopl Count'!K191=0,"",('Phytopl Analysis'!K191*LN('Phytopl Analysis'!K191)))</f>
        <v/>
      </c>
      <c r="L191" s="21" t="str">
        <f>IF('Phytopl Count'!L191=0,"",('Phytopl Analysis'!L191*LN('Phytopl Analysis'!L191)))</f>
        <v/>
      </c>
      <c r="M191" s="58" t="str">
        <f>IF('Phytopl Count'!M191=0,"",('Phytopl Analysis'!M191*LN('Phytopl Analysis'!M191)))</f>
        <v/>
      </c>
      <c r="N191" s="58" t="str">
        <f>IF('Phytopl Count'!N191=0,"",('Phytopl Analysis'!N191*LN('Phytopl Analysis'!N191)))</f>
        <v/>
      </c>
      <c r="O191" s="21" t="str">
        <f>IF('Phytopl Count'!O191=0,"",('Phytopl Analysis'!O191*LN('Phytopl Analysis'!O191)))</f>
        <v/>
      </c>
      <c r="P191" s="21" t="str">
        <f>IF('Phytopl Count'!P191=0,"",('Phytopl Analysis'!P191*LN('Phytopl Analysis'!P191)))</f>
        <v/>
      </c>
      <c r="Q191" s="58" t="str">
        <f>IF('Phytopl Count'!Q191=0,"",('Phytopl Analysis'!Q191*LN('Phytopl Analysis'!Q191)))</f>
        <v/>
      </c>
      <c r="R191" s="58" t="str">
        <f>IF('Phytopl Count'!R191=0,"",('Phytopl Analysis'!R191*LN('Phytopl Analysis'!R191)))</f>
        <v/>
      </c>
      <c r="S191" s="21" t="str">
        <f>IF('Phytopl Count'!S191=0,"",('Phytopl Analysis'!S191*LN('Phytopl Analysis'!S191)))</f>
        <v/>
      </c>
      <c r="T191" s="21" t="str">
        <f>IF('Phytopl Count'!T191=0,"",('Phytopl Analysis'!T191*LN('Phytopl Analysis'!T191)))</f>
        <v/>
      </c>
      <c r="U191" s="58" t="str">
        <f>IF('Phytopl Count'!U191=0,"",('Phytopl Analysis'!U191*LN('Phytopl Analysis'!U191)))</f>
        <v/>
      </c>
      <c r="V191" s="58" t="str">
        <f>IF('Phytopl Count'!V191=0,"",('Phytopl Analysis'!V191*LN('Phytopl Analysis'!V191)))</f>
        <v/>
      </c>
      <c r="W191" s="21" t="str">
        <f>IF('Phytopl Count'!W191=0,"",('Phytopl Analysis'!W191*LN('Phytopl Analysis'!W191)))</f>
        <v/>
      </c>
      <c r="X191" s="21" t="str">
        <f>IF('Phytopl Count'!X191=0,"",('Phytopl Analysis'!X191*LN('Phytopl Analysis'!X191)))</f>
        <v/>
      </c>
      <c r="Y191" s="58" t="str">
        <f>IF('Phytopl Count'!Y191=0,"",('Phytopl Analysis'!Y191*LN('Phytopl Analysis'!Y191)))</f>
        <v/>
      </c>
      <c r="Z191" s="58" t="str">
        <f>IF('Phytopl Count'!Z191=0,"",('Phytopl Analysis'!Z191*LN('Phytopl Analysis'!Z191)))</f>
        <v/>
      </c>
      <c r="AA191" s="21" t="str">
        <f>IF('Phytopl Count'!AA191=0,"",('Phytopl Analysis'!AA191*LN('Phytopl Analysis'!AA191)))</f>
        <v/>
      </c>
      <c r="AB191" s="21" t="str">
        <f>IF('Phytopl Count'!AB191=0,"",('Phytopl Analysis'!AB191*LN('Phytopl Analysis'!AB191)))</f>
        <v/>
      </c>
      <c r="AC191" s="58" t="str">
        <f>IF('Phytopl Count'!AC191=0,"",('Phytopl Analysis'!AC191*LN('Phytopl Analysis'!AC191)))</f>
        <v/>
      </c>
      <c r="AD191" s="58" t="str">
        <f>IF('Phytopl Count'!AD191=0,"",('Phytopl Analysis'!AD191*LN('Phytopl Analysis'!AD191)))</f>
        <v/>
      </c>
      <c r="AE191" s="21" t="str">
        <f>IF('Phytopl Count'!AE191=0,"",('Phytopl Analysis'!AE191*LN('Phytopl Analysis'!AE191)))</f>
        <v/>
      </c>
      <c r="AF191" s="58" t="str">
        <f>IF('Phytopl Count'!AF191=0,"",('Phytopl Analysis'!AF191*LN('Phytopl Analysis'!AF191)))</f>
        <v/>
      </c>
    </row>
    <row r="192" spans="1:32">
      <c r="A192" s="10"/>
      <c r="B192" s="10"/>
      <c r="C192" s="16" t="s">
        <v>73</v>
      </c>
      <c r="D192" s="51" t="s">
        <v>97</v>
      </c>
      <c r="E192" s="5"/>
      <c r="F192" s="9"/>
      <c r="G192" s="21" t="str">
        <f>IF('Phytopl Count'!G192=0,"",('Phytopl Analysis'!G192*LN('Phytopl Analysis'!G192)))</f>
        <v/>
      </c>
      <c r="H192" s="21" t="str">
        <f>IF('Phytopl Count'!H192=0,"",('Phytopl Analysis'!H192*LN('Phytopl Analysis'!H192)))</f>
        <v/>
      </c>
      <c r="I192" s="58" t="str">
        <f>IF('Phytopl Count'!I192=0,"",('Phytopl Analysis'!I192*LN('Phytopl Analysis'!I192)))</f>
        <v/>
      </c>
      <c r="J192" s="58" t="str">
        <f>IF('Phytopl Count'!J192=0,"",('Phytopl Analysis'!J192*LN('Phytopl Analysis'!J192)))</f>
        <v/>
      </c>
      <c r="K192" s="21" t="str">
        <f>IF('Phytopl Count'!K192=0,"",('Phytopl Analysis'!K192*LN('Phytopl Analysis'!K192)))</f>
        <v/>
      </c>
      <c r="L192" s="21" t="str">
        <f>IF('Phytopl Count'!L192=0,"",('Phytopl Analysis'!L192*LN('Phytopl Analysis'!L192)))</f>
        <v/>
      </c>
      <c r="M192" s="58" t="str">
        <f>IF('Phytopl Count'!M192=0,"",('Phytopl Analysis'!M192*LN('Phytopl Analysis'!M192)))</f>
        <v/>
      </c>
      <c r="N192" s="58" t="str">
        <f>IF('Phytopl Count'!N192=0,"",('Phytopl Analysis'!N192*LN('Phytopl Analysis'!N192)))</f>
        <v/>
      </c>
      <c r="O192" s="21" t="str">
        <f>IF('Phytopl Count'!O192=0,"",('Phytopl Analysis'!O192*LN('Phytopl Analysis'!O192)))</f>
        <v/>
      </c>
      <c r="P192" s="21" t="str">
        <f>IF('Phytopl Count'!P192=0,"",('Phytopl Analysis'!P192*LN('Phytopl Analysis'!P192)))</f>
        <v/>
      </c>
      <c r="Q192" s="58" t="str">
        <f>IF('Phytopl Count'!Q192=0,"",('Phytopl Analysis'!Q192*LN('Phytopl Analysis'!Q192)))</f>
        <v/>
      </c>
      <c r="R192" s="58" t="str">
        <f>IF('Phytopl Count'!R192=0,"",('Phytopl Analysis'!R192*LN('Phytopl Analysis'!R192)))</f>
        <v/>
      </c>
      <c r="S192" s="21" t="str">
        <f>IF('Phytopl Count'!S192=0,"",('Phytopl Analysis'!S192*LN('Phytopl Analysis'!S192)))</f>
        <v/>
      </c>
      <c r="T192" s="21" t="str">
        <f>IF('Phytopl Count'!T192=0,"",('Phytopl Analysis'!T192*LN('Phytopl Analysis'!T192)))</f>
        <v/>
      </c>
      <c r="U192" s="58" t="str">
        <f>IF('Phytopl Count'!U192=0,"",('Phytopl Analysis'!U192*LN('Phytopl Analysis'!U192)))</f>
        <v/>
      </c>
      <c r="V192" s="58" t="str">
        <f>IF('Phytopl Count'!V192=0,"",('Phytopl Analysis'!V192*LN('Phytopl Analysis'!V192)))</f>
        <v/>
      </c>
      <c r="W192" s="21" t="str">
        <f>IF('Phytopl Count'!W192=0,"",('Phytopl Analysis'!W192*LN('Phytopl Analysis'!W192)))</f>
        <v/>
      </c>
      <c r="X192" s="21" t="str">
        <f>IF('Phytopl Count'!X192=0,"",('Phytopl Analysis'!X192*LN('Phytopl Analysis'!X192)))</f>
        <v/>
      </c>
      <c r="Y192" s="58" t="str">
        <f>IF('Phytopl Count'!Y192=0,"",('Phytopl Analysis'!Y192*LN('Phytopl Analysis'!Y192)))</f>
        <v/>
      </c>
      <c r="Z192" s="58" t="str">
        <f>IF('Phytopl Count'!Z192=0,"",('Phytopl Analysis'!Z192*LN('Phytopl Analysis'!Z192)))</f>
        <v/>
      </c>
      <c r="AA192" s="21" t="str">
        <f>IF('Phytopl Count'!AA192=0,"",('Phytopl Analysis'!AA192*LN('Phytopl Analysis'!AA192)))</f>
        <v/>
      </c>
      <c r="AB192" s="21" t="str">
        <f>IF('Phytopl Count'!AB192=0,"",('Phytopl Analysis'!AB192*LN('Phytopl Analysis'!AB192)))</f>
        <v/>
      </c>
      <c r="AC192" s="58" t="str">
        <f>IF('Phytopl Count'!AC192=0,"",('Phytopl Analysis'!AC192*LN('Phytopl Analysis'!AC192)))</f>
        <v/>
      </c>
      <c r="AD192" s="58" t="str">
        <f>IF('Phytopl Count'!AD192=0,"",('Phytopl Analysis'!AD192*LN('Phytopl Analysis'!AD192)))</f>
        <v/>
      </c>
      <c r="AE192" s="21" t="str">
        <f>IF('Phytopl Count'!AE192=0,"",('Phytopl Analysis'!AE192*LN('Phytopl Analysis'!AE192)))</f>
        <v/>
      </c>
      <c r="AF192" s="58" t="str">
        <f>IF('Phytopl Count'!AF192=0,"",('Phytopl Analysis'!AF192*LN('Phytopl Analysis'!AF192)))</f>
        <v/>
      </c>
    </row>
    <row r="193" spans="1:32">
      <c r="A193" s="16"/>
      <c r="B193" s="16"/>
      <c r="C193" s="16"/>
      <c r="D193" s="121" t="s">
        <v>5</v>
      </c>
      <c r="E193" s="122" t="s">
        <v>153</v>
      </c>
      <c r="F193" s="123"/>
      <c r="G193" s="21" t="str">
        <f>IF('Phytopl Count'!G193=0,"",('Phytopl Analysis'!G193*LN('Phytopl Analysis'!G193)))</f>
        <v/>
      </c>
      <c r="H193" s="21" t="str">
        <f>IF('Phytopl Count'!H193=0,"",('Phytopl Analysis'!H193*LN('Phytopl Analysis'!H193)))</f>
        <v/>
      </c>
      <c r="I193" s="58" t="str">
        <f>IF('Phytopl Count'!I193=0,"",('Phytopl Analysis'!I193*LN('Phytopl Analysis'!I193)))</f>
        <v/>
      </c>
      <c r="J193" s="58" t="str">
        <f>IF('Phytopl Count'!J193=0,"",('Phytopl Analysis'!J193*LN('Phytopl Analysis'!J193)))</f>
        <v/>
      </c>
      <c r="K193" s="21" t="str">
        <f>IF('Phytopl Count'!K193=0,"",('Phytopl Analysis'!K193*LN('Phytopl Analysis'!K193)))</f>
        <v/>
      </c>
      <c r="L193" s="21" t="str">
        <f>IF('Phytopl Count'!L193=0,"",('Phytopl Analysis'!L193*LN('Phytopl Analysis'!L193)))</f>
        <v/>
      </c>
      <c r="M193" s="58" t="str">
        <f>IF('Phytopl Count'!M193=0,"",('Phytopl Analysis'!M193*LN('Phytopl Analysis'!M193)))</f>
        <v/>
      </c>
      <c r="N193" s="58" t="str">
        <f>IF('Phytopl Count'!N193=0,"",('Phytopl Analysis'!N193*LN('Phytopl Analysis'!N193)))</f>
        <v/>
      </c>
      <c r="O193" s="21" t="str">
        <f>IF('Phytopl Count'!O193=0,"",('Phytopl Analysis'!O193*LN('Phytopl Analysis'!O193)))</f>
        <v/>
      </c>
      <c r="P193" s="21" t="str">
        <f>IF('Phytopl Count'!P193=0,"",('Phytopl Analysis'!P193*LN('Phytopl Analysis'!P193)))</f>
        <v/>
      </c>
      <c r="Q193" s="58" t="str">
        <f>IF('Phytopl Count'!Q193=0,"",('Phytopl Analysis'!Q193*LN('Phytopl Analysis'!Q193)))</f>
        <v/>
      </c>
      <c r="R193" s="58" t="str">
        <f>IF('Phytopl Count'!R193=0,"",('Phytopl Analysis'!R193*LN('Phytopl Analysis'!R193)))</f>
        <v/>
      </c>
      <c r="S193" s="21" t="str">
        <f>IF('Phytopl Count'!S193=0,"",('Phytopl Analysis'!S193*LN('Phytopl Analysis'!S193)))</f>
        <v/>
      </c>
      <c r="T193" s="21" t="str">
        <f>IF('Phytopl Count'!T193=0,"",('Phytopl Analysis'!T193*LN('Phytopl Analysis'!T193)))</f>
        <v/>
      </c>
      <c r="U193" s="58" t="str">
        <f>IF('Phytopl Count'!U193=0,"",('Phytopl Analysis'!U193*LN('Phytopl Analysis'!U193)))</f>
        <v/>
      </c>
      <c r="V193" s="58" t="str">
        <f>IF('Phytopl Count'!V193=0,"",('Phytopl Analysis'!V193*LN('Phytopl Analysis'!V193)))</f>
        <v/>
      </c>
      <c r="W193" s="21" t="str">
        <f>IF('Phytopl Count'!W193=0,"",('Phytopl Analysis'!W193*LN('Phytopl Analysis'!W193)))</f>
        <v/>
      </c>
      <c r="X193" s="21" t="str">
        <f>IF('Phytopl Count'!X193=0,"",('Phytopl Analysis'!X193*LN('Phytopl Analysis'!X193)))</f>
        <v/>
      </c>
      <c r="Y193" s="58" t="str">
        <f>IF('Phytopl Count'!Y193=0,"",('Phytopl Analysis'!Y193*LN('Phytopl Analysis'!Y193)))</f>
        <v/>
      </c>
      <c r="Z193" s="58" t="str">
        <f>IF('Phytopl Count'!Z193=0,"",('Phytopl Analysis'!Z193*LN('Phytopl Analysis'!Z193)))</f>
        <v/>
      </c>
      <c r="AA193" s="21" t="str">
        <f>IF('Phytopl Count'!AA193=0,"",('Phytopl Analysis'!AA193*LN('Phytopl Analysis'!AA193)))</f>
        <v/>
      </c>
      <c r="AB193" s="21" t="str">
        <f>IF('Phytopl Count'!AB193=0,"",('Phytopl Analysis'!AB193*LN('Phytopl Analysis'!AB193)))</f>
        <v/>
      </c>
      <c r="AC193" s="58" t="str">
        <f>IF('Phytopl Count'!AC193=0,"",('Phytopl Analysis'!AC193*LN('Phytopl Analysis'!AC193)))</f>
        <v/>
      </c>
      <c r="AD193" s="58" t="str">
        <f>IF('Phytopl Count'!AD193=0,"",('Phytopl Analysis'!AD193*LN('Phytopl Analysis'!AD193)))</f>
        <v/>
      </c>
      <c r="AE193" s="21" t="str">
        <f>IF('Phytopl Count'!AE193=0,"",('Phytopl Analysis'!AE193*LN('Phytopl Analysis'!AE193)))</f>
        <v/>
      </c>
      <c r="AF193" s="58" t="str">
        <f>IF('Phytopl Count'!AF193=0,"",('Phytopl Analysis'!AF193*LN('Phytopl Analysis'!AF193)))</f>
        <v/>
      </c>
    </row>
    <row r="194" spans="1:32">
      <c r="A194" s="4"/>
      <c r="B194" s="4"/>
      <c r="C194" s="4"/>
      <c r="D194" s="122"/>
      <c r="E194" s="121" t="s">
        <v>6</v>
      </c>
      <c r="F194" s="11" t="s">
        <v>290</v>
      </c>
      <c r="G194" s="21" t="str">
        <f>IF('Phytopl Count'!G194=0,"",('Phytopl Analysis'!G194*LN('Phytopl Analysis'!G194)))</f>
        <v/>
      </c>
      <c r="H194" s="21" t="str">
        <f>IF('Phytopl Count'!H194=0,"",('Phytopl Analysis'!H194*LN('Phytopl Analysis'!H194)))</f>
        <v/>
      </c>
      <c r="I194" s="58" t="str">
        <f>IF('Phytopl Count'!I194=0,"",('Phytopl Analysis'!I194*LN('Phytopl Analysis'!I194)))</f>
        <v/>
      </c>
      <c r="J194" s="58">
        <f>IF('Phytopl Count'!J194=0,"",('Phytopl Analysis'!J194*LN('Phytopl Analysis'!J194)))</f>
        <v>-0.12884150444391032</v>
      </c>
      <c r="K194" s="21">
        <f>IF('Phytopl Count'!K194=0,"",('Phytopl Analysis'!K194*LN('Phytopl Analysis'!K194)))</f>
        <v>-0.17603686210775515</v>
      </c>
      <c r="L194" s="21" t="str">
        <f>IF('Phytopl Count'!L194=0,"",('Phytopl Analysis'!L194*LN('Phytopl Analysis'!L194)))</f>
        <v/>
      </c>
      <c r="M194" s="58" t="str">
        <f>IF('Phytopl Count'!M194=0,"",('Phytopl Analysis'!M194*LN('Phytopl Analysis'!M194)))</f>
        <v/>
      </c>
      <c r="N194" s="58">
        <f>IF('Phytopl Count'!N194=0,"",('Phytopl Analysis'!N194*LN('Phytopl Analysis'!N194)))</f>
        <v>-0.1458498424659852</v>
      </c>
      <c r="O194" s="21" t="str">
        <f>IF('Phytopl Count'!O194=0,"",('Phytopl Analysis'!O194*LN('Phytopl Analysis'!O194)))</f>
        <v/>
      </c>
      <c r="P194" s="21">
        <f>IF('Phytopl Count'!P194=0,"",('Phytopl Analysis'!P194*LN('Phytopl Analysis'!P194)))</f>
        <v>-0.22509271130098124</v>
      </c>
      <c r="Q194" s="58" t="str">
        <f>IF('Phytopl Count'!Q194=0,"",('Phytopl Analysis'!Q194*LN('Phytopl Analysis'!Q194)))</f>
        <v/>
      </c>
      <c r="R194" s="58">
        <f>IF('Phytopl Count'!R194=0,"",('Phytopl Analysis'!R194*LN('Phytopl Analysis'!R194)))</f>
        <v>-0.11022075559754062</v>
      </c>
      <c r="S194" s="21" t="str">
        <f>IF('Phytopl Count'!S194=0,"",('Phytopl Analysis'!S194*LN('Phytopl Analysis'!S194)))</f>
        <v/>
      </c>
      <c r="T194" s="21">
        <f>IF('Phytopl Count'!T194=0,"",('Phytopl Analysis'!T194*LN('Phytopl Analysis'!T194)))</f>
        <v>-0.1458498424659852</v>
      </c>
      <c r="U194" s="58">
        <f>IF('Phytopl Count'!U194=0,"",('Phytopl Analysis'!U194*LN('Phytopl Analysis'!U194)))</f>
        <v>-0.17603686210775515</v>
      </c>
      <c r="V194" s="58">
        <f>IF('Phytopl Count'!V194=0,"",('Phytopl Analysis'!V194*LN('Phytopl Analysis'!V194)))</f>
        <v>-0.20217719752866301</v>
      </c>
      <c r="W194" s="21" t="str">
        <f>IF('Phytopl Count'!W194=0,"",('Phytopl Analysis'!W194*LN('Phytopl Analysis'!W194)))</f>
        <v/>
      </c>
      <c r="X194" s="21" t="str">
        <f>IF('Phytopl Count'!X194=0,"",('Phytopl Analysis'!X194*LN('Phytopl Analysis'!X194)))</f>
        <v/>
      </c>
      <c r="Y194" s="58" t="str">
        <f>IF('Phytopl Count'!Y194=0,"",('Phytopl Analysis'!Y194*LN('Phytopl Analysis'!Y194)))</f>
        <v/>
      </c>
      <c r="Z194" s="58" t="str">
        <f>IF('Phytopl Count'!Z194=0,"",('Phytopl Analysis'!Z194*LN('Phytopl Analysis'!Z194)))</f>
        <v/>
      </c>
      <c r="AA194" s="21" t="str">
        <f>IF('Phytopl Count'!AA194=0,"",('Phytopl Analysis'!AA194*LN('Phytopl Analysis'!AA194)))</f>
        <v/>
      </c>
      <c r="AB194" s="21" t="str">
        <f>IF('Phytopl Count'!AB194=0,"",('Phytopl Analysis'!AB194*LN('Phytopl Analysis'!AB194)))</f>
        <v/>
      </c>
      <c r="AC194" s="58" t="str">
        <f>IF('Phytopl Count'!AC194=0,"",('Phytopl Analysis'!AC194*LN('Phytopl Analysis'!AC194)))</f>
        <v/>
      </c>
      <c r="AD194" s="58" t="str">
        <f>IF('Phytopl Count'!AD194=0,"",('Phytopl Analysis'!AD194*LN('Phytopl Analysis'!AD194)))</f>
        <v/>
      </c>
      <c r="AE194" s="21">
        <f>IF('Phytopl Count'!AE194=0,"",('Phytopl Analysis'!AE194*LN('Phytopl Analysis'!AE194)))</f>
        <v>-8.9576664640739892E-2</v>
      </c>
      <c r="AF194" s="58" t="str">
        <f>IF('Phytopl Count'!AF194=0,"",('Phytopl Analysis'!AF194*LN('Phytopl Analysis'!AF194)))</f>
        <v/>
      </c>
    </row>
    <row r="195" spans="1:32">
      <c r="A195" s="16"/>
      <c r="B195" s="16"/>
      <c r="C195" s="16"/>
      <c r="D195" s="10" t="s">
        <v>5</v>
      </c>
      <c r="E195" s="125" t="s">
        <v>292</v>
      </c>
      <c r="F195" s="9"/>
      <c r="G195" s="21" t="str">
        <f>IF('Phytopl Count'!G195=0,"",('Phytopl Analysis'!G195*LN('Phytopl Analysis'!G195)))</f>
        <v/>
      </c>
      <c r="H195" s="21" t="str">
        <f>IF('Phytopl Count'!H195=0,"",('Phytopl Analysis'!H195*LN('Phytopl Analysis'!H195)))</f>
        <v/>
      </c>
      <c r="I195" s="58" t="str">
        <f>IF('Phytopl Count'!I195=0,"",('Phytopl Analysis'!I195*LN('Phytopl Analysis'!I195)))</f>
        <v/>
      </c>
      <c r="J195" s="58" t="str">
        <f>IF('Phytopl Count'!J195=0,"",('Phytopl Analysis'!J195*LN('Phytopl Analysis'!J195)))</f>
        <v/>
      </c>
      <c r="K195" s="21" t="str">
        <f>IF('Phytopl Count'!K195=0,"",('Phytopl Analysis'!K195*LN('Phytopl Analysis'!K195)))</f>
        <v/>
      </c>
      <c r="L195" s="21" t="str">
        <f>IF('Phytopl Count'!L195=0,"",('Phytopl Analysis'!L195*LN('Phytopl Analysis'!L195)))</f>
        <v/>
      </c>
      <c r="M195" s="58" t="str">
        <f>IF('Phytopl Count'!M195=0,"",('Phytopl Analysis'!M195*LN('Phytopl Analysis'!M195)))</f>
        <v/>
      </c>
      <c r="N195" s="58" t="str">
        <f>IF('Phytopl Count'!N195=0,"",('Phytopl Analysis'!N195*LN('Phytopl Analysis'!N195)))</f>
        <v/>
      </c>
      <c r="O195" s="21" t="str">
        <f>IF('Phytopl Count'!O195=0,"",('Phytopl Analysis'!O195*LN('Phytopl Analysis'!O195)))</f>
        <v/>
      </c>
      <c r="P195" s="21" t="str">
        <f>IF('Phytopl Count'!P195=0,"",('Phytopl Analysis'!P195*LN('Phytopl Analysis'!P195)))</f>
        <v/>
      </c>
      <c r="Q195" s="58" t="str">
        <f>IF('Phytopl Count'!Q195=0,"",('Phytopl Analysis'!Q195*LN('Phytopl Analysis'!Q195)))</f>
        <v/>
      </c>
      <c r="R195" s="58" t="str">
        <f>IF('Phytopl Count'!R195=0,"",('Phytopl Analysis'!R195*LN('Phytopl Analysis'!R195)))</f>
        <v/>
      </c>
      <c r="S195" s="21" t="str">
        <f>IF('Phytopl Count'!S195=0,"",('Phytopl Analysis'!S195*LN('Phytopl Analysis'!S195)))</f>
        <v/>
      </c>
      <c r="T195" s="21" t="str">
        <f>IF('Phytopl Count'!T195=0,"",('Phytopl Analysis'!T195*LN('Phytopl Analysis'!T195)))</f>
        <v/>
      </c>
      <c r="U195" s="58" t="str">
        <f>IF('Phytopl Count'!U195=0,"",('Phytopl Analysis'!U195*LN('Phytopl Analysis'!U195)))</f>
        <v/>
      </c>
      <c r="V195" s="58" t="str">
        <f>IF('Phytopl Count'!V195=0,"",('Phytopl Analysis'!V195*LN('Phytopl Analysis'!V195)))</f>
        <v/>
      </c>
      <c r="W195" s="21" t="str">
        <f>IF('Phytopl Count'!W195=0,"",('Phytopl Analysis'!W195*LN('Phytopl Analysis'!W195)))</f>
        <v/>
      </c>
      <c r="X195" s="21" t="str">
        <f>IF('Phytopl Count'!X195=0,"",('Phytopl Analysis'!X195*LN('Phytopl Analysis'!X195)))</f>
        <v/>
      </c>
      <c r="Y195" s="58" t="str">
        <f>IF('Phytopl Count'!Y195=0,"",('Phytopl Analysis'!Y195*LN('Phytopl Analysis'!Y195)))</f>
        <v/>
      </c>
      <c r="Z195" s="58" t="str">
        <f>IF('Phytopl Count'!Z195=0,"",('Phytopl Analysis'!Z195*LN('Phytopl Analysis'!Z195)))</f>
        <v/>
      </c>
      <c r="AA195" s="21" t="str">
        <f>IF('Phytopl Count'!AA195=0,"",('Phytopl Analysis'!AA195*LN('Phytopl Analysis'!AA195)))</f>
        <v/>
      </c>
      <c r="AB195" s="21" t="str">
        <f>IF('Phytopl Count'!AB195=0,"",('Phytopl Analysis'!AB195*LN('Phytopl Analysis'!AB195)))</f>
        <v/>
      </c>
      <c r="AC195" s="58" t="str">
        <f>IF('Phytopl Count'!AC195=0,"",('Phytopl Analysis'!AC195*LN('Phytopl Analysis'!AC195)))</f>
        <v/>
      </c>
      <c r="AD195" s="58" t="str">
        <f>IF('Phytopl Count'!AD195=0,"",('Phytopl Analysis'!AD195*LN('Phytopl Analysis'!AD195)))</f>
        <v/>
      </c>
      <c r="AE195" s="21" t="str">
        <f>IF('Phytopl Count'!AE195=0,"",('Phytopl Analysis'!AE195*LN('Phytopl Analysis'!AE195)))</f>
        <v/>
      </c>
      <c r="AF195" s="58" t="str">
        <f>IF('Phytopl Count'!AF195=0,"",('Phytopl Analysis'!AF195*LN('Phytopl Analysis'!AF195)))</f>
        <v/>
      </c>
    </row>
    <row r="196" spans="1:32">
      <c r="A196" s="4"/>
      <c r="B196" s="4"/>
      <c r="C196" s="4"/>
      <c r="D196" s="90"/>
      <c r="E196" s="89" t="s">
        <v>6</v>
      </c>
      <c r="F196" s="11" t="s">
        <v>293</v>
      </c>
      <c r="G196" s="21" t="str">
        <f>IF('Phytopl Count'!G196=0,"",('Phytopl Analysis'!G196*LN('Phytopl Analysis'!G196)))</f>
        <v/>
      </c>
      <c r="H196" s="21" t="str">
        <f>IF('Phytopl Count'!H196=0,"",('Phytopl Analysis'!H196*LN('Phytopl Analysis'!H196)))</f>
        <v/>
      </c>
      <c r="I196" s="58" t="str">
        <f>IF('Phytopl Count'!I196=0,"",('Phytopl Analysis'!I196*LN('Phytopl Analysis'!I196)))</f>
        <v/>
      </c>
      <c r="J196" s="58" t="str">
        <f>IF('Phytopl Count'!J196=0,"",('Phytopl Analysis'!J196*LN('Phytopl Analysis'!J196)))</f>
        <v/>
      </c>
      <c r="K196" s="21" t="str">
        <f>IF('Phytopl Count'!K196=0,"",('Phytopl Analysis'!K196*LN('Phytopl Analysis'!K196)))</f>
        <v/>
      </c>
      <c r="L196" s="21" t="str">
        <f>IF('Phytopl Count'!L196=0,"",('Phytopl Analysis'!L196*LN('Phytopl Analysis'!L196)))</f>
        <v/>
      </c>
      <c r="M196" s="58">
        <f>IF('Phytopl Count'!M196=0,"",('Phytopl Analysis'!M196*LN('Phytopl Analysis'!M196)))</f>
        <v>-0.12884150444391032</v>
      </c>
      <c r="N196" s="58" t="str">
        <f>IF('Phytopl Count'!N196=0,"",('Phytopl Analysis'!N196*LN('Phytopl Analysis'!N196)))</f>
        <v/>
      </c>
      <c r="O196" s="21" t="str">
        <f>IF('Phytopl Count'!O196=0,"",('Phytopl Analysis'!O196*LN('Phytopl Analysis'!O196)))</f>
        <v/>
      </c>
      <c r="P196" s="21" t="str">
        <f>IF('Phytopl Count'!P196=0,"",('Phytopl Analysis'!P196*LN('Phytopl Analysis'!P196)))</f>
        <v/>
      </c>
      <c r="Q196" s="58" t="str">
        <f>IF('Phytopl Count'!Q196=0,"",('Phytopl Analysis'!Q196*LN('Phytopl Analysis'!Q196)))</f>
        <v/>
      </c>
      <c r="R196" s="58">
        <f>IF('Phytopl Count'!R196=0,"",('Phytopl Analysis'!R196*LN('Phytopl Analysis'!R196)))</f>
        <v>-0.11022075559754062</v>
      </c>
      <c r="S196" s="21" t="str">
        <f>IF('Phytopl Count'!S196=0,"",('Phytopl Analysis'!S196*LN('Phytopl Analysis'!S196)))</f>
        <v/>
      </c>
      <c r="T196" s="21" t="str">
        <f>IF('Phytopl Count'!T196=0,"",('Phytopl Analysis'!T196*LN('Phytopl Analysis'!T196)))</f>
        <v/>
      </c>
      <c r="U196" s="58" t="str">
        <f>IF('Phytopl Count'!U196=0,"",('Phytopl Analysis'!U196*LN('Phytopl Analysis'!U196)))</f>
        <v/>
      </c>
      <c r="V196" s="58" t="str">
        <f>IF('Phytopl Count'!V196=0,"",('Phytopl Analysis'!V196*LN('Phytopl Analysis'!V196)))</f>
        <v/>
      </c>
      <c r="W196" s="21" t="str">
        <f>IF('Phytopl Count'!W196=0,"",('Phytopl Analysis'!W196*LN('Phytopl Analysis'!W196)))</f>
        <v/>
      </c>
      <c r="X196" s="21" t="str">
        <f>IF('Phytopl Count'!X196=0,"",('Phytopl Analysis'!X196*LN('Phytopl Analysis'!X196)))</f>
        <v/>
      </c>
      <c r="Y196" s="58" t="str">
        <f>IF('Phytopl Count'!Y196=0,"",('Phytopl Analysis'!Y196*LN('Phytopl Analysis'!Y196)))</f>
        <v/>
      </c>
      <c r="Z196" s="58" t="str">
        <f>IF('Phytopl Count'!Z196=0,"",('Phytopl Analysis'!Z196*LN('Phytopl Analysis'!Z196)))</f>
        <v/>
      </c>
      <c r="AA196" s="21" t="str">
        <f>IF('Phytopl Count'!AA196=0,"",('Phytopl Analysis'!AA196*LN('Phytopl Analysis'!AA196)))</f>
        <v/>
      </c>
      <c r="AB196" s="21" t="str">
        <f>IF('Phytopl Count'!AB196=0,"",('Phytopl Analysis'!AB196*LN('Phytopl Analysis'!AB196)))</f>
        <v/>
      </c>
      <c r="AC196" s="58">
        <f>IF('Phytopl Count'!AC196=0,"",('Phytopl Analysis'!AC196*LN('Phytopl Analysis'!AC196)))</f>
        <v>-0.11022075559754062</v>
      </c>
      <c r="AD196" s="58" t="str">
        <f>IF('Phytopl Count'!AD196=0,"",('Phytopl Analysis'!AD196*LN('Phytopl Analysis'!AD196)))</f>
        <v/>
      </c>
      <c r="AE196" s="21" t="str">
        <f>IF('Phytopl Count'!AE196=0,"",('Phytopl Analysis'!AE196*LN('Phytopl Analysis'!AE196)))</f>
        <v/>
      </c>
      <c r="AF196" s="58" t="str">
        <f>IF('Phytopl Count'!AF196=0,"",('Phytopl Analysis'!AF196*LN('Phytopl Analysis'!AF196)))</f>
        <v/>
      </c>
    </row>
    <row r="197" spans="1:32">
      <c r="A197" s="16"/>
      <c r="B197" s="16"/>
      <c r="C197" s="16"/>
      <c r="D197" s="10" t="s">
        <v>5</v>
      </c>
      <c r="E197" s="168" t="s">
        <v>381</v>
      </c>
      <c r="F197" s="9"/>
      <c r="G197" s="21" t="str">
        <f>IF('Phytopl Count'!G197=0,"",('Phytopl Analysis'!G197*LN('Phytopl Analysis'!G197)))</f>
        <v/>
      </c>
      <c r="H197" s="21" t="str">
        <f>IF('Phytopl Count'!H197=0,"",('Phytopl Analysis'!H197*LN('Phytopl Analysis'!H197)))</f>
        <v/>
      </c>
      <c r="I197" s="58" t="str">
        <f>IF('Phytopl Count'!I197=0,"",('Phytopl Analysis'!I197*LN('Phytopl Analysis'!I197)))</f>
        <v/>
      </c>
      <c r="J197" s="58" t="str">
        <f>IF('Phytopl Count'!J197=0,"",('Phytopl Analysis'!J197*LN('Phytopl Analysis'!J197)))</f>
        <v/>
      </c>
      <c r="K197" s="21" t="str">
        <f>IF('Phytopl Count'!K197=0,"",('Phytopl Analysis'!K197*LN('Phytopl Analysis'!K197)))</f>
        <v/>
      </c>
      <c r="L197" s="21" t="str">
        <f>IF('Phytopl Count'!L197=0,"",('Phytopl Analysis'!L197*LN('Phytopl Analysis'!L197)))</f>
        <v/>
      </c>
      <c r="M197" s="58" t="str">
        <f>IF('Phytopl Count'!M197=0,"",('Phytopl Analysis'!M197*LN('Phytopl Analysis'!M197)))</f>
        <v/>
      </c>
      <c r="N197" s="58" t="str">
        <f>IF('Phytopl Count'!N197=0,"",('Phytopl Analysis'!N197*LN('Phytopl Analysis'!N197)))</f>
        <v/>
      </c>
      <c r="O197" s="21" t="str">
        <f>IF('Phytopl Count'!O197=0,"",('Phytopl Analysis'!O197*LN('Phytopl Analysis'!O197)))</f>
        <v/>
      </c>
      <c r="P197" s="21" t="str">
        <f>IF('Phytopl Count'!P197=0,"",('Phytopl Analysis'!P197*LN('Phytopl Analysis'!P197)))</f>
        <v/>
      </c>
      <c r="Q197" s="58" t="str">
        <f>IF('Phytopl Count'!Q197=0,"",('Phytopl Analysis'!Q197*LN('Phytopl Analysis'!Q197)))</f>
        <v/>
      </c>
      <c r="R197" s="58" t="str">
        <f>IF('Phytopl Count'!R197=0,"",('Phytopl Analysis'!R197*LN('Phytopl Analysis'!R197)))</f>
        <v/>
      </c>
      <c r="S197" s="21" t="str">
        <f>IF('Phytopl Count'!S197=0,"",('Phytopl Analysis'!S197*LN('Phytopl Analysis'!S197)))</f>
        <v/>
      </c>
      <c r="T197" s="21" t="str">
        <f>IF('Phytopl Count'!T197=0,"",('Phytopl Analysis'!T197*LN('Phytopl Analysis'!T197)))</f>
        <v/>
      </c>
      <c r="U197" s="58" t="str">
        <f>IF('Phytopl Count'!U197=0,"",('Phytopl Analysis'!U197*LN('Phytopl Analysis'!U197)))</f>
        <v/>
      </c>
      <c r="V197" s="58" t="str">
        <f>IF('Phytopl Count'!V197=0,"",('Phytopl Analysis'!V197*LN('Phytopl Analysis'!V197)))</f>
        <v/>
      </c>
      <c r="W197" s="21" t="str">
        <f>IF('Phytopl Count'!W197=0,"",('Phytopl Analysis'!W197*LN('Phytopl Analysis'!W197)))</f>
        <v/>
      </c>
      <c r="X197" s="21" t="str">
        <f>IF('Phytopl Count'!X197=0,"",('Phytopl Analysis'!X197*LN('Phytopl Analysis'!X197)))</f>
        <v/>
      </c>
      <c r="Y197" s="58" t="str">
        <f>IF('Phytopl Count'!Y197=0,"",('Phytopl Analysis'!Y197*LN('Phytopl Analysis'!Y197)))</f>
        <v/>
      </c>
      <c r="Z197" s="58" t="str">
        <f>IF('Phytopl Count'!Z197=0,"",('Phytopl Analysis'!Z197*LN('Phytopl Analysis'!Z197)))</f>
        <v/>
      </c>
      <c r="AA197" s="21" t="str">
        <f>IF('Phytopl Count'!AA197=0,"",('Phytopl Analysis'!AA197*LN('Phytopl Analysis'!AA197)))</f>
        <v/>
      </c>
      <c r="AB197" s="21" t="str">
        <f>IF('Phytopl Count'!AB197=0,"",('Phytopl Analysis'!AB197*LN('Phytopl Analysis'!AB197)))</f>
        <v/>
      </c>
      <c r="AC197" s="58" t="str">
        <f>IF('Phytopl Count'!AC197=0,"",('Phytopl Analysis'!AC197*LN('Phytopl Analysis'!AC197)))</f>
        <v/>
      </c>
      <c r="AD197" s="58" t="str">
        <f>IF('Phytopl Count'!AD197=0,"",('Phytopl Analysis'!AD197*LN('Phytopl Analysis'!AD197)))</f>
        <v/>
      </c>
      <c r="AE197" s="21" t="str">
        <f>IF('Phytopl Count'!AE197=0,"",('Phytopl Analysis'!AE197*LN('Phytopl Analysis'!AE197)))</f>
        <v/>
      </c>
      <c r="AF197" s="58" t="str">
        <f>IF('Phytopl Count'!AF197=0,"",('Phytopl Analysis'!AF197*LN('Phytopl Analysis'!AF197)))</f>
        <v/>
      </c>
    </row>
    <row r="198" spans="1:32">
      <c r="A198" s="4"/>
      <c r="B198" s="4"/>
      <c r="C198" s="4"/>
      <c r="D198" s="90"/>
      <c r="E198" s="89" t="s">
        <v>6</v>
      </c>
      <c r="F198" s="11" t="s">
        <v>382</v>
      </c>
      <c r="G198" s="21" t="str">
        <f>IF('Phytopl Count'!G198=0,"",('Phytopl Analysis'!G198*LN('Phytopl Analysis'!G198)))</f>
        <v/>
      </c>
      <c r="H198" s="21" t="str">
        <f>IF('Phytopl Count'!H198=0,"",('Phytopl Analysis'!H198*LN('Phytopl Analysis'!H198)))</f>
        <v/>
      </c>
      <c r="I198" s="58" t="str">
        <f>IF('Phytopl Count'!I198=0,"",('Phytopl Analysis'!I198*LN('Phytopl Analysis'!I198)))</f>
        <v/>
      </c>
      <c r="J198" s="58" t="str">
        <f>IF('Phytopl Count'!J198=0,"",('Phytopl Analysis'!J198*LN('Phytopl Analysis'!J198)))</f>
        <v/>
      </c>
      <c r="K198" s="21" t="str">
        <f>IF('Phytopl Count'!K198=0,"",('Phytopl Analysis'!K198*LN('Phytopl Analysis'!K198)))</f>
        <v/>
      </c>
      <c r="L198" s="21" t="str">
        <f>IF('Phytopl Count'!L198=0,"",('Phytopl Analysis'!L198*LN('Phytopl Analysis'!L198)))</f>
        <v/>
      </c>
      <c r="M198" s="58" t="str">
        <f>IF('Phytopl Count'!M198=0,"",('Phytopl Analysis'!M198*LN('Phytopl Analysis'!M198)))</f>
        <v/>
      </c>
      <c r="N198" s="58" t="str">
        <f>IF('Phytopl Count'!N198=0,"",('Phytopl Analysis'!N198*LN('Phytopl Analysis'!N198)))</f>
        <v/>
      </c>
      <c r="O198" s="21" t="str">
        <f>IF('Phytopl Count'!O198=0,"",('Phytopl Analysis'!O198*LN('Phytopl Analysis'!O198)))</f>
        <v/>
      </c>
      <c r="P198" s="21" t="str">
        <f>IF('Phytopl Count'!P198=0,"",('Phytopl Analysis'!P198*LN('Phytopl Analysis'!P198)))</f>
        <v/>
      </c>
      <c r="Q198" s="58" t="str">
        <f>IF('Phytopl Count'!Q198=0,"",('Phytopl Analysis'!Q198*LN('Phytopl Analysis'!Q198)))</f>
        <v/>
      </c>
      <c r="R198" s="58" t="str">
        <f>IF('Phytopl Count'!R198=0,"",('Phytopl Analysis'!R198*LN('Phytopl Analysis'!R198)))</f>
        <v/>
      </c>
      <c r="S198" s="21" t="str">
        <f>IF('Phytopl Count'!S198=0,"",('Phytopl Analysis'!S198*LN('Phytopl Analysis'!S198)))</f>
        <v/>
      </c>
      <c r="T198" s="21" t="str">
        <f>IF('Phytopl Count'!T198=0,"",('Phytopl Analysis'!T198*LN('Phytopl Analysis'!T198)))</f>
        <v/>
      </c>
      <c r="U198" s="58" t="str">
        <f>IF('Phytopl Count'!U198=0,"",('Phytopl Analysis'!U198*LN('Phytopl Analysis'!U198)))</f>
        <v/>
      </c>
      <c r="V198" s="58">
        <f>IF('Phytopl Count'!V198=0,"",('Phytopl Analysis'!V198*LN('Phytopl Analysis'!V198)))</f>
        <v>-0.12884150444391032</v>
      </c>
      <c r="W198" s="21" t="str">
        <f>IF('Phytopl Count'!W198=0,"",('Phytopl Analysis'!W198*LN('Phytopl Analysis'!W198)))</f>
        <v/>
      </c>
      <c r="X198" s="21" t="str">
        <f>IF('Phytopl Count'!X198=0,"",('Phytopl Analysis'!X198*LN('Phytopl Analysis'!X198)))</f>
        <v/>
      </c>
      <c r="Y198" s="58" t="str">
        <f>IF('Phytopl Count'!Y198=0,"",('Phytopl Analysis'!Y198*LN('Phytopl Analysis'!Y198)))</f>
        <v/>
      </c>
      <c r="Z198" s="58" t="str">
        <f>IF('Phytopl Count'!Z198=0,"",('Phytopl Analysis'!Z198*LN('Phytopl Analysis'!Z198)))</f>
        <v/>
      </c>
      <c r="AA198" s="21">
        <f>IF('Phytopl Count'!AA198=0,"",('Phytopl Analysis'!AA198*LN('Phytopl Analysis'!AA198)))</f>
        <v>-0.11022075559754062</v>
      </c>
      <c r="AB198" s="21" t="str">
        <f>IF('Phytopl Count'!AB198=0,"",('Phytopl Analysis'!AB198*LN('Phytopl Analysis'!AB198)))</f>
        <v/>
      </c>
      <c r="AC198" s="58" t="str">
        <f>IF('Phytopl Count'!AC198=0,"",('Phytopl Analysis'!AC198*LN('Phytopl Analysis'!AC198)))</f>
        <v/>
      </c>
      <c r="AD198" s="58" t="str">
        <f>IF('Phytopl Count'!AD198=0,"",('Phytopl Analysis'!AD198*LN('Phytopl Analysis'!AD198)))</f>
        <v/>
      </c>
      <c r="AE198" s="21" t="str">
        <f>IF('Phytopl Count'!AE198=0,"",('Phytopl Analysis'!AE198*LN('Phytopl Analysis'!AE198)))</f>
        <v/>
      </c>
      <c r="AF198" s="58">
        <f>IF('Phytopl Count'!AF198=0,"",('Phytopl Analysis'!AF198*LN('Phytopl Analysis'!AF198)))</f>
        <v>-0.17603686210775515</v>
      </c>
    </row>
    <row r="199" spans="1:32">
      <c r="A199" s="89"/>
      <c r="B199" s="89"/>
      <c r="C199" s="89"/>
      <c r="D199" s="89" t="s">
        <v>5</v>
      </c>
      <c r="E199" s="90" t="s">
        <v>239</v>
      </c>
      <c r="F199" s="91"/>
      <c r="G199" s="21" t="str">
        <f>IF('Phytopl Count'!G199=0,"",('Phytopl Analysis'!G199*LN('Phytopl Analysis'!G199)))</f>
        <v/>
      </c>
      <c r="H199" s="21" t="str">
        <f>IF('Phytopl Count'!H199=0,"",('Phytopl Analysis'!H199*LN('Phytopl Analysis'!H199)))</f>
        <v/>
      </c>
      <c r="I199" s="58" t="str">
        <f>IF('Phytopl Count'!I199=0,"",('Phytopl Analysis'!I199*LN('Phytopl Analysis'!I199)))</f>
        <v/>
      </c>
      <c r="J199" s="58" t="str">
        <f>IF('Phytopl Count'!J199=0,"",('Phytopl Analysis'!J199*LN('Phytopl Analysis'!J199)))</f>
        <v/>
      </c>
      <c r="K199" s="21" t="str">
        <f>IF('Phytopl Count'!K199=0,"",('Phytopl Analysis'!K199*LN('Phytopl Analysis'!K199)))</f>
        <v/>
      </c>
      <c r="L199" s="21" t="str">
        <f>IF('Phytopl Count'!L199=0,"",('Phytopl Analysis'!L199*LN('Phytopl Analysis'!L199)))</f>
        <v/>
      </c>
      <c r="M199" s="58" t="str">
        <f>IF('Phytopl Count'!M199=0,"",('Phytopl Analysis'!M199*LN('Phytopl Analysis'!M199)))</f>
        <v/>
      </c>
      <c r="N199" s="58" t="str">
        <f>IF('Phytopl Count'!N199=0,"",('Phytopl Analysis'!N199*LN('Phytopl Analysis'!N199)))</f>
        <v/>
      </c>
      <c r="O199" s="21" t="str">
        <f>IF('Phytopl Count'!O199=0,"",('Phytopl Analysis'!O199*LN('Phytopl Analysis'!O199)))</f>
        <v/>
      </c>
      <c r="P199" s="21" t="str">
        <f>IF('Phytopl Count'!P199=0,"",('Phytopl Analysis'!P199*LN('Phytopl Analysis'!P199)))</f>
        <v/>
      </c>
      <c r="Q199" s="58" t="str">
        <f>IF('Phytopl Count'!Q199=0,"",('Phytopl Analysis'!Q199*LN('Phytopl Analysis'!Q199)))</f>
        <v/>
      </c>
      <c r="R199" s="58" t="str">
        <f>IF('Phytopl Count'!R199=0,"",('Phytopl Analysis'!R199*LN('Phytopl Analysis'!R199)))</f>
        <v/>
      </c>
      <c r="S199" s="21" t="str">
        <f>IF('Phytopl Count'!S199=0,"",('Phytopl Analysis'!S199*LN('Phytopl Analysis'!S199)))</f>
        <v/>
      </c>
      <c r="T199" s="21" t="str">
        <f>IF('Phytopl Count'!T199=0,"",('Phytopl Analysis'!T199*LN('Phytopl Analysis'!T199)))</f>
        <v/>
      </c>
      <c r="U199" s="58" t="str">
        <f>IF('Phytopl Count'!U199=0,"",('Phytopl Analysis'!U199*LN('Phytopl Analysis'!U199)))</f>
        <v/>
      </c>
      <c r="V199" s="58" t="str">
        <f>IF('Phytopl Count'!V199=0,"",('Phytopl Analysis'!V199*LN('Phytopl Analysis'!V199)))</f>
        <v/>
      </c>
      <c r="W199" s="21" t="str">
        <f>IF('Phytopl Count'!W199=0,"",('Phytopl Analysis'!W199*LN('Phytopl Analysis'!W199)))</f>
        <v/>
      </c>
      <c r="X199" s="21" t="str">
        <f>IF('Phytopl Count'!X199=0,"",('Phytopl Analysis'!X199*LN('Phytopl Analysis'!X199)))</f>
        <v/>
      </c>
      <c r="Y199" s="58" t="str">
        <f>IF('Phytopl Count'!Y199=0,"",('Phytopl Analysis'!Y199*LN('Phytopl Analysis'!Y199)))</f>
        <v/>
      </c>
      <c r="Z199" s="58" t="str">
        <f>IF('Phytopl Count'!Z199=0,"",('Phytopl Analysis'!Z199*LN('Phytopl Analysis'!Z199)))</f>
        <v/>
      </c>
      <c r="AA199" s="21" t="str">
        <f>IF('Phytopl Count'!AA199=0,"",('Phytopl Analysis'!AA199*LN('Phytopl Analysis'!AA199)))</f>
        <v/>
      </c>
      <c r="AB199" s="21" t="str">
        <f>IF('Phytopl Count'!AB199=0,"",('Phytopl Analysis'!AB199*LN('Phytopl Analysis'!AB199)))</f>
        <v/>
      </c>
      <c r="AC199" s="58" t="str">
        <f>IF('Phytopl Count'!AC199=0,"",('Phytopl Analysis'!AC199*LN('Phytopl Analysis'!AC199)))</f>
        <v/>
      </c>
      <c r="AD199" s="58" t="str">
        <f>IF('Phytopl Count'!AD199=0,"",('Phytopl Analysis'!AD199*LN('Phytopl Analysis'!AD199)))</f>
        <v/>
      </c>
      <c r="AE199" s="21" t="str">
        <f>IF('Phytopl Count'!AE199=0,"",('Phytopl Analysis'!AE199*LN('Phytopl Analysis'!AE199)))</f>
        <v/>
      </c>
      <c r="AF199" s="58" t="str">
        <f>IF('Phytopl Count'!AF199=0,"",('Phytopl Analysis'!AF199*LN('Phytopl Analysis'!AF199)))</f>
        <v/>
      </c>
    </row>
    <row r="200" spans="1:32" hidden="1">
      <c r="A200" s="90"/>
      <c r="B200" s="90"/>
      <c r="C200" s="90"/>
      <c r="D200" s="90"/>
      <c r="F200" s="11" t="s">
        <v>240</v>
      </c>
      <c r="G200" s="21" t="str">
        <f>IF('Phytopl Count'!G200=0,"",('Phytopl Analysis'!G200*LN('Phytopl Analysis'!G200)))</f>
        <v/>
      </c>
      <c r="H200" s="21" t="str">
        <f>IF('Phytopl Count'!H200=0,"",('Phytopl Analysis'!H200*LN('Phytopl Analysis'!H200)))</f>
        <v/>
      </c>
      <c r="I200" s="58" t="str">
        <f>IF('Phytopl Count'!I200=0,"",('Phytopl Analysis'!I200*LN('Phytopl Analysis'!I200)))</f>
        <v/>
      </c>
      <c r="J200" s="58" t="str">
        <f>IF('Phytopl Count'!J200=0,"",('Phytopl Analysis'!J200*LN('Phytopl Analysis'!J200)))</f>
        <v/>
      </c>
      <c r="K200" s="21" t="str">
        <f>IF('Phytopl Count'!K200=0,"",('Phytopl Analysis'!K200*LN('Phytopl Analysis'!K200)))</f>
        <v/>
      </c>
      <c r="L200" s="21" t="str">
        <f>IF('Phytopl Count'!L200=0,"",('Phytopl Analysis'!L200*LN('Phytopl Analysis'!L200)))</f>
        <v/>
      </c>
      <c r="M200" s="58" t="str">
        <f>IF('Phytopl Count'!M200=0,"",('Phytopl Analysis'!M200*LN('Phytopl Analysis'!M200)))</f>
        <v/>
      </c>
      <c r="N200" s="58" t="str">
        <f>IF('Phytopl Count'!N200=0,"",('Phytopl Analysis'!N200*LN('Phytopl Analysis'!N200)))</f>
        <v/>
      </c>
      <c r="O200" s="21" t="str">
        <f>IF('Phytopl Count'!O200=0,"",('Phytopl Analysis'!O200*LN('Phytopl Analysis'!O200)))</f>
        <v/>
      </c>
      <c r="P200" s="21" t="str">
        <f>IF('Phytopl Count'!P200=0,"",('Phytopl Analysis'!P200*LN('Phytopl Analysis'!P200)))</f>
        <v/>
      </c>
      <c r="Q200" s="58" t="str">
        <f>IF('Phytopl Count'!Q200=0,"",('Phytopl Analysis'!Q200*LN('Phytopl Analysis'!Q200)))</f>
        <v/>
      </c>
      <c r="R200" s="58" t="str">
        <f>IF('Phytopl Count'!R200=0,"",('Phytopl Analysis'!R200*LN('Phytopl Analysis'!R200)))</f>
        <v/>
      </c>
      <c r="S200" s="21" t="str">
        <f>IF('Phytopl Count'!S200=0,"",('Phytopl Analysis'!S200*LN('Phytopl Analysis'!S200)))</f>
        <v/>
      </c>
      <c r="T200" s="21" t="str">
        <f>IF('Phytopl Count'!T200=0,"",('Phytopl Analysis'!T200*LN('Phytopl Analysis'!T200)))</f>
        <v/>
      </c>
      <c r="U200" s="58" t="str">
        <f>IF('Phytopl Count'!U200=0,"",('Phytopl Analysis'!U200*LN('Phytopl Analysis'!U200)))</f>
        <v/>
      </c>
      <c r="V200" s="58" t="str">
        <f>IF('Phytopl Count'!V200=0,"",('Phytopl Analysis'!V200*LN('Phytopl Analysis'!V200)))</f>
        <v/>
      </c>
      <c r="W200" s="21" t="str">
        <f>IF('Phytopl Count'!W200=0,"",('Phytopl Analysis'!W200*LN('Phytopl Analysis'!W200)))</f>
        <v/>
      </c>
      <c r="X200" s="21" t="str">
        <f>IF('Phytopl Count'!X200=0,"",('Phytopl Analysis'!X200*LN('Phytopl Analysis'!X200)))</f>
        <v/>
      </c>
      <c r="Y200" s="58" t="str">
        <f>IF('Phytopl Count'!Y200=0,"",('Phytopl Analysis'!Y200*LN('Phytopl Analysis'!Y200)))</f>
        <v/>
      </c>
      <c r="Z200" s="58" t="str">
        <f>IF('Phytopl Count'!Z200=0,"",('Phytopl Analysis'!Z200*LN('Phytopl Analysis'!Z200)))</f>
        <v/>
      </c>
      <c r="AA200" s="21" t="str">
        <f>IF('Phytopl Count'!AA200=0,"",('Phytopl Analysis'!AA200*LN('Phytopl Analysis'!AA200)))</f>
        <v/>
      </c>
      <c r="AB200" s="21" t="str">
        <f>IF('Phytopl Count'!AB200=0,"",('Phytopl Analysis'!AB200*LN('Phytopl Analysis'!AB200)))</f>
        <v/>
      </c>
      <c r="AC200" s="58" t="str">
        <f>IF('Phytopl Count'!AC200=0,"",('Phytopl Analysis'!AC200*LN('Phytopl Analysis'!AC200)))</f>
        <v/>
      </c>
      <c r="AD200" s="58" t="str">
        <f>IF('Phytopl Count'!AD200=0,"",('Phytopl Analysis'!AD200*LN('Phytopl Analysis'!AD200)))</f>
        <v/>
      </c>
      <c r="AE200" s="21" t="str">
        <f>IF('Phytopl Count'!AE200=0,"",('Phytopl Analysis'!AE200*LN('Phytopl Analysis'!AE200)))</f>
        <v/>
      </c>
      <c r="AF200" s="58" t="str">
        <f>IF('Phytopl Count'!AF200=0,"",('Phytopl Analysis'!AF200*LN('Phytopl Analysis'!AF200)))</f>
        <v/>
      </c>
    </row>
    <row r="201" spans="1:32" hidden="1">
      <c r="A201" s="90"/>
      <c r="B201" s="90"/>
      <c r="C201" s="90"/>
      <c r="D201" s="90"/>
      <c r="E201" s="89"/>
      <c r="F201" s="11" t="s">
        <v>241</v>
      </c>
      <c r="G201" s="21" t="str">
        <f>IF('Phytopl Count'!G201=0,"",('Phytopl Analysis'!G201*LN('Phytopl Analysis'!G201)))</f>
        <v/>
      </c>
      <c r="H201" s="21" t="str">
        <f>IF('Phytopl Count'!H201=0,"",('Phytopl Analysis'!H201*LN('Phytopl Analysis'!H201)))</f>
        <v/>
      </c>
      <c r="I201" s="58" t="str">
        <f>IF('Phytopl Count'!I201=0,"",('Phytopl Analysis'!I201*LN('Phytopl Analysis'!I201)))</f>
        <v/>
      </c>
      <c r="J201" s="58" t="str">
        <f>IF('Phytopl Count'!J201=0,"",('Phytopl Analysis'!J201*LN('Phytopl Analysis'!J201)))</f>
        <v/>
      </c>
      <c r="K201" s="21" t="str">
        <f>IF('Phytopl Count'!K201=0,"",('Phytopl Analysis'!K201*LN('Phytopl Analysis'!K201)))</f>
        <v/>
      </c>
      <c r="L201" s="21" t="str">
        <f>IF('Phytopl Count'!L201=0,"",('Phytopl Analysis'!L201*LN('Phytopl Analysis'!L201)))</f>
        <v/>
      </c>
      <c r="M201" s="58" t="str">
        <f>IF('Phytopl Count'!M201=0,"",('Phytopl Analysis'!M201*LN('Phytopl Analysis'!M201)))</f>
        <v/>
      </c>
      <c r="N201" s="58" t="str">
        <f>IF('Phytopl Count'!N201=0,"",('Phytopl Analysis'!N201*LN('Phytopl Analysis'!N201)))</f>
        <v/>
      </c>
      <c r="O201" s="21" t="str">
        <f>IF('Phytopl Count'!O201=0,"",('Phytopl Analysis'!O201*LN('Phytopl Analysis'!O201)))</f>
        <v/>
      </c>
      <c r="P201" s="21" t="str">
        <f>IF('Phytopl Count'!P201=0,"",('Phytopl Analysis'!P201*LN('Phytopl Analysis'!P201)))</f>
        <v/>
      </c>
      <c r="Q201" s="58" t="str">
        <f>IF('Phytopl Count'!Q201=0,"",('Phytopl Analysis'!Q201*LN('Phytopl Analysis'!Q201)))</f>
        <v/>
      </c>
      <c r="R201" s="58" t="str">
        <f>IF('Phytopl Count'!R201=0,"",('Phytopl Analysis'!R201*LN('Phytopl Analysis'!R201)))</f>
        <v/>
      </c>
      <c r="S201" s="21" t="str">
        <f>IF('Phytopl Count'!S201=0,"",('Phytopl Analysis'!S201*LN('Phytopl Analysis'!S201)))</f>
        <v/>
      </c>
      <c r="T201" s="21" t="str">
        <f>IF('Phytopl Count'!T201=0,"",('Phytopl Analysis'!T201*LN('Phytopl Analysis'!T201)))</f>
        <v/>
      </c>
      <c r="U201" s="58" t="str">
        <f>IF('Phytopl Count'!U201=0,"",('Phytopl Analysis'!U201*LN('Phytopl Analysis'!U201)))</f>
        <v/>
      </c>
      <c r="V201" s="58" t="str">
        <f>IF('Phytopl Count'!V201=0,"",('Phytopl Analysis'!V201*LN('Phytopl Analysis'!V201)))</f>
        <v/>
      </c>
      <c r="W201" s="21" t="str">
        <f>IF('Phytopl Count'!W201=0,"",('Phytopl Analysis'!W201*LN('Phytopl Analysis'!W201)))</f>
        <v/>
      </c>
      <c r="X201" s="21" t="str">
        <f>IF('Phytopl Count'!X201=0,"",('Phytopl Analysis'!X201*LN('Phytopl Analysis'!X201)))</f>
        <v/>
      </c>
      <c r="Y201" s="58" t="str">
        <f>IF('Phytopl Count'!Y201=0,"",('Phytopl Analysis'!Y201*LN('Phytopl Analysis'!Y201)))</f>
        <v/>
      </c>
      <c r="Z201" s="58" t="str">
        <f>IF('Phytopl Count'!Z201=0,"",('Phytopl Analysis'!Z201*LN('Phytopl Analysis'!Z201)))</f>
        <v/>
      </c>
      <c r="AA201" s="21" t="str">
        <f>IF('Phytopl Count'!AA201=0,"",('Phytopl Analysis'!AA201*LN('Phytopl Analysis'!AA201)))</f>
        <v/>
      </c>
      <c r="AB201" s="21" t="str">
        <f>IF('Phytopl Count'!AB201=0,"",('Phytopl Analysis'!AB201*LN('Phytopl Analysis'!AB201)))</f>
        <v/>
      </c>
      <c r="AC201" s="58" t="str">
        <f>IF('Phytopl Count'!AC201=0,"",('Phytopl Analysis'!AC201*LN('Phytopl Analysis'!AC201)))</f>
        <v/>
      </c>
      <c r="AD201" s="58" t="str">
        <f>IF('Phytopl Count'!AD201=0,"",('Phytopl Analysis'!AD201*LN('Phytopl Analysis'!AD201)))</f>
        <v/>
      </c>
      <c r="AE201" s="21" t="str">
        <f>IF('Phytopl Count'!AE201=0,"",('Phytopl Analysis'!AE201*LN('Phytopl Analysis'!AE201)))</f>
        <v/>
      </c>
      <c r="AF201" s="58" t="str">
        <f>IF('Phytopl Count'!AF201=0,"",('Phytopl Analysis'!AF201*LN('Phytopl Analysis'!AF201)))</f>
        <v/>
      </c>
    </row>
    <row r="202" spans="1:32">
      <c r="A202" s="90"/>
      <c r="B202" s="90"/>
      <c r="C202" s="90"/>
      <c r="D202" s="90"/>
      <c r="E202" s="89" t="s">
        <v>6</v>
      </c>
      <c r="F202" s="11" t="s">
        <v>50</v>
      </c>
      <c r="G202" s="21" t="str">
        <f>IF('Phytopl Count'!G202=0,"",('Phytopl Analysis'!G202*LN('Phytopl Analysis'!G202)))</f>
        <v/>
      </c>
      <c r="H202" s="21" t="str">
        <f>IF('Phytopl Count'!H202=0,"",('Phytopl Analysis'!H202*LN('Phytopl Analysis'!H202)))</f>
        <v/>
      </c>
      <c r="I202" s="58" t="str">
        <f>IF('Phytopl Count'!I202=0,"",('Phytopl Analysis'!I202*LN('Phytopl Analysis'!I202)))</f>
        <v/>
      </c>
      <c r="J202" s="58">
        <f>IF('Phytopl Count'!J202=0,"",('Phytopl Analysis'!J202*LN('Phytopl Analysis'!J202)))</f>
        <v>-0.12884150444391032</v>
      </c>
      <c r="K202" s="21" t="str">
        <f>IF('Phytopl Count'!K202=0,"",('Phytopl Analysis'!K202*LN('Phytopl Analysis'!K202)))</f>
        <v/>
      </c>
      <c r="L202" s="21" t="str">
        <f>IF('Phytopl Count'!L202=0,"",('Phytopl Analysis'!L202*LN('Phytopl Analysis'!L202)))</f>
        <v/>
      </c>
      <c r="M202" s="58" t="str">
        <f>IF('Phytopl Count'!M202=0,"",('Phytopl Analysis'!M202*LN('Phytopl Analysis'!M202)))</f>
        <v/>
      </c>
      <c r="N202" s="58" t="str">
        <f>IF('Phytopl Count'!N202=0,"",('Phytopl Analysis'!N202*LN('Phytopl Analysis'!N202)))</f>
        <v/>
      </c>
      <c r="O202" s="21" t="str">
        <f>IF('Phytopl Count'!O202=0,"",('Phytopl Analysis'!O202*LN('Phytopl Analysis'!O202)))</f>
        <v/>
      </c>
      <c r="P202" s="21" t="str">
        <f>IF('Phytopl Count'!P202=0,"",('Phytopl Analysis'!P202*LN('Phytopl Analysis'!P202)))</f>
        <v/>
      </c>
      <c r="Q202" s="58" t="str">
        <f>IF('Phytopl Count'!Q202=0,"",('Phytopl Analysis'!Q202*LN('Phytopl Analysis'!Q202)))</f>
        <v/>
      </c>
      <c r="R202" s="58" t="str">
        <f>IF('Phytopl Count'!R202=0,"",('Phytopl Analysis'!R202*LN('Phytopl Analysis'!R202)))</f>
        <v/>
      </c>
      <c r="S202" s="21" t="str">
        <f>IF('Phytopl Count'!S202=0,"",('Phytopl Analysis'!S202*LN('Phytopl Analysis'!S202)))</f>
        <v/>
      </c>
      <c r="T202" s="21" t="str">
        <f>IF('Phytopl Count'!T202=0,"",('Phytopl Analysis'!T202*LN('Phytopl Analysis'!T202)))</f>
        <v/>
      </c>
      <c r="U202" s="58">
        <f>IF('Phytopl Count'!U202=0,"",('Phytopl Analysis'!U202*LN('Phytopl Analysis'!U202)))</f>
        <v>-0.17603686210775515</v>
      </c>
      <c r="V202" s="58">
        <f>IF('Phytopl Count'!V202=0,"",('Phytopl Analysis'!V202*LN('Phytopl Analysis'!V202)))</f>
        <v>-0.12884150444391032</v>
      </c>
      <c r="W202" s="21">
        <f>IF('Phytopl Count'!W202=0,"",('Phytopl Analysis'!W202*LN('Phytopl Analysis'!W202)))</f>
        <v>-0.1458498424659852</v>
      </c>
      <c r="X202" s="21">
        <f>IF('Phytopl Count'!X202=0,"",('Phytopl Analysis'!X202*LN('Phytopl Analysis'!X202)))</f>
        <v>-0.11022075559754062</v>
      </c>
      <c r="Y202" s="58" t="str">
        <f>IF('Phytopl Count'!Y202=0,"",('Phytopl Analysis'!Y202*LN('Phytopl Analysis'!Y202)))</f>
        <v/>
      </c>
      <c r="Z202" s="58" t="str">
        <f>IF('Phytopl Count'!Z202=0,"",('Phytopl Analysis'!Z202*LN('Phytopl Analysis'!Z202)))</f>
        <v/>
      </c>
      <c r="AA202" s="21">
        <f>IF('Phytopl Count'!AA202=0,"",('Phytopl Analysis'!AA202*LN('Phytopl Analysis'!AA202)))</f>
        <v>-0.11022075559754062</v>
      </c>
      <c r="AB202" s="21" t="str">
        <f>IF('Phytopl Count'!AB202=0,"",('Phytopl Analysis'!AB202*LN('Phytopl Analysis'!AB202)))</f>
        <v/>
      </c>
      <c r="AC202" s="58" t="str">
        <f>IF('Phytopl Count'!AC202=0,"",('Phytopl Analysis'!AC202*LN('Phytopl Analysis'!AC202)))</f>
        <v/>
      </c>
      <c r="AD202" s="58">
        <f>IF('Phytopl Count'!AD202=0,"",('Phytopl Analysis'!AD202*LN('Phytopl Analysis'!AD202)))</f>
        <v>-0.17603686210775515</v>
      </c>
      <c r="AE202" s="21" t="str">
        <f>IF('Phytopl Count'!AE202=0,"",('Phytopl Analysis'!AE202*LN('Phytopl Analysis'!AE202)))</f>
        <v/>
      </c>
      <c r="AF202" s="58">
        <f>IF('Phytopl Count'!AF202=0,"",('Phytopl Analysis'!AF202*LN('Phytopl Analysis'!AF202)))</f>
        <v>-0.3489102557324118</v>
      </c>
    </row>
    <row r="203" spans="1:32">
      <c r="A203" s="16"/>
      <c r="B203" s="4"/>
      <c r="C203" s="16" t="s">
        <v>73</v>
      </c>
      <c r="D203" s="4" t="s">
        <v>93</v>
      </c>
      <c r="E203" s="4"/>
      <c r="F203" s="54"/>
      <c r="G203" s="21" t="str">
        <f>IF('Phytopl Count'!G203=0,"",('Phytopl Analysis'!G203*LN('Phytopl Analysis'!G203)))</f>
        <v/>
      </c>
      <c r="H203" s="21" t="str">
        <f>IF('Phytopl Count'!H203=0,"",('Phytopl Analysis'!H203*LN('Phytopl Analysis'!H203)))</f>
        <v/>
      </c>
      <c r="I203" s="58" t="str">
        <f>IF('Phytopl Count'!I203=0,"",('Phytopl Analysis'!I203*LN('Phytopl Analysis'!I203)))</f>
        <v/>
      </c>
      <c r="J203" s="58" t="str">
        <f>IF('Phytopl Count'!J203=0,"",('Phytopl Analysis'!J203*LN('Phytopl Analysis'!J203)))</f>
        <v/>
      </c>
      <c r="K203" s="21" t="str">
        <f>IF('Phytopl Count'!K203=0,"",('Phytopl Analysis'!K203*LN('Phytopl Analysis'!K203)))</f>
        <v/>
      </c>
      <c r="L203" s="21" t="str">
        <f>IF('Phytopl Count'!L203=0,"",('Phytopl Analysis'!L203*LN('Phytopl Analysis'!L203)))</f>
        <v/>
      </c>
      <c r="M203" s="58" t="str">
        <f>IF('Phytopl Count'!M203=0,"",('Phytopl Analysis'!M203*LN('Phytopl Analysis'!M203)))</f>
        <v/>
      </c>
      <c r="N203" s="58" t="str">
        <f>IF('Phytopl Count'!N203=0,"",('Phytopl Analysis'!N203*LN('Phytopl Analysis'!N203)))</f>
        <v/>
      </c>
      <c r="O203" s="21" t="str">
        <f>IF('Phytopl Count'!O203=0,"",('Phytopl Analysis'!O203*LN('Phytopl Analysis'!O203)))</f>
        <v/>
      </c>
      <c r="P203" s="21" t="str">
        <f>IF('Phytopl Count'!P203=0,"",('Phytopl Analysis'!P203*LN('Phytopl Analysis'!P203)))</f>
        <v/>
      </c>
      <c r="Q203" s="58" t="str">
        <f>IF('Phytopl Count'!Q203=0,"",('Phytopl Analysis'!Q203*LN('Phytopl Analysis'!Q203)))</f>
        <v/>
      </c>
      <c r="R203" s="58" t="str">
        <f>IF('Phytopl Count'!R203=0,"",('Phytopl Analysis'!R203*LN('Phytopl Analysis'!R203)))</f>
        <v/>
      </c>
      <c r="S203" s="21" t="str">
        <f>IF('Phytopl Count'!S203=0,"",('Phytopl Analysis'!S203*LN('Phytopl Analysis'!S203)))</f>
        <v/>
      </c>
      <c r="T203" s="21" t="str">
        <f>IF('Phytopl Count'!T203=0,"",('Phytopl Analysis'!T203*LN('Phytopl Analysis'!T203)))</f>
        <v/>
      </c>
      <c r="U203" s="58" t="str">
        <f>IF('Phytopl Count'!U203=0,"",('Phytopl Analysis'!U203*LN('Phytopl Analysis'!U203)))</f>
        <v/>
      </c>
      <c r="V203" s="58" t="str">
        <f>IF('Phytopl Count'!V203=0,"",('Phytopl Analysis'!V203*LN('Phytopl Analysis'!V203)))</f>
        <v/>
      </c>
      <c r="W203" s="21" t="str">
        <f>IF('Phytopl Count'!W203=0,"",('Phytopl Analysis'!W203*LN('Phytopl Analysis'!W203)))</f>
        <v/>
      </c>
      <c r="X203" s="21" t="str">
        <f>IF('Phytopl Count'!X203=0,"",('Phytopl Analysis'!X203*LN('Phytopl Analysis'!X203)))</f>
        <v/>
      </c>
      <c r="Y203" s="58" t="str">
        <f>IF('Phytopl Count'!Y203=0,"",('Phytopl Analysis'!Y203*LN('Phytopl Analysis'!Y203)))</f>
        <v/>
      </c>
      <c r="Z203" s="58" t="str">
        <f>IF('Phytopl Count'!Z203=0,"",('Phytopl Analysis'!Z203*LN('Phytopl Analysis'!Z203)))</f>
        <v/>
      </c>
      <c r="AA203" s="21" t="str">
        <f>IF('Phytopl Count'!AA203=0,"",('Phytopl Analysis'!AA203*LN('Phytopl Analysis'!AA203)))</f>
        <v/>
      </c>
      <c r="AB203" s="21" t="str">
        <f>IF('Phytopl Count'!AB203=0,"",('Phytopl Analysis'!AB203*LN('Phytopl Analysis'!AB203)))</f>
        <v/>
      </c>
      <c r="AC203" s="58" t="str">
        <f>IF('Phytopl Count'!AC203=0,"",('Phytopl Analysis'!AC203*LN('Phytopl Analysis'!AC203)))</f>
        <v/>
      </c>
      <c r="AD203" s="58" t="str">
        <f>IF('Phytopl Count'!AD203=0,"",('Phytopl Analysis'!AD203*LN('Phytopl Analysis'!AD203)))</f>
        <v/>
      </c>
      <c r="AE203" s="21" t="str">
        <f>IF('Phytopl Count'!AE203=0,"",('Phytopl Analysis'!AE203*LN('Phytopl Analysis'!AE203)))</f>
        <v/>
      </c>
      <c r="AF203" s="58" t="str">
        <f>IF('Phytopl Count'!AF203=0,"",('Phytopl Analysis'!AF203*LN('Phytopl Analysis'!AF203)))</f>
        <v/>
      </c>
    </row>
    <row r="204" spans="1:32">
      <c r="A204" s="5"/>
      <c r="B204" s="5"/>
      <c r="C204" s="5"/>
      <c r="D204" s="10" t="s">
        <v>5</v>
      </c>
      <c r="E204" s="12" t="s">
        <v>40</v>
      </c>
      <c r="F204" s="11"/>
      <c r="G204" s="21" t="str">
        <f>IF('Phytopl Count'!G204=0,"",('Phytopl Analysis'!G204*LN('Phytopl Analysis'!G204)))</f>
        <v/>
      </c>
      <c r="H204" s="21" t="str">
        <f>IF('Phytopl Count'!H204=0,"",('Phytopl Analysis'!H204*LN('Phytopl Analysis'!H204)))</f>
        <v/>
      </c>
      <c r="I204" s="58" t="str">
        <f>IF('Phytopl Count'!I204=0,"",('Phytopl Analysis'!I204*LN('Phytopl Analysis'!I204)))</f>
        <v/>
      </c>
      <c r="J204" s="58" t="str">
        <f>IF('Phytopl Count'!J204=0,"",('Phytopl Analysis'!J204*LN('Phytopl Analysis'!J204)))</f>
        <v/>
      </c>
      <c r="K204" s="21" t="str">
        <f>IF('Phytopl Count'!K204=0,"",('Phytopl Analysis'!K204*LN('Phytopl Analysis'!K204)))</f>
        <v/>
      </c>
      <c r="L204" s="21" t="str">
        <f>IF('Phytopl Count'!L204=0,"",('Phytopl Analysis'!L204*LN('Phytopl Analysis'!L204)))</f>
        <v/>
      </c>
      <c r="M204" s="58" t="str">
        <f>IF('Phytopl Count'!M204=0,"",('Phytopl Analysis'!M204*LN('Phytopl Analysis'!M204)))</f>
        <v/>
      </c>
      <c r="N204" s="58" t="str">
        <f>IF('Phytopl Count'!N204=0,"",('Phytopl Analysis'!N204*LN('Phytopl Analysis'!N204)))</f>
        <v/>
      </c>
      <c r="O204" s="21" t="str">
        <f>IF('Phytopl Count'!O204=0,"",('Phytopl Analysis'!O204*LN('Phytopl Analysis'!O204)))</f>
        <v/>
      </c>
      <c r="P204" s="21" t="str">
        <f>IF('Phytopl Count'!P204=0,"",('Phytopl Analysis'!P204*LN('Phytopl Analysis'!P204)))</f>
        <v/>
      </c>
      <c r="Q204" s="58" t="str">
        <f>IF('Phytopl Count'!Q204=0,"",('Phytopl Analysis'!Q204*LN('Phytopl Analysis'!Q204)))</f>
        <v/>
      </c>
      <c r="R204" s="58" t="str">
        <f>IF('Phytopl Count'!R204=0,"",('Phytopl Analysis'!R204*LN('Phytopl Analysis'!R204)))</f>
        <v/>
      </c>
      <c r="S204" s="21" t="str">
        <f>IF('Phytopl Count'!S204=0,"",('Phytopl Analysis'!S204*LN('Phytopl Analysis'!S204)))</f>
        <v/>
      </c>
      <c r="T204" s="21" t="str">
        <f>IF('Phytopl Count'!T204=0,"",('Phytopl Analysis'!T204*LN('Phytopl Analysis'!T204)))</f>
        <v/>
      </c>
      <c r="U204" s="58" t="str">
        <f>IF('Phytopl Count'!U204=0,"",('Phytopl Analysis'!U204*LN('Phytopl Analysis'!U204)))</f>
        <v/>
      </c>
      <c r="V204" s="58" t="str">
        <f>IF('Phytopl Count'!V204=0,"",('Phytopl Analysis'!V204*LN('Phytopl Analysis'!V204)))</f>
        <v/>
      </c>
      <c r="W204" s="21" t="str">
        <f>IF('Phytopl Count'!W204=0,"",('Phytopl Analysis'!W204*LN('Phytopl Analysis'!W204)))</f>
        <v/>
      </c>
      <c r="X204" s="21" t="str">
        <f>IF('Phytopl Count'!X204=0,"",('Phytopl Analysis'!X204*LN('Phytopl Analysis'!X204)))</f>
        <v/>
      </c>
      <c r="Y204" s="58" t="str">
        <f>IF('Phytopl Count'!Y204=0,"",('Phytopl Analysis'!Y204*LN('Phytopl Analysis'!Y204)))</f>
        <v/>
      </c>
      <c r="Z204" s="58" t="str">
        <f>IF('Phytopl Count'!Z204=0,"",('Phytopl Analysis'!Z204*LN('Phytopl Analysis'!Z204)))</f>
        <v/>
      </c>
      <c r="AA204" s="21" t="str">
        <f>IF('Phytopl Count'!AA204=0,"",('Phytopl Analysis'!AA204*LN('Phytopl Analysis'!AA204)))</f>
        <v/>
      </c>
      <c r="AB204" s="21" t="str">
        <f>IF('Phytopl Count'!AB204=0,"",('Phytopl Analysis'!AB204*LN('Phytopl Analysis'!AB204)))</f>
        <v/>
      </c>
      <c r="AC204" s="58" t="str">
        <f>IF('Phytopl Count'!AC204=0,"",('Phytopl Analysis'!AC204*LN('Phytopl Analysis'!AC204)))</f>
        <v/>
      </c>
      <c r="AD204" s="58" t="str">
        <f>IF('Phytopl Count'!AD204=0,"",('Phytopl Analysis'!AD204*LN('Phytopl Analysis'!AD204)))</f>
        <v/>
      </c>
      <c r="AE204" s="21" t="str">
        <f>IF('Phytopl Count'!AE204=0,"",('Phytopl Analysis'!AE204*LN('Phytopl Analysis'!AE204)))</f>
        <v/>
      </c>
      <c r="AF204" s="58" t="str">
        <f>IF('Phytopl Count'!AF204=0,"",('Phytopl Analysis'!AF204*LN('Phytopl Analysis'!AF204)))</f>
        <v/>
      </c>
    </row>
    <row r="205" spans="1:32">
      <c r="A205" s="5"/>
      <c r="B205" s="5"/>
      <c r="C205" s="5"/>
      <c r="D205" s="5"/>
      <c r="E205" s="10" t="s">
        <v>6</v>
      </c>
      <c r="F205" s="11" t="s">
        <v>41</v>
      </c>
      <c r="G205" s="21" t="str">
        <f>IF('Phytopl Count'!G205=0,"",('Phytopl Analysis'!G205*LN('Phytopl Analysis'!G205)))</f>
        <v/>
      </c>
      <c r="H205" s="21" t="str">
        <f>IF('Phytopl Count'!H205=0,"",('Phytopl Analysis'!H205*LN('Phytopl Analysis'!H205)))</f>
        <v/>
      </c>
      <c r="I205" s="58" t="str">
        <f>IF('Phytopl Count'!I205=0,"",('Phytopl Analysis'!I205*LN('Phytopl Analysis'!I205)))</f>
        <v/>
      </c>
      <c r="J205" s="58" t="str">
        <f>IF('Phytopl Count'!J205=0,"",('Phytopl Analysis'!J205*LN('Phytopl Analysis'!J205)))</f>
        <v/>
      </c>
      <c r="K205" s="21" t="str">
        <f>IF('Phytopl Count'!K205=0,"",('Phytopl Analysis'!K205*LN('Phytopl Analysis'!K205)))</f>
        <v/>
      </c>
      <c r="L205" s="21" t="str">
        <f>IF('Phytopl Count'!L205=0,"",('Phytopl Analysis'!L205*LN('Phytopl Analysis'!L205)))</f>
        <v/>
      </c>
      <c r="M205" s="58">
        <f>IF('Phytopl Count'!M205=0,"",('Phytopl Analysis'!M205*LN('Phytopl Analysis'!M205)))</f>
        <v>-0.12884150444391032</v>
      </c>
      <c r="N205" s="58" t="str">
        <f>IF('Phytopl Count'!N205=0,"",('Phytopl Analysis'!N205*LN('Phytopl Analysis'!N205)))</f>
        <v/>
      </c>
      <c r="O205" s="21" t="str">
        <f>IF('Phytopl Count'!O205=0,"",('Phytopl Analysis'!O205*LN('Phytopl Analysis'!O205)))</f>
        <v/>
      </c>
      <c r="P205" s="21" t="str">
        <f>IF('Phytopl Count'!P205=0,"",('Phytopl Analysis'!P205*LN('Phytopl Analysis'!P205)))</f>
        <v/>
      </c>
      <c r="Q205" s="58">
        <f>IF('Phytopl Count'!Q205=0,"",('Phytopl Analysis'!Q205*LN('Phytopl Analysis'!Q205)))</f>
        <v>-0.20217719752866301</v>
      </c>
      <c r="R205" s="58" t="str">
        <f>IF('Phytopl Count'!R205=0,"",('Phytopl Analysis'!R205*LN('Phytopl Analysis'!R205)))</f>
        <v/>
      </c>
      <c r="S205" s="21" t="str">
        <f>IF('Phytopl Count'!S205=0,"",('Phytopl Analysis'!S205*LN('Phytopl Analysis'!S205)))</f>
        <v/>
      </c>
      <c r="T205" s="21" t="str">
        <f>IF('Phytopl Count'!T205=0,"",('Phytopl Analysis'!T205*LN('Phytopl Analysis'!T205)))</f>
        <v/>
      </c>
      <c r="U205" s="58" t="str">
        <f>IF('Phytopl Count'!U205=0,"",('Phytopl Analysis'!U205*LN('Phytopl Analysis'!U205)))</f>
        <v/>
      </c>
      <c r="V205" s="58" t="str">
        <f>IF('Phytopl Count'!V205=0,"",('Phytopl Analysis'!V205*LN('Phytopl Analysis'!V205)))</f>
        <v/>
      </c>
      <c r="W205" s="21" t="str">
        <f>IF('Phytopl Count'!W205=0,"",('Phytopl Analysis'!W205*LN('Phytopl Analysis'!W205)))</f>
        <v/>
      </c>
      <c r="X205" s="21" t="str">
        <f>IF('Phytopl Count'!X205=0,"",('Phytopl Analysis'!X205*LN('Phytopl Analysis'!X205)))</f>
        <v/>
      </c>
      <c r="Y205" s="58" t="str">
        <f>IF('Phytopl Count'!Y205=0,"",('Phytopl Analysis'!Y205*LN('Phytopl Analysis'!Y205)))</f>
        <v/>
      </c>
      <c r="Z205" s="58">
        <f>IF('Phytopl Count'!Z205=0,"",('Phytopl Analysis'!Z205*LN('Phytopl Analysis'!Z205)))</f>
        <v>-0.23551788360242082</v>
      </c>
      <c r="AA205" s="21" t="str">
        <f>IF('Phytopl Count'!AA205=0,"",('Phytopl Analysis'!AA205*LN('Phytopl Analysis'!AA205)))</f>
        <v/>
      </c>
      <c r="AB205" s="21" t="str">
        <f>IF('Phytopl Count'!AB205=0,"",('Phytopl Analysis'!AB205*LN('Phytopl Analysis'!AB205)))</f>
        <v/>
      </c>
      <c r="AC205" s="58" t="str">
        <f>IF('Phytopl Count'!AC205=0,"",('Phytopl Analysis'!AC205*LN('Phytopl Analysis'!AC205)))</f>
        <v/>
      </c>
      <c r="AD205" s="58" t="str">
        <f>IF('Phytopl Count'!AD205=0,"",('Phytopl Analysis'!AD205*LN('Phytopl Analysis'!AD205)))</f>
        <v/>
      </c>
      <c r="AE205" s="21">
        <f>IF('Phytopl Count'!AE205=0,"",('Phytopl Analysis'!AE205*LN('Phytopl Analysis'!AE205)))</f>
        <v>-8.9576664640739892E-2</v>
      </c>
      <c r="AF205" s="58" t="str">
        <f>IF('Phytopl Count'!AF205=0,"",('Phytopl Analysis'!AF205*LN('Phytopl Analysis'!AF205)))</f>
        <v/>
      </c>
    </row>
    <row r="206" spans="1:32">
      <c r="A206" s="4"/>
      <c r="B206" s="4"/>
      <c r="C206" s="16" t="s">
        <v>73</v>
      </c>
      <c r="D206" s="4" t="s">
        <v>280</v>
      </c>
      <c r="E206" s="10"/>
      <c r="F206" s="11"/>
      <c r="G206" s="21" t="str">
        <f>IF('Phytopl Count'!G206=0,"",('Phytopl Analysis'!G206*LN('Phytopl Analysis'!G206)))</f>
        <v/>
      </c>
      <c r="H206" s="21" t="str">
        <f>IF('Phytopl Count'!H206=0,"",('Phytopl Analysis'!H206*LN('Phytopl Analysis'!H206)))</f>
        <v/>
      </c>
      <c r="I206" s="58" t="str">
        <f>IF('Phytopl Count'!I206=0,"",('Phytopl Analysis'!I206*LN('Phytopl Analysis'!I206)))</f>
        <v/>
      </c>
      <c r="J206" s="58" t="str">
        <f>IF('Phytopl Count'!J206=0,"",('Phytopl Analysis'!J206*LN('Phytopl Analysis'!J206)))</f>
        <v/>
      </c>
      <c r="K206" s="21" t="str">
        <f>IF('Phytopl Count'!K206=0,"",('Phytopl Analysis'!K206*LN('Phytopl Analysis'!K206)))</f>
        <v/>
      </c>
      <c r="L206" s="21" t="str">
        <f>IF('Phytopl Count'!L206=0,"",('Phytopl Analysis'!L206*LN('Phytopl Analysis'!L206)))</f>
        <v/>
      </c>
      <c r="M206" s="58" t="str">
        <f>IF('Phytopl Count'!M206=0,"",('Phytopl Analysis'!M206*LN('Phytopl Analysis'!M206)))</f>
        <v/>
      </c>
      <c r="N206" s="58" t="str">
        <f>IF('Phytopl Count'!N206=0,"",('Phytopl Analysis'!N206*LN('Phytopl Analysis'!N206)))</f>
        <v/>
      </c>
      <c r="O206" s="21" t="str">
        <f>IF('Phytopl Count'!O206=0,"",('Phytopl Analysis'!O206*LN('Phytopl Analysis'!O206)))</f>
        <v/>
      </c>
      <c r="P206" s="21" t="str">
        <f>IF('Phytopl Count'!P206=0,"",('Phytopl Analysis'!P206*LN('Phytopl Analysis'!P206)))</f>
        <v/>
      </c>
      <c r="Q206" s="58" t="str">
        <f>IF('Phytopl Count'!Q206=0,"",('Phytopl Analysis'!Q206*LN('Phytopl Analysis'!Q206)))</f>
        <v/>
      </c>
      <c r="R206" s="58" t="str">
        <f>IF('Phytopl Count'!R206=0,"",('Phytopl Analysis'!R206*LN('Phytopl Analysis'!R206)))</f>
        <v/>
      </c>
      <c r="S206" s="21" t="str">
        <f>IF('Phytopl Count'!S206=0,"",('Phytopl Analysis'!S206*LN('Phytopl Analysis'!S206)))</f>
        <v/>
      </c>
      <c r="T206" s="21" t="str">
        <f>IF('Phytopl Count'!T206=0,"",('Phytopl Analysis'!T206*LN('Phytopl Analysis'!T206)))</f>
        <v/>
      </c>
      <c r="U206" s="58" t="str">
        <f>IF('Phytopl Count'!U206=0,"",('Phytopl Analysis'!U206*LN('Phytopl Analysis'!U206)))</f>
        <v/>
      </c>
      <c r="V206" s="58" t="str">
        <f>IF('Phytopl Count'!V206=0,"",('Phytopl Analysis'!V206*LN('Phytopl Analysis'!V206)))</f>
        <v/>
      </c>
      <c r="W206" s="21" t="str">
        <f>IF('Phytopl Count'!W206=0,"",('Phytopl Analysis'!W206*LN('Phytopl Analysis'!W206)))</f>
        <v/>
      </c>
      <c r="X206" s="21" t="str">
        <f>IF('Phytopl Count'!X206=0,"",('Phytopl Analysis'!X206*LN('Phytopl Analysis'!X206)))</f>
        <v/>
      </c>
      <c r="Y206" s="58" t="str">
        <f>IF('Phytopl Count'!Y206=0,"",('Phytopl Analysis'!Y206*LN('Phytopl Analysis'!Y206)))</f>
        <v/>
      </c>
      <c r="Z206" s="58" t="str">
        <f>IF('Phytopl Count'!Z206=0,"",('Phytopl Analysis'!Z206*LN('Phytopl Analysis'!Z206)))</f>
        <v/>
      </c>
      <c r="AA206" s="21" t="str">
        <f>IF('Phytopl Count'!AA206=0,"",('Phytopl Analysis'!AA206*LN('Phytopl Analysis'!AA206)))</f>
        <v/>
      </c>
      <c r="AB206" s="21" t="str">
        <f>IF('Phytopl Count'!AB206=0,"",('Phytopl Analysis'!AB206*LN('Phytopl Analysis'!AB206)))</f>
        <v/>
      </c>
      <c r="AC206" s="58" t="str">
        <f>IF('Phytopl Count'!AC206=0,"",('Phytopl Analysis'!AC206*LN('Phytopl Analysis'!AC206)))</f>
        <v/>
      </c>
      <c r="AD206" s="58" t="str">
        <f>IF('Phytopl Count'!AD206=0,"",('Phytopl Analysis'!AD206*LN('Phytopl Analysis'!AD206)))</f>
        <v/>
      </c>
      <c r="AE206" s="21" t="str">
        <f>IF('Phytopl Count'!AE206=0,"",('Phytopl Analysis'!AE206*LN('Phytopl Analysis'!AE206)))</f>
        <v/>
      </c>
      <c r="AF206" s="58" t="str">
        <f>IF('Phytopl Count'!AF206=0,"",('Phytopl Analysis'!AF206*LN('Phytopl Analysis'!AF206)))</f>
        <v/>
      </c>
    </row>
    <row r="207" spans="1:32">
      <c r="A207" s="16"/>
      <c r="B207" s="10"/>
      <c r="C207" s="10"/>
      <c r="D207" s="10" t="s">
        <v>5</v>
      </c>
      <c r="E207" s="111" t="s">
        <v>281</v>
      </c>
      <c r="F207" s="9"/>
      <c r="G207" s="21" t="str">
        <f>IF('Phytopl Count'!G207=0,"",('Phytopl Analysis'!G207*LN('Phytopl Analysis'!G207)))</f>
        <v/>
      </c>
      <c r="H207" s="21" t="str">
        <f>IF('Phytopl Count'!H207=0,"",('Phytopl Analysis'!H207*LN('Phytopl Analysis'!H207)))</f>
        <v/>
      </c>
      <c r="I207" s="58" t="str">
        <f>IF('Phytopl Count'!I207=0,"",('Phytopl Analysis'!I207*LN('Phytopl Analysis'!I207)))</f>
        <v/>
      </c>
      <c r="J207" s="58" t="str">
        <f>IF('Phytopl Count'!J207=0,"",('Phytopl Analysis'!J207*LN('Phytopl Analysis'!J207)))</f>
        <v/>
      </c>
      <c r="K207" s="21" t="str">
        <f>IF('Phytopl Count'!K207=0,"",('Phytopl Analysis'!K207*LN('Phytopl Analysis'!K207)))</f>
        <v/>
      </c>
      <c r="L207" s="21" t="str">
        <f>IF('Phytopl Count'!L207=0,"",('Phytopl Analysis'!L207*LN('Phytopl Analysis'!L207)))</f>
        <v/>
      </c>
      <c r="M207" s="58" t="str">
        <f>IF('Phytopl Count'!M207=0,"",('Phytopl Analysis'!M207*LN('Phytopl Analysis'!M207)))</f>
        <v/>
      </c>
      <c r="N207" s="58" t="str">
        <f>IF('Phytopl Count'!N207=0,"",('Phytopl Analysis'!N207*LN('Phytopl Analysis'!N207)))</f>
        <v/>
      </c>
      <c r="O207" s="21" t="str">
        <f>IF('Phytopl Count'!O207=0,"",('Phytopl Analysis'!O207*LN('Phytopl Analysis'!O207)))</f>
        <v/>
      </c>
      <c r="P207" s="21" t="str">
        <f>IF('Phytopl Count'!P207=0,"",('Phytopl Analysis'!P207*LN('Phytopl Analysis'!P207)))</f>
        <v/>
      </c>
      <c r="Q207" s="58" t="str">
        <f>IF('Phytopl Count'!Q207=0,"",('Phytopl Analysis'!Q207*LN('Phytopl Analysis'!Q207)))</f>
        <v/>
      </c>
      <c r="R207" s="58" t="str">
        <f>IF('Phytopl Count'!R207=0,"",('Phytopl Analysis'!R207*LN('Phytopl Analysis'!R207)))</f>
        <v/>
      </c>
      <c r="S207" s="21" t="str">
        <f>IF('Phytopl Count'!S207=0,"",('Phytopl Analysis'!S207*LN('Phytopl Analysis'!S207)))</f>
        <v/>
      </c>
      <c r="T207" s="21" t="str">
        <f>IF('Phytopl Count'!T207=0,"",('Phytopl Analysis'!T207*LN('Phytopl Analysis'!T207)))</f>
        <v/>
      </c>
      <c r="U207" s="58" t="str">
        <f>IF('Phytopl Count'!U207=0,"",('Phytopl Analysis'!U207*LN('Phytopl Analysis'!U207)))</f>
        <v/>
      </c>
      <c r="V207" s="58" t="str">
        <f>IF('Phytopl Count'!V207=0,"",('Phytopl Analysis'!V207*LN('Phytopl Analysis'!V207)))</f>
        <v/>
      </c>
      <c r="W207" s="21" t="str">
        <f>IF('Phytopl Count'!W207=0,"",('Phytopl Analysis'!W207*LN('Phytopl Analysis'!W207)))</f>
        <v/>
      </c>
      <c r="X207" s="21" t="str">
        <f>IF('Phytopl Count'!X207=0,"",('Phytopl Analysis'!X207*LN('Phytopl Analysis'!X207)))</f>
        <v/>
      </c>
      <c r="Y207" s="58" t="str">
        <f>IF('Phytopl Count'!Y207=0,"",('Phytopl Analysis'!Y207*LN('Phytopl Analysis'!Y207)))</f>
        <v/>
      </c>
      <c r="Z207" s="58" t="str">
        <f>IF('Phytopl Count'!Z207=0,"",('Phytopl Analysis'!Z207*LN('Phytopl Analysis'!Z207)))</f>
        <v/>
      </c>
      <c r="AA207" s="21" t="str">
        <f>IF('Phytopl Count'!AA207=0,"",('Phytopl Analysis'!AA207*LN('Phytopl Analysis'!AA207)))</f>
        <v/>
      </c>
      <c r="AB207" s="21" t="str">
        <f>IF('Phytopl Count'!AB207=0,"",('Phytopl Analysis'!AB207*LN('Phytopl Analysis'!AB207)))</f>
        <v/>
      </c>
      <c r="AC207" s="58" t="str">
        <f>IF('Phytopl Count'!AC207=0,"",('Phytopl Analysis'!AC207*LN('Phytopl Analysis'!AC207)))</f>
        <v/>
      </c>
      <c r="AD207" s="58" t="str">
        <f>IF('Phytopl Count'!AD207=0,"",('Phytopl Analysis'!AD207*LN('Phytopl Analysis'!AD207)))</f>
        <v/>
      </c>
      <c r="AE207" s="21" t="str">
        <f>IF('Phytopl Count'!AE207=0,"",('Phytopl Analysis'!AE207*LN('Phytopl Analysis'!AE207)))</f>
        <v/>
      </c>
      <c r="AF207" s="58" t="str">
        <f>IF('Phytopl Count'!AF207=0,"",('Phytopl Analysis'!AF207*LN('Phytopl Analysis'!AF207)))</f>
        <v/>
      </c>
    </row>
    <row r="208" spans="1:32">
      <c r="A208" s="4"/>
      <c r="B208" s="90"/>
      <c r="C208" s="90"/>
      <c r="D208" s="90"/>
      <c r="E208" s="89" t="s">
        <v>6</v>
      </c>
      <c r="F208" s="11" t="s">
        <v>282</v>
      </c>
      <c r="G208" s="21" t="str">
        <f>IF('Phytopl Count'!G208=0,"",('Phytopl Analysis'!G208*LN('Phytopl Analysis'!G208)))</f>
        <v/>
      </c>
      <c r="H208" s="21">
        <f>IF('Phytopl Count'!H208=0,"",('Phytopl Analysis'!H208*LN('Phytopl Analysis'!H208)))</f>
        <v>-0.1458498424659852</v>
      </c>
      <c r="I208" s="58">
        <f>IF('Phytopl Count'!I208=0,"",('Phytopl Analysis'!I208*LN('Phytopl Analysis'!I208)))</f>
        <v>-0.16151729929316433</v>
      </c>
      <c r="J208" s="58" t="str">
        <f>IF('Phytopl Count'!J208=0,"",('Phytopl Analysis'!J208*LN('Phytopl Analysis'!J208)))</f>
        <v/>
      </c>
      <c r="K208" s="21">
        <f>IF('Phytopl Count'!K208=0,"",('Phytopl Analysis'!K208*LN('Phytopl Analysis'!K208)))</f>
        <v>-0.11022075559754062</v>
      </c>
      <c r="L208" s="21" t="str">
        <f>IF('Phytopl Count'!L208=0,"",('Phytopl Analysis'!L208*LN('Phytopl Analysis'!L208)))</f>
        <v/>
      </c>
      <c r="M208" s="58">
        <f>IF('Phytopl Count'!M208=0,"",('Phytopl Analysis'!M208*LN('Phytopl Analysis'!M208)))</f>
        <v>-0.12884150444391032</v>
      </c>
      <c r="N208" s="58" t="str">
        <f>IF('Phytopl Count'!N208=0,"",('Phytopl Analysis'!N208*LN('Phytopl Analysis'!N208)))</f>
        <v/>
      </c>
      <c r="O208" s="21" t="str">
        <f>IF('Phytopl Count'!O208=0,"",('Phytopl Analysis'!O208*LN('Phytopl Analysis'!O208)))</f>
        <v/>
      </c>
      <c r="P208" s="21">
        <f>IF('Phytopl Count'!P208=0,"",('Phytopl Analysis'!P208*LN('Phytopl Analysis'!P208)))</f>
        <v>-0.11022075559754062</v>
      </c>
      <c r="Q208" s="58">
        <f>IF('Phytopl Count'!Q208=0,"",('Phytopl Analysis'!Q208*LN('Phytopl Analysis'!Q208)))</f>
        <v>-0.12884150444391032</v>
      </c>
      <c r="R208" s="58">
        <f>IF('Phytopl Count'!R208=0,"",('Phytopl Analysis'!R208*LN('Phytopl Analysis'!R208)))</f>
        <v>-0.11022075559754062</v>
      </c>
      <c r="S208" s="21" t="str">
        <f>IF('Phytopl Count'!S208=0,"",('Phytopl Analysis'!S208*LN('Phytopl Analysis'!S208)))</f>
        <v/>
      </c>
      <c r="T208" s="21">
        <f>IF('Phytopl Count'!T208=0,"",('Phytopl Analysis'!T208*LN('Phytopl Analysis'!T208)))</f>
        <v>-0.1458498424659852</v>
      </c>
      <c r="U208" s="58" t="str">
        <f>IF('Phytopl Count'!U208=0,"",('Phytopl Analysis'!U208*LN('Phytopl Analysis'!U208)))</f>
        <v/>
      </c>
      <c r="V208" s="58">
        <f>IF('Phytopl Count'!V208=0,"",('Phytopl Analysis'!V208*LN('Phytopl Analysis'!V208)))</f>
        <v>-0.2545625689671801</v>
      </c>
      <c r="W208" s="21" t="str">
        <f>IF('Phytopl Count'!W208=0,"",('Phytopl Analysis'!W208*LN('Phytopl Analysis'!W208)))</f>
        <v/>
      </c>
      <c r="X208" s="21" t="str">
        <f>IF('Phytopl Count'!X208=0,"",('Phytopl Analysis'!X208*LN('Phytopl Analysis'!X208)))</f>
        <v/>
      </c>
      <c r="Y208" s="58">
        <f>IF('Phytopl Count'!Y208=0,"",('Phytopl Analysis'!Y208*LN('Phytopl Analysis'!Y208)))</f>
        <v>-8.9576664640739892E-2</v>
      </c>
      <c r="Z208" s="58">
        <f>IF('Phytopl Count'!Z208=0,"",('Phytopl Analysis'!Z208*LN('Phytopl Analysis'!Z208)))</f>
        <v>-0.23551788360242082</v>
      </c>
      <c r="AA208" s="21" t="str">
        <f>IF('Phytopl Count'!AA208=0,"",('Phytopl Analysis'!AA208*LN('Phytopl Analysis'!AA208)))</f>
        <v/>
      </c>
      <c r="AB208" s="21" t="str">
        <f>IF('Phytopl Count'!AB208=0,"",('Phytopl Analysis'!AB208*LN('Phytopl Analysis'!AB208)))</f>
        <v/>
      </c>
      <c r="AC208" s="58" t="str">
        <f>IF('Phytopl Count'!AC208=0,"",('Phytopl Analysis'!AC208*LN('Phytopl Analysis'!AC208)))</f>
        <v/>
      </c>
      <c r="AD208" s="58">
        <f>IF('Phytopl Count'!AD208=0,"",('Phytopl Analysis'!AD208*LN('Phytopl Analysis'!AD208)))</f>
        <v>-0.17603686210775515</v>
      </c>
      <c r="AE208" s="21">
        <f>IF('Phytopl Count'!AE208=0,"",('Phytopl Analysis'!AE208*LN('Phytopl Analysis'!AE208)))</f>
        <v>-0.1458498424659852</v>
      </c>
      <c r="AF208" s="58">
        <f>IF('Phytopl Count'!AF208=0,"",('Phytopl Analysis'!AF208*LN('Phytopl Analysis'!AF208)))</f>
        <v>-0.17603686210775515</v>
      </c>
    </row>
    <row r="209" spans="1:32">
      <c r="A209" s="4"/>
      <c r="B209" s="5"/>
      <c r="C209" s="5"/>
      <c r="D209" s="10" t="s">
        <v>5</v>
      </c>
      <c r="E209" s="12" t="s">
        <v>95</v>
      </c>
      <c r="F209" s="11"/>
      <c r="G209" s="21" t="str">
        <f>IF('Phytopl Count'!G209=0,"",('Phytopl Analysis'!G209*LN('Phytopl Analysis'!G209)))</f>
        <v/>
      </c>
      <c r="H209" s="21" t="str">
        <f>IF('Phytopl Count'!H209=0,"",('Phytopl Analysis'!H209*LN('Phytopl Analysis'!H209)))</f>
        <v/>
      </c>
      <c r="I209" s="58" t="str">
        <f>IF('Phytopl Count'!I209=0,"",('Phytopl Analysis'!I209*LN('Phytopl Analysis'!I209)))</f>
        <v/>
      </c>
      <c r="J209" s="58" t="str">
        <f>IF('Phytopl Count'!J209=0,"",('Phytopl Analysis'!J209*LN('Phytopl Analysis'!J209)))</f>
        <v/>
      </c>
      <c r="K209" s="21" t="str">
        <f>IF('Phytopl Count'!K209=0,"",('Phytopl Analysis'!K209*LN('Phytopl Analysis'!K209)))</f>
        <v/>
      </c>
      <c r="L209" s="21" t="str">
        <f>IF('Phytopl Count'!L209=0,"",('Phytopl Analysis'!L209*LN('Phytopl Analysis'!L209)))</f>
        <v/>
      </c>
      <c r="M209" s="58" t="str">
        <f>IF('Phytopl Count'!M209=0,"",('Phytopl Analysis'!M209*LN('Phytopl Analysis'!M209)))</f>
        <v/>
      </c>
      <c r="N209" s="58" t="str">
        <f>IF('Phytopl Count'!N209=0,"",('Phytopl Analysis'!N209*LN('Phytopl Analysis'!N209)))</f>
        <v/>
      </c>
      <c r="O209" s="21" t="str">
        <f>IF('Phytopl Count'!O209=0,"",('Phytopl Analysis'!O209*LN('Phytopl Analysis'!O209)))</f>
        <v/>
      </c>
      <c r="P209" s="21" t="str">
        <f>IF('Phytopl Count'!P209=0,"",('Phytopl Analysis'!P209*LN('Phytopl Analysis'!P209)))</f>
        <v/>
      </c>
      <c r="Q209" s="58" t="str">
        <f>IF('Phytopl Count'!Q209=0,"",('Phytopl Analysis'!Q209*LN('Phytopl Analysis'!Q209)))</f>
        <v/>
      </c>
      <c r="R209" s="58" t="str">
        <f>IF('Phytopl Count'!R209=0,"",('Phytopl Analysis'!R209*LN('Phytopl Analysis'!R209)))</f>
        <v/>
      </c>
      <c r="S209" s="21" t="str">
        <f>IF('Phytopl Count'!S209=0,"",('Phytopl Analysis'!S209*LN('Phytopl Analysis'!S209)))</f>
        <v/>
      </c>
      <c r="T209" s="21" t="str">
        <f>IF('Phytopl Count'!T209=0,"",('Phytopl Analysis'!T209*LN('Phytopl Analysis'!T209)))</f>
        <v/>
      </c>
      <c r="U209" s="58" t="str">
        <f>IF('Phytopl Count'!U209=0,"",('Phytopl Analysis'!U209*LN('Phytopl Analysis'!U209)))</f>
        <v/>
      </c>
      <c r="V209" s="58" t="str">
        <f>IF('Phytopl Count'!V209=0,"",('Phytopl Analysis'!V209*LN('Phytopl Analysis'!V209)))</f>
        <v/>
      </c>
      <c r="W209" s="21" t="str">
        <f>IF('Phytopl Count'!W209=0,"",('Phytopl Analysis'!W209*LN('Phytopl Analysis'!W209)))</f>
        <v/>
      </c>
      <c r="X209" s="21" t="str">
        <f>IF('Phytopl Count'!X209=0,"",('Phytopl Analysis'!X209*LN('Phytopl Analysis'!X209)))</f>
        <v/>
      </c>
      <c r="Y209" s="58" t="str">
        <f>IF('Phytopl Count'!Y209=0,"",('Phytopl Analysis'!Y209*LN('Phytopl Analysis'!Y209)))</f>
        <v/>
      </c>
      <c r="Z209" s="58" t="str">
        <f>IF('Phytopl Count'!Z209=0,"",('Phytopl Analysis'!Z209*LN('Phytopl Analysis'!Z209)))</f>
        <v/>
      </c>
      <c r="AA209" s="21" t="str">
        <f>IF('Phytopl Count'!AA209=0,"",('Phytopl Analysis'!AA209*LN('Phytopl Analysis'!AA209)))</f>
        <v/>
      </c>
      <c r="AB209" s="21" t="str">
        <f>IF('Phytopl Count'!AB209=0,"",('Phytopl Analysis'!AB209*LN('Phytopl Analysis'!AB209)))</f>
        <v/>
      </c>
      <c r="AC209" s="58" t="str">
        <f>IF('Phytopl Count'!AC209=0,"",('Phytopl Analysis'!AC209*LN('Phytopl Analysis'!AC209)))</f>
        <v/>
      </c>
      <c r="AD209" s="58" t="str">
        <f>IF('Phytopl Count'!AD209=0,"",('Phytopl Analysis'!AD209*LN('Phytopl Analysis'!AD209)))</f>
        <v/>
      </c>
      <c r="AE209" s="21" t="str">
        <f>IF('Phytopl Count'!AE209=0,"",('Phytopl Analysis'!AE209*LN('Phytopl Analysis'!AE209)))</f>
        <v/>
      </c>
      <c r="AF209" s="58" t="str">
        <f>IF('Phytopl Count'!AF209=0,"",('Phytopl Analysis'!AF209*LN('Phytopl Analysis'!AF209)))</f>
        <v/>
      </c>
    </row>
    <row r="210" spans="1:32">
      <c r="A210" s="5"/>
      <c r="B210" s="5"/>
      <c r="C210" s="5"/>
      <c r="D210" s="5"/>
      <c r="E210" s="10" t="s">
        <v>6</v>
      </c>
      <c r="F210" s="11" t="s">
        <v>42</v>
      </c>
      <c r="G210" s="21" t="str">
        <f>IF('Phytopl Count'!G210=0,"",('Phytopl Analysis'!G210*LN('Phytopl Analysis'!G210)))</f>
        <v/>
      </c>
      <c r="H210" s="21" t="str">
        <f>IF('Phytopl Count'!H210=0,"",('Phytopl Analysis'!H210*LN('Phytopl Analysis'!H210)))</f>
        <v/>
      </c>
      <c r="I210" s="58" t="str">
        <f>IF('Phytopl Count'!I210=0,"",('Phytopl Analysis'!I210*LN('Phytopl Analysis'!I210)))</f>
        <v/>
      </c>
      <c r="J210" s="58" t="str">
        <f>IF('Phytopl Count'!J210=0,"",('Phytopl Analysis'!J210*LN('Phytopl Analysis'!J210)))</f>
        <v/>
      </c>
      <c r="K210" s="21" t="str">
        <f>IF('Phytopl Count'!K210=0,"",('Phytopl Analysis'!K210*LN('Phytopl Analysis'!K210)))</f>
        <v/>
      </c>
      <c r="L210" s="21" t="str">
        <f>IF('Phytopl Count'!L210=0,"",('Phytopl Analysis'!L210*LN('Phytopl Analysis'!L210)))</f>
        <v/>
      </c>
      <c r="M210" s="58" t="str">
        <f>IF('Phytopl Count'!M210=0,"",('Phytopl Analysis'!M210*LN('Phytopl Analysis'!M210)))</f>
        <v/>
      </c>
      <c r="N210" s="58" t="str">
        <f>IF('Phytopl Count'!N210=0,"",('Phytopl Analysis'!N210*LN('Phytopl Analysis'!N210)))</f>
        <v/>
      </c>
      <c r="O210" s="21" t="str">
        <f>IF('Phytopl Count'!O210=0,"",('Phytopl Analysis'!O210*LN('Phytopl Analysis'!O210)))</f>
        <v/>
      </c>
      <c r="P210" s="21" t="str">
        <f>IF('Phytopl Count'!P210=0,"",('Phytopl Analysis'!P210*LN('Phytopl Analysis'!P210)))</f>
        <v/>
      </c>
      <c r="Q210" s="58" t="str">
        <f>IF('Phytopl Count'!Q210=0,"",('Phytopl Analysis'!Q210*LN('Phytopl Analysis'!Q210)))</f>
        <v/>
      </c>
      <c r="R210" s="58" t="str">
        <f>IF('Phytopl Count'!R210=0,"",('Phytopl Analysis'!R210*LN('Phytopl Analysis'!R210)))</f>
        <v/>
      </c>
      <c r="S210" s="21" t="str">
        <f>IF('Phytopl Count'!S210=0,"",('Phytopl Analysis'!S210*LN('Phytopl Analysis'!S210)))</f>
        <v/>
      </c>
      <c r="T210" s="21" t="str">
        <f>IF('Phytopl Count'!T210=0,"",('Phytopl Analysis'!T210*LN('Phytopl Analysis'!T210)))</f>
        <v/>
      </c>
      <c r="U210" s="58" t="str">
        <f>IF('Phytopl Count'!U210=0,"",('Phytopl Analysis'!U210*LN('Phytopl Analysis'!U210)))</f>
        <v/>
      </c>
      <c r="V210" s="58" t="str">
        <f>IF('Phytopl Count'!V210=0,"",('Phytopl Analysis'!V210*LN('Phytopl Analysis'!V210)))</f>
        <v/>
      </c>
      <c r="W210" s="21" t="str">
        <f>IF('Phytopl Count'!W210=0,"",('Phytopl Analysis'!W210*LN('Phytopl Analysis'!W210)))</f>
        <v/>
      </c>
      <c r="X210" s="21" t="str">
        <f>IF('Phytopl Count'!X210=0,"",('Phytopl Analysis'!X210*LN('Phytopl Analysis'!X210)))</f>
        <v/>
      </c>
      <c r="Y210" s="58" t="str">
        <f>IF('Phytopl Count'!Y210=0,"",('Phytopl Analysis'!Y210*LN('Phytopl Analysis'!Y210)))</f>
        <v/>
      </c>
      <c r="Z210" s="58" t="str">
        <f>IF('Phytopl Count'!Z210=0,"",('Phytopl Analysis'!Z210*LN('Phytopl Analysis'!Z210)))</f>
        <v/>
      </c>
      <c r="AA210" s="21" t="str">
        <f>IF('Phytopl Count'!AA210=0,"",('Phytopl Analysis'!AA210*LN('Phytopl Analysis'!AA210)))</f>
        <v/>
      </c>
      <c r="AB210" s="21">
        <f>IF('Phytopl Count'!AB210=0,"",('Phytopl Analysis'!AB210*LN('Phytopl Analysis'!AB210)))</f>
        <v>-0.12884150444391032</v>
      </c>
      <c r="AC210" s="58" t="str">
        <f>IF('Phytopl Count'!AC210=0,"",('Phytopl Analysis'!AC210*LN('Phytopl Analysis'!AC210)))</f>
        <v/>
      </c>
      <c r="AD210" s="58" t="str">
        <f>IF('Phytopl Count'!AD210=0,"",('Phytopl Analysis'!AD210*LN('Phytopl Analysis'!AD210)))</f>
        <v/>
      </c>
      <c r="AE210" s="21" t="str">
        <f>IF('Phytopl Count'!AE210=0,"",('Phytopl Analysis'!AE210*LN('Phytopl Analysis'!AE210)))</f>
        <v/>
      </c>
      <c r="AF210" s="58">
        <f>IF('Phytopl Count'!AF210=0,"",('Phytopl Analysis'!AF210*LN('Phytopl Analysis'!AF210)))</f>
        <v>-0.17603686210775515</v>
      </c>
    </row>
    <row r="211" spans="1:32">
      <c r="A211" s="5"/>
      <c r="B211" s="5"/>
      <c r="C211" s="5"/>
      <c r="D211" s="5"/>
      <c r="E211" s="5"/>
      <c r="F211" s="11" t="s">
        <v>237</v>
      </c>
      <c r="G211" s="21" t="str">
        <f>IF('Phytopl Count'!G211=0,"",('Phytopl Analysis'!G211*LN('Phytopl Analysis'!G211)))</f>
        <v/>
      </c>
      <c r="H211" s="21">
        <f>IF('Phytopl Count'!H211=0,"",('Phytopl Analysis'!H211*LN('Phytopl Analysis'!H211)))</f>
        <v>-0.1458498424659852</v>
      </c>
      <c r="I211" s="58" t="str">
        <f>IF('Phytopl Count'!I211=0,"",('Phytopl Analysis'!I211*LN('Phytopl Analysis'!I211)))</f>
        <v/>
      </c>
      <c r="J211" s="58">
        <f>IF('Phytopl Count'!J211=0,"",('Phytopl Analysis'!J211*LN('Phytopl Analysis'!J211)))</f>
        <v>-0.12884150444391032</v>
      </c>
      <c r="K211" s="21" t="str">
        <f>IF('Phytopl Count'!K211=0,"",('Phytopl Analysis'!K211*LN('Phytopl Analysis'!K211)))</f>
        <v/>
      </c>
      <c r="L211" s="21">
        <f>IF('Phytopl Count'!L211=0,"",('Phytopl Analysis'!L211*LN('Phytopl Analysis'!L211)))</f>
        <v>-8.9576664640739892E-2</v>
      </c>
      <c r="M211" s="58">
        <f>IF('Phytopl Count'!M211=0,"",('Phytopl Analysis'!M211*LN('Phytopl Analysis'!M211)))</f>
        <v>-0.12884150444391032</v>
      </c>
      <c r="N211" s="58" t="str">
        <f>IF('Phytopl Count'!N211=0,"",('Phytopl Analysis'!N211*LN('Phytopl Analysis'!N211)))</f>
        <v/>
      </c>
      <c r="O211" s="21">
        <f>IF('Phytopl Count'!O211=0,"",('Phytopl Analysis'!O211*LN('Phytopl Analysis'!O211)))</f>
        <v>-0.22509271130098124</v>
      </c>
      <c r="P211" s="21" t="str">
        <f>IF('Phytopl Count'!P211=0,"",('Phytopl Analysis'!P211*LN('Phytopl Analysis'!P211)))</f>
        <v/>
      </c>
      <c r="Q211" s="58" t="str">
        <f>IF('Phytopl Count'!Q211=0,"",('Phytopl Analysis'!Q211*LN('Phytopl Analysis'!Q211)))</f>
        <v/>
      </c>
      <c r="R211" s="58" t="str">
        <f>IF('Phytopl Count'!R211=0,"",('Phytopl Analysis'!R211*LN('Phytopl Analysis'!R211)))</f>
        <v/>
      </c>
      <c r="S211" s="21" t="str">
        <f>IF('Phytopl Count'!S211=0,"",('Phytopl Analysis'!S211*LN('Phytopl Analysis'!S211)))</f>
        <v/>
      </c>
      <c r="T211" s="21" t="str">
        <f>IF('Phytopl Count'!T211=0,"",('Phytopl Analysis'!T211*LN('Phytopl Analysis'!T211)))</f>
        <v/>
      </c>
      <c r="U211" s="58" t="str">
        <f>IF('Phytopl Count'!U211=0,"",('Phytopl Analysis'!U211*LN('Phytopl Analysis'!U211)))</f>
        <v/>
      </c>
      <c r="V211" s="58" t="str">
        <f>IF('Phytopl Count'!V211=0,"",('Phytopl Analysis'!V211*LN('Phytopl Analysis'!V211)))</f>
        <v/>
      </c>
      <c r="W211" s="21" t="str">
        <f>IF('Phytopl Count'!W211=0,"",('Phytopl Analysis'!W211*LN('Phytopl Analysis'!W211)))</f>
        <v/>
      </c>
      <c r="X211" s="21" t="str">
        <f>IF('Phytopl Count'!X211=0,"",('Phytopl Analysis'!X211*LN('Phytopl Analysis'!X211)))</f>
        <v/>
      </c>
      <c r="Y211" s="58" t="str">
        <f>IF('Phytopl Count'!Y211=0,"",('Phytopl Analysis'!Y211*LN('Phytopl Analysis'!Y211)))</f>
        <v/>
      </c>
      <c r="Z211" s="58" t="str">
        <f>IF('Phytopl Count'!Z211=0,"",('Phytopl Analysis'!Z211*LN('Phytopl Analysis'!Z211)))</f>
        <v/>
      </c>
      <c r="AA211" s="21" t="str">
        <f>IF('Phytopl Count'!AA211=0,"",('Phytopl Analysis'!AA211*LN('Phytopl Analysis'!AA211)))</f>
        <v/>
      </c>
      <c r="AB211" s="21" t="str">
        <f>IF('Phytopl Count'!AB211=0,"",('Phytopl Analysis'!AB211*LN('Phytopl Analysis'!AB211)))</f>
        <v/>
      </c>
      <c r="AC211" s="58" t="str">
        <f>IF('Phytopl Count'!AC211=0,"",('Phytopl Analysis'!AC211*LN('Phytopl Analysis'!AC211)))</f>
        <v/>
      </c>
      <c r="AD211" s="58" t="str">
        <f>IF('Phytopl Count'!AD211=0,"",('Phytopl Analysis'!AD211*LN('Phytopl Analysis'!AD211)))</f>
        <v/>
      </c>
      <c r="AE211" s="21">
        <f>IF('Phytopl Count'!AE211=0,"",('Phytopl Analysis'!AE211*LN('Phytopl Analysis'!AE211)))</f>
        <v>-8.9576664640739892E-2</v>
      </c>
      <c r="AF211" s="58">
        <f>IF('Phytopl Count'!AF211=0,"",('Phytopl Analysis'!AF211*LN('Phytopl Analysis'!AF211)))</f>
        <v>-0.17603686210775515</v>
      </c>
    </row>
    <row r="212" spans="1:32">
      <c r="A212" s="4"/>
      <c r="B212" s="5"/>
      <c r="C212" s="5"/>
      <c r="D212" s="10" t="s">
        <v>5</v>
      </c>
      <c r="E212" s="174" t="s">
        <v>400</v>
      </c>
      <c r="F212" s="11"/>
      <c r="G212" s="21" t="str">
        <f>IF('Phytopl Count'!G212=0,"",('Phytopl Analysis'!G212*LN('Phytopl Analysis'!G212)))</f>
        <v/>
      </c>
      <c r="H212" s="21" t="str">
        <f>IF('Phytopl Count'!H212=0,"",('Phytopl Analysis'!H212*LN('Phytopl Analysis'!H212)))</f>
        <v/>
      </c>
      <c r="I212" s="58" t="str">
        <f>IF('Phytopl Count'!I212=0,"",('Phytopl Analysis'!I212*LN('Phytopl Analysis'!I212)))</f>
        <v/>
      </c>
      <c r="J212" s="58" t="str">
        <f>IF('Phytopl Count'!J212=0,"",('Phytopl Analysis'!J212*LN('Phytopl Analysis'!J212)))</f>
        <v/>
      </c>
      <c r="K212" s="21" t="str">
        <f>IF('Phytopl Count'!K212=0,"",('Phytopl Analysis'!K212*LN('Phytopl Analysis'!K212)))</f>
        <v/>
      </c>
      <c r="L212" s="21" t="str">
        <f>IF('Phytopl Count'!L212=0,"",('Phytopl Analysis'!L212*LN('Phytopl Analysis'!L212)))</f>
        <v/>
      </c>
      <c r="M212" s="58" t="str">
        <f>IF('Phytopl Count'!M212=0,"",('Phytopl Analysis'!M212*LN('Phytopl Analysis'!M212)))</f>
        <v/>
      </c>
      <c r="N212" s="58" t="str">
        <f>IF('Phytopl Count'!N212=0,"",('Phytopl Analysis'!N212*LN('Phytopl Analysis'!N212)))</f>
        <v/>
      </c>
      <c r="O212" s="21" t="str">
        <f>IF('Phytopl Count'!O212=0,"",('Phytopl Analysis'!O212*LN('Phytopl Analysis'!O212)))</f>
        <v/>
      </c>
      <c r="P212" s="21" t="str">
        <f>IF('Phytopl Count'!P212=0,"",('Phytopl Analysis'!P212*LN('Phytopl Analysis'!P212)))</f>
        <v/>
      </c>
      <c r="Q212" s="58" t="str">
        <f>IF('Phytopl Count'!Q212=0,"",('Phytopl Analysis'!Q212*LN('Phytopl Analysis'!Q212)))</f>
        <v/>
      </c>
      <c r="R212" s="58" t="str">
        <f>IF('Phytopl Count'!R212=0,"",('Phytopl Analysis'!R212*LN('Phytopl Analysis'!R212)))</f>
        <v/>
      </c>
      <c r="S212" s="21" t="str">
        <f>IF('Phytopl Count'!S212=0,"",('Phytopl Analysis'!S212*LN('Phytopl Analysis'!S212)))</f>
        <v/>
      </c>
      <c r="T212" s="21" t="str">
        <f>IF('Phytopl Count'!T212=0,"",('Phytopl Analysis'!T212*LN('Phytopl Analysis'!T212)))</f>
        <v/>
      </c>
      <c r="U212" s="58" t="str">
        <f>IF('Phytopl Count'!U212=0,"",('Phytopl Analysis'!U212*LN('Phytopl Analysis'!U212)))</f>
        <v/>
      </c>
      <c r="V212" s="58" t="str">
        <f>IF('Phytopl Count'!V212=0,"",('Phytopl Analysis'!V212*LN('Phytopl Analysis'!V212)))</f>
        <v/>
      </c>
      <c r="W212" s="21" t="str">
        <f>IF('Phytopl Count'!W212=0,"",('Phytopl Analysis'!W212*LN('Phytopl Analysis'!W212)))</f>
        <v/>
      </c>
      <c r="X212" s="21" t="str">
        <f>IF('Phytopl Count'!X212=0,"",('Phytopl Analysis'!X212*LN('Phytopl Analysis'!X212)))</f>
        <v/>
      </c>
      <c r="Y212" s="58" t="str">
        <f>IF('Phytopl Count'!Y212=0,"",('Phytopl Analysis'!Y212*LN('Phytopl Analysis'!Y212)))</f>
        <v/>
      </c>
      <c r="Z212" s="58" t="str">
        <f>IF('Phytopl Count'!Z212=0,"",('Phytopl Analysis'!Z212*LN('Phytopl Analysis'!Z212)))</f>
        <v/>
      </c>
      <c r="AA212" s="21" t="str">
        <f>IF('Phytopl Count'!AA212=0,"",('Phytopl Analysis'!AA212*LN('Phytopl Analysis'!AA212)))</f>
        <v/>
      </c>
      <c r="AB212" s="21" t="str">
        <f>IF('Phytopl Count'!AB212=0,"",('Phytopl Analysis'!AB212*LN('Phytopl Analysis'!AB212)))</f>
        <v/>
      </c>
      <c r="AC212" s="58" t="str">
        <f>IF('Phytopl Count'!AC212=0,"",('Phytopl Analysis'!AC212*LN('Phytopl Analysis'!AC212)))</f>
        <v/>
      </c>
      <c r="AD212" s="58" t="str">
        <f>IF('Phytopl Count'!AD212=0,"",('Phytopl Analysis'!AD212*LN('Phytopl Analysis'!AD212)))</f>
        <v/>
      </c>
      <c r="AE212" s="21" t="str">
        <f>IF('Phytopl Count'!AE212=0,"",('Phytopl Analysis'!AE212*LN('Phytopl Analysis'!AE212)))</f>
        <v/>
      </c>
      <c r="AF212" s="58" t="str">
        <f>IF('Phytopl Count'!AF212=0,"",('Phytopl Analysis'!AF212*LN('Phytopl Analysis'!AF212)))</f>
        <v/>
      </c>
    </row>
    <row r="213" spans="1:32">
      <c r="A213" s="5"/>
      <c r="B213" s="5"/>
      <c r="C213" s="5"/>
      <c r="D213" s="5"/>
      <c r="E213" s="10" t="s">
        <v>6</v>
      </c>
      <c r="F213" s="11" t="s">
        <v>401</v>
      </c>
      <c r="G213" s="21">
        <f>IF('Phytopl Count'!G213=0,"",('Phytopl Analysis'!G213*LN('Phytopl Analysis'!G213)))</f>
        <v>-8.2138855256282992E-2</v>
      </c>
      <c r="H213" s="21" t="str">
        <f>IF('Phytopl Count'!H213=0,"",('Phytopl Analysis'!H213*LN('Phytopl Analysis'!H213)))</f>
        <v/>
      </c>
      <c r="I213" s="58" t="str">
        <f>IF('Phytopl Count'!I213=0,"",('Phytopl Analysis'!I213*LN('Phytopl Analysis'!I213)))</f>
        <v/>
      </c>
      <c r="J213" s="58" t="str">
        <f>IF('Phytopl Count'!J213=0,"",('Phytopl Analysis'!J213*LN('Phytopl Analysis'!J213)))</f>
        <v/>
      </c>
      <c r="K213" s="21" t="str">
        <f>IF('Phytopl Count'!K213=0,"",('Phytopl Analysis'!K213*LN('Phytopl Analysis'!K213)))</f>
        <v/>
      </c>
      <c r="L213" s="21" t="str">
        <f>IF('Phytopl Count'!L213=0,"",('Phytopl Analysis'!L213*LN('Phytopl Analysis'!L213)))</f>
        <v/>
      </c>
      <c r="M213" s="58" t="str">
        <f>IF('Phytopl Count'!M213=0,"",('Phytopl Analysis'!M213*LN('Phytopl Analysis'!M213)))</f>
        <v/>
      </c>
      <c r="N213" s="58">
        <f>IF('Phytopl Count'!N213=0,"",('Phytopl Analysis'!N213*LN('Phytopl Analysis'!N213)))</f>
        <v>-0.1458498424659852</v>
      </c>
      <c r="O213" s="21">
        <f>IF('Phytopl Count'!O213=0,"",('Phytopl Analysis'!O213*LN('Phytopl Analysis'!O213)))</f>
        <v>-0.17603686210775515</v>
      </c>
      <c r="P213" s="21" t="str">
        <f>IF('Phytopl Count'!P213=0,"",('Phytopl Analysis'!P213*LN('Phytopl Analysis'!P213)))</f>
        <v/>
      </c>
      <c r="Q213" s="58" t="str">
        <f>IF('Phytopl Count'!Q213=0,"",('Phytopl Analysis'!Q213*LN('Phytopl Analysis'!Q213)))</f>
        <v/>
      </c>
      <c r="R213" s="58" t="str">
        <f>IF('Phytopl Count'!R213=0,"",('Phytopl Analysis'!R213*LN('Phytopl Analysis'!R213)))</f>
        <v/>
      </c>
      <c r="S213" s="21" t="str">
        <f>IF('Phytopl Count'!S213=0,"",('Phytopl Analysis'!S213*LN('Phytopl Analysis'!S213)))</f>
        <v/>
      </c>
      <c r="T213" s="21" t="str">
        <f>IF('Phytopl Count'!T213=0,"",('Phytopl Analysis'!T213*LN('Phytopl Analysis'!T213)))</f>
        <v/>
      </c>
      <c r="U213" s="58">
        <f>IF('Phytopl Count'!U213=0,"",('Phytopl Analysis'!U213*LN('Phytopl Analysis'!U213)))</f>
        <v>-0.11022075559754062</v>
      </c>
      <c r="V213" s="58" t="str">
        <f>IF('Phytopl Count'!V213=0,"",('Phytopl Analysis'!V213*LN('Phytopl Analysis'!V213)))</f>
        <v/>
      </c>
      <c r="W213" s="21" t="str">
        <f>IF('Phytopl Count'!W213=0,"",('Phytopl Analysis'!W213*LN('Phytopl Analysis'!W213)))</f>
        <v/>
      </c>
      <c r="X213" s="21" t="str">
        <f>IF('Phytopl Count'!X213=0,"",('Phytopl Analysis'!X213*LN('Phytopl Analysis'!X213)))</f>
        <v/>
      </c>
      <c r="Y213" s="58" t="str">
        <f>IF('Phytopl Count'!Y213=0,"",('Phytopl Analysis'!Y213*LN('Phytopl Analysis'!Y213)))</f>
        <v/>
      </c>
      <c r="Z213" s="58" t="str">
        <f>IF('Phytopl Count'!Z213=0,"",('Phytopl Analysis'!Z213*LN('Phytopl Analysis'!Z213)))</f>
        <v/>
      </c>
      <c r="AA213" s="21" t="str">
        <f>IF('Phytopl Count'!AA213=0,"",('Phytopl Analysis'!AA213*LN('Phytopl Analysis'!AA213)))</f>
        <v/>
      </c>
      <c r="AB213" s="21" t="str">
        <f>IF('Phytopl Count'!AB213=0,"",('Phytopl Analysis'!AB213*LN('Phytopl Analysis'!AB213)))</f>
        <v/>
      </c>
      <c r="AC213" s="58" t="str">
        <f>IF('Phytopl Count'!AC213=0,"",('Phytopl Analysis'!AC213*LN('Phytopl Analysis'!AC213)))</f>
        <v/>
      </c>
      <c r="AD213" s="58" t="str">
        <f>IF('Phytopl Count'!AD213=0,"",('Phytopl Analysis'!AD213*LN('Phytopl Analysis'!AD213)))</f>
        <v/>
      </c>
      <c r="AE213" s="21" t="str">
        <f>IF('Phytopl Count'!AE213=0,"",('Phytopl Analysis'!AE213*LN('Phytopl Analysis'!AE213)))</f>
        <v/>
      </c>
      <c r="AF213" s="58" t="str">
        <f>IF('Phytopl Count'!AF213=0,"",('Phytopl Analysis'!AF213*LN('Phytopl Analysis'!AF213)))</f>
        <v/>
      </c>
    </row>
    <row r="214" spans="1:32">
      <c r="A214" s="5"/>
      <c r="B214" s="5"/>
      <c r="C214" s="16" t="s">
        <v>73</v>
      </c>
      <c r="D214" s="51" t="s">
        <v>162</v>
      </c>
      <c r="E214" s="10"/>
      <c r="F214" s="11"/>
      <c r="G214" s="21" t="str">
        <f>IF('Phytopl Count'!G214=0,"",('Phytopl Analysis'!G214*LN('Phytopl Analysis'!G214)))</f>
        <v/>
      </c>
      <c r="H214" s="21" t="str">
        <f>IF('Phytopl Count'!H214=0,"",('Phytopl Analysis'!H214*LN('Phytopl Analysis'!H214)))</f>
        <v/>
      </c>
      <c r="I214" s="58" t="str">
        <f>IF('Phytopl Count'!I214=0,"",('Phytopl Analysis'!I214*LN('Phytopl Analysis'!I214)))</f>
        <v/>
      </c>
      <c r="J214" s="58" t="str">
        <f>IF('Phytopl Count'!J214=0,"",('Phytopl Analysis'!J214*LN('Phytopl Analysis'!J214)))</f>
        <v/>
      </c>
      <c r="K214" s="21" t="str">
        <f>IF('Phytopl Count'!K214=0,"",('Phytopl Analysis'!K214*LN('Phytopl Analysis'!K214)))</f>
        <v/>
      </c>
      <c r="L214" s="21" t="str">
        <f>IF('Phytopl Count'!L214=0,"",('Phytopl Analysis'!L214*LN('Phytopl Analysis'!L214)))</f>
        <v/>
      </c>
      <c r="M214" s="58" t="str">
        <f>IF('Phytopl Count'!M214=0,"",('Phytopl Analysis'!M214*LN('Phytopl Analysis'!M214)))</f>
        <v/>
      </c>
      <c r="N214" s="58" t="str">
        <f>IF('Phytopl Count'!N214=0,"",('Phytopl Analysis'!N214*LN('Phytopl Analysis'!N214)))</f>
        <v/>
      </c>
      <c r="O214" s="21" t="str">
        <f>IF('Phytopl Count'!O214=0,"",('Phytopl Analysis'!O214*LN('Phytopl Analysis'!O214)))</f>
        <v/>
      </c>
      <c r="P214" s="21" t="str">
        <f>IF('Phytopl Count'!P214=0,"",('Phytopl Analysis'!P214*LN('Phytopl Analysis'!P214)))</f>
        <v/>
      </c>
      <c r="Q214" s="58" t="str">
        <f>IF('Phytopl Count'!Q214=0,"",('Phytopl Analysis'!Q214*LN('Phytopl Analysis'!Q214)))</f>
        <v/>
      </c>
      <c r="R214" s="58" t="str">
        <f>IF('Phytopl Count'!R214=0,"",('Phytopl Analysis'!R214*LN('Phytopl Analysis'!R214)))</f>
        <v/>
      </c>
      <c r="S214" s="21" t="str">
        <f>IF('Phytopl Count'!S214=0,"",('Phytopl Analysis'!S214*LN('Phytopl Analysis'!S214)))</f>
        <v/>
      </c>
      <c r="T214" s="21" t="str">
        <f>IF('Phytopl Count'!T214=0,"",('Phytopl Analysis'!T214*LN('Phytopl Analysis'!T214)))</f>
        <v/>
      </c>
      <c r="U214" s="58" t="str">
        <f>IF('Phytopl Count'!U214=0,"",('Phytopl Analysis'!U214*LN('Phytopl Analysis'!U214)))</f>
        <v/>
      </c>
      <c r="V214" s="58" t="str">
        <f>IF('Phytopl Count'!V214=0,"",('Phytopl Analysis'!V214*LN('Phytopl Analysis'!V214)))</f>
        <v/>
      </c>
      <c r="W214" s="21" t="str">
        <f>IF('Phytopl Count'!W214=0,"",('Phytopl Analysis'!W214*LN('Phytopl Analysis'!W214)))</f>
        <v/>
      </c>
      <c r="X214" s="21" t="str">
        <f>IF('Phytopl Count'!X214=0,"",('Phytopl Analysis'!X214*LN('Phytopl Analysis'!X214)))</f>
        <v/>
      </c>
      <c r="Y214" s="58" t="str">
        <f>IF('Phytopl Count'!Y214=0,"",('Phytopl Analysis'!Y214*LN('Phytopl Analysis'!Y214)))</f>
        <v/>
      </c>
      <c r="Z214" s="58" t="str">
        <f>IF('Phytopl Count'!Z214=0,"",('Phytopl Analysis'!Z214*LN('Phytopl Analysis'!Z214)))</f>
        <v/>
      </c>
      <c r="AA214" s="21" t="str">
        <f>IF('Phytopl Count'!AA214=0,"",('Phytopl Analysis'!AA214*LN('Phytopl Analysis'!AA214)))</f>
        <v/>
      </c>
      <c r="AB214" s="21" t="str">
        <f>IF('Phytopl Count'!AB214=0,"",('Phytopl Analysis'!AB214*LN('Phytopl Analysis'!AB214)))</f>
        <v/>
      </c>
      <c r="AC214" s="58" t="str">
        <f>IF('Phytopl Count'!AC214=0,"",('Phytopl Analysis'!AC214*LN('Phytopl Analysis'!AC214)))</f>
        <v/>
      </c>
      <c r="AD214" s="58" t="str">
        <f>IF('Phytopl Count'!AD214=0,"",('Phytopl Analysis'!AD214*LN('Phytopl Analysis'!AD214)))</f>
        <v/>
      </c>
      <c r="AE214" s="21" t="str">
        <f>IF('Phytopl Count'!AE214=0,"",('Phytopl Analysis'!AE214*LN('Phytopl Analysis'!AE214)))</f>
        <v/>
      </c>
      <c r="AF214" s="58" t="str">
        <f>IF('Phytopl Count'!AF214=0,"",('Phytopl Analysis'!AF214*LN('Phytopl Analysis'!AF214)))</f>
        <v/>
      </c>
    </row>
    <row r="215" spans="1:32">
      <c r="A215" s="5"/>
      <c r="B215" s="5"/>
      <c r="C215" s="5"/>
      <c r="D215" s="10" t="s">
        <v>5</v>
      </c>
      <c r="E215" s="55" t="s">
        <v>163</v>
      </c>
      <c r="F215" s="11"/>
      <c r="G215" s="21" t="str">
        <f>IF('Phytopl Count'!G215=0,"",('Phytopl Analysis'!G215*LN('Phytopl Analysis'!G215)))</f>
        <v/>
      </c>
      <c r="H215" s="21" t="str">
        <f>IF('Phytopl Count'!H215=0,"",('Phytopl Analysis'!H215*LN('Phytopl Analysis'!H215)))</f>
        <v/>
      </c>
      <c r="I215" s="58" t="str">
        <f>IF('Phytopl Count'!I215=0,"",('Phytopl Analysis'!I215*LN('Phytopl Analysis'!I215)))</f>
        <v/>
      </c>
      <c r="J215" s="58" t="str">
        <f>IF('Phytopl Count'!J215=0,"",('Phytopl Analysis'!J215*LN('Phytopl Analysis'!J215)))</f>
        <v/>
      </c>
      <c r="K215" s="21" t="str">
        <f>IF('Phytopl Count'!K215=0,"",('Phytopl Analysis'!K215*LN('Phytopl Analysis'!K215)))</f>
        <v/>
      </c>
      <c r="L215" s="21" t="str">
        <f>IF('Phytopl Count'!L215=0,"",('Phytopl Analysis'!L215*LN('Phytopl Analysis'!L215)))</f>
        <v/>
      </c>
      <c r="M215" s="58" t="str">
        <f>IF('Phytopl Count'!M215=0,"",('Phytopl Analysis'!M215*LN('Phytopl Analysis'!M215)))</f>
        <v/>
      </c>
      <c r="N215" s="58" t="str">
        <f>IF('Phytopl Count'!N215=0,"",('Phytopl Analysis'!N215*LN('Phytopl Analysis'!N215)))</f>
        <v/>
      </c>
      <c r="O215" s="21" t="str">
        <f>IF('Phytopl Count'!O215=0,"",('Phytopl Analysis'!O215*LN('Phytopl Analysis'!O215)))</f>
        <v/>
      </c>
      <c r="P215" s="21" t="str">
        <f>IF('Phytopl Count'!P215=0,"",('Phytopl Analysis'!P215*LN('Phytopl Analysis'!P215)))</f>
        <v/>
      </c>
      <c r="Q215" s="58" t="str">
        <f>IF('Phytopl Count'!Q215=0,"",('Phytopl Analysis'!Q215*LN('Phytopl Analysis'!Q215)))</f>
        <v/>
      </c>
      <c r="R215" s="58" t="str">
        <f>IF('Phytopl Count'!R215=0,"",('Phytopl Analysis'!R215*LN('Phytopl Analysis'!R215)))</f>
        <v/>
      </c>
      <c r="S215" s="21" t="str">
        <f>IF('Phytopl Count'!S215=0,"",('Phytopl Analysis'!S215*LN('Phytopl Analysis'!S215)))</f>
        <v/>
      </c>
      <c r="T215" s="21" t="str">
        <f>IF('Phytopl Count'!T215=0,"",('Phytopl Analysis'!T215*LN('Phytopl Analysis'!T215)))</f>
        <v/>
      </c>
      <c r="U215" s="58" t="str">
        <f>IF('Phytopl Count'!U215=0,"",('Phytopl Analysis'!U215*LN('Phytopl Analysis'!U215)))</f>
        <v/>
      </c>
      <c r="V215" s="58" t="str">
        <f>IF('Phytopl Count'!V215=0,"",('Phytopl Analysis'!V215*LN('Phytopl Analysis'!V215)))</f>
        <v/>
      </c>
      <c r="W215" s="21" t="str">
        <f>IF('Phytopl Count'!W215=0,"",('Phytopl Analysis'!W215*LN('Phytopl Analysis'!W215)))</f>
        <v/>
      </c>
      <c r="X215" s="21" t="str">
        <f>IF('Phytopl Count'!X215=0,"",('Phytopl Analysis'!X215*LN('Phytopl Analysis'!X215)))</f>
        <v/>
      </c>
      <c r="Y215" s="58" t="str">
        <f>IF('Phytopl Count'!Y215=0,"",('Phytopl Analysis'!Y215*LN('Phytopl Analysis'!Y215)))</f>
        <v/>
      </c>
      <c r="Z215" s="58" t="str">
        <f>IF('Phytopl Count'!Z215=0,"",('Phytopl Analysis'!Z215*LN('Phytopl Analysis'!Z215)))</f>
        <v/>
      </c>
      <c r="AA215" s="21" t="str">
        <f>IF('Phytopl Count'!AA215=0,"",('Phytopl Analysis'!AA215*LN('Phytopl Analysis'!AA215)))</f>
        <v/>
      </c>
      <c r="AB215" s="21" t="str">
        <f>IF('Phytopl Count'!AB215=0,"",('Phytopl Analysis'!AB215*LN('Phytopl Analysis'!AB215)))</f>
        <v/>
      </c>
      <c r="AC215" s="58" t="str">
        <f>IF('Phytopl Count'!AC215=0,"",('Phytopl Analysis'!AC215*LN('Phytopl Analysis'!AC215)))</f>
        <v/>
      </c>
      <c r="AD215" s="58" t="str">
        <f>IF('Phytopl Count'!AD215=0,"",('Phytopl Analysis'!AD215*LN('Phytopl Analysis'!AD215)))</f>
        <v/>
      </c>
      <c r="AE215" s="21" t="str">
        <f>IF('Phytopl Count'!AE215=0,"",('Phytopl Analysis'!AE215*LN('Phytopl Analysis'!AE215)))</f>
        <v/>
      </c>
      <c r="AF215" s="58" t="str">
        <f>IF('Phytopl Count'!AF215=0,"",('Phytopl Analysis'!AF215*LN('Phytopl Analysis'!AF215)))</f>
        <v/>
      </c>
    </row>
    <row r="216" spans="1:32">
      <c r="A216" s="5"/>
      <c r="B216" s="5"/>
      <c r="C216" s="5"/>
      <c r="D216" s="5"/>
      <c r="E216" s="10" t="s">
        <v>6</v>
      </c>
      <c r="F216" s="11" t="s">
        <v>43</v>
      </c>
      <c r="G216" s="21" t="str">
        <f>IF('Phytopl Count'!G216=0,"",('Phytopl Analysis'!G216*LN('Phytopl Analysis'!G216)))</f>
        <v/>
      </c>
      <c r="H216" s="21" t="str">
        <f>IF('Phytopl Count'!H216=0,"",('Phytopl Analysis'!H216*LN('Phytopl Analysis'!H216)))</f>
        <v/>
      </c>
      <c r="I216" s="58" t="str">
        <f>IF('Phytopl Count'!I216=0,"",('Phytopl Analysis'!I216*LN('Phytopl Analysis'!I216)))</f>
        <v/>
      </c>
      <c r="J216" s="58" t="str">
        <f>IF('Phytopl Count'!J216=0,"",('Phytopl Analysis'!J216*LN('Phytopl Analysis'!J216)))</f>
        <v/>
      </c>
      <c r="K216" s="21" t="str">
        <f>IF('Phytopl Count'!K216=0,"",('Phytopl Analysis'!K216*LN('Phytopl Analysis'!K216)))</f>
        <v/>
      </c>
      <c r="L216" s="21" t="str">
        <f>IF('Phytopl Count'!L216=0,"",('Phytopl Analysis'!L216*LN('Phytopl Analysis'!L216)))</f>
        <v/>
      </c>
      <c r="M216" s="58" t="str">
        <f>IF('Phytopl Count'!M216=0,"",('Phytopl Analysis'!M216*LN('Phytopl Analysis'!M216)))</f>
        <v/>
      </c>
      <c r="N216" s="58" t="str">
        <f>IF('Phytopl Count'!N216=0,"",('Phytopl Analysis'!N216*LN('Phytopl Analysis'!N216)))</f>
        <v/>
      </c>
      <c r="O216" s="21" t="str">
        <f>IF('Phytopl Count'!O216=0,"",('Phytopl Analysis'!O216*LN('Phytopl Analysis'!O216)))</f>
        <v/>
      </c>
      <c r="P216" s="21" t="str">
        <f>IF('Phytopl Count'!P216=0,"",('Phytopl Analysis'!P216*LN('Phytopl Analysis'!P216)))</f>
        <v/>
      </c>
      <c r="Q216" s="58" t="str">
        <f>IF('Phytopl Count'!Q216=0,"",('Phytopl Analysis'!Q216*LN('Phytopl Analysis'!Q216)))</f>
        <v/>
      </c>
      <c r="R216" s="58" t="str">
        <f>IF('Phytopl Count'!R216=0,"",('Phytopl Analysis'!R216*LN('Phytopl Analysis'!R216)))</f>
        <v/>
      </c>
      <c r="S216" s="21" t="str">
        <f>IF('Phytopl Count'!S216=0,"",('Phytopl Analysis'!S216*LN('Phytopl Analysis'!S216)))</f>
        <v/>
      </c>
      <c r="T216" s="21" t="str">
        <f>IF('Phytopl Count'!T216=0,"",('Phytopl Analysis'!T216*LN('Phytopl Analysis'!T216)))</f>
        <v/>
      </c>
      <c r="U216" s="58" t="str">
        <f>IF('Phytopl Count'!U216=0,"",('Phytopl Analysis'!U216*LN('Phytopl Analysis'!U216)))</f>
        <v/>
      </c>
      <c r="V216" s="58" t="str">
        <f>IF('Phytopl Count'!V216=0,"",('Phytopl Analysis'!V216*LN('Phytopl Analysis'!V216)))</f>
        <v/>
      </c>
      <c r="W216" s="21" t="str">
        <f>IF('Phytopl Count'!W216=0,"",('Phytopl Analysis'!W216*LN('Phytopl Analysis'!W216)))</f>
        <v/>
      </c>
      <c r="X216" s="21" t="str">
        <f>IF('Phytopl Count'!X216=0,"",('Phytopl Analysis'!X216*LN('Phytopl Analysis'!X216)))</f>
        <v/>
      </c>
      <c r="Y216" s="58" t="str">
        <f>IF('Phytopl Count'!Y216=0,"",('Phytopl Analysis'!Y216*LN('Phytopl Analysis'!Y216)))</f>
        <v/>
      </c>
      <c r="Z216" s="58" t="str">
        <f>IF('Phytopl Count'!Z216=0,"",('Phytopl Analysis'!Z216*LN('Phytopl Analysis'!Z216)))</f>
        <v/>
      </c>
      <c r="AA216" s="21">
        <f>IF('Phytopl Count'!AA216=0,"",('Phytopl Analysis'!AA216*LN('Phytopl Analysis'!AA216)))</f>
        <v>-0.11022075559754062</v>
      </c>
      <c r="AB216" s="21" t="str">
        <f>IF('Phytopl Count'!AB216=0,"",('Phytopl Analysis'!AB216*LN('Phytopl Analysis'!AB216)))</f>
        <v/>
      </c>
      <c r="AC216" s="58" t="str">
        <f>IF('Phytopl Count'!AC216=0,"",('Phytopl Analysis'!AC216*LN('Phytopl Analysis'!AC216)))</f>
        <v/>
      </c>
      <c r="AD216" s="58" t="str">
        <f>IF('Phytopl Count'!AD216=0,"",('Phytopl Analysis'!AD216*LN('Phytopl Analysis'!AD216)))</f>
        <v/>
      </c>
      <c r="AE216" s="21" t="str">
        <f>IF('Phytopl Count'!AE216=0,"",('Phytopl Analysis'!AE216*LN('Phytopl Analysis'!AE216)))</f>
        <v/>
      </c>
      <c r="AF216" s="58" t="str">
        <f>IF('Phytopl Count'!AF216=0,"",('Phytopl Analysis'!AF216*LN('Phytopl Analysis'!AF216)))</f>
        <v/>
      </c>
    </row>
    <row r="217" spans="1:32">
      <c r="A217" s="5"/>
      <c r="B217" s="5"/>
      <c r="C217" s="5"/>
      <c r="D217" s="10" t="s">
        <v>5</v>
      </c>
      <c r="E217" s="64" t="s">
        <v>305</v>
      </c>
      <c r="F217" s="11"/>
      <c r="G217" s="21" t="str">
        <f>IF('Phytopl Count'!G217=0,"",('Phytopl Analysis'!G217*LN('Phytopl Analysis'!G217)))</f>
        <v/>
      </c>
      <c r="H217" s="21" t="str">
        <f>IF('Phytopl Count'!H217=0,"",('Phytopl Analysis'!H217*LN('Phytopl Analysis'!H217)))</f>
        <v/>
      </c>
      <c r="I217" s="58" t="str">
        <f>IF('Phytopl Count'!I217=0,"",('Phytopl Analysis'!I217*LN('Phytopl Analysis'!I217)))</f>
        <v/>
      </c>
      <c r="J217" s="58" t="str">
        <f>IF('Phytopl Count'!J217=0,"",('Phytopl Analysis'!J217*LN('Phytopl Analysis'!J217)))</f>
        <v/>
      </c>
      <c r="K217" s="21" t="str">
        <f>IF('Phytopl Count'!K217=0,"",('Phytopl Analysis'!K217*LN('Phytopl Analysis'!K217)))</f>
        <v/>
      </c>
      <c r="L217" s="21" t="str">
        <f>IF('Phytopl Count'!L217=0,"",('Phytopl Analysis'!L217*LN('Phytopl Analysis'!L217)))</f>
        <v/>
      </c>
      <c r="M217" s="58" t="str">
        <f>IF('Phytopl Count'!M217=0,"",('Phytopl Analysis'!M217*LN('Phytopl Analysis'!M217)))</f>
        <v/>
      </c>
      <c r="N217" s="58" t="str">
        <f>IF('Phytopl Count'!N217=0,"",('Phytopl Analysis'!N217*LN('Phytopl Analysis'!N217)))</f>
        <v/>
      </c>
      <c r="O217" s="21" t="str">
        <f>IF('Phytopl Count'!O217=0,"",('Phytopl Analysis'!O217*LN('Phytopl Analysis'!O217)))</f>
        <v/>
      </c>
      <c r="P217" s="21" t="str">
        <f>IF('Phytopl Count'!P217=0,"",('Phytopl Analysis'!P217*LN('Phytopl Analysis'!P217)))</f>
        <v/>
      </c>
      <c r="Q217" s="58" t="str">
        <f>IF('Phytopl Count'!Q217=0,"",('Phytopl Analysis'!Q217*LN('Phytopl Analysis'!Q217)))</f>
        <v/>
      </c>
      <c r="R217" s="58" t="str">
        <f>IF('Phytopl Count'!R217=0,"",('Phytopl Analysis'!R217*LN('Phytopl Analysis'!R217)))</f>
        <v/>
      </c>
      <c r="S217" s="21" t="str">
        <f>IF('Phytopl Count'!S217=0,"",('Phytopl Analysis'!S217*LN('Phytopl Analysis'!S217)))</f>
        <v/>
      </c>
      <c r="T217" s="21" t="str">
        <f>IF('Phytopl Count'!T217=0,"",('Phytopl Analysis'!T217*LN('Phytopl Analysis'!T217)))</f>
        <v/>
      </c>
      <c r="U217" s="58" t="str">
        <f>IF('Phytopl Count'!U217=0,"",('Phytopl Analysis'!U217*LN('Phytopl Analysis'!U217)))</f>
        <v/>
      </c>
      <c r="V217" s="58" t="str">
        <f>IF('Phytopl Count'!V217=0,"",('Phytopl Analysis'!V217*LN('Phytopl Analysis'!V217)))</f>
        <v/>
      </c>
      <c r="W217" s="21" t="str">
        <f>IF('Phytopl Count'!W217=0,"",('Phytopl Analysis'!W217*LN('Phytopl Analysis'!W217)))</f>
        <v/>
      </c>
      <c r="X217" s="21" t="str">
        <f>IF('Phytopl Count'!X217=0,"",('Phytopl Analysis'!X217*LN('Phytopl Analysis'!X217)))</f>
        <v/>
      </c>
      <c r="Y217" s="58" t="str">
        <f>IF('Phytopl Count'!Y217=0,"",('Phytopl Analysis'!Y217*LN('Phytopl Analysis'!Y217)))</f>
        <v/>
      </c>
      <c r="Z217" s="58" t="str">
        <f>IF('Phytopl Count'!Z217=0,"",('Phytopl Analysis'!Z217*LN('Phytopl Analysis'!Z217)))</f>
        <v/>
      </c>
      <c r="AA217" s="21" t="str">
        <f>IF('Phytopl Count'!AA217=0,"",('Phytopl Analysis'!AA217*LN('Phytopl Analysis'!AA217)))</f>
        <v/>
      </c>
      <c r="AB217" s="21" t="str">
        <f>IF('Phytopl Count'!AB217=0,"",('Phytopl Analysis'!AB217*LN('Phytopl Analysis'!AB217)))</f>
        <v/>
      </c>
      <c r="AC217" s="58" t="str">
        <f>IF('Phytopl Count'!AC217=0,"",('Phytopl Analysis'!AC217*LN('Phytopl Analysis'!AC217)))</f>
        <v/>
      </c>
      <c r="AD217" s="58" t="str">
        <f>IF('Phytopl Count'!AD217=0,"",('Phytopl Analysis'!AD217*LN('Phytopl Analysis'!AD217)))</f>
        <v/>
      </c>
      <c r="AE217" s="21" t="str">
        <f>IF('Phytopl Count'!AE217=0,"",('Phytopl Analysis'!AE217*LN('Phytopl Analysis'!AE217)))</f>
        <v/>
      </c>
      <c r="AF217" s="58" t="str">
        <f>IF('Phytopl Count'!AF217=0,"",('Phytopl Analysis'!AF217*LN('Phytopl Analysis'!AF217)))</f>
        <v/>
      </c>
    </row>
    <row r="218" spans="1:32">
      <c r="A218" s="5"/>
      <c r="B218" s="5"/>
      <c r="C218" s="5"/>
      <c r="D218" s="5"/>
      <c r="E218" s="10" t="s">
        <v>6</v>
      </c>
      <c r="F218" s="11" t="s">
        <v>173</v>
      </c>
      <c r="G218" s="21" t="str">
        <f>IF('Phytopl Count'!G218=0,"",('Phytopl Analysis'!G218*LN('Phytopl Analysis'!G218)))</f>
        <v/>
      </c>
      <c r="H218" s="21" t="str">
        <f>IF('Phytopl Count'!H218=0,"",('Phytopl Analysis'!H218*LN('Phytopl Analysis'!H218)))</f>
        <v/>
      </c>
      <c r="I218" s="58" t="str">
        <f>IF('Phytopl Count'!I218=0,"",('Phytopl Analysis'!I218*LN('Phytopl Analysis'!I218)))</f>
        <v/>
      </c>
      <c r="J218" s="58" t="str">
        <f>IF('Phytopl Count'!J218=0,"",('Phytopl Analysis'!J218*LN('Phytopl Analysis'!J218)))</f>
        <v/>
      </c>
      <c r="K218" s="21" t="str">
        <f>IF('Phytopl Count'!K218=0,"",('Phytopl Analysis'!K218*LN('Phytopl Analysis'!K218)))</f>
        <v/>
      </c>
      <c r="L218" s="21" t="str">
        <f>IF('Phytopl Count'!L218=0,"",('Phytopl Analysis'!L218*LN('Phytopl Analysis'!L218)))</f>
        <v/>
      </c>
      <c r="M218" s="58" t="str">
        <f>IF('Phytopl Count'!M218=0,"",('Phytopl Analysis'!M218*LN('Phytopl Analysis'!M218)))</f>
        <v/>
      </c>
      <c r="N218" s="58" t="str">
        <f>IF('Phytopl Count'!N218=0,"",('Phytopl Analysis'!N218*LN('Phytopl Analysis'!N218)))</f>
        <v/>
      </c>
      <c r="O218" s="21" t="str">
        <f>IF('Phytopl Count'!O218=0,"",('Phytopl Analysis'!O218*LN('Phytopl Analysis'!O218)))</f>
        <v/>
      </c>
      <c r="P218" s="21" t="str">
        <f>IF('Phytopl Count'!P218=0,"",('Phytopl Analysis'!P218*LN('Phytopl Analysis'!P218)))</f>
        <v/>
      </c>
      <c r="Q218" s="58" t="str">
        <f>IF('Phytopl Count'!Q218=0,"",('Phytopl Analysis'!Q218*LN('Phytopl Analysis'!Q218)))</f>
        <v/>
      </c>
      <c r="R218" s="58" t="str">
        <f>IF('Phytopl Count'!R218=0,"",('Phytopl Analysis'!R218*LN('Phytopl Analysis'!R218)))</f>
        <v/>
      </c>
      <c r="S218" s="21" t="str">
        <f>IF('Phytopl Count'!S218=0,"",('Phytopl Analysis'!S218*LN('Phytopl Analysis'!S218)))</f>
        <v/>
      </c>
      <c r="T218" s="21">
        <f>IF('Phytopl Count'!T218=0,"",('Phytopl Analysis'!T218*LN('Phytopl Analysis'!T218)))</f>
        <v>-0.1458498424659852</v>
      </c>
      <c r="U218" s="58">
        <f>IF('Phytopl Count'!U218=0,"",('Phytopl Analysis'!U218*LN('Phytopl Analysis'!U218)))</f>
        <v>-0.11022075559754062</v>
      </c>
      <c r="V218" s="58" t="str">
        <f>IF('Phytopl Count'!V218=0,"",('Phytopl Analysis'!V218*LN('Phytopl Analysis'!V218)))</f>
        <v/>
      </c>
      <c r="W218" s="21" t="str">
        <f>IF('Phytopl Count'!W218=0,"",('Phytopl Analysis'!W218*LN('Phytopl Analysis'!W218)))</f>
        <v/>
      </c>
      <c r="X218" s="21" t="str">
        <f>IF('Phytopl Count'!X218=0,"",('Phytopl Analysis'!X218*LN('Phytopl Analysis'!X218)))</f>
        <v/>
      </c>
      <c r="Y218" s="58" t="str">
        <f>IF('Phytopl Count'!Y218=0,"",('Phytopl Analysis'!Y218*LN('Phytopl Analysis'!Y218)))</f>
        <v/>
      </c>
      <c r="Z218" s="58" t="str">
        <f>IF('Phytopl Count'!Z218=0,"",('Phytopl Analysis'!Z218*LN('Phytopl Analysis'!Z218)))</f>
        <v/>
      </c>
      <c r="AA218" s="21" t="str">
        <f>IF('Phytopl Count'!AA218=0,"",('Phytopl Analysis'!AA218*LN('Phytopl Analysis'!AA218)))</f>
        <v/>
      </c>
      <c r="AB218" s="21" t="str">
        <f>IF('Phytopl Count'!AB218=0,"",('Phytopl Analysis'!AB218*LN('Phytopl Analysis'!AB218)))</f>
        <v/>
      </c>
      <c r="AC218" s="58" t="str">
        <f>IF('Phytopl Count'!AC218=0,"",('Phytopl Analysis'!AC218*LN('Phytopl Analysis'!AC218)))</f>
        <v/>
      </c>
      <c r="AD218" s="58" t="str">
        <f>IF('Phytopl Count'!AD218=0,"",('Phytopl Analysis'!AD218*LN('Phytopl Analysis'!AD218)))</f>
        <v/>
      </c>
      <c r="AE218" s="21" t="str">
        <f>IF('Phytopl Count'!AE218=0,"",('Phytopl Analysis'!AE218*LN('Phytopl Analysis'!AE218)))</f>
        <v/>
      </c>
      <c r="AF218" s="58" t="str">
        <f>IF('Phytopl Count'!AF218=0,"",('Phytopl Analysis'!AF218*LN('Phytopl Analysis'!AF218)))</f>
        <v/>
      </c>
    </row>
    <row r="219" spans="1:32" hidden="1">
      <c r="A219" s="5"/>
      <c r="B219" s="5"/>
      <c r="C219" s="16" t="s">
        <v>73</v>
      </c>
      <c r="D219" s="4" t="s">
        <v>389</v>
      </c>
      <c r="E219" s="10"/>
      <c r="F219" s="9"/>
      <c r="G219" s="21" t="str">
        <f>IF('Phytopl Count'!G219=0,"",('Phytopl Analysis'!G219*LN('Phytopl Analysis'!G219)))</f>
        <v/>
      </c>
      <c r="H219" s="21" t="str">
        <f>IF('Phytopl Count'!H219=0,"",('Phytopl Analysis'!H219*LN('Phytopl Analysis'!H219)))</f>
        <v/>
      </c>
      <c r="I219" s="58" t="str">
        <f>IF('Phytopl Count'!I219=0,"",('Phytopl Analysis'!I219*LN('Phytopl Analysis'!I219)))</f>
        <v/>
      </c>
      <c r="J219" s="58" t="str">
        <f>IF('Phytopl Count'!J219=0,"",('Phytopl Analysis'!J219*LN('Phytopl Analysis'!J219)))</f>
        <v/>
      </c>
      <c r="K219" s="21" t="str">
        <f>IF('Phytopl Count'!K219=0,"",('Phytopl Analysis'!K219*LN('Phytopl Analysis'!K219)))</f>
        <v/>
      </c>
      <c r="L219" s="21" t="str">
        <f>IF('Phytopl Count'!L219=0,"",('Phytopl Analysis'!L219*LN('Phytopl Analysis'!L219)))</f>
        <v/>
      </c>
      <c r="M219" s="58" t="str">
        <f>IF('Phytopl Count'!M219=0,"",('Phytopl Analysis'!M219*LN('Phytopl Analysis'!M219)))</f>
        <v/>
      </c>
      <c r="N219" s="58" t="str">
        <f>IF('Phytopl Count'!N219=0,"",('Phytopl Analysis'!N219*LN('Phytopl Analysis'!N219)))</f>
        <v/>
      </c>
      <c r="O219" s="21" t="str">
        <f>IF('Phytopl Count'!O219=0,"",('Phytopl Analysis'!O219*LN('Phytopl Analysis'!O219)))</f>
        <v/>
      </c>
      <c r="P219" s="21" t="str">
        <f>IF('Phytopl Count'!P219=0,"",('Phytopl Analysis'!P219*LN('Phytopl Analysis'!P219)))</f>
        <v/>
      </c>
      <c r="Q219" s="58" t="str">
        <f>IF('Phytopl Count'!Q219=0,"",('Phytopl Analysis'!Q219*LN('Phytopl Analysis'!Q219)))</f>
        <v/>
      </c>
      <c r="R219" s="58" t="str">
        <f>IF('Phytopl Count'!R219=0,"",('Phytopl Analysis'!R219*LN('Phytopl Analysis'!R219)))</f>
        <v/>
      </c>
      <c r="S219" s="21" t="str">
        <f>IF('Phytopl Count'!S219=0,"",('Phytopl Analysis'!S219*LN('Phytopl Analysis'!S219)))</f>
        <v/>
      </c>
      <c r="T219" s="21" t="str">
        <f>IF('Phytopl Count'!T219=0,"",('Phytopl Analysis'!T219*LN('Phytopl Analysis'!T219)))</f>
        <v/>
      </c>
      <c r="U219" s="58" t="str">
        <f>IF('Phytopl Count'!U219=0,"",('Phytopl Analysis'!U219*LN('Phytopl Analysis'!U219)))</f>
        <v/>
      </c>
      <c r="V219" s="58" t="str">
        <f>IF('Phytopl Count'!V219=0,"",('Phytopl Analysis'!V219*LN('Phytopl Analysis'!V219)))</f>
        <v/>
      </c>
      <c r="W219" s="21" t="str">
        <f>IF('Phytopl Count'!W219=0,"",('Phytopl Analysis'!W219*LN('Phytopl Analysis'!W219)))</f>
        <v/>
      </c>
      <c r="X219" s="21" t="str">
        <f>IF('Phytopl Count'!X219=0,"",('Phytopl Analysis'!X219*LN('Phytopl Analysis'!X219)))</f>
        <v/>
      </c>
      <c r="Y219" s="58" t="str">
        <f>IF('Phytopl Count'!Y219=0,"",('Phytopl Analysis'!Y219*LN('Phytopl Analysis'!Y219)))</f>
        <v/>
      </c>
      <c r="Z219" s="58" t="str">
        <f>IF('Phytopl Count'!Z219=0,"",('Phytopl Analysis'!Z219*LN('Phytopl Analysis'!Z219)))</f>
        <v/>
      </c>
      <c r="AA219" s="21" t="str">
        <f>IF('Phytopl Count'!AA219=0,"",('Phytopl Analysis'!AA219*LN('Phytopl Analysis'!AA219)))</f>
        <v/>
      </c>
      <c r="AB219" s="21" t="str">
        <f>IF('Phytopl Count'!AB219=0,"",('Phytopl Analysis'!AB219*LN('Phytopl Analysis'!AB219)))</f>
        <v/>
      </c>
      <c r="AC219" s="58" t="str">
        <f>IF('Phytopl Count'!AC219=0,"",('Phytopl Analysis'!AC219*LN('Phytopl Analysis'!AC219)))</f>
        <v/>
      </c>
      <c r="AD219" s="58" t="str">
        <f>IF('Phytopl Count'!AD219=0,"",('Phytopl Analysis'!AD219*LN('Phytopl Analysis'!AD219)))</f>
        <v/>
      </c>
      <c r="AE219" s="21" t="str">
        <f>IF('Phytopl Count'!AE219=0,"",('Phytopl Analysis'!AE219*LN('Phytopl Analysis'!AE219)))</f>
        <v/>
      </c>
      <c r="AF219" s="58" t="str">
        <f>IF('Phytopl Count'!AF219=0,"",('Phytopl Analysis'!AF219*LN('Phytopl Analysis'!AF219)))</f>
        <v/>
      </c>
    </row>
    <row r="220" spans="1:32" hidden="1">
      <c r="A220" s="5"/>
      <c r="B220" s="5"/>
      <c r="C220" s="5"/>
      <c r="D220" s="10" t="s">
        <v>5</v>
      </c>
      <c r="E220" s="170" t="s">
        <v>390</v>
      </c>
      <c r="F220" s="9"/>
      <c r="G220" s="21" t="str">
        <f>IF('Phytopl Count'!G220=0,"",('Phytopl Analysis'!G220*LN('Phytopl Analysis'!G220)))</f>
        <v/>
      </c>
      <c r="H220" s="21" t="str">
        <f>IF('Phytopl Count'!H220=0,"",('Phytopl Analysis'!H220*LN('Phytopl Analysis'!H220)))</f>
        <v/>
      </c>
      <c r="I220" s="58" t="str">
        <f>IF('Phytopl Count'!I220=0,"",('Phytopl Analysis'!I220*LN('Phytopl Analysis'!I220)))</f>
        <v/>
      </c>
      <c r="J220" s="58" t="str">
        <f>IF('Phytopl Count'!J220=0,"",('Phytopl Analysis'!J220*LN('Phytopl Analysis'!J220)))</f>
        <v/>
      </c>
      <c r="K220" s="21" t="str">
        <f>IF('Phytopl Count'!K220=0,"",('Phytopl Analysis'!K220*LN('Phytopl Analysis'!K220)))</f>
        <v/>
      </c>
      <c r="L220" s="21" t="str">
        <f>IF('Phytopl Count'!L220=0,"",('Phytopl Analysis'!L220*LN('Phytopl Analysis'!L220)))</f>
        <v/>
      </c>
      <c r="M220" s="58" t="str">
        <f>IF('Phytopl Count'!M220=0,"",('Phytopl Analysis'!M220*LN('Phytopl Analysis'!M220)))</f>
        <v/>
      </c>
      <c r="N220" s="58" t="str">
        <f>IF('Phytopl Count'!N220=0,"",('Phytopl Analysis'!N220*LN('Phytopl Analysis'!N220)))</f>
        <v/>
      </c>
      <c r="O220" s="21" t="str">
        <f>IF('Phytopl Count'!O220=0,"",('Phytopl Analysis'!O220*LN('Phytopl Analysis'!O220)))</f>
        <v/>
      </c>
      <c r="P220" s="21" t="str">
        <f>IF('Phytopl Count'!P220=0,"",('Phytopl Analysis'!P220*LN('Phytopl Analysis'!P220)))</f>
        <v/>
      </c>
      <c r="Q220" s="58" t="str">
        <f>IF('Phytopl Count'!Q220=0,"",('Phytopl Analysis'!Q220*LN('Phytopl Analysis'!Q220)))</f>
        <v/>
      </c>
      <c r="R220" s="58" t="str">
        <f>IF('Phytopl Count'!R220=0,"",('Phytopl Analysis'!R220*LN('Phytopl Analysis'!R220)))</f>
        <v/>
      </c>
      <c r="S220" s="21" t="str">
        <f>IF('Phytopl Count'!S220=0,"",('Phytopl Analysis'!S220*LN('Phytopl Analysis'!S220)))</f>
        <v/>
      </c>
      <c r="T220" s="21" t="str">
        <f>IF('Phytopl Count'!T220=0,"",('Phytopl Analysis'!T220*LN('Phytopl Analysis'!T220)))</f>
        <v/>
      </c>
      <c r="U220" s="58" t="str">
        <f>IF('Phytopl Count'!U220=0,"",('Phytopl Analysis'!U220*LN('Phytopl Analysis'!U220)))</f>
        <v/>
      </c>
      <c r="V220" s="58" t="str">
        <f>IF('Phytopl Count'!V220=0,"",('Phytopl Analysis'!V220*LN('Phytopl Analysis'!V220)))</f>
        <v/>
      </c>
      <c r="W220" s="21" t="str">
        <f>IF('Phytopl Count'!W220=0,"",('Phytopl Analysis'!W220*LN('Phytopl Analysis'!W220)))</f>
        <v/>
      </c>
      <c r="X220" s="21" t="str">
        <f>IF('Phytopl Count'!X220=0,"",('Phytopl Analysis'!X220*LN('Phytopl Analysis'!X220)))</f>
        <v/>
      </c>
      <c r="Y220" s="58" t="str">
        <f>IF('Phytopl Count'!Y220=0,"",('Phytopl Analysis'!Y220*LN('Phytopl Analysis'!Y220)))</f>
        <v/>
      </c>
      <c r="Z220" s="58" t="str">
        <f>IF('Phytopl Count'!Z220=0,"",('Phytopl Analysis'!Z220*LN('Phytopl Analysis'!Z220)))</f>
        <v/>
      </c>
      <c r="AA220" s="21" t="str">
        <f>IF('Phytopl Count'!AA220=0,"",('Phytopl Analysis'!AA220*LN('Phytopl Analysis'!AA220)))</f>
        <v/>
      </c>
      <c r="AB220" s="21" t="str">
        <f>IF('Phytopl Count'!AB220=0,"",('Phytopl Analysis'!AB220*LN('Phytopl Analysis'!AB220)))</f>
        <v/>
      </c>
      <c r="AC220" s="58" t="str">
        <f>IF('Phytopl Count'!AC220=0,"",('Phytopl Analysis'!AC220*LN('Phytopl Analysis'!AC220)))</f>
        <v/>
      </c>
      <c r="AD220" s="58" t="str">
        <f>IF('Phytopl Count'!AD220=0,"",('Phytopl Analysis'!AD220*LN('Phytopl Analysis'!AD220)))</f>
        <v/>
      </c>
      <c r="AE220" s="21" t="str">
        <f>IF('Phytopl Count'!AE220=0,"",('Phytopl Analysis'!AE220*LN('Phytopl Analysis'!AE220)))</f>
        <v/>
      </c>
      <c r="AF220" s="58" t="str">
        <f>IF('Phytopl Count'!AF220=0,"",('Phytopl Analysis'!AF220*LN('Phytopl Analysis'!AF220)))</f>
        <v/>
      </c>
    </row>
    <row r="221" spans="1:32" hidden="1">
      <c r="A221" s="5"/>
      <c r="B221" s="5"/>
      <c r="C221" s="5"/>
      <c r="D221" s="5"/>
      <c r="E221" s="10" t="s">
        <v>6</v>
      </c>
      <c r="F221" s="11" t="s">
        <v>391</v>
      </c>
      <c r="G221" s="21" t="str">
        <f>IF('Phytopl Count'!G221=0,"",('Phytopl Analysis'!G221*LN('Phytopl Analysis'!G221)))</f>
        <v/>
      </c>
      <c r="H221" s="21" t="str">
        <f>IF('Phytopl Count'!H221=0,"",('Phytopl Analysis'!H221*LN('Phytopl Analysis'!H221)))</f>
        <v/>
      </c>
      <c r="I221" s="58" t="str">
        <f>IF('Phytopl Count'!I221=0,"",('Phytopl Analysis'!I221*LN('Phytopl Analysis'!I221)))</f>
        <v/>
      </c>
      <c r="J221" s="58" t="str">
        <f>IF('Phytopl Count'!J221=0,"",('Phytopl Analysis'!J221*LN('Phytopl Analysis'!J221)))</f>
        <v/>
      </c>
      <c r="K221" s="21" t="str">
        <f>IF('Phytopl Count'!K221=0,"",('Phytopl Analysis'!K221*LN('Phytopl Analysis'!K221)))</f>
        <v/>
      </c>
      <c r="L221" s="21" t="str">
        <f>IF('Phytopl Count'!L221=0,"",('Phytopl Analysis'!L221*LN('Phytopl Analysis'!L221)))</f>
        <v/>
      </c>
      <c r="M221" s="58" t="str">
        <f>IF('Phytopl Count'!M221=0,"",('Phytopl Analysis'!M221*LN('Phytopl Analysis'!M221)))</f>
        <v/>
      </c>
      <c r="N221" s="58" t="str">
        <f>IF('Phytopl Count'!N221=0,"",('Phytopl Analysis'!N221*LN('Phytopl Analysis'!N221)))</f>
        <v/>
      </c>
      <c r="O221" s="21" t="str">
        <f>IF('Phytopl Count'!O221=0,"",('Phytopl Analysis'!O221*LN('Phytopl Analysis'!O221)))</f>
        <v/>
      </c>
      <c r="P221" s="21" t="str">
        <f>IF('Phytopl Count'!P221=0,"",('Phytopl Analysis'!P221*LN('Phytopl Analysis'!P221)))</f>
        <v/>
      </c>
      <c r="Q221" s="58" t="str">
        <f>IF('Phytopl Count'!Q221=0,"",('Phytopl Analysis'!Q221*LN('Phytopl Analysis'!Q221)))</f>
        <v/>
      </c>
      <c r="R221" s="58" t="str">
        <f>IF('Phytopl Count'!R221=0,"",('Phytopl Analysis'!R221*LN('Phytopl Analysis'!R221)))</f>
        <v/>
      </c>
      <c r="S221" s="21" t="str">
        <f>IF('Phytopl Count'!S221=0,"",('Phytopl Analysis'!S221*LN('Phytopl Analysis'!S221)))</f>
        <v/>
      </c>
      <c r="T221" s="21" t="str">
        <f>IF('Phytopl Count'!T221=0,"",('Phytopl Analysis'!T221*LN('Phytopl Analysis'!T221)))</f>
        <v/>
      </c>
      <c r="U221" s="58" t="str">
        <f>IF('Phytopl Count'!U221=0,"",('Phytopl Analysis'!U221*LN('Phytopl Analysis'!U221)))</f>
        <v/>
      </c>
      <c r="V221" s="58" t="str">
        <f>IF('Phytopl Count'!V221=0,"",('Phytopl Analysis'!V221*LN('Phytopl Analysis'!V221)))</f>
        <v/>
      </c>
      <c r="W221" s="21" t="str">
        <f>IF('Phytopl Count'!W221=0,"",('Phytopl Analysis'!W221*LN('Phytopl Analysis'!W221)))</f>
        <v/>
      </c>
      <c r="X221" s="21" t="str">
        <f>IF('Phytopl Count'!X221=0,"",('Phytopl Analysis'!X221*LN('Phytopl Analysis'!X221)))</f>
        <v/>
      </c>
      <c r="Y221" s="58" t="str">
        <f>IF('Phytopl Count'!Y221=0,"",('Phytopl Analysis'!Y221*LN('Phytopl Analysis'!Y221)))</f>
        <v/>
      </c>
      <c r="Z221" s="58" t="str">
        <f>IF('Phytopl Count'!Z221=0,"",('Phytopl Analysis'!Z221*LN('Phytopl Analysis'!Z221)))</f>
        <v/>
      </c>
      <c r="AA221" s="21" t="str">
        <f>IF('Phytopl Count'!AA221=0,"",('Phytopl Analysis'!AA221*LN('Phytopl Analysis'!AA221)))</f>
        <v/>
      </c>
      <c r="AB221" s="21" t="str">
        <f>IF('Phytopl Count'!AB221=0,"",('Phytopl Analysis'!AB221*LN('Phytopl Analysis'!AB221)))</f>
        <v/>
      </c>
      <c r="AC221" s="58" t="str">
        <f>IF('Phytopl Count'!AC221=0,"",('Phytopl Analysis'!AC221*LN('Phytopl Analysis'!AC221)))</f>
        <v/>
      </c>
      <c r="AD221" s="58" t="str">
        <f>IF('Phytopl Count'!AD221=0,"",('Phytopl Analysis'!AD221*LN('Phytopl Analysis'!AD221)))</f>
        <v/>
      </c>
      <c r="AE221" s="21" t="str">
        <f>IF('Phytopl Count'!AE221=0,"",('Phytopl Analysis'!AE221*LN('Phytopl Analysis'!AE221)))</f>
        <v/>
      </c>
      <c r="AF221" s="58" t="str">
        <f>IF('Phytopl Count'!AF221=0,"",('Phytopl Analysis'!AF221*LN('Phytopl Analysis'!AF221)))</f>
        <v/>
      </c>
    </row>
    <row r="222" spans="1:32">
      <c r="A222" s="5"/>
      <c r="B222" s="5"/>
      <c r="C222" s="16" t="s">
        <v>73</v>
      </c>
      <c r="D222" s="4" t="s">
        <v>96</v>
      </c>
      <c r="E222" s="10"/>
      <c r="F222" s="9"/>
      <c r="G222" s="21" t="str">
        <f>IF('Phytopl Count'!G222=0,"",('Phytopl Analysis'!G222*LN('Phytopl Analysis'!G222)))</f>
        <v/>
      </c>
      <c r="H222" s="21" t="str">
        <f>IF('Phytopl Count'!H222=0,"",('Phytopl Analysis'!H222*LN('Phytopl Analysis'!H222)))</f>
        <v/>
      </c>
      <c r="I222" s="58" t="str">
        <f>IF('Phytopl Count'!I222=0,"",('Phytopl Analysis'!I222*LN('Phytopl Analysis'!I222)))</f>
        <v/>
      </c>
      <c r="J222" s="58" t="str">
        <f>IF('Phytopl Count'!J222=0,"",('Phytopl Analysis'!J222*LN('Phytopl Analysis'!J222)))</f>
        <v/>
      </c>
      <c r="K222" s="21" t="str">
        <f>IF('Phytopl Count'!K222=0,"",('Phytopl Analysis'!K222*LN('Phytopl Analysis'!K222)))</f>
        <v/>
      </c>
      <c r="L222" s="21" t="str">
        <f>IF('Phytopl Count'!L222=0,"",('Phytopl Analysis'!L222*LN('Phytopl Analysis'!L222)))</f>
        <v/>
      </c>
      <c r="M222" s="58" t="str">
        <f>IF('Phytopl Count'!M222=0,"",('Phytopl Analysis'!M222*LN('Phytopl Analysis'!M222)))</f>
        <v/>
      </c>
      <c r="N222" s="58" t="str">
        <f>IF('Phytopl Count'!N222=0,"",('Phytopl Analysis'!N222*LN('Phytopl Analysis'!N222)))</f>
        <v/>
      </c>
      <c r="O222" s="21" t="str">
        <f>IF('Phytopl Count'!O222=0,"",('Phytopl Analysis'!O222*LN('Phytopl Analysis'!O222)))</f>
        <v/>
      </c>
      <c r="P222" s="21" t="str">
        <f>IF('Phytopl Count'!P222=0,"",('Phytopl Analysis'!P222*LN('Phytopl Analysis'!P222)))</f>
        <v/>
      </c>
      <c r="Q222" s="58" t="str">
        <f>IF('Phytopl Count'!Q222=0,"",('Phytopl Analysis'!Q222*LN('Phytopl Analysis'!Q222)))</f>
        <v/>
      </c>
      <c r="R222" s="58" t="str">
        <f>IF('Phytopl Count'!R222=0,"",('Phytopl Analysis'!R222*LN('Phytopl Analysis'!R222)))</f>
        <v/>
      </c>
      <c r="S222" s="21" t="str">
        <f>IF('Phytopl Count'!S222=0,"",('Phytopl Analysis'!S222*LN('Phytopl Analysis'!S222)))</f>
        <v/>
      </c>
      <c r="T222" s="21" t="str">
        <f>IF('Phytopl Count'!T222=0,"",('Phytopl Analysis'!T222*LN('Phytopl Analysis'!T222)))</f>
        <v/>
      </c>
      <c r="U222" s="58" t="str">
        <f>IF('Phytopl Count'!U222=0,"",('Phytopl Analysis'!U222*LN('Phytopl Analysis'!U222)))</f>
        <v/>
      </c>
      <c r="V222" s="58" t="str">
        <f>IF('Phytopl Count'!V222=0,"",('Phytopl Analysis'!V222*LN('Phytopl Analysis'!V222)))</f>
        <v/>
      </c>
      <c r="W222" s="21" t="str">
        <f>IF('Phytopl Count'!W222=0,"",('Phytopl Analysis'!W222*LN('Phytopl Analysis'!W222)))</f>
        <v/>
      </c>
      <c r="X222" s="21" t="str">
        <f>IF('Phytopl Count'!X222=0,"",('Phytopl Analysis'!X222*LN('Phytopl Analysis'!X222)))</f>
        <v/>
      </c>
      <c r="Y222" s="58" t="str">
        <f>IF('Phytopl Count'!Y222=0,"",('Phytopl Analysis'!Y222*LN('Phytopl Analysis'!Y222)))</f>
        <v/>
      </c>
      <c r="Z222" s="58" t="str">
        <f>IF('Phytopl Count'!Z222=0,"",('Phytopl Analysis'!Z222*LN('Phytopl Analysis'!Z222)))</f>
        <v/>
      </c>
      <c r="AA222" s="21" t="str">
        <f>IF('Phytopl Count'!AA222=0,"",('Phytopl Analysis'!AA222*LN('Phytopl Analysis'!AA222)))</f>
        <v/>
      </c>
      <c r="AB222" s="21" t="str">
        <f>IF('Phytopl Count'!AB222=0,"",('Phytopl Analysis'!AB222*LN('Phytopl Analysis'!AB222)))</f>
        <v/>
      </c>
      <c r="AC222" s="58" t="str">
        <f>IF('Phytopl Count'!AC222=0,"",('Phytopl Analysis'!AC222*LN('Phytopl Analysis'!AC222)))</f>
        <v/>
      </c>
      <c r="AD222" s="58" t="str">
        <f>IF('Phytopl Count'!AD222=0,"",('Phytopl Analysis'!AD222*LN('Phytopl Analysis'!AD222)))</f>
        <v/>
      </c>
      <c r="AE222" s="21" t="str">
        <f>IF('Phytopl Count'!AE222=0,"",('Phytopl Analysis'!AE222*LN('Phytopl Analysis'!AE222)))</f>
        <v/>
      </c>
      <c r="AF222" s="58" t="str">
        <f>IF('Phytopl Count'!AF222=0,"",('Phytopl Analysis'!AF222*LN('Phytopl Analysis'!AF222)))</f>
        <v/>
      </c>
    </row>
    <row r="223" spans="1:32">
      <c r="A223" s="5"/>
      <c r="B223" s="5"/>
      <c r="C223" s="5"/>
      <c r="D223" s="10" t="s">
        <v>5</v>
      </c>
      <c r="E223" s="12" t="s">
        <v>46</v>
      </c>
      <c r="F223" s="9"/>
      <c r="G223" s="21" t="str">
        <f>IF('Phytopl Count'!G223=0,"",('Phytopl Analysis'!G223*LN('Phytopl Analysis'!G223)))</f>
        <v/>
      </c>
      <c r="H223" s="21" t="str">
        <f>IF('Phytopl Count'!H223=0,"",('Phytopl Analysis'!H223*LN('Phytopl Analysis'!H223)))</f>
        <v/>
      </c>
      <c r="I223" s="58" t="str">
        <f>IF('Phytopl Count'!I223=0,"",('Phytopl Analysis'!I223*LN('Phytopl Analysis'!I223)))</f>
        <v/>
      </c>
      <c r="J223" s="58" t="str">
        <f>IF('Phytopl Count'!J223=0,"",('Phytopl Analysis'!J223*LN('Phytopl Analysis'!J223)))</f>
        <v/>
      </c>
      <c r="K223" s="21" t="str">
        <f>IF('Phytopl Count'!K223=0,"",('Phytopl Analysis'!K223*LN('Phytopl Analysis'!K223)))</f>
        <v/>
      </c>
      <c r="L223" s="21" t="str">
        <f>IF('Phytopl Count'!L223=0,"",('Phytopl Analysis'!L223*LN('Phytopl Analysis'!L223)))</f>
        <v/>
      </c>
      <c r="M223" s="58" t="str">
        <f>IF('Phytopl Count'!M223=0,"",('Phytopl Analysis'!M223*LN('Phytopl Analysis'!M223)))</f>
        <v/>
      </c>
      <c r="N223" s="58" t="str">
        <f>IF('Phytopl Count'!N223=0,"",('Phytopl Analysis'!N223*LN('Phytopl Analysis'!N223)))</f>
        <v/>
      </c>
      <c r="O223" s="21" t="str">
        <f>IF('Phytopl Count'!O223=0,"",('Phytopl Analysis'!O223*LN('Phytopl Analysis'!O223)))</f>
        <v/>
      </c>
      <c r="P223" s="21" t="str">
        <f>IF('Phytopl Count'!P223=0,"",('Phytopl Analysis'!P223*LN('Phytopl Analysis'!P223)))</f>
        <v/>
      </c>
      <c r="Q223" s="58" t="str">
        <f>IF('Phytopl Count'!Q223=0,"",('Phytopl Analysis'!Q223*LN('Phytopl Analysis'!Q223)))</f>
        <v/>
      </c>
      <c r="R223" s="58" t="str">
        <f>IF('Phytopl Count'!R223=0,"",('Phytopl Analysis'!R223*LN('Phytopl Analysis'!R223)))</f>
        <v/>
      </c>
      <c r="S223" s="21" t="str">
        <f>IF('Phytopl Count'!S223=0,"",('Phytopl Analysis'!S223*LN('Phytopl Analysis'!S223)))</f>
        <v/>
      </c>
      <c r="T223" s="21" t="str">
        <f>IF('Phytopl Count'!T223=0,"",('Phytopl Analysis'!T223*LN('Phytopl Analysis'!T223)))</f>
        <v/>
      </c>
      <c r="U223" s="58" t="str">
        <f>IF('Phytopl Count'!U223=0,"",('Phytopl Analysis'!U223*LN('Phytopl Analysis'!U223)))</f>
        <v/>
      </c>
      <c r="V223" s="58" t="str">
        <f>IF('Phytopl Count'!V223=0,"",('Phytopl Analysis'!V223*LN('Phytopl Analysis'!V223)))</f>
        <v/>
      </c>
      <c r="W223" s="21" t="str">
        <f>IF('Phytopl Count'!W223=0,"",('Phytopl Analysis'!W223*LN('Phytopl Analysis'!W223)))</f>
        <v/>
      </c>
      <c r="X223" s="21" t="str">
        <f>IF('Phytopl Count'!X223=0,"",('Phytopl Analysis'!X223*LN('Phytopl Analysis'!X223)))</f>
        <v/>
      </c>
      <c r="Y223" s="58" t="str">
        <f>IF('Phytopl Count'!Y223=0,"",('Phytopl Analysis'!Y223*LN('Phytopl Analysis'!Y223)))</f>
        <v/>
      </c>
      <c r="Z223" s="58" t="str">
        <f>IF('Phytopl Count'!Z223=0,"",('Phytopl Analysis'!Z223*LN('Phytopl Analysis'!Z223)))</f>
        <v/>
      </c>
      <c r="AA223" s="21" t="str">
        <f>IF('Phytopl Count'!AA223=0,"",('Phytopl Analysis'!AA223*LN('Phytopl Analysis'!AA223)))</f>
        <v/>
      </c>
      <c r="AB223" s="21" t="str">
        <f>IF('Phytopl Count'!AB223=0,"",('Phytopl Analysis'!AB223*LN('Phytopl Analysis'!AB223)))</f>
        <v/>
      </c>
      <c r="AC223" s="58" t="str">
        <f>IF('Phytopl Count'!AC223=0,"",('Phytopl Analysis'!AC223*LN('Phytopl Analysis'!AC223)))</f>
        <v/>
      </c>
      <c r="AD223" s="58" t="str">
        <f>IF('Phytopl Count'!AD223=0,"",('Phytopl Analysis'!AD223*LN('Phytopl Analysis'!AD223)))</f>
        <v/>
      </c>
      <c r="AE223" s="21" t="str">
        <f>IF('Phytopl Count'!AE223=0,"",('Phytopl Analysis'!AE223*LN('Phytopl Analysis'!AE223)))</f>
        <v/>
      </c>
      <c r="AF223" s="58" t="str">
        <f>IF('Phytopl Count'!AF223=0,"",('Phytopl Analysis'!AF223*LN('Phytopl Analysis'!AF223)))</f>
        <v/>
      </c>
    </row>
    <row r="224" spans="1:32" hidden="1">
      <c r="A224" s="5"/>
      <c r="B224" s="5"/>
      <c r="C224" s="5"/>
      <c r="D224" s="5"/>
      <c r="F224" s="11" t="s">
        <v>47</v>
      </c>
      <c r="G224" s="21" t="str">
        <f>IF('Phytopl Count'!G224=0,"",('Phytopl Analysis'!G224*LN('Phytopl Analysis'!G224)))</f>
        <v/>
      </c>
      <c r="H224" s="21" t="str">
        <f>IF('Phytopl Count'!H224=0,"",('Phytopl Analysis'!H224*LN('Phytopl Analysis'!H224)))</f>
        <v/>
      </c>
      <c r="I224" s="58" t="str">
        <f>IF('Phytopl Count'!I224=0,"",('Phytopl Analysis'!I224*LN('Phytopl Analysis'!I224)))</f>
        <v/>
      </c>
      <c r="J224" s="58" t="str">
        <f>IF('Phytopl Count'!J224=0,"",('Phytopl Analysis'!J224*LN('Phytopl Analysis'!J224)))</f>
        <v/>
      </c>
      <c r="K224" s="21" t="str">
        <f>IF('Phytopl Count'!K224=0,"",('Phytopl Analysis'!K224*LN('Phytopl Analysis'!K224)))</f>
        <v/>
      </c>
      <c r="L224" s="21" t="str">
        <f>IF('Phytopl Count'!L224=0,"",('Phytopl Analysis'!L224*LN('Phytopl Analysis'!L224)))</f>
        <v/>
      </c>
      <c r="M224" s="58" t="str">
        <f>IF('Phytopl Count'!M224=0,"",('Phytopl Analysis'!M224*LN('Phytopl Analysis'!M224)))</f>
        <v/>
      </c>
      <c r="N224" s="58" t="str">
        <f>IF('Phytopl Count'!N224=0,"",('Phytopl Analysis'!N224*LN('Phytopl Analysis'!N224)))</f>
        <v/>
      </c>
      <c r="O224" s="21" t="str">
        <f>IF('Phytopl Count'!O224=0,"",('Phytopl Analysis'!O224*LN('Phytopl Analysis'!O224)))</f>
        <v/>
      </c>
      <c r="P224" s="21" t="str">
        <f>IF('Phytopl Count'!P224=0,"",('Phytopl Analysis'!P224*LN('Phytopl Analysis'!P224)))</f>
        <v/>
      </c>
      <c r="Q224" s="58" t="str">
        <f>IF('Phytopl Count'!Q224=0,"",('Phytopl Analysis'!Q224*LN('Phytopl Analysis'!Q224)))</f>
        <v/>
      </c>
      <c r="R224" s="58" t="str">
        <f>IF('Phytopl Count'!R224=0,"",('Phytopl Analysis'!R224*LN('Phytopl Analysis'!R224)))</f>
        <v/>
      </c>
      <c r="S224" s="21" t="str">
        <f>IF('Phytopl Count'!S224=0,"",('Phytopl Analysis'!S224*LN('Phytopl Analysis'!S224)))</f>
        <v/>
      </c>
      <c r="T224" s="21" t="str">
        <f>IF('Phytopl Count'!T224=0,"",('Phytopl Analysis'!T224*LN('Phytopl Analysis'!T224)))</f>
        <v/>
      </c>
      <c r="U224" s="58" t="str">
        <f>IF('Phytopl Count'!U224=0,"",('Phytopl Analysis'!U224*LN('Phytopl Analysis'!U224)))</f>
        <v/>
      </c>
      <c r="V224" s="58" t="str">
        <f>IF('Phytopl Count'!V224=0,"",('Phytopl Analysis'!V224*LN('Phytopl Analysis'!V224)))</f>
        <v/>
      </c>
      <c r="W224" s="21" t="str">
        <f>IF('Phytopl Count'!W224=0,"",('Phytopl Analysis'!W224*LN('Phytopl Analysis'!W224)))</f>
        <v/>
      </c>
      <c r="X224" s="21" t="str">
        <f>IF('Phytopl Count'!X224=0,"",('Phytopl Analysis'!X224*LN('Phytopl Analysis'!X224)))</f>
        <v/>
      </c>
      <c r="Y224" s="58" t="str">
        <f>IF('Phytopl Count'!Y224=0,"",('Phytopl Analysis'!Y224*LN('Phytopl Analysis'!Y224)))</f>
        <v/>
      </c>
      <c r="Z224" s="58" t="str">
        <f>IF('Phytopl Count'!Z224=0,"",('Phytopl Analysis'!Z224*LN('Phytopl Analysis'!Z224)))</f>
        <v/>
      </c>
      <c r="AA224" s="21" t="str">
        <f>IF('Phytopl Count'!AA224=0,"",('Phytopl Analysis'!AA224*LN('Phytopl Analysis'!AA224)))</f>
        <v/>
      </c>
      <c r="AB224" s="21" t="str">
        <f>IF('Phytopl Count'!AB224=0,"",('Phytopl Analysis'!AB224*LN('Phytopl Analysis'!AB224)))</f>
        <v/>
      </c>
      <c r="AC224" s="58" t="str">
        <f>IF('Phytopl Count'!AC224=0,"",('Phytopl Analysis'!AC224*LN('Phytopl Analysis'!AC224)))</f>
        <v/>
      </c>
      <c r="AD224" s="58" t="str">
        <f>IF('Phytopl Count'!AD224=0,"",('Phytopl Analysis'!AD224*LN('Phytopl Analysis'!AD224)))</f>
        <v/>
      </c>
      <c r="AE224" s="21" t="str">
        <f>IF('Phytopl Count'!AE224=0,"",('Phytopl Analysis'!AE224*LN('Phytopl Analysis'!AE224)))</f>
        <v/>
      </c>
      <c r="AF224" s="58" t="str">
        <f>IF('Phytopl Count'!AF224=0,"",('Phytopl Analysis'!AF224*LN('Phytopl Analysis'!AF224)))</f>
        <v/>
      </c>
    </row>
    <row r="225" spans="1:32">
      <c r="A225" s="5"/>
      <c r="B225" s="5"/>
      <c r="C225" s="5"/>
      <c r="D225" s="5"/>
      <c r="E225" s="10" t="s">
        <v>6</v>
      </c>
      <c r="F225" s="11" t="s">
        <v>352</v>
      </c>
      <c r="G225" s="21">
        <f>IF('Phytopl Count'!G225=0,"",('Phytopl Analysis'!G225*LN('Phytopl Analysis'!G225)))</f>
        <v>-0.29676303593732833</v>
      </c>
      <c r="H225" s="21">
        <f>IF('Phytopl Count'!H225=0,"",('Phytopl Analysis'!H225*LN('Phytopl Analysis'!H225)))</f>
        <v>-0.23605144538335676</v>
      </c>
      <c r="I225" s="58">
        <f>IF('Phytopl Count'!I225=0,"",('Phytopl Analysis'!I225*LN('Phytopl Analysis'!I225)))</f>
        <v>-0.16151729929316433</v>
      </c>
      <c r="J225" s="58">
        <f>IF('Phytopl Count'!J225=0,"",('Phytopl Analysis'!J225*LN('Phytopl Analysis'!J225)))</f>
        <v>-0.33986614965385381</v>
      </c>
      <c r="K225" s="21">
        <f>IF('Phytopl Count'!K225=0,"",('Phytopl Analysis'!K225*LN('Phytopl Analysis'!K225)))</f>
        <v>-0.35218053955882889</v>
      </c>
      <c r="L225" s="21" t="str">
        <f>IF('Phytopl Count'!L225=0,"",('Phytopl Analysis'!L225*LN('Phytopl Analysis'!L225)))</f>
        <v/>
      </c>
      <c r="M225" s="58">
        <f>IF('Phytopl Count'!M225=0,"",('Phytopl Analysis'!M225*LN('Phytopl Analysis'!M225)))</f>
        <v>-0.36780187380788781</v>
      </c>
      <c r="N225" s="58">
        <f>IF('Phytopl Count'!N225=0,"",('Phytopl Analysis'!N225*LN('Phytopl Analysis'!N225)))</f>
        <v>-0.35218053955882883</v>
      </c>
      <c r="O225" s="21">
        <f>IF('Phytopl Count'!O225=0,"",('Phytopl Analysis'!O225*LN('Phytopl Analysis'!O225)))</f>
        <v>-0.28527810760952094</v>
      </c>
      <c r="P225" s="21">
        <f>IF('Phytopl Count'!P225=0,"",('Phytopl Analysis'!P225*LN('Phytopl Analysis'!P225)))</f>
        <v>-0.36751505615601154</v>
      </c>
      <c r="Q225" s="58">
        <f>IF('Phytopl Count'!Q225=0,"",('Phytopl Analysis'!Q225*LN('Phytopl Analysis'!Q225)))</f>
        <v>-0.36115447529608413</v>
      </c>
      <c r="R225" s="58">
        <f>IF('Phytopl Count'!R225=0,"",('Phytopl Analysis'!R225*LN('Phytopl Analysis'!R225)))</f>
        <v>-0.36751505615601154</v>
      </c>
      <c r="S225" s="21">
        <f>IF('Phytopl Count'!S225=0,"",('Phytopl Analysis'!S225*LN('Phytopl Analysis'!S225)))</f>
        <v>-0.36648594382978167</v>
      </c>
      <c r="T225" s="21">
        <f>IF('Phytopl Count'!T225=0,"",('Phytopl Analysis'!T225*LN('Phytopl Analysis'!T225)))</f>
        <v>-0.27919519416049449</v>
      </c>
      <c r="U225" s="58">
        <f>IF('Phytopl Count'!U225=0,"",('Phytopl Analysis'!U225*LN('Phytopl Analysis'!U225)))</f>
        <v>-0.26672307224263919</v>
      </c>
      <c r="V225" s="58">
        <f>IF('Phytopl Count'!V225=0,"",('Phytopl Analysis'!V225*LN('Phytopl Analysis'!V225)))</f>
        <v>-0.36466229924139099</v>
      </c>
      <c r="W225" s="21">
        <f>IF('Phytopl Count'!W225=0,"",('Phytopl Analysis'!W225*LN('Phytopl Analysis'!W225)))</f>
        <v>-0.22509271130098124</v>
      </c>
      <c r="X225" s="21">
        <f>IF('Phytopl Count'!X225=0,"",('Phytopl Analysis'!X225*LN('Phytopl Analysis'!X225)))</f>
        <v>-0.11022075559754062</v>
      </c>
      <c r="Y225" s="58">
        <f>IF('Phytopl Count'!Y225=0,"",('Phytopl Analysis'!Y225*LN('Phytopl Analysis'!Y225)))</f>
        <v>-0.27919519416049449</v>
      </c>
      <c r="Z225" s="58">
        <f>IF('Phytopl Count'!Z225=0,"",('Phytopl Analysis'!Z225*LN('Phytopl Analysis'!Z225)))</f>
        <v>-0.36481109627444391</v>
      </c>
      <c r="AA225" s="21">
        <f>IF('Phytopl Count'!AA225=0,"",('Phytopl Analysis'!AA225*LN('Phytopl Analysis'!AA225)))</f>
        <v>-0.36466229924139099</v>
      </c>
      <c r="AB225" s="21">
        <f>IF('Phytopl Count'!AB225=0,"",('Phytopl Analysis'!AB225*LN('Phytopl Analysis'!AB225)))</f>
        <v>-0.12884150444391032</v>
      </c>
      <c r="AC225" s="58">
        <f>IF('Phytopl Count'!AC225=0,"",('Phytopl Analysis'!AC225*LN('Phytopl Analysis'!AC225)))</f>
        <v>-0.36754665270340336</v>
      </c>
      <c r="AD225" s="58">
        <f>IF('Phytopl Count'!AD225=0,"",('Phytopl Analysis'!AD225*LN('Phytopl Analysis'!AD225)))</f>
        <v>-0.36754665270340336</v>
      </c>
      <c r="AE225" s="21">
        <f>IF('Phytopl Count'!AE225=0,"",('Phytopl Analysis'!AE225*LN('Phytopl Analysis'!AE225)))</f>
        <v>-0.36345259545943021</v>
      </c>
      <c r="AF225" s="58">
        <f>IF('Phytopl Count'!AF225=0,"",('Phytopl Analysis'!AF225*LN('Phytopl Analysis'!AF225)))</f>
        <v>1.9271463620070468</v>
      </c>
    </row>
    <row r="226" spans="1:32">
      <c r="A226" s="5"/>
      <c r="B226" s="5"/>
      <c r="C226" s="5"/>
      <c r="D226" s="10" t="s">
        <v>5</v>
      </c>
      <c r="E226" s="12" t="s">
        <v>48</v>
      </c>
      <c r="F226" s="11"/>
      <c r="G226" s="21" t="str">
        <f>IF('Phytopl Count'!G226=0,"",('Phytopl Analysis'!G226*LN('Phytopl Analysis'!G226)))</f>
        <v/>
      </c>
      <c r="H226" s="21" t="str">
        <f>IF('Phytopl Count'!H226=0,"",('Phytopl Analysis'!H226*LN('Phytopl Analysis'!H226)))</f>
        <v/>
      </c>
      <c r="I226" s="58" t="str">
        <f>IF('Phytopl Count'!I226=0,"",('Phytopl Analysis'!I226*LN('Phytopl Analysis'!I226)))</f>
        <v/>
      </c>
      <c r="J226" s="58" t="str">
        <f>IF('Phytopl Count'!J226=0,"",('Phytopl Analysis'!J226*LN('Phytopl Analysis'!J226)))</f>
        <v/>
      </c>
      <c r="K226" s="21" t="str">
        <f>IF('Phytopl Count'!K226=0,"",('Phytopl Analysis'!K226*LN('Phytopl Analysis'!K226)))</f>
        <v/>
      </c>
      <c r="L226" s="21" t="str">
        <f>IF('Phytopl Count'!L226=0,"",('Phytopl Analysis'!L226*LN('Phytopl Analysis'!L226)))</f>
        <v/>
      </c>
      <c r="M226" s="58" t="str">
        <f>IF('Phytopl Count'!M226=0,"",('Phytopl Analysis'!M226*LN('Phytopl Analysis'!M226)))</f>
        <v/>
      </c>
      <c r="N226" s="58" t="str">
        <f>IF('Phytopl Count'!N226=0,"",('Phytopl Analysis'!N226*LN('Phytopl Analysis'!N226)))</f>
        <v/>
      </c>
      <c r="O226" s="21" t="str">
        <f>IF('Phytopl Count'!O226=0,"",('Phytopl Analysis'!O226*LN('Phytopl Analysis'!O226)))</f>
        <v/>
      </c>
      <c r="P226" s="21" t="str">
        <f>IF('Phytopl Count'!P226=0,"",('Phytopl Analysis'!P226*LN('Phytopl Analysis'!P226)))</f>
        <v/>
      </c>
      <c r="Q226" s="58" t="str">
        <f>IF('Phytopl Count'!Q226=0,"",('Phytopl Analysis'!Q226*LN('Phytopl Analysis'!Q226)))</f>
        <v/>
      </c>
      <c r="R226" s="58" t="str">
        <f>IF('Phytopl Count'!R226=0,"",('Phytopl Analysis'!R226*LN('Phytopl Analysis'!R226)))</f>
        <v/>
      </c>
      <c r="S226" s="21" t="str">
        <f>IF('Phytopl Count'!S226=0,"",('Phytopl Analysis'!S226*LN('Phytopl Analysis'!S226)))</f>
        <v/>
      </c>
      <c r="T226" s="21" t="str">
        <f>IF('Phytopl Count'!T226=0,"",('Phytopl Analysis'!T226*LN('Phytopl Analysis'!T226)))</f>
        <v/>
      </c>
      <c r="U226" s="58" t="str">
        <f>IF('Phytopl Count'!U226=0,"",('Phytopl Analysis'!U226*LN('Phytopl Analysis'!U226)))</f>
        <v/>
      </c>
      <c r="V226" s="58" t="str">
        <f>IF('Phytopl Count'!V226=0,"",('Phytopl Analysis'!V226*LN('Phytopl Analysis'!V226)))</f>
        <v/>
      </c>
      <c r="W226" s="21" t="str">
        <f>IF('Phytopl Count'!W226=0,"",('Phytopl Analysis'!W226*LN('Phytopl Analysis'!W226)))</f>
        <v/>
      </c>
      <c r="X226" s="21" t="str">
        <f>IF('Phytopl Count'!X226=0,"",('Phytopl Analysis'!X226*LN('Phytopl Analysis'!X226)))</f>
        <v/>
      </c>
      <c r="Y226" s="58" t="str">
        <f>IF('Phytopl Count'!Y226=0,"",('Phytopl Analysis'!Y226*LN('Phytopl Analysis'!Y226)))</f>
        <v/>
      </c>
      <c r="Z226" s="58" t="str">
        <f>IF('Phytopl Count'!Z226=0,"",('Phytopl Analysis'!Z226*LN('Phytopl Analysis'!Z226)))</f>
        <v/>
      </c>
      <c r="AA226" s="21" t="str">
        <f>IF('Phytopl Count'!AA226=0,"",('Phytopl Analysis'!AA226*LN('Phytopl Analysis'!AA226)))</f>
        <v/>
      </c>
      <c r="AB226" s="21" t="str">
        <f>IF('Phytopl Count'!AB226=0,"",('Phytopl Analysis'!AB226*LN('Phytopl Analysis'!AB226)))</f>
        <v/>
      </c>
      <c r="AC226" s="58" t="str">
        <f>IF('Phytopl Count'!AC226=0,"",('Phytopl Analysis'!AC226*LN('Phytopl Analysis'!AC226)))</f>
        <v/>
      </c>
      <c r="AD226" s="58" t="str">
        <f>IF('Phytopl Count'!AD226=0,"",('Phytopl Analysis'!AD226*LN('Phytopl Analysis'!AD226)))</f>
        <v/>
      </c>
      <c r="AE226" s="21" t="str">
        <f>IF('Phytopl Count'!AE226=0,"",('Phytopl Analysis'!AE226*LN('Phytopl Analysis'!AE226)))</f>
        <v/>
      </c>
      <c r="AF226" s="58" t="str">
        <f>IF('Phytopl Count'!AF226=0,"",('Phytopl Analysis'!AF226*LN('Phytopl Analysis'!AF226)))</f>
        <v/>
      </c>
    </row>
    <row r="227" spans="1:32">
      <c r="A227" s="5"/>
      <c r="B227" s="5"/>
      <c r="C227" s="5"/>
      <c r="D227" s="5"/>
      <c r="E227" s="10" t="s">
        <v>6</v>
      </c>
      <c r="F227" s="11" t="s">
        <v>49</v>
      </c>
      <c r="G227" s="21" t="str">
        <f>IF('Phytopl Count'!G227=0,"",('Phytopl Analysis'!G227*LN('Phytopl Analysis'!G227)))</f>
        <v/>
      </c>
      <c r="H227" s="21" t="str">
        <f>IF('Phytopl Count'!H227=0,"",('Phytopl Analysis'!H227*LN('Phytopl Analysis'!H227)))</f>
        <v/>
      </c>
      <c r="I227" s="58" t="str">
        <f>IF('Phytopl Count'!I227=0,"",('Phytopl Analysis'!I227*LN('Phytopl Analysis'!I227)))</f>
        <v/>
      </c>
      <c r="J227" s="58" t="str">
        <f>IF('Phytopl Count'!J227=0,"",('Phytopl Analysis'!J227*LN('Phytopl Analysis'!J227)))</f>
        <v/>
      </c>
      <c r="K227" s="21" t="str">
        <f>IF('Phytopl Count'!K227=0,"",('Phytopl Analysis'!K227*LN('Phytopl Analysis'!K227)))</f>
        <v/>
      </c>
      <c r="L227" s="21" t="str">
        <f>IF('Phytopl Count'!L227=0,"",('Phytopl Analysis'!L227*LN('Phytopl Analysis'!L227)))</f>
        <v/>
      </c>
      <c r="M227" s="58" t="str">
        <f>IF('Phytopl Count'!M227=0,"",('Phytopl Analysis'!M227*LN('Phytopl Analysis'!M227)))</f>
        <v/>
      </c>
      <c r="N227" s="58">
        <f>IF('Phytopl Count'!N227=0,"",('Phytopl Analysis'!N227*LN('Phytopl Analysis'!N227)))</f>
        <v>-0.1458498424659852</v>
      </c>
      <c r="O227" s="21" t="str">
        <f>IF('Phytopl Count'!O227=0,"",('Phytopl Analysis'!O227*LN('Phytopl Analysis'!O227)))</f>
        <v/>
      </c>
      <c r="P227" s="21" t="str">
        <f>IF('Phytopl Count'!P227=0,"",('Phytopl Analysis'!P227*LN('Phytopl Analysis'!P227)))</f>
        <v/>
      </c>
      <c r="Q227" s="58">
        <f>IF('Phytopl Count'!Q227=0,"",('Phytopl Analysis'!Q227*LN('Phytopl Analysis'!Q227)))</f>
        <v>-0.12884150444391032</v>
      </c>
      <c r="R227" s="58" t="str">
        <f>IF('Phytopl Count'!R227=0,"",('Phytopl Analysis'!R227*LN('Phytopl Analysis'!R227)))</f>
        <v/>
      </c>
      <c r="S227" s="21" t="str">
        <f>IF('Phytopl Count'!S227=0,"",('Phytopl Analysis'!S227*LN('Phytopl Analysis'!S227)))</f>
        <v/>
      </c>
      <c r="T227" s="21" t="str">
        <f>IF('Phytopl Count'!T227=0,"",('Phytopl Analysis'!T227*LN('Phytopl Analysis'!T227)))</f>
        <v/>
      </c>
      <c r="U227" s="58">
        <f>IF('Phytopl Count'!U227=0,"",('Phytopl Analysis'!U227*LN('Phytopl Analysis'!U227)))</f>
        <v>-0.11022075559754062</v>
      </c>
      <c r="V227" s="58">
        <f>IF('Phytopl Count'!V227=0,"",('Phytopl Analysis'!V227*LN('Phytopl Analysis'!V227)))</f>
        <v>-0.12884150444391032</v>
      </c>
      <c r="W227" s="21">
        <f>IF('Phytopl Count'!W227=0,"",('Phytopl Analysis'!W227*LN('Phytopl Analysis'!W227)))</f>
        <v>-0.1458498424659852</v>
      </c>
      <c r="X227" s="21">
        <f>IF('Phytopl Count'!X227=0,"",('Phytopl Analysis'!X227*LN('Phytopl Analysis'!X227)))</f>
        <v>-0.11022075559754062</v>
      </c>
      <c r="Y227" s="58" t="str">
        <f>IF('Phytopl Count'!Y227=0,"",('Phytopl Analysis'!Y227*LN('Phytopl Analysis'!Y227)))</f>
        <v/>
      </c>
      <c r="Z227" s="58" t="str">
        <f>IF('Phytopl Count'!Z227=0,"",('Phytopl Analysis'!Z227*LN('Phytopl Analysis'!Z227)))</f>
        <v/>
      </c>
      <c r="AA227" s="21">
        <f>IF('Phytopl Count'!AA227=0,"",('Phytopl Analysis'!AA227*LN('Phytopl Analysis'!AA227)))</f>
        <v>-0.11022075559754062</v>
      </c>
      <c r="AB227" s="21" t="str">
        <f>IF('Phytopl Count'!AB227=0,"",('Phytopl Analysis'!AB227*LN('Phytopl Analysis'!AB227)))</f>
        <v/>
      </c>
      <c r="AC227" s="58" t="str">
        <f>IF('Phytopl Count'!AC227=0,"",('Phytopl Analysis'!AC227*LN('Phytopl Analysis'!AC227)))</f>
        <v/>
      </c>
      <c r="AD227" s="58" t="str">
        <f>IF('Phytopl Count'!AD227=0,"",('Phytopl Analysis'!AD227*LN('Phytopl Analysis'!AD227)))</f>
        <v/>
      </c>
      <c r="AE227" s="21">
        <f>IF('Phytopl Count'!AE227=0,"",('Phytopl Analysis'!AE227*LN('Phytopl Analysis'!AE227)))</f>
        <v>-0.1458498424659852</v>
      </c>
      <c r="AF227" s="58">
        <f>IF('Phytopl Count'!AF227=0,"",('Phytopl Analysis'!AF227*LN('Phytopl Analysis'!AF227)))</f>
        <v>-0.26326442604085809</v>
      </c>
    </row>
    <row r="228" spans="1:32">
      <c r="A228" s="5"/>
      <c r="B228" s="5"/>
      <c r="C228" s="5"/>
      <c r="D228" s="10" t="s">
        <v>5</v>
      </c>
      <c r="E228" s="166" t="s">
        <v>377</v>
      </c>
      <c r="F228" s="11"/>
      <c r="G228" s="21" t="str">
        <f>IF('Phytopl Count'!G228=0,"",('Phytopl Analysis'!G228*LN('Phytopl Analysis'!G228)))</f>
        <v/>
      </c>
      <c r="H228" s="21" t="str">
        <f>IF('Phytopl Count'!H228=0,"",('Phytopl Analysis'!H228*LN('Phytopl Analysis'!H228)))</f>
        <v/>
      </c>
      <c r="I228" s="58" t="str">
        <f>IF('Phytopl Count'!I228=0,"",('Phytopl Analysis'!I228*LN('Phytopl Analysis'!I228)))</f>
        <v/>
      </c>
      <c r="J228" s="58" t="str">
        <f>IF('Phytopl Count'!J228=0,"",('Phytopl Analysis'!J228*LN('Phytopl Analysis'!J228)))</f>
        <v/>
      </c>
      <c r="K228" s="21" t="str">
        <f>IF('Phytopl Count'!K228=0,"",('Phytopl Analysis'!K228*LN('Phytopl Analysis'!K228)))</f>
        <v/>
      </c>
      <c r="L228" s="21" t="str">
        <f>IF('Phytopl Count'!L228=0,"",('Phytopl Analysis'!L228*LN('Phytopl Analysis'!L228)))</f>
        <v/>
      </c>
      <c r="M228" s="58" t="str">
        <f>IF('Phytopl Count'!M228=0,"",('Phytopl Analysis'!M228*LN('Phytopl Analysis'!M228)))</f>
        <v/>
      </c>
      <c r="N228" s="58" t="str">
        <f>IF('Phytopl Count'!N228=0,"",('Phytopl Analysis'!N228*LN('Phytopl Analysis'!N228)))</f>
        <v/>
      </c>
      <c r="O228" s="21" t="str">
        <f>IF('Phytopl Count'!O228=0,"",('Phytopl Analysis'!O228*LN('Phytopl Analysis'!O228)))</f>
        <v/>
      </c>
      <c r="P228" s="21" t="str">
        <f>IF('Phytopl Count'!P228=0,"",('Phytopl Analysis'!P228*LN('Phytopl Analysis'!P228)))</f>
        <v/>
      </c>
      <c r="Q228" s="58" t="str">
        <f>IF('Phytopl Count'!Q228=0,"",('Phytopl Analysis'!Q228*LN('Phytopl Analysis'!Q228)))</f>
        <v/>
      </c>
      <c r="R228" s="58" t="str">
        <f>IF('Phytopl Count'!R228=0,"",('Phytopl Analysis'!R228*LN('Phytopl Analysis'!R228)))</f>
        <v/>
      </c>
      <c r="S228" s="21" t="str">
        <f>IF('Phytopl Count'!S228=0,"",('Phytopl Analysis'!S228*LN('Phytopl Analysis'!S228)))</f>
        <v/>
      </c>
      <c r="T228" s="21" t="str">
        <f>IF('Phytopl Count'!T228=0,"",('Phytopl Analysis'!T228*LN('Phytopl Analysis'!T228)))</f>
        <v/>
      </c>
      <c r="U228" s="58" t="str">
        <f>IF('Phytopl Count'!U228=0,"",('Phytopl Analysis'!U228*LN('Phytopl Analysis'!U228)))</f>
        <v/>
      </c>
      <c r="V228" s="58" t="str">
        <f>IF('Phytopl Count'!V228=0,"",('Phytopl Analysis'!V228*LN('Phytopl Analysis'!V228)))</f>
        <v/>
      </c>
      <c r="W228" s="21" t="str">
        <f>IF('Phytopl Count'!W228=0,"",('Phytopl Analysis'!W228*LN('Phytopl Analysis'!W228)))</f>
        <v/>
      </c>
      <c r="X228" s="21" t="str">
        <f>IF('Phytopl Count'!X228=0,"",('Phytopl Analysis'!X228*LN('Phytopl Analysis'!X228)))</f>
        <v/>
      </c>
      <c r="Y228" s="58" t="str">
        <f>IF('Phytopl Count'!Y228=0,"",('Phytopl Analysis'!Y228*LN('Phytopl Analysis'!Y228)))</f>
        <v/>
      </c>
      <c r="Z228" s="58" t="str">
        <f>IF('Phytopl Count'!Z228=0,"",('Phytopl Analysis'!Z228*LN('Phytopl Analysis'!Z228)))</f>
        <v/>
      </c>
      <c r="AA228" s="21" t="str">
        <f>IF('Phytopl Count'!AA228=0,"",('Phytopl Analysis'!AA228*LN('Phytopl Analysis'!AA228)))</f>
        <v/>
      </c>
      <c r="AB228" s="21" t="str">
        <f>IF('Phytopl Count'!AB228=0,"",('Phytopl Analysis'!AB228*LN('Phytopl Analysis'!AB228)))</f>
        <v/>
      </c>
      <c r="AC228" s="58" t="str">
        <f>IF('Phytopl Count'!AC228=0,"",('Phytopl Analysis'!AC228*LN('Phytopl Analysis'!AC228)))</f>
        <v/>
      </c>
      <c r="AD228" s="58" t="str">
        <f>IF('Phytopl Count'!AD228=0,"",('Phytopl Analysis'!AD228*LN('Phytopl Analysis'!AD228)))</f>
        <v/>
      </c>
      <c r="AE228" s="21" t="str">
        <f>IF('Phytopl Count'!AE228=0,"",('Phytopl Analysis'!AE228*LN('Phytopl Analysis'!AE228)))</f>
        <v/>
      </c>
      <c r="AF228" s="58" t="str">
        <f>IF('Phytopl Count'!AF228=0,"",('Phytopl Analysis'!AF228*LN('Phytopl Analysis'!AF228)))</f>
        <v/>
      </c>
    </row>
    <row r="229" spans="1:32">
      <c r="A229" s="5"/>
      <c r="B229" s="5"/>
      <c r="C229" s="5"/>
      <c r="D229" s="5"/>
      <c r="E229" s="10" t="s">
        <v>6</v>
      </c>
      <c r="F229" s="11" t="s">
        <v>378</v>
      </c>
      <c r="G229" s="21" t="str">
        <f>IF('Phytopl Count'!G229=0,"",('Phytopl Analysis'!G229*LN('Phytopl Analysis'!G229)))</f>
        <v/>
      </c>
      <c r="H229" s="21" t="str">
        <f>IF('Phytopl Count'!H229=0,"",('Phytopl Analysis'!H229*LN('Phytopl Analysis'!H229)))</f>
        <v/>
      </c>
      <c r="I229" s="58" t="str">
        <f>IF('Phytopl Count'!I229=0,"",('Phytopl Analysis'!I229*LN('Phytopl Analysis'!I229)))</f>
        <v/>
      </c>
      <c r="J229" s="58" t="str">
        <f>IF('Phytopl Count'!J229=0,"",('Phytopl Analysis'!J229*LN('Phytopl Analysis'!J229)))</f>
        <v/>
      </c>
      <c r="K229" s="21" t="str">
        <f>IF('Phytopl Count'!K229=0,"",('Phytopl Analysis'!K229*LN('Phytopl Analysis'!K229)))</f>
        <v/>
      </c>
      <c r="L229" s="21" t="str">
        <f>IF('Phytopl Count'!L229=0,"",('Phytopl Analysis'!L229*LN('Phytopl Analysis'!L229)))</f>
        <v/>
      </c>
      <c r="M229" s="58" t="str">
        <f>IF('Phytopl Count'!M229=0,"",('Phytopl Analysis'!M229*LN('Phytopl Analysis'!M229)))</f>
        <v/>
      </c>
      <c r="N229" s="58">
        <f>IF('Phytopl Count'!N229=0,"",('Phytopl Analysis'!N229*LN('Phytopl Analysis'!N229)))</f>
        <v>-0.22509271130098124</v>
      </c>
      <c r="O229" s="21" t="str">
        <f>IF('Phytopl Count'!O229=0,"",('Phytopl Analysis'!O229*LN('Phytopl Analysis'!O229)))</f>
        <v/>
      </c>
      <c r="P229" s="21" t="str">
        <f>IF('Phytopl Count'!P229=0,"",('Phytopl Analysis'!P229*LN('Phytopl Analysis'!P229)))</f>
        <v/>
      </c>
      <c r="Q229" s="58">
        <f>IF('Phytopl Count'!Q229=0,"",('Phytopl Analysis'!Q229*LN('Phytopl Analysis'!Q229)))</f>
        <v>-0.12884150444391032</v>
      </c>
      <c r="R229" s="58" t="str">
        <f>IF('Phytopl Count'!R229=0,"",('Phytopl Analysis'!R229*LN('Phytopl Analysis'!R229)))</f>
        <v/>
      </c>
      <c r="S229" s="21">
        <f>IF('Phytopl Count'!S229=0,"",('Phytopl Analysis'!S229*LN('Phytopl Analysis'!S229)))</f>
        <v>-0.1458498424659852</v>
      </c>
      <c r="T229" s="21" t="str">
        <f>IF('Phytopl Count'!T229=0,"",('Phytopl Analysis'!T229*LN('Phytopl Analysis'!T229)))</f>
        <v/>
      </c>
      <c r="U229" s="58">
        <f>IF('Phytopl Count'!U229=0,"",('Phytopl Analysis'!U229*LN('Phytopl Analysis'!U229)))</f>
        <v>-0.11022075559754062</v>
      </c>
      <c r="V229" s="58">
        <f>IF('Phytopl Count'!V229=0,"",('Phytopl Analysis'!V229*LN('Phytopl Analysis'!V229)))</f>
        <v>-0.2545625689671801</v>
      </c>
      <c r="W229" s="21">
        <f>IF('Phytopl Count'!W229=0,"",('Phytopl Analysis'!W229*LN('Phytopl Analysis'!W229)))</f>
        <v>-0.1458498424659852</v>
      </c>
      <c r="X229" s="21" t="str">
        <f>IF('Phytopl Count'!X229=0,"",('Phytopl Analysis'!X229*LN('Phytopl Analysis'!X229)))</f>
        <v/>
      </c>
      <c r="Y229" s="58" t="str">
        <f>IF('Phytopl Count'!Y229=0,"",('Phytopl Analysis'!Y229*LN('Phytopl Analysis'!Y229)))</f>
        <v/>
      </c>
      <c r="Z229" s="58">
        <f>IF('Phytopl Count'!Z229=0,"",('Phytopl Analysis'!Z229*LN('Phytopl Analysis'!Z229)))</f>
        <v>-0.23551788360242082</v>
      </c>
      <c r="AA229" s="21" t="str">
        <f>IF('Phytopl Count'!AA229=0,"",('Phytopl Analysis'!AA229*LN('Phytopl Analysis'!AA229)))</f>
        <v/>
      </c>
      <c r="AB229" s="21" t="str">
        <f>IF('Phytopl Count'!AB229=0,"",('Phytopl Analysis'!AB229*LN('Phytopl Analysis'!AB229)))</f>
        <v/>
      </c>
      <c r="AC229" s="58" t="str">
        <f>IF('Phytopl Count'!AC229=0,"",('Phytopl Analysis'!AC229*LN('Phytopl Analysis'!AC229)))</f>
        <v/>
      </c>
      <c r="AD229" s="58" t="str">
        <f>IF('Phytopl Count'!AD229=0,"",('Phytopl Analysis'!AD229*LN('Phytopl Analysis'!AD229)))</f>
        <v/>
      </c>
      <c r="AE229" s="21" t="str">
        <f>IF('Phytopl Count'!AE229=0,"",('Phytopl Analysis'!AE229*LN('Phytopl Analysis'!AE229)))</f>
        <v/>
      </c>
      <c r="AF229" s="58" t="str">
        <f>IF('Phytopl Count'!AF229=0,"",('Phytopl Analysis'!AF229*LN('Phytopl Analysis'!AF229)))</f>
        <v/>
      </c>
    </row>
    <row r="230" spans="1:32">
      <c r="A230" s="5"/>
      <c r="B230" s="5"/>
      <c r="C230" s="5"/>
      <c r="D230" s="10" t="s">
        <v>5</v>
      </c>
      <c r="E230" s="162" t="s">
        <v>350</v>
      </c>
      <c r="F230" s="11"/>
      <c r="G230" s="21" t="str">
        <f>IF('Phytopl Count'!G230=0,"",('Phytopl Analysis'!G230*LN('Phytopl Analysis'!G230)))</f>
        <v/>
      </c>
      <c r="H230" s="21" t="str">
        <f>IF('Phytopl Count'!H230=0,"",('Phytopl Analysis'!H230*LN('Phytopl Analysis'!H230)))</f>
        <v/>
      </c>
      <c r="I230" s="58" t="str">
        <f>IF('Phytopl Count'!I230=0,"",('Phytopl Analysis'!I230*LN('Phytopl Analysis'!I230)))</f>
        <v/>
      </c>
      <c r="J230" s="58" t="str">
        <f>IF('Phytopl Count'!J230=0,"",('Phytopl Analysis'!J230*LN('Phytopl Analysis'!J230)))</f>
        <v/>
      </c>
      <c r="K230" s="21" t="str">
        <f>IF('Phytopl Count'!K230=0,"",('Phytopl Analysis'!K230*LN('Phytopl Analysis'!K230)))</f>
        <v/>
      </c>
      <c r="L230" s="21" t="str">
        <f>IF('Phytopl Count'!L230=0,"",('Phytopl Analysis'!L230*LN('Phytopl Analysis'!L230)))</f>
        <v/>
      </c>
      <c r="M230" s="58" t="str">
        <f>IF('Phytopl Count'!M230=0,"",('Phytopl Analysis'!M230*LN('Phytopl Analysis'!M230)))</f>
        <v/>
      </c>
      <c r="N230" s="58" t="str">
        <f>IF('Phytopl Count'!N230=0,"",('Phytopl Analysis'!N230*LN('Phytopl Analysis'!N230)))</f>
        <v/>
      </c>
      <c r="O230" s="21" t="str">
        <f>IF('Phytopl Count'!O230=0,"",('Phytopl Analysis'!O230*LN('Phytopl Analysis'!O230)))</f>
        <v/>
      </c>
      <c r="P230" s="21" t="str">
        <f>IF('Phytopl Count'!P230=0,"",('Phytopl Analysis'!P230*LN('Phytopl Analysis'!P230)))</f>
        <v/>
      </c>
      <c r="Q230" s="58" t="str">
        <f>IF('Phytopl Count'!Q230=0,"",('Phytopl Analysis'!Q230*LN('Phytopl Analysis'!Q230)))</f>
        <v/>
      </c>
      <c r="R230" s="58" t="str">
        <f>IF('Phytopl Count'!R230=0,"",('Phytopl Analysis'!R230*LN('Phytopl Analysis'!R230)))</f>
        <v/>
      </c>
      <c r="S230" s="21" t="str">
        <f>IF('Phytopl Count'!S230=0,"",('Phytopl Analysis'!S230*LN('Phytopl Analysis'!S230)))</f>
        <v/>
      </c>
      <c r="T230" s="21" t="str">
        <f>IF('Phytopl Count'!T230=0,"",('Phytopl Analysis'!T230*LN('Phytopl Analysis'!T230)))</f>
        <v/>
      </c>
      <c r="U230" s="58" t="str">
        <f>IF('Phytopl Count'!U230=0,"",('Phytopl Analysis'!U230*LN('Phytopl Analysis'!U230)))</f>
        <v/>
      </c>
      <c r="V230" s="58" t="str">
        <f>IF('Phytopl Count'!V230=0,"",('Phytopl Analysis'!V230*LN('Phytopl Analysis'!V230)))</f>
        <v/>
      </c>
      <c r="W230" s="21" t="str">
        <f>IF('Phytopl Count'!W230=0,"",('Phytopl Analysis'!W230*LN('Phytopl Analysis'!W230)))</f>
        <v/>
      </c>
      <c r="X230" s="21" t="str">
        <f>IF('Phytopl Count'!X230=0,"",('Phytopl Analysis'!X230*LN('Phytopl Analysis'!X230)))</f>
        <v/>
      </c>
      <c r="Y230" s="58" t="str">
        <f>IF('Phytopl Count'!Y230=0,"",('Phytopl Analysis'!Y230*LN('Phytopl Analysis'!Y230)))</f>
        <v/>
      </c>
      <c r="Z230" s="58" t="str">
        <f>IF('Phytopl Count'!Z230=0,"",('Phytopl Analysis'!Z230*LN('Phytopl Analysis'!Z230)))</f>
        <v/>
      </c>
      <c r="AA230" s="21" t="str">
        <f>IF('Phytopl Count'!AA230=0,"",('Phytopl Analysis'!AA230*LN('Phytopl Analysis'!AA230)))</f>
        <v/>
      </c>
      <c r="AB230" s="21" t="str">
        <f>IF('Phytopl Count'!AB230=0,"",('Phytopl Analysis'!AB230*LN('Phytopl Analysis'!AB230)))</f>
        <v/>
      </c>
      <c r="AC230" s="58" t="str">
        <f>IF('Phytopl Count'!AC230=0,"",('Phytopl Analysis'!AC230*LN('Phytopl Analysis'!AC230)))</f>
        <v/>
      </c>
      <c r="AD230" s="58" t="str">
        <f>IF('Phytopl Count'!AD230=0,"",('Phytopl Analysis'!AD230*LN('Phytopl Analysis'!AD230)))</f>
        <v/>
      </c>
      <c r="AE230" s="21" t="str">
        <f>IF('Phytopl Count'!AE230=0,"",('Phytopl Analysis'!AE230*LN('Phytopl Analysis'!AE230)))</f>
        <v/>
      </c>
      <c r="AF230" s="58" t="str">
        <f>IF('Phytopl Count'!AF230=0,"",('Phytopl Analysis'!AF230*LN('Phytopl Analysis'!AF230)))</f>
        <v/>
      </c>
    </row>
    <row r="231" spans="1:32">
      <c r="A231" s="5"/>
      <c r="B231" s="5"/>
      <c r="C231" s="5"/>
      <c r="D231" s="5"/>
      <c r="E231" s="10" t="s">
        <v>6</v>
      </c>
      <c r="F231" s="11" t="s">
        <v>175</v>
      </c>
      <c r="G231" s="21" t="str">
        <f>IF('Phytopl Count'!G231=0,"",('Phytopl Analysis'!G231*LN('Phytopl Analysis'!G231)))</f>
        <v/>
      </c>
      <c r="H231" s="21" t="str">
        <f>IF('Phytopl Count'!H231=0,"",('Phytopl Analysis'!H231*LN('Phytopl Analysis'!H231)))</f>
        <v/>
      </c>
      <c r="I231" s="58" t="str">
        <f>IF('Phytopl Count'!I231=0,"",('Phytopl Analysis'!I231*LN('Phytopl Analysis'!I231)))</f>
        <v/>
      </c>
      <c r="J231" s="58" t="str">
        <f>IF('Phytopl Count'!J231=0,"",('Phytopl Analysis'!J231*LN('Phytopl Analysis'!J231)))</f>
        <v/>
      </c>
      <c r="K231" s="21" t="str">
        <f>IF('Phytopl Count'!K231=0,"",('Phytopl Analysis'!K231*LN('Phytopl Analysis'!K231)))</f>
        <v/>
      </c>
      <c r="L231" s="21">
        <f>IF('Phytopl Count'!L231=0,"",('Phytopl Analysis'!L231*LN('Phytopl Analysis'!L231)))</f>
        <v>-8.9576664640739892E-2</v>
      </c>
      <c r="M231" s="58" t="str">
        <f>IF('Phytopl Count'!M231=0,"",('Phytopl Analysis'!M231*LN('Phytopl Analysis'!M231)))</f>
        <v/>
      </c>
      <c r="N231" s="58" t="str">
        <f>IF('Phytopl Count'!N231=0,"",('Phytopl Analysis'!N231*LN('Phytopl Analysis'!N231)))</f>
        <v/>
      </c>
      <c r="O231" s="21">
        <f>IF('Phytopl Count'!O231=0,"",('Phytopl Analysis'!O231*LN('Phytopl Analysis'!O231)))</f>
        <v>-0.17603686210775515</v>
      </c>
      <c r="P231" s="21" t="str">
        <f>IF('Phytopl Count'!P231=0,"",('Phytopl Analysis'!P231*LN('Phytopl Analysis'!P231)))</f>
        <v/>
      </c>
      <c r="Q231" s="58" t="str">
        <f>IF('Phytopl Count'!Q231=0,"",('Phytopl Analysis'!Q231*LN('Phytopl Analysis'!Q231)))</f>
        <v/>
      </c>
      <c r="R231" s="58" t="str">
        <f>IF('Phytopl Count'!R231=0,"",('Phytopl Analysis'!R231*LN('Phytopl Analysis'!R231)))</f>
        <v/>
      </c>
      <c r="S231" s="21" t="str">
        <f>IF('Phytopl Count'!S231=0,"",('Phytopl Analysis'!S231*LN('Phytopl Analysis'!S231)))</f>
        <v/>
      </c>
      <c r="T231" s="21" t="str">
        <f>IF('Phytopl Count'!T231=0,"",('Phytopl Analysis'!T231*LN('Phytopl Analysis'!T231)))</f>
        <v/>
      </c>
      <c r="U231" s="58" t="str">
        <f>IF('Phytopl Count'!U231=0,"",('Phytopl Analysis'!U231*LN('Phytopl Analysis'!U231)))</f>
        <v/>
      </c>
      <c r="V231" s="58">
        <f>IF('Phytopl Count'!V231=0,"",('Phytopl Analysis'!V231*LN('Phytopl Analysis'!V231)))</f>
        <v>-0.12884150444391032</v>
      </c>
      <c r="W231" s="21" t="str">
        <f>IF('Phytopl Count'!W231=0,"",('Phytopl Analysis'!W231*LN('Phytopl Analysis'!W231)))</f>
        <v/>
      </c>
      <c r="X231" s="21" t="str">
        <f>IF('Phytopl Count'!X231=0,"",('Phytopl Analysis'!X231*LN('Phytopl Analysis'!X231)))</f>
        <v/>
      </c>
      <c r="Y231" s="58" t="str">
        <f>IF('Phytopl Count'!Y231=0,"",('Phytopl Analysis'!Y231*LN('Phytopl Analysis'!Y231)))</f>
        <v/>
      </c>
      <c r="Z231" s="58" t="str">
        <f>IF('Phytopl Count'!Z231=0,"",('Phytopl Analysis'!Z231*LN('Phytopl Analysis'!Z231)))</f>
        <v/>
      </c>
      <c r="AA231" s="21" t="str">
        <f>IF('Phytopl Count'!AA231=0,"",('Phytopl Analysis'!AA231*LN('Phytopl Analysis'!AA231)))</f>
        <v/>
      </c>
      <c r="AB231" s="21" t="str">
        <f>IF('Phytopl Count'!AB231=0,"",('Phytopl Analysis'!AB231*LN('Phytopl Analysis'!AB231)))</f>
        <v/>
      </c>
      <c r="AC231" s="58" t="str">
        <f>IF('Phytopl Count'!AC231=0,"",('Phytopl Analysis'!AC231*LN('Phytopl Analysis'!AC231)))</f>
        <v/>
      </c>
      <c r="AD231" s="58" t="str">
        <f>IF('Phytopl Count'!AD231=0,"",('Phytopl Analysis'!AD231*LN('Phytopl Analysis'!AD231)))</f>
        <v/>
      </c>
      <c r="AE231" s="21" t="str">
        <f>IF('Phytopl Count'!AE231=0,"",('Phytopl Analysis'!AE231*LN('Phytopl Analysis'!AE231)))</f>
        <v/>
      </c>
      <c r="AF231" s="58" t="str">
        <f>IF('Phytopl Count'!AF231=0,"",('Phytopl Analysis'!AF231*LN('Phytopl Analysis'!AF231)))</f>
        <v/>
      </c>
    </row>
    <row r="232" spans="1:32">
      <c r="A232" s="5"/>
      <c r="B232" s="5"/>
      <c r="C232" s="5"/>
      <c r="D232" s="5"/>
      <c r="E232" s="10"/>
      <c r="F232" s="11" t="s">
        <v>264</v>
      </c>
      <c r="G232" s="21" t="str">
        <f>IF('Phytopl Count'!G232=0,"",('Phytopl Analysis'!G232*LN('Phytopl Analysis'!G232)))</f>
        <v/>
      </c>
      <c r="H232" s="21" t="str">
        <f>IF('Phytopl Count'!H232=0,"",('Phytopl Analysis'!H232*LN('Phytopl Analysis'!H232)))</f>
        <v/>
      </c>
      <c r="I232" s="58" t="str">
        <f>IF('Phytopl Count'!I232=0,"",('Phytopl Analysis'!I232*LN('Phytopl Analysis'!I232)))</f>
        <v/>
      </c>
      <c r="J232" s="58" t="str">
        <f>IF('Phytopl Count'!J232=0,"",('Phytopl Analysis'!J232*LN('Phytopl Analysis'!J232)))</f>
        <v/>
      </c>
      <c r="K232" s="21">
        <f>IF('Phytopl Count'!K232=0,"",('Phytopl Analysis'!K232*LN('Phytopl Analysis'!K232)))</f>
        <v>-0.11022075559754062</v>
      </c>
      <c r="L232" s="21" t="str">
        <f>IF('Phytopl Count'!L232=0,"",('Phytopl Analysis'!L232*LN('Phytopl Analysis'!L232)))</f>
        <v/>
      </c>
      <c r="M232" s="58" t="str">
        <f>IF('Phytopl Count'!M232=0,"",('Phytopl Analysis'!M232*LN('Phytopl Analysis'!M232)))</f>
        <v/>
      </c>
      <c r="N232" s="58" t="str">
        <f>IF('Phytopl Count'!N232=0,"",('Phytopl Analysis'!N232*LN('Phytopl Analysis'!N232)))</f>
        <v/>
      </c>
      <c r="O232" s="21" t="str">
        <f>IF('Phytopl Count'!O232=0,"",('Phytopl Analysis'!O232*LN('Phytopl Analysis'!O232)))</f>
        <v/>
      </c>
      <c r="P232" s="21" t="str">
        <f>IF('Phytopl Count'!P232=0,"",('Phytopl Analysis'!P232*LN('Phytopl Analysis'!P232)))</f>
        <v/>
      </c>
      <c r="Q232" s="58">
        <f>IF('Phytopl Count'!Q232=0,"",('Phytopl Analysis'!Q232*LN('Phytopl Analysis'!Q232)))</f>
        <v>-0.12884150444391032</v>
      </c>
      <c r="R232" s="58" t="str">
        <f>IF('Phytopl Count'!R232=0,"",('Phytopl Analysis'!R232*LN('Phytopl Analysis'!R232)))</f>
        <v/>
      </c>
      <c r="S232" s="21" t="str">
        <f>IF('Phytopl Count'!S232=0,"",('Phytopl Analysis'!S232*LN('Phytopl Analysis'!S232)))</f>
        <v/>
      </c>
      <c r="T232" s="21" t="str">
        <f>IF('Phytopl Count'!T232=0,"",('Phytopl Analysis'!T232*LN('Phytopl Analysis'!T232)))</f>
        <v/>
      </c>
      <c r="U232" s="58" t="str">
        <f>IF('Phytopl Count'!U232=0,"",('Phytopl Analysis'!U232*LN('Phytopl Analysis'!U232)))</f>
        <v/>
      </c>
      <c r="V232" s="58" t="str">
        <f>IF('Phytopl Count'!V232=0,"",('Phytopl Analysis'!V232*LN('Phytopl Analysis'!V232)))</f>
        <v/>
      </c>
      <c r="W232" s="21" t="str">
        <f>IF('Phytopl Count'!W232=0,"",('Phytopl Analysis'!W232*LN('Phytopl Analysis'!W232)))</f>
        <v/>
      </c>
      <c r="X232" s="21" t="str">
        <f>IF('Phytopl Count'!X232=0,"",('Phytopl Analysis'!X232*LN('Phytopl Analysis'!X232)))</f>
        <v/>
      </c>
      <c r="Y232" s="58" t="str">
        <f>IF('Phytopl Count'!Y232=0,"",('Phytopl Analysis'!Y232*LN('Phytopl Analysis'!Y232)))</f>
        <v/>
      </c>
      <c r="Z232" s="58" t="str">
        <f>IF('Phytopl Count'!Z232=0,"",('Phytopl Analysis'!Z232*LN('Phytopl Analysis'!Z232)))</f>
        <v/>
      </c>
      <c r="AA232" s="21" t="str">
        <f>IF('Phytopl Count'!AA232=0,"",('Phytopl Analysis'!AA232*LN('Phytopl Analysis'!AA232)))</f>
        <v/>
      </c>
      <c r="AB232" s="21" t="str">
        <f>IF('Phytopl Count'!AB232=0,"",('Phytopl Analysis'!AB232*LN('Phytopl Analysis'!AB232)))</f>
        <v/>
      </c>
      <c r="AC232" s="58" t="str">
        <f>IF('Phytopl Count'!AC232=0,"",('Phytopl Analysis'!AC232*LN('Phytopl Analysis'!AC232)))</f>
        <v/>
      </c>
      <c r="AD232" s="58" t="str">
        <f>IF('Phytopl Count'!AD232=0,"",('Phytopl Analysis'!AD232*LN('Phytopl Analysis'!AD232)))</f>
        <v/>
      </c>
      <c r="AE232" s="21" t="str">
        <f>IF('Phytopl Count'!AE232=0,"",('Phytopl Analysis'!AE232*LN('Phytopl Analysis'!AE232)))</f>
        <v/>
      </c>
      <c r="AF232" s="58" t="str">
        <f>IF('Phytopl Count'!AF232=0,"",('Phytopl Analysis'!AF232*LN('Phytopl Analysis'!AF232)))</f>
        <v/>
      </c>
    </row>
    <row r="233" spans="1:32" hidden="1">
      <c r="A233" s="4"/>
      <c r="B233" s="4"/>
      <c r="C233" s="4"/>
      <c r="D233" s="10" t="s">
        <v>5</v>
      </c>
      <c r="E233" s="140" t="s">
        <v>307</v>
      </c>
      <c r="F233" s="11"/>
      <c r="G233" s="21" t="str">
        <f>IF('Phytopl Count'!G233=0,"",('Phytopl Analysis'!G233*LN('Phytopl Analysis'!G233)))</f>
        <v/>
      </c>
      <c r="H233" s="21" t="str">
        <f>IF('Phytopl Count'!H233=0,"",('Phytopl Analysis'!H233*LN('Phytopl Analysis'!H233)))</f>
        <v/>
      </c>
      <c r="I233" s="58" t="str">
        <f>IF('Phytopl Count'!I233=0,"",('Phytopl Analysis'!I233*LN('Phytopl Analysis'!I233)))</f>
        <v/>
      </c>
      <c r="J233" s="58" t="str">
        <f>IF('Phytopl Count'!J233=0,"",('Phytopl Analysis'!J233*LN('Phytopl Analysis'!J233)))</f>
        <v/>
      </c>
      <c r="K233" s="21" t="str">
        <f>IF('Phytopl Count'!K233=0,"",('Phytopl Analysis'!K233*LN('Phytopl Analysis'!K233)))</f>
        <v/>
      </c>
      <c r="L233" s="21" t="str">
        <f>IF('Phytopl Count'!L233=0,"",('Phytopl Analysis'!L233*LN('Phytopl Analysis'!L233)))</f>
        <v/>
      </c>
      <c r="M233" s="58" t="str">
        <f>IF('Phytopl Count'!M233=0,"",('Phytopl Analysis'!M233*LN('Phytopl Analysis'!M233)))</f>
        <v/>
      </c>
      <c r="N233" s="58" t="str">
        <f>IF('Phytopl Count'!N233=0,"",('Phytopl Analysis'!N233*LN('Phytopl Analysis'!N233)))</f>
        <v/>
      </c>
      <c r="O233" s="21" t="str">
        <f>IF('Phytopl Count'!O233=0,"",('Phytopl Analysis'!O233*LN('Phytopl Analysis'!O233)))</f>
        <v/>
      </c>
      <c r="P233" s="21" t="str">
        <f>IF('Phytopl Count'!P233=0,"",('Phytopl Analysis'!P233*LN('Phytopl Analysis'!P233)))</f>
        <v/>
      </c>
      <c r="Q233" s="58" t="str">
        <f>IF('Phytopl Count'!Q233=0,"",('Phytopl Analysis'!Q233*LN('Phytopl Analysis'!Q233)))</f>
        <v/>
      </c>
      <c r="R233" s="58" t="str">
        <f>IF('Phytopl Count'!R233=0,"",('Phytopl Analysis'!R233*LN('Phytopl Analysis'!R233)))</f>
        <v/>
      </c>
      <c r="S233" s="21" t="str">
        <f>IF('Phytopl Count'!S233=0,"",('Phytopl Analysis'!S233*LN('Phytopl Analysis'!S233)))</f>
        <v/>
      </c>
      <c r="T233" s="21" t="str">
        <f>IF('Phytopl Count'!T233=0,"",('Phytopl Analysis'!T233*LN('Phytopl Analysis'!T233)))</f>
        <v/>
      </c>
      <c r="U233" s="58" t="str">
        <f>IF('Phytopl Count'!U233=0,"",('Phytopl Analysis'!U233*LN('Phytopl Analysis'!U233)))</f>
        <v/>
      </c>
      <c r="V233" s="58" t="str">
        <f>IF('Phytopl Count'!V233=0,"",('Phytopl Analysis'!V233*LN('Phytopl Analysis'!V233)))</f>
        <v/>
      </c>
      <c r="W233" s="21" t="str">
        <f>IF('Phytopl Count'!W233=0,"",('Phytopl Analysis'!W233*LN('Phytopl Analysis'!W233)))</f>
        <v/>
      </c>
      <c r="X233" s="21" t="str">
        <f>IF('Phytopl Count'!X233=0,"",('Phytopl Analysis'!X233*LN('Phytopl Analysis'!X233)))</f>
        <v/>
      </c>
      <c r="Y233" s="58" t="str">
        <f>IF('Phytopl Count'!Y233=0,"",('Phytopl Analysis'!Y233*LN('Phytopl Analysis'!Y233)))</f>
        <v/>
      </c>
      <c r="Z233" s="58" t="str">
        <f>IF('Phytopl Count'!Z233=0,"",('Phytopl Analysis'!Z233*LN('Phytopl Analysis'!Z233)))</f>
        <v/>
      </c>
      <c r="AA233" s="21" t="str">
        <f>IF('Phytopl Count'!AA233=0,"",('Phytopl Analysis'!AA233*LN('Phytopl Analysis'!AA233)))</f>
        <v/>
      </c>
      <c r="AB233" s="21" t="str">
        <f>IF('Phytopl Count'!AB233=0,"",('Phytopl Analysis'!AB233*LN('Phytopl Analysis'!AB233)))</f>
        <v/>
      </c>
      <c r="AC233" s="58" t="str">
        <f>IF('Phytopl Count'!AC233=0,"",('Phytopl Analysis'!AC233*LN('Phytopl Analysis'!AC233)))</f>
        <v/>
      </c>
      <c r="AD233" s="58" t="str">
        <f>IF('Phytopl Count'!AD233=0,"",('Phytopl Analysis'!AD233*LN('Phytopl Analysis'!AD233)))</f>
        <v/>
      </c>
      <c r="AE233" s="21" t="str">
        <f>IF('Phytopl Count'!AE233=0,"",('Phytopl Analysis'!AE233*LN('Phytopl Analysis'!AE233)))</f>
        <v/>
      </c>
      <c r="AF233" s="58" t="str">
        <f>IF('Phytopl Count'!AF233=0,"",('Phytopl Analysis'!AF233*LN('Phytopl Analysis'!AF233)))</f>
        <v/>
      </c>
    </row>
    <row r="234" spans="1:32" hidden="1">
      <c r="A234" s="4"/>
      <c r="B234" s="4"/>
      <c r="C234" s="4"/>
      <c r="D234" s="5"/>
      <c r="E234" s="10" t="s">
        <v>6</v>
      </c>
      <c r="F234" s="11" t="s">
        <v>308</v>
      </c>
      <c r="G234" s="21" t="str">
        <f>IF('Phytopl Count'!G234=0,"",('Phytopl Analysis'!G234*LN('Phytopl Analysis'!G234)))</f>
        <v/>
      </c>
      <c r="H234" s="21" t="str">
        <f>IF('Phytopl Count'!H234=0,"",('Phytopl Analysis'!H234*LN('Phytopl Analysis'!H234)))</f>
        <v/>
      </c>
      <c r="I234" s="58" t="str">
        <f>IF('Phytopl Count'!I234=0,"",('Phytopl Analysis'!I234*LN('Phytopl Analysis'!I234)))</f>
        <v/>
      </c>
      <c r="J234" s="58" t="str">
        <f>IF('Phytopl Count'!J234=0,"",('Phytopl Analysis'!J234*LN('Phytopl Analysis'!J234)))</f>
        <v/>
      </c>
      <c r="K234" s="21" t="str">
        <f>IF('Phytopl Count'!K234=0,"",('Phytopl Analysis'!K234*LN('Phytopl Analysis'!K234)))</f>
        <v/>
      </c>
      <c r="L234" s="21" t="str">
        <f>IF('Phytopl Count'!L234=0,"",('Phytopl Analysis'!L234*LN('Phytopl Analysis'!L234)))</f>
        <v/>
      </c>
      <c r="M234" s="58" t="str">
        <f>IF('Phytopl Count'!M234=0,"",('Phytopl Analysis'!M234*LN('Phytopl Analysis'!M234)))</f>
        <v/>
      </c>
      <c r="N234" s="58" t="str">
        <f>IF('Phytopl Count'!N234=0,"",('Phytopl Analysis'!N234*LN('Phytopl Analysis'!N234)))</f>
        <v/>
      </c>
      <c r="O234" s="21" t="str">
        <f>IF('Phytopl Count'!O234=0,"",('Phytopl Analysis'!O234*LN('Phytopl Analysis'!O234)))</f>
        <v/>
      </c>
      <c r="P234" s="21" t="str">
        <f>IF('Phytopl Count'!P234=0,"",('Phytopl Analysis'!P234*LN('Phytopl Analysis'!P234)))</f>
        <v/>
      </c>
      <c r="Q234" s="58" t="str">
        <f>IF('Phytopl Count'!Q234=0,"",('Phytopl Analysis'!Q234*LN('Phytopl Analysis'!Q234)))</f>
        <v/>
      </c>
      <c r="R234" s="58" t="str">
        <f>IF('Phytopl Count'!R234=0,"",('Phytopl Analysis'!R234*LN('Phytopl Analysis'!R234)))</f>
        <v/>
      </c>
      <c r="S234" s="21" t="str">
        <f>IF('Phytopl Count'!S234=0,"",('Phytopl Analysis'!S234*LN('Phytopl Analysis'!S234)))</f>
        <v/>
      </c>
      <c r="T234" s="21" t="str">
        <f>IF('Phytopl Count'!T234=0,"",('Phytopl Analysis'!T234*LN('Phytopl Analysis'!T234)))</f>
        <v/>
      </c>
      <c r="U234" s="58" t="str">
        <f>IF('Phytopl Count'!U234=0,"",('Phytopl Analysis'!U234*LN('Phytopl Analysis'!U234)))</f>
        <v/>
      </c>
      <c r="V234" s="58" t="str">
        <f>IF('Phytopl Count'!V234=0,"",('Phytopl Analysis'!V234*LN('Phytopl Analysis'!V234)))</f>
        <v/>
      </c>
      <c r="W234" s="21" t="str">
        <f>IF('Phytopl Count'!W234=0,"",('Phytopl Analysis'!W234*LN('Phytopl Analysis'!W234)))</f>
        <v/>
      </c>
      <c r="X234" s="21" t="str">
        <f>IF('Phytopl Count'!X234=0,"",('Phytopl Analysis'!X234*LN('Phytopl Analysis'!X234)))</f>
        <v/>
      </c>
      <c r="Y234" s="58" t="str">
        <f>IF('Phytopl Count'!Y234=0,"",('Phytopl Analysis'!Y234*LN('Phytopl Analysis'!Y234)))</f>
        <v/>
      </c>
      <c r="Z234" s="58" t="str">
        <f>IF('Phytopl Count'!Z234=0,"",('Phytopl Analysis'!Z234*LN('Phytopl Analysis'!Z234)))</f>
        <v/>
      </c>
      <c r="AA234" s="21" t="str">
        <f>IF('Phytopl Count'!AA234=0,"",('Phytopl Analysis'!AA234*LN('Phytopl Analysis'!AA234)))</f>
        <v/>
      </c>
      <c r="AB234" s="21" t="str">
        <f>IF('Phytopl Count'!AB234=0,"",('Phytopl Analysis'!AB234*LN('Phytopl Analysis'!AB234)))</f>
        <v/>
      </c>
      <c r="AC234" s="58" t="str">
        <f>IF('Phytopl Count'!AC234=0,"",('Phytopl Analysis'!AC234*LN('Phytopl Analysis'!AC234)))</f>
        <v/>
      </c>
      <c r="AD234" s="58" t="str">
        <f>IF('Phytopl Count'!AD234=0,"",('Phytopl Analysis'!AD234*LN('Phytopl Analysis'!AD234)))</f>
        <v/>
      </c>
      <c r="AE234" s="21" t="str">
        <f>IF('Phytopl Count'!AE234=0,"",('Phytopl Analysis'!AE234*LN('Phytopl Analysis'!AE234)))</f>
        <v/>
      </c>
      <c r="AF234" s="58" t="str">
        <f>IF('Phytopl Count'!AF234=0,"",('Phytopl Analysis'!AF234*LN('Phytopl Analysis'!AF234)))</f>
        <v/>
      </c>
    </row>
    <row r="235" spans="1:32">
      <c r="A235" s="5"/>
      <c r="B235" s="5"/>
      <c r="C235" s="5"/>
      <c r="D235" s="10" t="s">
        <v>5</v>
      </c>
      <c r="E235" s="104" t="s">
        <v>243</v>
      </c>
      <c r="F235" s="11"/>
      <c r="G235" s="21" t="str">
        <f>IF('Phytopl Count'!G235=0,"",('Phytopl Analysis'!G235*LN('Phytopl Analysis'!G235)))</f>
        <v/>
      </c>
      <c r="H235" s="21" t="str">
        <f>IF('Phytopl Count'!H235=0,"",('Phytopl Analysis'!H235*LN('Phytopl Analysis'!H235)))</f>
        <v/>
      </c>
      <c r="I235" s="58" t="str">
        <f>IF('Phytopl Count'!I235=0,"",('Phytopl Analysis'!I235*LN('Phytopl Analysis'!I235)))</f>
        <v/>
      </c>
      <c r="J235" s="58" t="str">
        <f>IF('Phytopl Count'!J235=0,"",('Phytopl Analysis'!J235*LN('Phytopl Analysis'!J235)))</f>
        <v/>
      </c>
      <c r="K235" s="21" t="str">
        <f>IF('Phytopl Count'!K235=0,"",('Phytopl Analysis'!K235*LN('Phytopl Analysis'!K235)))</f>
        <v/>
      </c>
      <c r="L235" s="21" t="str">
        <f>IF('Phytopl Count'!L235=0,"",('Phytopl Analysis'!L235*LN('Phytopl Analysis'!L235)))</f>
        <v/>
      </c>
      <c r="M235" s="58" t="str">
        <f>IF('Phytopl Count'!M235=0,"",('Phytopl Analysis'!M235*LN('Phytopl Analysis'!M235)))</f>
        <v/>
      </c>
      <c r="N235" s="58" t="str">
        <f>IF('Phytopl Count'!N235=0,"",('Phytopl Analysis'!N235*LN('Phytopl Analysis'!N235)))</f>
        <v/>
      </c>
      <c r="O235" s="21" t="str">
        <f>IF('Phytopl Count'!O235=0,"",('Phytopl Analysis'!O235*LN('Phytopl Analysis'!O235)))</f>
        <v/>
      </c>
      <c r="P235" s="21" t="str">
        <f>IF('Phytopl Count'!P235=0,"",('Phytopl Analysis'!P235*LN('Phytopl Analysis'!P235)))</f>
        <v/>
      </c>
      <c r="Q235" s="58" t="str">
        <f>IF('Phytopl Count'!Q235=0,"",('Phytopl Analysis'!Q235*LN('Phytopl Analysis'!Q235)))</f>
        <v/>
      </c>
      <c r="R235" s="58" t="str">
        <f>IF('Phytopl Count'!R235=0,"",('Phytopl Analysis'!R235*LN('Phytopl Analysis'!R235)))</f>
        <v/>
      </c>
      <c r="S235" s="21" t="str">
        <f>IF('Phytopl Count'!S235=0,"",('Phytopl Analysis'!S235*LN('Phytopl Analysis'!S235)))</f>
        <v/>
      </c>
      <c r="T235" s="21" t="str">
        <f>IF('Phytopl Count'!T235=0,"",('Phytopl Analysis'!T235*LN('Phytopl Analysis'!T235)))</f>
        <v/>
      </c>
      <c r="U235" s="58" t="str">
        <f>IF('Phytopl Count'!U235=0,"",('Phytopl Analysis'!U235*LN('Phytopl Analysis'!U235)))</f>
        <v/>
      </c>
      <c r="V235" s="58" t="str">
        <f>IF('Phytopl Count'!V235=0,"",('Phytopl Analysis'!V235*LN('Phytopl Analysis'!V235)))</f>
        <v/>
      </c>
      <c r="W235" s="21" t="str">
        <f>IF('Phytopl Count'!W235=0,"",('Phytopl Analysis'!W235*LN('Phytopl Analysis'!W235)))</f>
        <v/>
      </c>
      <c r="X235" s="21" t="str">
        <f>IF('Phytopl Count'!X235=0,"",('Phytopl Analysis'!X235*LN('Phytopl Analysis'!X235)))</f>
        <v/>
      </c>
      <c r="Y235" s="58" t="str">
        <f>IF('Phytopl Count'!Y235=0,"",('Phytopl Analysis'!Y235*LN('Phytopl Analysis'!Y235)))</f>
        <v/>
      </c>
      <c r="Z235" s="58" t="str">
        <f>IF('Phytopl Count'!Z235=0,"",('Phytopl Analysis'!Z235*LN('Phytopl Analysis'!Z235)))</f>
        <v/>
      </c>
      <c r="AA235" s="21" t="str">
        <f>IF('Phytopl Count'!AA235=0,"",('Phytopl Analysis'!AA235*LN('Phytopl Analysis'!AA235)))</f>
        <v/>
      </c>
      <c r="AB235" s="21" t="str">
        <f>IF('Phytopl Count'!AB235=0,"",('Phytopl Analysis'!AB235*LN('Phytopl Analysis'!AB235)))</f>
        <v/>
      </c>
      <c r="AC235" s="58" t="str">
        <f>IF('Phytopl Count'!AC235=0,"",('Phytopl Analysis'!AC235*LN('Phytopl Analysis'!AC235)))</f>
        <v/>
      </c>
      <c r="AD235" s="58" t="str">
        <f>IF('Phytopl Count'!AD235=0,"",('Phytopl Analysis'!AD235*LN('Phytopl Analysis'!AD235)))</f>
        <v/>
      </c>
      <c r="AE235" s="21" t="str">
        <f>IF('Phytopl Count'!AE235=0,"",('Phytopl Analysis'!AE235*LN('Phytopl Analysis'!AE235)))</f>
        <v/>
      </c>
      <c r="AF235" s="58" t="str">
        <f>IF('Phytopl Count'!AF235=0,"",('Phytopl Analysis'!AF235*LN('Phytopl Analysis'!AF235)))</f>
        <v/>
      </c>
    </row>
    <row r="236" spans="1:32" hidden="1">
      <c r="A236" s="5"/>
      <c r="B236" s="5"/>
      <c r="C236" s="5"/>
      <c r="D236" s="5"/>
      <c r="F236" s="11" t="s">
        <v>271</v>
      </c>
      <c r="G236" s="21" t="str">
        <f>IF('Phytopl Count'!G236=0,"",('Phytopl Analysis'!G236*LN('Phytopl Analysis'!G236)))</f>
        <v/>
      </c>
      <c r="H236" s="21" t="str">
        <f>IF('Phytopl Count'!H236=0,"",('Phytopl Analysis'!H236*LN('Phytopl Analysis'!H236)))</f>
        <v/>
      </c>
      <c r="I236" s="58" t="str">
        <f>IF('Phytopl Count'!I236=0,"",('Phytopl Analysis'!I236*LN('Phytopl Analysis'!I236)))</f>
        <v/>
      </c>
      <c r="J236" s="58" t="str">
        <f>IF('Phytopl Count'!J236=0,"",('Phytopl Analysis'!J236*LN('Phytopl Analysis'!J236)))</f>
        <v/>
      </c>
      <c r="K236" s="21" t="str">
        <f>IF('Phytopl Count'!K236=0,"",('Phytopl Analysis'!K236*LN('Phytopl Analysis'!K236)))</f>
        <v/>
      </c>
      <c r="L236" s="21" t="str">
        <f>IF('Phytopl Count'!L236=0,"",('Phytopl Analysis'!L236*LN('Phytopl Analysis'!L236)))</f>
        <v/>
      </c>
      <c r="M236" s="58" t="str">
        <f>IF('Phytopl Count'!M236=0,"",('Phytopl Analysis'!M236*LN('Phytopl Analysis'!M236)))</f>
        <v/>
      </c>
      <c r="N236" s="58" t="str">
        <f>IF('Phytopl Count'!N236=0,"",('Phytopl Analysis'!N236*LN('Phytopl Analysis'!N236)))</f>
        <v/>
      </c>
      <c r="O236" s="21" t="str">
        <f>IF('Phytopl Count'!O236=0,"",('Phytopl Analysis'!O236*LN('Phytopl Analysis'!O236)))</f>
        <v/>
      </c>
      <c r="P236" s="21" t="str">
        <f>IF('Phytopl Count'!P236=0,"",('Phytopl Analysis'!P236*LN('Phytopl Analysis'!P236)))</f>
        <v/>
      </c>
      <c r="Q236" s="58" t="str">
        <f>IF('Phytopl Count'!Q236=0,"",('Phytopl Analysis'!Q236*LN('Phytopl Analysis'!Q236)))</f>
        <v/>
      </c>
      <c r="R236" s="58" t="str">
        <f>IF('Phytopl Count'!R236=0,"",('Phytopl Analysis'!R236*LN('Phytopl Analysis'!R236)))</f>
        <v/>
      </c>
      <c r="S236" s="21" t="str">
        <f>IF('Phytopl Count'!S236=0,"",('Phytopl Analysis'!S236*LN('Phytopl Analysis'!S236)))</f>
        <v/>
      </c>
      <c r="T236" s="21" t="str">
        <f>IF('Phytopl Count'!T236=0,"",('Phytopl Analysis'!T236*LN('Phytopl Analysis'!T236)))</f>
        <v/>
      </c>
      <c r="U236" s="58" t="str">
        <f>IF('Phytopl Count'!U236=0,"",('Phytopl Analysis'!U236*LN('Phytopl Analysis'!U236)))</f>
        <v/>
      </c>
      <c r="V236" s="58" t="str">
        <f>IF('Phytopl Count'!V236=0,"",('Phytopl Analysis'!V236*LN('Phytopl Analysis'!V236)))</f>
        <v/>
      </c>
      <c r="W236" s="21" t="str">
        <f>IF('Phytopl Count'!W236=0,"",('Phytopl Analysis'!W236*LN('Phytopl Analysis'!W236)))</f>
        <v/>
      </c>
      <c r="X236" s="21" t="str">
        <f>IF('Phytopl Count'!X236=0,"",('Phytopl Analysis'!X236*LN('Phytopl Analysis'!X236)))</f>
        <v/>
      </c>
      <c r="Y236" s="58" t="str">
        <f>IF('Phytopl Count'!Y236=0,"",('Phytopl Analysis'!Y236*LN('Phytopl Analysis'!Y236)))</f>
        <v/>
      </c>
      <c r="Z236" s="58" t="str">
        <f>IF('Phytopl Count'!Z236=0,"",('Phytopl Analysis'!Z236*LN('Phytopl Analysis'!Z236)))</f>
        <v/>
      </c>
      <c r="AA236" s="21" t="str">
        <f>IF('Phytopl Count'!AA236=0,"",('Phytopl Analysis'!AA236*LN('Phytopl Analysis'!AA236)))</f>
        <v/>
      </c>
      <c r="AB236" s="21" t="str">
        <f>IF('Phytopl Count'!AB236=0,"",('Phytopl Analysis'!AB236*LN('Phytopl Analysis'!AB236)))</f>
        <v/>
      </c>
      <c r="AC236" s="58" t="str">
        <f>IF('Phytopl Count'!AC236=0,"",('Phytopl Analysis'!AC236*LN('Phytopl Analysis'!AC236)))</f>
        <v/>
      </c>
      <c r="AD236" s="58" t="str">
        <f>IF('Phytopl Count'!AD236=0,"",('Phytopl Analysis'!AD236*LN('Phytopl Analysis'!AD236)))</f>
        <v/>
      </c>
      <c r="AE236" s="21" t="str">
        <f>IF('Phytopl Count'!AE236=0,"",('Phytopl Analysis'!AE236*LN('Phytopl Analysis'!AE236)))</f>
        <v/>
      </c>
      <c r="AF236" s="58" t="str">
        <f>IF('Phytopl Count'!AF236=0,"",('Phytopl Analysis'!AF236*LN('Phytopl Analysis'!AF236)))</f>
        <v/>
      </c>
    </row>
    <row r="237" spans="1:32">
      <c r="A237" s="5"/>
      <c r="B237" s="5"/>
      <c r="C237" s="5"/>
      <c r="D237" s="5"/>
      <c r="E237" s="10" t="s">
        <v>6</v>
      </c>
      <c r="F237" s="11" t="s">
        <v>238</v>
      </c>
      <c r="G237" s="21" t="str">
        <f>IF('Phytopl Count'!G237=0,"",('Phytopl Analysis'!G237*LN('Phytopl Analysis'!G237)))</f>
        <v/>
      </c>
      <c r="H237" s="21" t="str">
        <f>IF('Phytopl Count'!H237=0,"",('Phytopl Analysis'!H237*LN('Phytopl Analysis'!H237)))</f>
        <v/>
      </c>
      <c r="I237" s="58">
        <f>IF('Phytopl Count'!I237=0,"",('Phytopl Analysis'!I237*LN('Phytopl Analysis'!I237)))</f>
        <v>-0.16151729929316433</v>
      </c>
      <c r="J237" s="58" t="str">
        <f>IF('Phytopl Count'!J237=0,"",('Phytopl Analysis'!J237*LN('Phytopl Analysis'!J237)))</f>
        <v/>
      </c>
      <c r="K237" s="21" t="str">
        <f>IF('Phytopl Count'!K237=0,"",('Phytopl Analysis'!K237*LN('Phytopl Analysis'!K237)))</f>
        <v/>
      </c>
      <c r="L237" s="21" t="str">
        <f>IF('Phytopl Count'!L237=0,"",('Phytopl Analysis'!L237*LN('Phytopl Analysis'!L237)))</f>
        <v/>
      </c>
      <c r="M237" s="58" t="str">
        <f>IF('Phytopl Count'!M237=0,"",('Phytopl Analysis'!M237*LN('Phytopl Analysis'!M237)))</f>
        <v/>
      </c>
      <c r="N237" s="58" t="str">
        <f>IF('Phytopl Count'!N237=0,"",('Phytopl Analysis'!N237*LN('Phytopl Analysis'!N237)))</f>
        <v/>
      </c>
      <c r="O237" s="21">
        <f>IF('Phytopl Count'!O237=0,"",('Phytopl Analysis'!O237*LN('Phytopl Analysis'!O237)))</f>
        <v>-0.17603686210775515</v>
      </c>
      <c r="P237" s="21" t="str">
        <f>IF('Phytopl Count'!P237=0,"",('Phytopl Analysis'!P237*LN('Phytopl Analysis'!P237)))</f>
        <v/>
      </c>
      <c r="Q237" s="58" t="str">
        <f>IF('Phytopl Count'!Q237=0,"",('Phytopl Analysis'!Q237*LN('Phytopl Analysis'!Q237)))</f>
        <v/>
      </c>
      <c r="R237" s="58">
        <f>IF('Phytopl Count'!R237=0,"",('Phytopl Analysis'!R237*LN('Phytopl Analysis'!R237)))</f>
        <v>-0.11022075559754062</v>
      </c>
      <c r="S237" s="21" t="str">
        <f>IF('Phytopl Count'!S237=0,"",('Phytopl Analysis'!S237*LN('Phytopl Analysis'!S237)))</f>
        <v/>
      </c>
      <c r="T237" s="21" t="str">
        <f>IF('Phytopl Count'!T237=0,"",('Phytopl Analysis'!T237*LN('Phytopl Analysis'!T237)))</f>
        <v/>
      </c>
      <c r="U237" s="58" t="str">
        <f>IF('Phytopl Count'!U237=0,"",('Phytopl Analysis'!U237*LN('Phytopl Analysis'!U237)))</f>
        <v/>
      </c>
      <c r="V237" s="58" t="str">
        <f>IF('Phytopl Count'!V237=0,"",('Phytopl Analysis'!V237*LN('Phytopl Analysis'!V237)))</f>
        <v/>
      </c>
      <c r="W237" s="21" t="str">
        <f>IF('Phytopl Count'!W237=0,"",('Phytopl Analysis'!W237*LN('Phytopl Analysis'!W237)))</f>
        <v/>
      </c>
      <c r="X237" s="21" t="str">
        <f>IF('Phytopl Count'!X237=0,"",('Phytopl Analysis'!X237*LN('Phytopl Analysis'!X237)))</f>
        <v/>
      </c>
      <c r="Y237" s="58" t="str">
        <f>IF('Phytopl Count'!Y237=0,"",('Phytopl Analysis'!Y237*LN('Phytopl Analysis'!Y237)))</f>
        <v/>
      </c>
      <c r="Z237" s="58" t="str">
        <f>IF('Phytopl Count'!Z237=0,"",('Phytopl Analysis'!Z237*LN('Phytopl Analysis'!Z237)))</f>
        <v/>
      </c>
      <c r="AA237" s="21" t="str">
        <f>IF('Phytopl Count'!AA237=0,"",('Phytopl Analysis'!AA237*LN('Phytopl Analysis'!AA237)))</f>
        <v/>
      </c>
      <c r="AB237" s="21" t="str">
        <f>IF('Phytopl Count'!AB237=0,"",('Phytopl Analysis'!AB237*LN('Phytopl Analysis'!AB237)))</f>
        <v/>
      </c>
      <c r="AC237" s="58" t="str">
        <f>IF('Phytopl Count'!AC237=0,"",('Phytopl Analysis'!AC237*LN('Phytopl Analysis'!AC237)))</f>
        <v/>
      </c>
      <c r="AD237" s="58" t="str">
        <f>IF('Phytopl Count'!AD237=0,"",('Phytopl Analysis'!AD237*LN('Phytopl Analysis'!AD237)))</f>
        <v/>
      </c>
      <c r="AE237" s="21">
        <f>IF('Phytopl Count'!AE237=0,"",('Phytopl Analysis'!AE237*LN('Phytopl Analysis'!AE237)))</f>
        <v>-8.9576664640739892E-2</v>
      </c>
      <c r="AF237" s="58" t="str">
        <f>IF('Phytopl Count'!AF237=0,"",('Phytopl Analysis'!AF237*LN('Phytopl Analysis'!AF237)))</f>
        <v/>
      </c>
    </row>
    <row r="238" spans="1:32">
      <c r="A238" s="152"/>
      <c r="B238" s="152"/>
      <c r="C238" s="152"/>
      <c r="D238" s="152"/>
      <c r="E238" s="153"/>
      <c r="F238" s="155" t="s">
        <v>244</v>
      </c>
      <c r="G238" s="21" t="str">
        <f>IF('Phytopl Count'!G238=0,"",('Phytopl Analysis'!G238*LN('Phytopl Analysis'!G238)))</f>
        <v/>
      </c>
      <c r="H238" s="21">
        <f>IF('Phytopl Count'!H238=0,"",('Phytopl Analysis'!H238*LN('Phytopl Analysis'!H238)))</f>
        <v>-0.22509271130098124</v>
      </c>
      <c r="I238" s="58" t="str">
        <f>IF('Phytopl Count'!I238=0,"",('Phytopl Analysis'!I238*LN('Phytopl Analysis'!I238)))</f>
        <v/>
      </c>
      <c r="J238" s="58">
        <f>IF('Phytopl Count'!J238=0,"",('Phytopl Analysis'!J238*LN('Phytopl Analysis'!J238)))</f>
        <v>-0.12884150444391032</v>
      </c>
      <c r="K238" s="21">
        <f>IF('Phytopl Count'!K238=0,"",('Phytopl Analysis'!K238*LN('Phytopl Analysis'!K238)))</f>
        <v>-0.11022075559754062</v>
      </c>
      <c r="L238" s="21">
        <f>IF('Phytopl Count'!L238=0,"",('Phytopl Analysis'!L238*LN('Phytopl Analysis'!L238)))</f>
        <v>-8.9576664640739892E-2</v>
      </c>
      <c r="M238" s="58">
        <f>IF('Phytopl Count'!M238=0,"",('Phytopl Analysis'!M238*LN('Phytopl Analysis'!M238)))</f>
        <v>-0.20217719752866301</v>
      </c>
      <c r="N238" s="58">
        <f>IF('Phytopl Count'!N238=0,"",('Phytopl Analysis'!N238*LN('Phytopl Analysis'!N238)))</f>
        <v>-0.1458498424659852</v>
      </c>
      <c r="O238" s="21">
        <f>IF('Phytopl Count'!O238=0,"",('Phytopl Analysis'!O238*LN('Phytopl Analysis'!O238)))</f>
        <v>-0.11022075559754062</v>
      </c>
      <c r="P238" s="21">
        <f>IF('Phytopl Count'!P238=0,"",('Phytopl Analysis'!P238*LN('Phytopl Analysis'!P238)))</f>
        <v>-0.11022075559754062</v>
      </c>
      <c r="Q238" s="58">
        <f>IF('Phytopl Count'!Q238=0,"",('Phytopl Analysis'!Q238*LN('Phytopl Analysis'!Q238)))</f>
        <v>-0.12884150444391032</v>
      </c>
      <c r="R238" s="58">
        <f>IF('Phytopl Count'!R238=0,"",('Phytopl Analysis'!R238*LN('Phytopl Analysis'!R238)))</f>
        <v>-0.11022075559754062</v>
      </c>
      <c r="S238" s="21" t="str">
        <f>IF('Phytopl Count'!S238=0,"",('Phytopl Analysis'!S238*LN('Phytopl Analysis'!S238)))</f>
        <v/>
      </c>
      <c r="T238" s="21" t="str">
        <f>IF('Phytopl Count'!T238=0,"",('Phytopl Analysis'!T238*LN('Phytopl Analysis'!T238)))</f>
        <v/>
      </c>
      <c r="U238" s="58">
        <f>IF('Phytopl Count'!U238=0,"",('Phytopl Analysis'!U238*LN('Phytopl Analysis'!U238)))</f>
        <v>-0.11022075559754062</v>
      </c>
      <c r="V238" s="58">
        <f>IF('Phytopl Count'!V238=0,"",('Phytopl Analysis'!V238*LN('Phytopl Analysis'!V238)))</f>
        <v>-0.29334277233901074</v>
      </c>
      <c r="W238" s="21">
        <f>IF('Phytopl Count'!W238=0,"",('Phytopl Analysis'!W238*LN('Phytopl Analysis'!W238)))</f>
        <v>-0.1458498424659852</v>
      </c>
      <c r="X238" s="21">
        <f>IF('Phytopl Count'!X238=0,"",('Phytopl Analysis'!X238*LN('Phytopl Analysis'!X238)))</f>
        <v>-0.11022075559754062</v>
      </c>
      <c r="Y238" s="58">
        <f>IF('Phytopl Count'!Y238=0,"",('Phytopl Analysis'!Y238*LN('Phytopl Analysis'!Y238)))</f>
        <v>-8.9576664640739892E-2</v>
      </c>
      <c r="Z238" s="58">
        <f>IF('Phytopl Count'!Z238=0,"",('Phytopl Analysis'!Z238*LN('Phytopl Analysis'!Z238)))</f>
        <v>-0.23551788360242082</v>
      </c>
      <c r="AA238" s="21" t="str">
        <f>IF('Phytopl Count'!AA238=0,"",('Phytopl Analysis'!AA238*LN('Phytopl Analysis'!AA238)))</f>
        <v/>
      </c>
      <c r="AB238" s="21" t="str">
        <f>IF('Phytopl Count'!AB238=0,"",('Phytopl Analysis'!AB238*LN('Phytopl Analysis'!AB238)))</f>
        <v/>
      </c>
      <c r="AC238" s="58" t="str">
        <f>IF('Phytopl Count'!AC238=0,"",('Phytopl Analysis'!AC238*LN('Phytopl Analysis'!AC238)))</f>
        <v/>
      </c>
      <c r="AD238" s="58">
        <f>IF('Phytopl Count'!AD238=0,"",('Phytopl Analysis'!AD238*LN('Phytopl Analysis'!AD238)))</f>
        <v>-0.11022075559754062</v>
      </c>
      <c r="AE238" s="21" t="str">
        <f>IF('Phytopl Count'!AE238=0,"",('Phytopl Analysis'!AE238*LN('Phytopl Analysis'!AE238)))</f>
        <v/>
      </c>
      <c r="AF238" s="58">
        <f>IF('Phytopl Count'!AF238=0,"",('Phytopl Analysis'!AF238*LN('Phytopl Analysis'!AF238)))</f>
        <v>-0.26326442604085809</v>
      </c>
    </row>
    <row r="239" spans="1:32" hidden="1">
      <c r="A239" s="16"/>
      <c r="B239" s="4"/>
      <c r="C239" s="16" t="s">
        <v>73</v>
      </c>
      <c r="D239" s="4" t="s">
        <v>277</v>
      </c>
      <c r="E239" s="92"/>
      <c r="F239" s="11"/>
      <c r="G239" s="21" t="str">
        <f>IF('Phytopl Count'!G239=0,"",('Phytopl Analysis'!G239*LN('Phytopl Analysis'!G239)))</f>
        <v/>
      </c>
      <c r="H239" s="21" t="str">
        <f>IF('Phytopl Count'!H239=0,"",('Phytopl Analysis'!H239*LN('Phytopl Analysis'!H239)))</f>
        <v/>
      </c>
      <c r="I239" s="58" t="str">
        <f>IF('Phytopl Count'!I239=0,"",('Phytopl Analysis'!I239*LN('Phytopl Analysis'!I239)))</f>
        <v/>
      </c>
      <c r="J239" s="58" t="str">
        <f>IF('Phytopl Count'!J239=0,"",('Phytopl Analysis'!J239*LN('Phytopl Analysis'!J239)))</f>
        <v/>
      </c>
      <c r="K239" s="21" t="str">
        <f>IF('Phytopl Count'!K239=0,"",('Phytopl Analysis'!K239*LN('Phytopl Analysis'!K239)))</f>
        <v/>
      </c>
      <c r="L239" s="21" t="str">
        <f>IF('Phytopl Count'!L239=0,"",('Phytopl Analysis'!L239*LN('Phytopl Analysis'!L239)))</f>
        <v/>
      </c>
      <c r="M239" s="58" t="str">
        <f>IF('Phytopl Count'!M239=0,"",('Phytopl Analysis'!M239*LN('Phytopl Analysis'!M239)))</f>
        <v/>
      </c>
      <c r="N239" s="58" t="str">
        <f>IF('Phytopl Count'!N239=0,"",('Phytopl Analysis'!N239*LN('Phytopl Analysis'!N239)))</f>
        <v/>
      </c>
      <c r="O239" s="21" t="str">
        <f>IF('Phytopl Count'!O239=0,"",('Phytopl Analysis'!O239*LN('Phytopl Analysis'!O239)))</f>
        <v/>
      </c>
      <c r="P239" s="21" t="str">
        <f>IF('Phytopl Count'!P239=0,"",('Phytopl Analysis'!P239*LN('Phytopl Analysis'!P239)))</f>
        <v/>
      </c>
      <c r="Q239" s="58" t="str">
        <f>IF('Phytopl Count'!Q239=0,"",('Phytopl Analysis'!Q239*LN('Phytopl Analysis'!Q239)))</f>
        <v/>
      </c>
      <c r="R239" s="58" t="str">
        <f>IF('Phytopl Count'!R239=0,"",('Phytopl Analysis'!R239*LN('Phytopl Analysis'!R239)))</f>
        <v/>
      </c>
      <c r="S239" s="21" t="str">
        <f>IF('Phytopl Count'!S239=0,"",('Phytopl Analysis'!S239*LN('Phytopl Analysis'!S239)))</f>
        <v/>
      </c>
      <c r="T239" s="21" t="str">
        <f>IF('Phytopl Count'!T239=0,"",('Phytopl Analysis'!T239*LN('Phytopl Analysis'!T239)))</f>
        <v/>
      </c>
      <c r="U239" s="58" t="str">
        <f>IF('Phytopl Count'!U239=0,"",('Phytopl Analysis'!U239*LN('Phytopl Analysis'!U239)))</f>
        <v/>
      </c>
      <c r="V239" s="58" t="str">
        <f>IF('Phytopl Count'!V239=0,"",('Phytopl Analysis'!V239*LN('Phytopl Analysis'!V239)))</f>
        <v/>
      </c>
      <c r="W239" s="21" t="str">
        <f>IF('Phytopl Count'!W239=0,"",('Phytopl Analysis'!W239*LN('Phytopl Analysis'!W239)))</f>
        <v/>
      </c>
      <c r="X239" s="21" t="str">
        <f>IF('Phytopl Count'!X239=0,"",('Phytopl Analysis'!X239*LN('Phytopl Analysis'!X239)))</f>
        <v/>
      </c>
      <c r="Y239" s="58" t="str">
        <f>IF('Phytopl Count'!Y239=0,"",('Phytopl Analysis'!Y239*LN('Phytopl Analysis'!Y239)))</f>
        <v/>
      </c>
      <c r="Z239" s="58" t="str">
        <f>IF('Phytopl Count'!Z239=0,"",('Phytopl Analysis'!Z239*LN('Phytopl Analysis'!Z239)))</f>
        <v/>
      </c>
      <c r="AA239" s="21" t="str">
        <f>IF('Phytopl Count'!AA239=0,"",('Phytopl Analysis'!AA239*LN('Phytopl Analysis'!AA239)))</f>
        <v/>
      </c>
      <c r="AB239" s="21" t="str">
        <f>IF('Phytopl Count'!AB239=0,"",('Phytopl Analysis'!AB239*LN('Phytopl Analysis'!AB239)))</f>
        <v/>
      </c>
      <c r="AC239" s="58" t="str">
        <f>IF('Phytopl Count'!AC239=0,"",('Phytopl Analysis'!AC239*LN('Phytopl Analysis'!AC239)))</f>
        <v/>
      </c>
      <c r="AD239" s="58" t="str">
        <f>IF('Phytopl Count'!AD239=0,"",('Phytopl Analysis'!AD239*LN('Phytopl Analysis'!AD239)))</f>
        <v/>
      </c>
      <c r="AE239" s="21" t="str">
        <f>IF('Phytopl Count'!AE239=0,"",('Phytopl Analysis'!AE239*LN('Phytopl Analysis'!AE239)))</f>
        <v/>
      </c>
      <c r="AF239" s="58" t="str">
        <f>IF('Phytopl Count'!AF239=0,"",('Phytopl Analysis'!AF239*LN('Phytopl Analysis'!AF239)))</f>
        <v/>
      </c>
    </row>
    <row r="240" spans="1:32" hidden="1">
      <c r="A240" s="4"/>
      <c r="B240" s="92"/>
      <c r="C240" s="92"/>
      <c r="D240" s="93" t="s">
        <v>5</v>
      </c>
      <c r="E240" s="113" t="s">
        <v>278</v>
      </c>
      <c r="F240" s="11"/>
      <c r="G240" s="21" t="str">
        <f>IF('Phytopl Count'!G240=0,"",('Phytopl Analysis'!G240*LN('Phytopl Analysis'!G240)))</f>
        <v/>
      </c>
      <c r="H240" s="21" t="str">
        <f>IF('Phytopl Count'!H240=0,"",('Phytopl Analysis'!H240*LN('Phytopl Analysis'!H240)))</f>
        <v/>
      </c>
      <c r="I240" s="58" t="str">
        <f>IF('Phytopl Count'!I240=0,"",('Phytopl Analysis'!I240*LN('Phytopl Analysis'!I240)))</f>
        <v/>
      </c>
      <c r="J240" s="58" t="str">
        <f>IF('Phytopl Count'!J240=0,"",('Phytopl Analysis'!J240*LN('Phytopl Analysis'!J240)))</f>
        <v/>
      </c>
      <c r="K240" s="21" t="str">
        <f>IF('Phytopl Count'!K240=0,"",('Phytopl Analysis'!K240*LN('Phytopl Analysis'!K240)))</f>
        <v/>
      </c>
      <c r="L240" s="21" t="str">
        <f>IF('Phytopl Count'!L240=0,"",('Phytopl Analysis'!L240*LN('Phytopl Analysis'!L240)))</f>
        <v/>
      </c>
      <c r="M240" s="58" t="str">
        <f>IF('Phytopl Count'!M240=0,"",('Phytopl Analysis'!M240*LN('Phytopl Analysis'!M240)))</f>
        <v/>
      </c>
      <c r="N240" s="58" t="str">
        <f>IF('Phytopl Count'!N240=0,"",('Phytopl Analysis'!N240*LN('Phytopl Analysis'!N240)))</f>
        <v/>
      </c>
      <c r="O240" s="21" t="str">
        <f>IF('Phytopl Count'!O240=0,"",('Phytopl Analysis'!O240*LN('Phytopl Analysis'!O240)))</f>
        <v/>
      </c>
      <c r="P240" s="21" t="str">
        <f>IF('Phytopl Count'!P240=0,"",('Phytopl Analysis'!P240*LN('Phytopl Analysis'!P240)))</f>
        <v/>
      </c>
      <c r="Q240" s="58" t="str">
        <f>IF('Phytopl Count'!Q240=0,"",('Phytopl Analysis'!Q240*LN('Phytopl Analysis'!Q240)))</f>
        <v/>
      </c>
      <c r="R240" s="58" t="str">
        <f>IF('Phytopl Count'!R240=0,"",('Phytopl Analysis'!R240*LN('Phytopl Analysis'!R240)))</f>
        <v/>
      </c>
      <c r="S240" s="21" t="str">
        <f>IF('Phytopl Count'!S240=0,"",('Phytopl Analysis'!S240*LN('Phytopl Analysis'!S240)))</f>
        <v/>
      </c>
      <c r="T240" s="21" t="str">
        <f>IF('Phytopl Count'!T240=0,"",('Phytopl Analysis'!T240*LN('Phytopl Analysis'!T240)))</f>
        <v/>
      </c>
      <c r="U240" s="58" t="str">
        <f>IF('Phytopl Count'!U240=0,"",('Phytopl Analysis'!U240*LN('Phytopl Analysis'!U240)))</f>
        <v/>
      </c>
      <c r="V240" s="58" t="str">
        <f>IF('Phytopl Count'!V240=0,"",('Phytopl Analysis'!V240*LN('Phytopl Analysis'!V240)))</f>
        <v/>
      </c>
      <c r="W240" s="21" t="str">
        <f>IF('Phytopl Count'!W240=0,"",('Phytopl Analysis'!W240*LN('Phytopl Analysis'!W240)))</f>
        <v/>
      </c>
      <c r="X240" s="21" t="str">
        <f>IF('Phytopl Count'!X240=0,"",('Phytopl Analysis'!X240*LN('Phytopl Analysis'!X240)))</f>
        <v/>
      </c>
      <c r="Y240" s="58" t="str">
        <f>IF('Phytopl Count'!Y240=0,"",('Phytopl Analysis'!Y240*LN('Phytopl Analysis'!Y240)))</f>
        <v/>
      </c>
      <c r="Z240" s="58" t="str">
        <f>IF('Phytopl Count'!Z240=0,"",('Phytopl Analysis'!Z240*LN('Phytopl Analysis'!Z240)))</f>
        <v/>
      </c>
      <c r="AA240" s="21" t="str">
        <f>IF('Phytopl Count'!AA240=0,"",('Phytopl Analysis'!AA240*LN('Phytopl Analysis'!AA240)))</f>
        <v/>
      </c>
      <c r="AB240" s="21" t="str">
        <f>IF('Phytopl Count'!AB240=0,"",('Phytopl Analysis'!AB240*LN('Phytopl Analysis'!AB240)))</f>
        <v/>
      </c>
      <c r="AC240" s="58" t="str">
        <f>IF('Phytopl Count'!AC240=0,"",('Phytopl Analysis'!AC240*LN('Phytopl Analysis'!AC240)))</f>
        <v/>
      </c>
      <c r="AD240" s="58" t="str">
        <f>IF('Phytopl Count'!AD240=0,"",('Phytopl Analysis'!AD240*LN('Phytopl Analysis'!AD240)))</f>
        <v/>
      </c>
      <c r="AE240" s="21" t="str">
        <f>IF('Phytopl Count'!AE240=0,"",('Phytopl Analysis'!AE240*LN('Phytopl Analysis'!AE240)))</f>
        <v/>
      </c>
      <c r="AF240" s="58" t="str">
        <f>IF('Phytopl Count'!AF240=0,"",('Phytopl Analysis'!AF240*LN('Phytopl Analysis'!AF240)))</f>
        <v/>
      </c>
    </row>
    <row r="241" spans="1:32" hidden="1">
      <c r="A241" s="4"/>
      <c r="B241" s="92"/>
      <c r="C241" s="92"/>
      <c r="D241" s="92"/>
      <c r="E241" s="93" t="s">
        <v>6</v>
      </c>
      <c r="F241" s="11" t="s">
        <v>279</v>
      </c>
      <c r="G241" s="21" t="str">
        <f>IF('Phytopl Count'!G241=0,"",('Phytopl Analysis'!G241*LN('Phytopl Analysis'!G241)))</f>
        <v/>
      </c>
      <c r="H241" s="21" t="str">
        <f>IF('Phytopl Count'!H241=0,"",('Phytopl Analysis'!H241*LN('Phytopl Analysis'!H241)))</f>
        <v/>
      </c>
      <c r="I241" s="58" t="str">
        <f>IF('Phytopl Count'!I241=0,"",('Phytopl Analysis'!I241*LN('Phytopl Analysis'!I241)))</f>
        <v/>
      </c>
      <c r="J241" s="58" t="str">
        <f>IF('Phytopl Count'!J241=0,"",('Phytopl Analysis'!J241*LN('Phytopl Analysis'!J241)))</f>
        <v/>
      </c>
      <c r="K241" s="21" t="str">
        <f>IF('Phytopl Count'!K241=0,"",('Phytopl Analysis'!K241*LN('Phytopl Analysis'!K241)))</f>
        <v/>
      </c>
      <c r="L241" s="21" t="str">
        <f>IF('Phytopl Count'!L241=0,"",('Phytopl Analysis'!L241*LN('Phytopl Analysis'!L241)))</f>
        <v/>
      </c>
      <c r="M241" s="58" t="str">
        <f>IF('Phytopl Count'!M241=0,"",('Phytopl Analysis'!M241*LN('Phytopl Analysis'!M241)))</f>
        <v/>
      </c>
      <c r="N241" s="58" t="str">
        <f>IF('Phytopl Count'!N241=0,"",('Phytopl Analysis'!N241*LN('Phytopl Analysis'!N241)))</f>
        <v/>
      </c>
      <c r="O241" s="21" t="str">
        <f>IF('Phytopl Count'!O241=0,"",('Phytopl Analysis'!O241*LN('Phytopl Analysis'!O241)))</f>
        <v/>
      </c>
      <c r="P241" s="21" t="str">
        <f>IF('Phytopl Count'!P241=0,"",('Phytopl Analysis'!P241*LN('Phytopl Analysis'!P241)))</f>
        <v/>
      </c>
      <c r="Q241" s="58" t="str">
        <f>IF('Phytopl Count'!Q241=0,"",('Phytopl Analysis'!Q241*LN('Phytopl Analysis'!Q241)))</f>
        <v/>
      </c>
      <c r="R241" s="58" t="str">
        <f>IF('Phytopl Count'!R241=0,"",('Phytopl Analysis'!R241*LN('Phytopl Analysis'!R241)))</f>
        <v/>
      </c>
      <c r="S241" s="21" t="str">
        <f>IF('Phytopl Count'!S241=0,"",('Phytopl Analysis'!S241*LN('Phytopl Analysis'!S241)))</f>
        <v/>
      </c>
      <c r="T241" s="21" t="str">
        <f>IF('Phytopl Count'!T241=0,"",('Phytopl Analysis'!T241*LN('Phytopl Analysis'!T241)))</f>
        <v/>
      </c>
      <c r="U241" s="58" t="str">
        <f>IF('Phytopl Count'!U241=0,"",('Phytopl Analysis'!U241*LN('Phytopl Analysis'!U241)))</f>
        <v/>
      </c>
      <c r="V241" s="58" t="str">
        <f>IF('Phytopl Count'!V241=0,"",('Phytopl Analysis'!V241*LN('Phytopl Analysis'!V241)))</f>
        <v/>
      </c>
      <c r="W241" s="21" t="str">
        <f>IF('Phytopl Count'!W241=0,"",('Phytopl Analysis'!W241*LN('Phytopl Analysis'!W241)))</f>
        <v/>
      </c>
      <c r="X241" s="21" t="str">
        <f>IF('Phytopl Count'!X241=0,"",('Phytopl Analysis'!X241*LN('Phytopl Analysis'!X241)))</f>
        <v/>
      </c>
      <c r="Y241" s="58" t="str">
        <f>IF('Phytopl Count'!Y241=0,"",('Phytopl Analysis'!Y241*LN('Phytopl Analysis'!Y241)))</f>
        <v/>
      </c>
      <c r="Z241" s="58" t="str">
        <f>IF('Phytopl Count'!Z241=0,"",('Phytopl Analysis'!Z241*LN('Phytopl Analysis'!Z241)))</f>
        <v/>
      </c>
      <c r="AA241" s="21" t="str">
        <f>IF('Phytopl Count'!AA241=0,"",('Phytopl Analysis'!AA241*LN('Phytopl Analysis'!AA241)))</f>
        <v/>
      </c>
      <c r="AB241" s="21" t="str">
        <f>IF('Phytopl Count'!AB241=0,"",('Phytopl Analysis'!AB241*LN('Phytopl Analysis'!AB241)))</f>
        <v/>
      </c>
      <c r="AC241" s="58" t="str">
        <f>IF('Phytopl Count'!AC241=0,"",('Phytopl Analysis'!AC241*LN('Phytopl Analysis'!AC241)))</f>
        <v/>
      </c>
      <c r="AD241" s="58" t="str">
        <f>IF('Phytopl Count'!AD241=0,"",('Phytopl Analysis'!AD241*LN('Phytopl Analysis'!AD241)))</f>
        <v/>
      </c>
      <c r="AE241" s="21" t="str">
        <f>IF('Phytopl Count'!AE241=0,"",('Phytopl Analysis'!AE241*LN('Phytopl Analysis'!AE241)))</f>
        <v/>
      </c>
      <c r="AF241" s="58" t="str">
        <f>IF('Phytopl Count'!AF241=0,"",('Phytopl Analysis'!AF241*LN('Phytopl Analysis'!AF241)))</f>
        <v/>
      </c>
    </row>
    <row r="242" spans="1:32">
      <c r="A242" s="5"/>
      <c r="B242" s="5"/>
      <c r="C242" s="5"/>
      <c r="D242" s="5"/>
      <c r="E242" s="10"/>
      <c r="F242" s="11"/>
      <c r="G242" s="21" t="str">
        <f>IF('Phytopl Count'!G242=0,"",('Phytopl Analysis'!G242*LN('Phytopl Analysis'!G242)))</f>
        <v/>
      </c>
      <c r="H242" s="21" t="str">
        <f>IF('Phytopl Count'!H242=0,"",('Phytopl Analysis'!H242*LN('Phytopl Analysis'!H242)))</f>
        <v/>
      </c>
      <c r="I242" s="58" t="str">
        <f>IF('Phytopl Count'!I242=0,"",('Phytopl Analysis'!I242*LN('Phytopl Analysis'!I242)))</f>
        <v/>
      </c>
      <c r="J242" s="58" t="str">
        <f>IF('Phytopl Count'!J242=0,"",('Phytopl Analysis'!J242*LN('Phytopl Analysis'!J242)))</f>
        <v/>
      </c>
      <c r="K242" s="21" t="str">
        <f>IF('Phytopl Count'!K242=0,"",('Phytopl Analysis'!K242*LN('Phytopl Analysis'!K242)))</f>
        <v/>
      </c>
      <c r="L242" s="21" t="str">
        <f>IF('Phytopl Count'!L242=0,"",('Phytopl Analysis'!L242*LN('Phytopl Analysis'!L242)))</f>
        <v/>
      </c>
      <c r="M242" s="58" t="str">
        <f>IF('Phytopl Count'!M242=0,"",('Phytopl Analysis'!M242*LN('Phytopl Analysis'!M242)))</f>
        <v/>
      </c>
      <c r="N242" s="58" t="str">
        <f>IF('Phytopl Count'!N242=0,"",('Phytopl Analysis'!N242*LN('Phytopl Analysis'!N242)))</f>
        <v/>
      </c>
      <c r="O242" s="21" t="str">
        <f>IF('Phytopl Count'!O242=0,"",('Phytopl Analysis'!O242*LN('Phytopl Analysis'!O242)))</f>
        <v/>
      </c>
      <c r="P242" s="21" t="str">
        <f>IF('Phytopl Count'!P242=0,"",('Phytopl Analysis'!P242*LN('Phytopl Analysis'!P242)))</f>
        <v/>
      </c>
      <c r="Q242" s="58" t="str">
        <f>IF('Phytopl Count'!Q242=0,"",('Phytopl Analysis'!Q242*LN('Phytopl Analysis'!Q242)))</f>
        <v/>
      </c>
      <c r="R242" s="58" t="str">
        <f>IF('Phytopl Count'!R242=0,"",('Phytopl Analysis'!R242*LN('Phytopl Analysis'!R242)))</f>
        <v/>
      </c>
      <c r="S242" s="21" t="str">
        <f>IF('Phytopl Count'!S242=0,"",('Phytopl Analysis'!S242*LN('Phytopl Analysis'!S242)))</f>
        <v/>
      </c>
      <c r="T242" s="21" t="str">
        <f>IF('Phytopl Count'!T242=0,"",('Phytopl Analysis'!T242*LN('Phytopl Analysis'!T242)))</f>
        <v/>
      </c>
      <c r="U242" s="58" t="str">
        <f>IF('Phytopl Count'!U242=0,"",('Phytopl Analysis'!U242*LN('Phytopl Analysis'!U242)))</f>
        <v/>
      </c>
      <c r="V242" s="58" t="str">
        <f>IF('Phytopl Count'!V242=0,"",('Phytopl Analysis'!V242*LN('Phytopl Analysis'!V242)))</f>
        <v/>
      </c>
      <c r="W242" s="21" t="str">
        <f>IF('Phytopl Count'!W242=0,"",('Phytopl Analysis'!W242*LN('Phytopl Analysis'!W242)))</f>
        <v/>
      </c>
      <c r="X242" s="21" t="str">
        <f>IF('Phytopl Count'!X242=0,"",('Phytopl Analysis'!X242*LN('Phytopl Analysis'!X242)))</f>
        <v/>
      </c>
      <c r="Y242" s="58" t="str">
        <f>IF('Phytopl Count'!Y242=0,"",('Phytopl Analysis'!Y242*LN('Phytopl Analysis'!Y242)))</f>
        <v/>
      </c>
      <c r="Z242" s="58" t="str">
        <f>IF('Phytopl Count'!Z242=0,"",('Phytopl Analysis'!Z242*LN('Phytopl Analysis'!Z242)))</f>
        <v/>
      </c>
      <c r="AA242" s="21" t="str">
        <f>IF('Phytopl Count'!AA242=0,"",('Phytopl Analysis'!AA242*LN('Phytopl Analysis'!AA242)))</f>
        <v/>
      </c>
      <c r="AB242" s="21" t="str">
        <f>IF('Phytopl Count'!AB242=0,"",('Phytopl Analysis'!AB242*LN('Phytopl Analysis'!AB242)))</f>
        <v/>
      </c>
      <c r="AC242" s="58" t="str">
        <f>IF('Phytopl Count'!AC242=0,"",('Phytopl Analysis'!AC242*LN('Phytopl Analysis'!AC242)))</f>
        <v/>
      </c>
      <c r="AD242" s="58" t="str">
        <f>IF('Phytopl Count'!AD242=0,"",('Phytopl Analysis'!AD242*LN('Phytopl Analysis'!AD242)))</f>
        <v/>
      </c>
      <c r="AE242" s="21" t="str">
        <f>IF('Phytopl Count'!AE242=0,"",('Phytopl Analysis'!AE242*LN('Phytopl Analysis'!AE242)))</f>
        <v/>
      </c>
      <c r="AF242" s="58" t="str">
        <f>IF('Phytopl Count'!AF242=0,"",('Phytopl Analysis'!AF242*LN('Phytopl Analysis'!AF242)))</f>
        <v/>
      </c>
    </row>
    <row r="243" spans="1:32">
      <c r="A243" s="4"/>
      <c r="B243" s="16" t="s">
        <v>72</v>
      </c>
      <c r="C243" s="4" t="s">
        <v>187</v>
      </c>
      <c r="D243" s="4"/>
      <c r="E243" s="16"/>
      <c r="F243" s="59"/>
      <c r="G243" s="21" t="str">
        <f>IF('Phytopl Count'!G243=0,"",('Phytopl Analysis'!G243*LN('Phytopl Analysis'!G243)))</f>
        <v/>
      </c>
      <c r="H243" s="21" t="str">
        <f>IF('Phytopl Count'!H243=0,"",('Phytopl Analysis'!H243*LN('Phytopl Analysis'!H243)))</f>
        <v/>
      </c>
      <c r="I243" s="58" t="str">
        <f>IF('Phytopl Count'!I243=0,"",('Phytopl Analysis'!I243*LN('Phytopl Analysis'!I243)))</f>
        <v/>
      </c>
      <c r="J243" s="58" t="str">
        <f>IF('Phytopl Count'!J243=0,"",('Phytopl Analysis'!J243*LN('Phytopl Analysis'!J243)))</f>
        <v/>
      </c>
      <c r="K243" s="21" t="str">
        <f>IF('Phytopl Count'!K243=0,"",('Phytopl Analysis'!K243*LN('Phytopl Analysis'!K243)))</f>
        <v/>
      </c>
      <c r="L243" s="21" t="str">
        <f>IF('Phytopl Count'!L243=0,"",('Phytopl Analysis'!L243*LN('Phytopl Analysis'!L243)))</f>
        <v/>
      </c>
      <c r="M243" s="58" t="str">
        <f>IF('Phytopl Count'!M243=0,"",('Phytopl Analysis'!M243*LN('Phytopl Analysis'!M243)))</f>
        <v/>
      </c>
      <c r="N243" s="58" t="str">
        <f>IF('Phytopl Count'!N243=0,"",('Phytopl Analysis'!N243*LN('Phytopl Analysis'!N243)))</f>
        <v/>
      </c>
      <c r="O243" s="21" t="str">
        <f>IF('Phytopl Count'!O243=0,"",('Phytopl Analysis'!O243*LN('Phytopl Analysis'!O243)))</f>
        <v/>
      </c>
      <c r="P243" s="21" t="str">
        <f>IF('Phytopl Count'!P243=0,"",('Phytopl Analysis'!P243*LN('Phytopl Analysis'!P243)))</f>
        <v/>
      </c>
      <c r="Q243" s="58" t="str">
        <f>IF('Phytopl Count'!Q243=0,"",('Phytopl Analysis'!Q243*LN('Phytopl Analysis'!Q243)))</f>
        <v/>
      </c>
      <c r="R243" s="58" t="str">
        <f>IF('Phytopl Count'!R243=0,"",('Phytopl Analysis'!R243*LN('Phytopl Analysis'!R243)))</f>
        <v/>
      </c>
      <c r="S243" s="21" t="str">
        <f>IF('Phytopl Count'!S243=0,"",('Phytopl Analysis'!S243*LN('Phytopl Analysis'!S243)))</f>
        <v/>
      </c>
      <c r="T243" s="21" t="str">
        <f>IF('Phytopl Count'!T243=0,"",('Phytopl Analysis'!T243*LN('Phytopl Analysis'!T243)))</f>
        <v/>
      </c>
      <c r="U243" s="58" t="str">
        <f>IF('Phytopl Count'!U243=0,"",('Phytopl Analysis'!U243*LN('Phytopl Analysis'!U243)))</f>
        <v/>
      </c>
      <c r="V243" s="58" t="str">
        <f>IF('Phytopl Count'!V243=0,"",('Phytopl Analysis'!V243*LN('Phytopl Analysis'!V243)))</f>
        <v/>
      </c>
      <c r="W243" s="21" t="str">
        <f>IF('Phytopl Count'!W243=0,"",('Phytopl Analysis'!W243*LN('Phytopl Analysis'!W243)))</f>
        <v/>
      </c>
      <c r="X243" s="21" t="str">
        <f>IF('Phytopl Count'!X243=0,"",('Phytopl Analysis'!X243*LN('Phytopl Analysis'!X243)))</f>
        <v/>
      </c>
      <c r="Y243" s="58" t="str">
        <f>IF('Phytopl Count'!Y243=0,"",('Phytopl Analysis'!Y243*LN('Phytopl Analysis'!Y243)))</f>
        <v/>
      </c>
      <c r="Z243" s="58" t="str">
        <f>IF('Phytopl Count'!Z243=0,"",('Phytopl Analysis'!Z243*LN('Phytopl Analysis'!Z243)))</f>
        <v/>
      </c>
      <c r="AA243" s="21" t="str">
        <f>IF('Phytopl Count'!AA243=0,"",('Phytopl Analysis'!AA243*LN('Phytopl Analysis'!AA243)))</f>
        <v/>
      </c>
      <c r="AB243" s="21" t="str">
        <f>IF('Phytopl Count'!AB243=0,"",('Phytopl Analysis'!AB243*LN('Phytopl Analysis'!AB243)))</f>
        <v/>
      </c>
      <c r="AC243" s="58" t="str">
        <f>IF('Phytopl Count'!AC243=0,"",('Phytopl Analysis'!AC243*LN('Phytopl Analysis'!AC243)))</f>
        <v/>
      </c>
      <c r="AD243" s="58" t="str">
        <f>IF('Phytopl Count'!AD243=0,"",('Phytopl Analysis'!AD243*LN('Phytopl Analysis'!AD243)))</f>
        <v/>
      </c>
      <c r="AE243" s="21" t="str">
        <f>IF('Phytopl Count'!AE243=0,"",('Phytopl Analysis'!AE243*LN('Phytopl Analysis'!AE243)))</f>
        <v/>
      </c>
      <c r="AF243" s="58" t="str">
        <f>IF('Phytopl Count'!AF243=0,"",('Phytopl Analysis'!AF243*LN('Phytopl Analysis'!AF243)))</f>
        <v/>
      </c>
    </row>
    <row r="244" spans="1:32">
      <c r="A244" s="4"/>
      <c r="B244" s="4"/>
      <c r="C244" s="16" t="s">
        <v>73</v>
      </c>
      <c r="D244" s="4" t="s">
        <v>98</v>
      </c>
      <c r="E244" s="16"/>
      <c r="F244" s="59"/>
      <c r="G244" s="21" t="str">
        <f>IF('Phytopl Count'!G244=0,"",('Phytopl Analysis'!G244*LN('Phytopl Analysis'!G244)))</f>
        <v/>
      </c>
      <c r="H244" s="21" t="str">
        <f>IF('Phytopl Count'!H244=0,"",('Phytopl Analysis'!H244*LN('Phytopl Analysis'!H244)))</f>
        <v/>
      </c>
      <c r="I244" s="58" t="str">
        <f>IF('Phytopl Count'!I244=0,"",('Phytopl Analysis'!I244*LN('Phytopl Analysis'!I244)))</f>
        <v/>
      </c>
      <c r="J244" s="58" t="str">
        <f>IF('Phytopl Count'!J244=0,"",('Phytopl Analysis'!J244*LN('Phytopl Analysis'!J244)))</f>
        <v/>
      </c>
      <c r="K244" s="21" t="str">
        <f>IF('Phytopl Count'!K244=0,"",('Phytopl Analysis'!K244*LN('Phytopl Analysis'!K244)))</f>
        <v/>
      </c>
      <c r="L244" s="21" t="str">
        <f>IF('Phytopl Count'!L244=0,"",('Phytopl Analysis'!L244*LN('Phytopl Analysis'!L244)))</f>
        <v/>
      </c>
      <c r="M244" s="58" t="str">
        <f>IF('Phytopl Count'!M244=0,"",('Phytopl Analysis'!M244*LN('Phytopl Analysis'!M244)))</f>
        <v/>
      </c>
      <c r="N244" s="58" t="str">
        <f>IF('Phytopl Count'!N244=0,"",('Phytopl Analysis'!N244*LN('Phytopl Analysis'!N244)))</f>
        <v/>
      </c>
      <c r="O244" s="21" t="str">
        <f>IF('Phytopl Count'!O244=0,"",('Phytopl Analysis'!O244*LN('Phytopl Analysis'!O244)))</f>
        <v/>
      </c>
      <c r="P244" s="21" t="str">
        <f>IF('Phytopl Count'!P244=0,"",('Phytopl Analysis'!P244*LN('Phytopl Analysis'!P244)))</f>
        <v/>
      </c>
      <c r="Q244" s="58" t="str">
        <f>IF('Phytopl Count'!Q244=0,"",('Phytopl Analysis'!Q244*LN('Phytopl Analysis'!Q244)))</f>
        <v/>
      </c>
      <c r="R244" s="58" t="str">
        <f>IF('Phytopl Count'!R244=0,"",('Phytopl Analysis'!R244*LN('Phytopl Analysis'!R244)))</f>
        <v/>
      </c>
      <c r="S244" s="21" t="str">
        <f>IF('Phytopl Count'!S244=0,"",('Phytopl Analysis'!S244*LN('Phytopl Analysis'!S244)))</f>
        <v/>
      </c>
      <c r="T244" s="21" t="str">
        <f>IF('Phytopl Count'!T244=0,"",('Phytopl Analysis'!T244*LN('Phytopl Analysis'!T244)))</f>
        <v/>
      </c>
      <c r="U244" s="58" t="str">
        <f>IF('Phytopl Count'!U244=0,"",('Phytopl Analysis'!U244*LN('Phytopl Analysis'!U244)))</f>
        <v/>
      </c>
      <c r="V244" s="58" t="str">
        <f>IF('Phytopl Count'!V244=0,"",('Phytopl Analysis'!V244*LN('Phytopl Analysis'!V244)))</f>
        <v/>
      </c>
      <c r="W244" s="21" t="str">
        <f>IF('Phytopl Count'!W244=0,"",('Phytopl Analysis'!W244*LN('Phytopl Analysis'!W244)))</f>
        <v/>
      </c>
      <c r="X244" s="21" t="str">
        <f>IF('Phytopl Count'!X244=0,"",('Phytopl Analysis'!X244*LN('Phytopl Analysis'!X244)))</f>
        <v/>
      </c>
      <c r="Y244" s="58" t="str">
        <f>IF('Phytopl Count'!Y244=0,"",('Phytopl Analysis'!Y244*LN('Phytopl Analysis'!Y244)))</f>
        <v/>
      </c>
      <c r="Z244" s="58" t="str">
        <f>IF('Phytopl Count'!Z244=0,"",('Phytopl Analysis'!Z244*LN('Phytopl Analysis'!Z244)))</f>
        <v/>
      </c>
      <c r="AA244" s="21" t="str">
        <f>IF('Phytopl Count'!AA244=0,"",('Phytopl Analysis'!AA244*LN('Phytopl Analysis'!AA244)))</f>
        <v/>
      </c>
      <c r="AB244" s="21" t="str">
        <f>IF('Phytopl Count'!AB244=0,"",('Phytopl Analysis'!AB244*LN('Phytopl Analysis'!AB244)))</f>
        <v/>
      </c>
      <c r="AC244" s="58" t="str">
        <f>IF('Phytopl Count'!AC244=0,"",('Phytopl Analysis'!AC244*LN('Phytopl Analysis'!AC244)))</f>
        <v/>
      </c>
      <c r="AD244" s="58" t="str">
        <f>IF('Phytopl Count'!AD244=0,"",('Phytopl Analysis'!AD244*LN('Phytopl Analysis'!AD244)))</f>
        <v/>
      </c>
      <c r="AE244" s="21" t="str">
        <f>IF('Phytopl Count'!AE244=0,"",('Phytopl Analysis'!AE244*LN('Phytopl Analysis'!AE244)))</f>
        <v/>
      </c>
      <c r="AF244" s="58" t="str">
        <f>IF('Phytopl Count'!AF244=0,"",('Phytopl Analysis'!AF244*LN('Phytopl Analysis'!AF244)))</f>
        <v/>
      </c>
    </row>
    <row r="245" spans="1:32">
      <c r="A245" s="5"/>
      <c r="B245" s="5"/>
      <c r="C245" s="5"/>
      <c r="D245" s="10" t="s">
        <v>5</v>
      </c>
      <c r="E245" s="167" t="s">
        <v>379</v>
      </c>
      <c r="F245" s="11"/>
      <c r="G245" s="21" t="str">
        <f>IF('Phytopl Count'!G245=0,"",('Phytopl Analysis'!G245*LN('Phytopl Analysis'!G245)))</f>
        <v/>
      </c>
      <c r="H245" s="21" t="str">
        <f>IF('Phytopl Count'!H245=0,"",('Phytopl Analysis'!H245*LN('Phytopl Analysis'!H245)))</f>
        <v/>
      </c>
      <c r="I245" s="58" t="str">
        <f>IF('Phytopl Count'!I245=0,"",('Phytopl Analysis'!I245*LN('Phytopl Analysis'!I245)))</f>
        <v/>
      </c>
      <c r="J245" s="58" t="str">
        <f>IF('Phytopl Count'!J245=0,"",('Phytopl Analysis'!J245*LN('Phytopl Analysis'!J245)))</f>
        <v/>
      </c>
      <c r="K245" s="21" t="str">
        <f>IF('Phytopl Count'!K245=0,"",('Phytopl Analysis'!K245*LN('Phytopl Analysis'!K245)))</f>
        <v/>
      </c>
      <c r="L245" s="21" t="str">
        <f>IF('Phytopl Count'!L245=0,"",('Phytopl Analysis'!L245*LN('Phytopl Analysis'!L245)))</f>
        <v/>
      </c>
      <c r="M245" s="58" t="str">
        <f>IF('Phytopl Count'!M245=0,"",('Phytopl Analysis'!M245*LN('Phytopl Analysis'!M245)))</f>
        <v/>
      </c>
      <c r="N245" s="58" t="str">
        <f>IF('Phytopl Count'!N245=0,"",('Phytopl Analysis'!N245*LN('Phytopl Analysis'!N245)))</f>
        <v/>
      </c>
      <c r="O245" s="21" t="str">
        <f>IF('Phytopl Count'!O245=0,"",('Phytopl Analysis'!O245*LN('Phytopl Analysis'!O245)))</f>
        <v/>
      </c>
      <c r="P245" s="21" t="str">
        <f>IF('Phytopl Count'!P245=0,"",('Phytopl Analysis'!P245*LN('Phytopl Analysis'!P245)))</f>
        <v/>
      </c>
      <c r="Q245" s="58" t="str">
        <f>IF('Phytopl Count'!Q245=0,"",('Phytopl Analysis'!Q245*LN('Phytopl Analysis'!Q245)))</f>
        <v/>
      </c>
      <c r="R245" s="58" t="str">
        <f>IF('Phytopl Count'!R245=0,"",('Phytopl Analysis'!R245*LN('Phytopl Analysis'!R245)))</f>
        <v/>
      </c>
      <c r="S245" s="21" t="str">
        <f>IF('Phytopl Count'!S245=0,"",('Phytopl Analysis'!S245*LN('Phytopl Analysis'!S245)))</f>
        <v/>
      </c>
      <c r="T245" s="21" t="str">
        <f>IF('Phytopl Count'!T245=0,"",('Phytopl Analysis'!T245*LN('Phytopl Analysis'!T245)))</f>
        <v/>
      </c>
      <c r="U245" s="58" t="str">
        <f>IF('Phytopl Count'!U245=0,"",('Phytopl Analysis'!U245*LN('Phytopl Analysis'!U245)))</f>
        <v/>
      </c>
      <c r="V245" s="58" t="str">
        <f>IF('Phytopl Count'!V245=0,"",('Phytopl Analysis'!V245*LN('Phytopl Analysis'!V245)))</f>
        <v/>
      </c>
      <c r="W245" s="21" t="str">
        <f>IF('Phytopl Count'!W245=0,"",('Phytopl Analysis'!W245*LN('Phytopl Analysis'!W245)))</f>
        <v/>
      </c>
      <c r="X245" s="21" t="str">
        <f>IF('Phytopl Count'!X245=0,"",('Phytopl Analysis'!X245*LN('Phytopl Analysis'!X245)))</f>
        <v/>
      </c>
      <c r="Y245" s="58" t="str">
        <f>IF('Phytopl Count'!Y245=0,"",('Phytopl Analysis'!Y245*LN('Phytopl Analysis'!Y245)))</f>
        <v/>
      </c>
      <c r="Z245" s="58" t="str">
        <f>IF('Phytopl Count'!Z245=0,"",('Phytopl Analysis'!Z245*LN('Phytopl Analysis'!Z245)))</f>
        <v/>
      </c>
      <c r="AA245" s="21" t="str">
        <f>IF('Phytopl Count'!AA245=0,"",('Phytopl Analysis'!AA245*LN('Phytopl Analysis'!AA245)))</f>
        <v/>
      </c>
      <c r="AB245" s="21" t="str">
        <f>IF('Phytopl Count'!AB245=0,"",('Phytopl Analysis'!AB245*LN('Phytopl Analysis'!AB245)))</f>
        <v/>
      </c>
      <c r="AC245" s="58" t="str">
        <f>IF('Phytopl Count'!AC245=0,"",('Phytopl Analysis'!AC245*LN('Phytopl Analysis'!AC245)))</f>
        <v/>
      </c>
      <c r="AD245" s="58" t="str">
        <f>IF('Phytopl Count'!AD245=0,"",('Phytopl Analysis'!AD245*LN('Phytopl Analysis'!AD245)))</f>
        <v/>
      </c>
      <c r="AE245" s="21" t="str">
        <f>IF('Phytopl Count'!AE245=0,"",('Phytopl Analysis'!AE245*LN('Phytopl Analysis'!AE245)))</f>
        <v/>
      </c>
      <c r="AF245" s="58" t="str">
        <f>IF('Phytopl Count'!AF245=0,"",('Phytopl Analysis'!AF245*LN('Phytopl Analysis'!AF245)))</f>
        <v/>
      </c>
    </row>
    <row r="246" spans="1:32">
      <c r="A246" s="5"/>
      <c r="B246" s="5"/>
      <c r="C246" s="5"/>
      <c r="D246" s="5"/>
      <c r="E246" s="10" t="s">
        <v>6</v>
      </c>
      <c r="F246" s="11" t="s">
        <v>380</v>
      </c>
      <c r="G246" s="21" t="str">
        <f>IF('Phytopl Count'!G246=0,"",('Phytopl Analysis'!G246*LN('Phytopl Analysis'!G246)))</f>
        <v/>
      </c>
      <c r="H246" s="21" t="str">
        <f>IF('Phytopl Count'!H246=0,"",('Phytopl Analysis'!H246*LN('Phytopl Analysis'!H246)))</f>
        <v/>
      </c>
      <c r="I246" s="58" t="str">
        <f>IF('Phytopl Count'!I246=0,"",('Phytopl Analysis'!I246*LN('Phytopl Analysis'!I246)))</f>
        <v/>
      </c>
      <c r="J246" s="58" t="str">
        <f>IF('Phytopl Count'!J246=0,"",('Phytopl Analysis'!J246*LN('Phytopl Analysis'!J246)))</f>
        <v/>
      </c>
      <c r="K246" s="21">
        <f>IF('Phytopl Count'!K246=0,"",('Phytopl Analysis'!K246*LN('Phytopl Analysis'!K246)))</f>
        <v>-0.11022075559754062</v>
      </c>
      <c r="L246" s="21" t="str">
        <f>IF('Phytopl Count'!L246=0,"",('Phytopl Analysis'!L246*LN('Phytopl Analysis'!L246)))</f>
        <v/>
      </c>
      <c r="M246" s="58" t="str">
        <f>IF('Phytopl Count'!M246=0,"",('Phytopl Analysis'!M246*LN('Phytopl Analysis'!M246)))</f>
        <v/>
      </c>
      <c r="N246" s="58" t="str">
        <f>IF('Phytopl Count'!N246=0,"",('Phytopl Analysis'!N246*LN('Phytopl Analysis'!N246)))</f>
        <v/>
      </c>
      <c r="O246" s="21" t="str">
        <f>IF('Phytopl Count'!O246=0,"",('Phytopl Analysis'!O246*LN('Phytopl Analysis'!O246)))</f>
        <v/>
      </c>
      <c r="P246" s="21" t="str">
        <f>IF('Phytopl Count'!P246=0,"",('Phytopl Analysis'!P246*LN('Phytopl Analysis'!P246)))</f>
        <v/>
      </c>
      <c r="Q246" s="58" t="str">
        <f>IF('Phytopl Count'!Q246=0,"",('Phytopl Analysis'!Q246*LN('Phytopl Analysis'!Q246)))</f>
        <v/>
      </c>
      <c r="R246" s="58" t="str">
        <f>IF('Phytopl Count'!R246=0,"",('Phytopl Analysis'!R246*LN('Phytopl Analysis'!R246)))</f>
        <v/>
      </c>
      <c r="S246" s="21" t="str">
        <f>IF('Phytopl Count'!S246=0,"",('Phytopl Analysis'!S246*LN('Phytopl Analysis'!S246)))</f>
        <v/>
      </c>
      <c r="T246" s="21" t="str">
        <f>IF('Phytopl Count'!T246=0,"",('Phytopl Analysis'!T246*LN('Phytopl Analysis'!T246)))</f>
        <v/>
      </c>
      <c r="U246" s="58" t="str">
        <f>IF('Phytopl Count'!U246=0,"",('Phytopl Analysis'!U246*LN('Phytopl Analysis'!U246)))</f>
        <v/>
      </c>
      <c r="V246" s="58">
        <f>IF('Phytopl Count'!V246=0,"",('Phytopl Analysis'!V246*LN('Phytopl Analysis'!V246)))</f>
        <v>-0.12884150444391032</v>
      </c>
      <c r="W246" s="21" t="str">
        <f>IF('Phytopl Count'!W246=0,"",('Phytopl Analysis'!W246*LN('Phytopl Analysis'!W246)))</f>
        <v/>
      </c>
      <c r="X246" s="21">
        <f>IF('Phytopl Count'!X246=0,"",('Phytopl Analysis'!X246*LN('Phytopl Analysis'!X246)))</f>
        <v>-0.11022075559754062</v>
      </c>
      <c r="Y246" s="58" t="str">
        <f>IF('Phytopl Count'!Y246=0,"",('Phytopl Analysis'!Y246*LN('Phytopl Analysis'!Y246)))</f>
        <v/>
      </c>
      <c r="Z246" s="58" t="str">
        <f>IF('Phytopl Count'!Z246=0,"",('Phytopl Analysis'!Z246*LN('Phytopl Analysis'!Z246)))</f>
        <v/>
      </c>
      <c r="AA246" s="21">
        <f>IF('Phytopl Count'!AA246=0,"",('Phytopl Analysis'!AA246*LN('Phytopl Analysis'!AA246)))</f>
        <v>-0.11022075559754062</v>
      </c>
      <c r="AB246" s="21" t="str">
        <f>IF('Phytopl Count'!AB246=0,"",('Phytopl Analysis'!AB246*LN('Phytopl Analysis'!AB246)))</f>
        <v/>
      </c>
      <c r="AC246" s="58" t="str">
        <f>IF('Phytopl Count'!AC246=0,"",('Phytopl Analysis'!AC246*LN('Phytopl Analysis'!AC246)))</f>
        <v/>
      </c>
      <c r="AD246" s="58" t="str">
        <f>IF('Phytopl Count'!AD246=0,"",('Phytopl Analysis'!AD246*LN('Phytopl Analysis'!AD246)))</f>
        <v/>
      </c>
      <c r="AE246" s="21" t="str">
        <f>IF('Phytopl Count'!AE246=0,"",('Phytopl Analysis'!AE246*LN('Phytopl Analysis'!AE246)))</f>
        <v/>
      </c>
      <c r="AF246" s="58" t="str">
        <f>IF('Phytopl Count'!AF246=0,"",('Phytopl Analysis'!AF246*LN('Phytopl Analysis'!AF246)))</f>
        <v/>
      </c>
    </row>
    <row r="247" spans="1:32" hidden="1">
      <c r="A247" s="5"/>
      <c r="B247" s="5"/>
      <c r="C247" s="5"/>
      <c r="D247" s="10" t="s">
        <v>5</v>
      </c>
      <c r="E247" s="12" t="s">
        <v>44</v>
      </c>
      <c r="F247" s="11"/>
      <c r="G247" s="21" t="str">
        <f>IF('Phytopl Count'!G247=0,"",('Phytopl Analysis'!G247*LN('Phytopl Analysis'!G247)))</f>
        <v/>
      </c>
      <c r="H247" s="21" t="str">
        <f>IF('Phytopl Count'!H247=0,"",('Phytopl Analysis'!H247*LN('Phytopl Analysis'!H247)))</f>
        <v/>
      </c>
      <c r="I247" s="58" t="str">
        <f>IF('Phytopl Count'!I247=0,"",('Phytopl Analysis'!I247*LN('Phytopl Analysis'!I247)))</f>
        <v/>
      </c>
      <c r="J247" s="58" t="str">
        <f>IF('Phytopl Count'!J247=0,"",('Phytopl Analysis'!J247*LN('Phytopl Analysis'!J247)))</f>
        <v/>
      </c>
      <c r="K247" s="21" t="str">
        <f>IF('Phytopl Count'!K247=0,"",('Phytopl Analysis'!K247*LN('Phytopl Analysis'!K247)))</f>
        <v/>
      </c>
      <c r="L247" s="21" t="str">
        <f>IF('Phytopl Count'!L247=0,"",('Phytopl Analysis'!L247*LN('Phytopl Analysis'!L247)))</f>
        <v/>
      </c>
      <c r="M247" s="58" t="str">
        <f>IF('Phytopl Count'!M247=0,"",('Phytopl Analysis'!M247*LN('Phytopl Analysis'!M247)))</f>
        <v/>
      </c>
      <c r="N247" s="58" t="str">
        <f>IF('Phytopl Count'!N247=0,"",('Phytopl Analysis'!N247*LN('Phytopl Analysis'!N247)))</f>
        <v/>
      </c>
      <c r="O247" s="21" t="str">
        <f>IF('Phytopl Count'!O247=0,"",('Phytopl Analysis'!O247*LN('Phytopl Analysis'!O247)))</f>
        <v/>
      </c>
      <c r="P247" s="21" t="str">
        <f>IF('Phytopl Count'!P247=0,"",('Phytopl Analysis'!P247*LN('Phytopl Analysis'!P247)))</f>
        <v/>
      </c>
      <c r="Q247" s="58" t="str">
        <f>IF('Phytopl Count'!Q247=0,"",('Phytopl Analysis'!Q247*LN('Phytopl Analysis'!Q247)))</f>
        <v/>
      </c>
      <c r="R247" s="58" t="str">
        <f>IF('Phytopl Count'!R247=0,"",('Phytopl Analysis'!R247*LN('Phytopl Analysis'!R247)))</f>
        <v/>
      </c>
      <c r="S247" s="21" t="str">
        <f>IF('Phytopl Count'!S247=0,"",('Phytopl Analysis'!S247*LN('Phytopl Analysis'!S247)))</f>
        <v/>
      </c>
      <c r="T247" s="21" t="str">
        <f>IF('Phytopl Count'!T247=0,"",('Phytopl Analysis'!T247*LN('Phytopl Analysis'!T247)))</f>
        <v/>
      </c>
      <c r="U247" s="58" t="str">
        <f>IF('Phytopl Count'!U247=0,"",('Phytopl Analysis'!U247*LN('Phytopl Analysis'!U247)))</f>
        <v/>
      </c>
      <c r="V247" s="58" t="str">
        <f>IF('Phytopl Count'!V247=0,"",('Phytopl Analysis'!V247*LN('Phytopl Analysis'!V247)))</f>
        <v/>
      </c>
      <c r="W247" s="21" t="str">
        <f>IF('Phytopl Count'!W247=0,"",('Phytopl Analysis'!W247*LN('Phytopl Analysis'!W247)))</f>
        <v/>
      </c>
      <c r="X247" s="21" t="str">
        <f>IF('Phytopl Count'!X247=0,"",('Phytopl Analysis'!X247*LN('Phytopl Analysis'!X247)))</f>
        <v/>
      </c>
      <c r="Y247" s="58" t="str">
        <f>IF('Phytopl Count'!Y247=0,"",('Phytopl Analysis'!Y247*LN('Phytopl Analysis'!Y247)))</f>
        <v/>
      </c>
      <c r="Z247" s="58" t="str">
        <f>IF('Phytopl Count'!Z247=0,"",('Phytopl Analysis'!Z247*LN('Phytopl Analysis'!Z247)))</f>
        <v/>
      </c>
      <c r="AA247" s="21" t="str">
        <f>IF('Phytopl Count'!AA247=0,"",('Phytopl Analysis'!AA247*LN('Phytopl Analysis'!AA247)))</f>
        <v/>
      </c>
      <c r="AB247" s="21" t="str">
        <f>IF('Phytopl Count'!AB247=0,"",('Phytopl Analysis'!AB247*LN('Phytopl Analysis'!AB247)))</f>
        <v/>
      </c>
      <c r="AC247" s="58" t="str">
        <f>IF('Phytopl Count'!AC247=0,"",('Phytopl Analysis'!AC247*LN('Phytopl Analysis'!AC247)))</f>
        <v/>
      </c>
      <c r="AD247" s="58" t="str">
        <f>IF('Phytopl Count'!AD247=0,"",('Phytopl Analysis'!AD247*LN('Phytopl Analysis'!AD247)))</f>
        <v/>
      </c>
      <c r="AE247" s="21" t="str">
        <f>IF('Phytopl Count'!AE247=0,"",('Phytopl Analysis'!AE247*LN('Phytopl Analysis'!AE247)))</f>
        <v/>
      </c>
      <c r="AF247" s="58" t="str">
        <f>IF('Phytopl Count'!AF247=0,"",('Phytopl Analysis'!AF247*LN('Phytopl Analysis'!AF247)))</f>
        <v/>
      </c>
    </row>
    <row r="248" spans="1:32" hidden="1">
      <c r="A248" s="5"/>
      <c r="B248" s="5"/>
      <c r="C248" s="5"/>
      <c r="D248" s="5"/>
      <c r="E248" s="10" t="s">
        <v>6</v>
      </c>
      <c r="F248" s="11" t="s">
        <v>45</v>
      </c>
      <c r="G248" s="21" t="str">
        <f>IF('Phytopl Count'!G248=0,"",('Phytopl Analysis'!G248*LN('Phytopl Analysis'!G248)))</f>
        <v/>
      </c>
      <c r="H248" s="21" t="str">
        <f>IF('Phytopl Count'!H248=0,"",('Phytopl Analysis'!H248*LN('Phytopl Analysis'!H248)))</f>
        <v/>
      </c>
      <c r="I248" s="58" t="str">
        <f>IF('Phytopl Count'!I248=0,"",('Phytopl Analysis'!I248*LN('Phytopl Analysis'!I248)))</f>
        <v/>
      </c>
      <c r="J248" s="58" t="str">
        <f>IF('Phytopl Count'!J248=0,"",('Phytopl Analysis'!J248*LN('Phytopl Analysis'!J248)))</f>
        <v/>
      </c>
      <c r="K248" s="21" t="str">
        <f>IF('Phytopl Count'!K248=0,"",('Phytopl Analysis'!K248*LN('Phytopl Analysis'!K248)))</f>
        <v/>
      </c>
      <c r="L248" s="21" t="str">
        <f>IF('Phytopl Count'!L248=0,"",('Phytopl Analysis'!L248*LN('Phytopl Analysis'!L248)))</f>
        <v/>
      </c>
      <c r="M248" s="58" t="str">
        <f>IF('Phytopl Count'!M248=0,"",('Phytopl Analysis'!M248*LN('Phytopl Analysis'!M248)))</f>
        <v/>
      </c>
      <c r="N248" s="58" t="str">
        <f>IF('Phytopl Count'!N248=0,"",('Phytopl Analysis'!N248*LN('Phytopl Analysis'!N248)))</f>
        <v/>
      </c>
      <c r="O248" s="21" t="str">
        <f>IF('Phytopl Count'!O248=0,"",('Phytopl Analysis'!O248*LN('Phytopl Analysis'!O248)))</f>
        <v/>
      </c>
      <c r="P248" s="21" t="str">
        <f>IF('Phytopl Count'!P248=0,"",('Phytopl Analysis'!P248*LN('Phytopl Analysis'!P248)))</f>
        <v/>
      </c>
      <c r="Q248" s="58" t="str">
        <f>IF('Phytopl Count'!Q248=0,"",('Phytopl Analysis'!Q248*LN('Phytopl Analysis'!Q248)))</f>
        <v/>
      </c>
      <c r="R248" s="58" t="str">
        <f>IF('Phytopl Count'!R248=0,"",('Phytopl Analysis'!R248*LN('Phytopl Analysis'!R248)))</f>
        <v/>
      </c>
      <c r="S248" s="21" t="str">
        <f>IF('Phytopl Count'!S248=0,"",('Phytopl Analysis'!S248*LN('Phytopl Analysis'!S248)))</f>
        <v/>
      </c>
      <c r="T248" s="21" t="str">
        <f>IF('Phytopl Count'!T248=0,"",('Phytopl Analysis'!T248*LN('Phytopl Analysis'!T248)))</f>
        <v/>
      </c>
      <c r="U248" s="58" t="str">
        <f>IF('Phytopl Count'!U248=0,"",('Phytopl Analysis'!U248*LN('Phytopl Analysis'!U248)))</f>
        <v/>
      </c>
      <c r="V248" s="58" t="str">
        <f>IF('Phytopl Count'!V248=0,"",('Phytopl Analysis'!V248*LN('Phytopl Analysis'!V248)))</f>
        <v/>
      </c>
      <c r="W248" s="21" t="str">
        <f>IF('Phytopl Count'!W248=0,"",('Phytopl Analysis'!W248*LN('Phytopl Analysis'!W248)))</f>
        <v/>
      </c>
      <c r="X248" s="21" t="str">
        <f>IF('Phytopl Count'!X248=0,"",('Phytopl Analysis'!X248*LN('Phytopl Analysis'!X248)))</f>
        <v/>
      </c>
      <c r="Y248" s="58" t="str">
        <f>IF('Phytopl Count'!Y248=0,"",('Phytopl Analysis'!Y248*LN('Phytopl Analysis'!Y248)))</f>
        <v/>
      </c>
      <c r="Z248" s="58" t="str">
        <f>IF('Phytopl Count'!Z248=0,"",('Phytopl Analysis'!Z248*LN('Phytopl Analysis'!Z248)))</f>
        <v/>
      </c>
      <c r="AA248" s="21" t="str">
        <f>IF('Phytopl Count'!AA248=0,"",('Phytopl Analysis'!AA248*LN('Phytopl Analysis'!AA248)))</f>
        <v/>
      </c>
      <c r="AB248" s="21" t="str">
        <f>IF('Phytopl Count'!AB248=0,"",('Phytopl Analysis'!AB248*LN('Phytopl Analysis'!AB248)))</f>
        <v/>
      </c>
      <c r="AC248" s="58" t="str">
        <f>IF('Phytopl Count'!AC248=0,"",('Phytopl Analysis'!AC248*LN('Phytopl Analysis'!AC248)))</f>
        <v/>
      </c>
      <c r="AD248" s="58" t="str">
        <f>IF('Phytopl Count'!AD248=0,"",('Phytopl Analysis'!AD248*LN('Phytopl Analysis'!AD248)))</f>
        <v/>
      </c>
      <c r="AE248" s="21" t="str">
        <f>IF('Phytopl Count'!AE248=0,"",('Phytopl Analysis'!AE248*LN('Phytopl Analysis'!AE248)))</f>
        <v/>
      </c>
      <c r="AF248" s="58" t="str">
        <f>IF('Phytopl Count'!AF248=0,"",('Phytopl Analysis'!AF248*LN('Phytopl Analysis'!AF248)))</f>
        <v/>
      </c>
    </row>
    <row r="249" spans="1:32">
      <c r="A249" s="4"/>
      <c r="B249" s="4"/>
      <c r="C249" s="4"/>
      <c r="D249" s="4"/>
      <c r="E249" s="4"/>
      <c r="F249" s="6"/>
      <c r="G249" s="21" t="str">
        <f>IF('Phytopl Count'!G249=0,"",('Phytopl Analysis'!G249*LN('Phytopl Analysis'!G249)))</f>
        <v/>
      </c>
      <c r="H249" s="21" t="str">
        <f>IF('Phytopl Count'!H249=0,"",('Phytopl Analysis'!H249*LN('Phytopl Analysis'!H249)))</f>
        <v/>
      </c>
      <c r="I249" s="58" t="str">
        <f>IF('Phytopl Count'!I249=0,"",('Phytopl Analysis'!I249*LN('Phytopl Analysis'!I249)))</f>
        <v/>
      </c>
      <c r="J249" s="58" t="str">
        <f>IF('Phytopl Count'!J249=0,"",('Phytopl Analysis'!J249*LN('Phytopl Analysis'!J249)))</f>
        <v/>
      </c>
      <c r="K249" s="21" t="str">
        <f>IF('Phytopl Count'!K249=0,"",('Phytopl Analysis'!K249*LN('Phytopl Analysis'!K249)))</f>
        <v/>
      </c>
      <c r="L249" s="21" t="str">
        <f>IF('Phytopl Count'!L249=0,"",('Phytopl Analysis'!L249*LN('Phytopl Analysis'!L249)))</f>
        <v/>
      </c>
      <c r="M249" s="58" t="str">
        <f>IF('Phytopl Count'!M249=0,"",('Phytopl Analysis'!M249*LN('Phytopl Analysis'!M249)))</f>
        <v/>
      </c>
      <c r="N249" s="58" t="str">
        <f>IF('Phytopl Count'!N249=0,"",('Phytopl Analysis'!N249*LN('Phytopl Analysis'!N249)))</f>
        <v/>
      </c>
      <c r="O249" s="21" t="str">
        <f>IF('Phytopl Count'!O249=0,"",('Phytopl Analysis'!O249*LN('Phytopl Analysis'!O249)))</f>
        <v/>
      </c>
      <c r="P249" s="21" t="str">
        <f>IF('Phytopl Count'!P249=0,"",('Phytopl Analysis'!P249*LN('Phytopl Analysis'!P249)))</f>
        <v/>
      </c>
      <c r="Q249" s="58" t="str">
        <f>IF('Phytopl Count'!Q249=0,"",('Phytopl Analysis'!Q249*LN('Phytopl Analysis'!Q249)))</f>
        <v/>
      </c>
      <c r="R249" s="58" t="str">
        <f>IF('Phytopl Count'!R249=0,"",('Phytopl Analysis'!R249*LN('Phytopl Analysis'!R249)))</f>
        <v/>
      </c>
      <c r="S249" s="21" t="str">
        <f>IF('Phytopl Count'!S249=0,"",('Phytopl Analysis'!S249*LN('Phytopl Analysis'!S249)))</f>
        <v/>
      </c>
      <c r="T249" s="21" t="str">
        <f>IF('Phytopl Count'!T249=0,"",('Phytopl Analysis'!T249*LN('Phytopl Analysis'!T249)))</f>
        <v/>
      </c>
      <c r="U249" s="58" t="str">
        <f>IF('Phytopl Count'!U249=0,"",('Phytopl Analysis'!U249*LN('Phytopl Analysis'!U249)))</f>
        <v/>
      </c>
      <c r="V249" s="58" t="str">
        <f>IF('Phytopl Count'!V249=0,"",('Phytopl Analysis'!V249*LN('Phytopl Analysis'!V249)))</f>
        <v/>
      </c>
      <c r="W249" s="21" t="str">
        <f>IF('Phytopl Count'!W249=0,"",('Phytopl Analysis'!W249*LN('Phytopl Analysis'!W249)))</f>
        <v/>
      </c>
      <c r="X249" s="21" t="str">
        <f>IF('Phytopl Count'!X249=0,"",('Phytopl Analysis'!X249*LN('Phytopl Analysis'!X249)))</f>
        <v/>
      </c>
      <c r="Y249" s="58" t="str">
        <f>IF('Phytopl Count'!Y249=0,"",('Phytopl Analysis'!Y249*LN('Phytopl Analysis'!Y249)))</f>
        <v/>
      </c>
      <c r="Z249" s="58" t="str">
        <f>IF('Phytopl Count'!Z249=0,"",('Phytopl Analysis'!Z249*LN('Phytopl Analysis'!Z249)))</f>
        <v/>
      </c>
      <c r="AA249" s="21" t="str">
        <f>IF('Phytopl Count'!AA249=0,"",('Phytopl Analysis'!AA249*LN('Phytopl Analysis'!AA249)))</f>
        <v/>
      </c>
      <c r="AB249" s="21" t="str">
        <f>IF('Phytopl Count'!AB249=0,"",('Phytopl Analysis'!AB249*LN('Phytopl Analysis'!AB249)))</f>
        <v/>
      </c>
      <c r="AC249" s="58" t="str">
        <f>IF('Phytopl Count'!AC249=0,"",('Phytopl Analysis'!AC249*LN('Phytopl Analysis'!AC249)))</f>
        <v/>
      </c>
      <c r="AD249" s="58" t="str">
        <f>IF('Phytopl Count'!AD249=0,"",('Phytopl Analysis'!AD249*LN('Phytopl Analysis'!AD249)))</f>
        <v/>
      </c>
      <c r="AE249" s="21" t="str">
        <f>IF('Phytopl Count'!AE249=0,"",('Phytopl Analysis'!AE249*LN('Phytopl Analysis'!AE249)))</f>
        <v/>
      </c>
      <c r="AF249" s="58" t="str">
        <f>IF('Phytopl Count'!AF249=0,"",('Phytopl Analysis'!AF249*LN('Phytopl Analysis'!AF249)))</f>
        <v/>
      </c>
    </row>
    <row r="250" spans="1:32">
      <c r="A250" s="16" t="s">
        <v>4</v>
      </c>
      <c r="B250" s="4" t="s">
        <v>155</v>
      </c>
      <c r="C250" s="16"/>
      <c r="D250" s="4"/>
      <c r="E250" s="4"/>
      <c r="F250" s="59"/>
      <c r="G250" s="21" t="str">
        <f>IF('Phytopl Count'!G250=0,"",('Phytopl Analysis'!G250*LN('Phytopl Analysis'!G250)))</f>
        <v/>
      </c>
      <c r="H250" s="21" t="str">
        <f>IF('Phytopl Count'!H250=0,"",('Phytopl Analysis'!H250*LN('Phytopl Analysis'!H250)))</f>
        <v/>
      </c>
      <c r="I250" s="58" t="str">
        <f>IF('Phytopl Count'!I250=0,"",('Phytopl Analysis'!I250*LN('Phytopl Analysis'!I250)))</f>
        <v/>
      </c>
      <c r="J250" s="58" t="str">
        <f>IF('Phytopl Count'!J250=0,"",('Phytopl Analysis'!J250*LN('Phytopl Analysis'!J250)))</f>
        <v/>
      </c>
      <c r="K250" s="21" t="str">
        <f>IF('Phytopl Count'!K250=0,"",('Phytopl Analysis'!K250*LN('Phytopl Analysis'!K250)))</f>
        <v/>
      </c>
      <c r="L250" s="21" t="str">
        <f>IF('Phytopl Count'!L250=0,"",('Phytopl Analysis'!L250*LN('Phytopl Analysis'!L250)))</f>
        <v/>
      </c>
      <c r="M250" s="58" t="str">
        <f>IF('Phytopl Count'!M250=0,"",('Phytopl Analysis'!M250*LN('Phytopl Analysis'!M250)))</f>
        <v/>
      </c>
      <c r="N250" s="58" t="str">
        <f>IF('Phytopl Count'!N250=0,"",('Phytopl Analysis'!N250*LN('Phytopl Analysis'!N250)))</f>
        <v/>
      </c>
      <c r="O250" s="21" t="str">
        <f>IF('Phytopl Count'!O250=0,"",('Phytopl Analysis'!O250*LN('Phytopl Analysis'!O250)))</f>
        <v/>
      </c>
      <c r="P250" s="21" t="str">
        <f>IF('Phytopl Count'!P250=0,"",('Phytopl Analysis'!P250*LN('Phytopl Analysis'!P250)))</f>
        <v/>
      </c>
      <c r="Q250" s="58" t="str">
        <f>IF('Phytopl Count'!Q250=0,"",('Phytopl Analysis'!Q250*LN('Phytopl Analysis'!Q250)))</f>
        <v/>
      </c>
      <c r="R250" s="58" t="str">
        <f>IF('Phytopl Count'!R250=0,"",('Phytopl Analysis'!R250*LN('Phytopl Analysis'!R250)))</f>
        <v/>
      </c>
      <c r="S250" s="21" t="str">
        <f>IF('Phytopl Count'!S250=0,"",('Phytopl Analysis'!S250*LN('Phytopl Analysis'!S250)))</f>
        <v/>
      </c>
      <c r="T250" s="21" t="str">
        <f>IF('Phytopl Count'!T250=0,"",('Phytopl Analysis'!T250*LN('Phytopl Analysis'!T250)))</f>
        <v/>
      </c>
      <c r="U250" s="58" t="str">
        <f>IF('Phytopl Count'!U250=0,"",('Phytopl Analysis'!U250*LN('Phytopl Analysis'!U250)))</f>
        <v/>
      </c>
      <c r="V250" s="58" t="str">
        <f>IF('Phytopl Count'!V250=0,"",('Phytopl Analysis'!V250*LN('Phytopl Analysis'!V250)))</f>
        <v/>
      </c>
      <c r="W250" s="21" t="str">
        <f>IF('Phytopl Count'!W250=0,"",('Phytopl Analysis'!W250*LN('Phytopl Analysis'!W250)))</f>
        <v/>
      </c>
      <c r="X250" s="21" t="str">
        <f>IF('Phytopl Count'!X250=0,"",('Phytopl Analysis'!X250*LN('Phytopl Analysis'!X250)))</f>
        <v/>
      </c>
      <c r="Y250" s="58" t="str">
        <f>IF('Phytopl Count'!Y250=0,"",('Phytopl Analysis'!Y250*LN('Phytopl Analysis'!Y250)))</f>
        <v/>
      </c>
      <c r="Z250" s="58" t="str">
        <f>IF('Phytopl Count'!Z250=0,"",('Phytopl Analysis'!Z250*LN('Phytopl Analysis'!Z250)))</f>
        <v/>
      </c>
      <c r="AA250" s="21" t="str">
        <f>IF('Phytopl Count'!AA250=0,"",('Phytopl Analysis'!AA250*LN('Phytopl Analysis'!AA250)))</f>
        <v/>
      </c>
      <c r="AB250" s="21" t="str">
        <f>IF('Phytopl Count'!AB250=0,"",('Phytopl Analysis'!AB250*LN('Phytopl Analysis'!AB250)))</f>
        <v/>
      </c>
      <c r="AC250" s="58" t="str">
        <f>IF('Phytopl Count'!AC250=0,"",('Phytopl Analysis'!AC250*LN('Phytopl Analysis'!AC250)))</f>
        <v/>
      </c>
      <c r="AD250" s="58" t="str">
        <f>IF('Phytopl Count'!AD250=0,"",('Phytopl Analysis'!AD250*LN('Phytopl Analysis'!AD250)))</f>
        <v/>
      </c>
      <c r="AE250" s="21" t="str">
        <f>IF('Phytopl Count'!AE250=0,"",('Phytopl Analysis'!AE250*LN('Phytopl Analysis'!AE250)))</f>
        <v/>
      </c>
      <c r="AF250" s="58" t="str">
        <f>IF('Phytopl Count'!AF250=0,"",('Phytopl Analysis'!AF250*LN('Phytopl Analysis'!AF250)))</f>
        <v/>
      </c>
    </row>
    <row r="251" spans="1:32">
      <c r="A251" s="16"/>
      <c r="B251" s="16" t="s">
        <v>72</v>
      </c>
      <c r="C251" s="28" t="s">
        <v>10</v>
      </c>
      <c r="D251" s="4"/>
      <c r="E251" s="4"/>
      <c r="F251" s="59"/>
      <c r="G251" s="21" t="str">
        <f>IF('Phytopl Count'!G251=0,"",('Phytopl Analysis'!G251*LN('Phytopl Analysis'!G251)))</f>
        <v/>
      </c>
      <c r="H251" s="21" t="str">
        <f>IF('Phytopl Count'!H251=0,"",('Phytopl Analysis'!H251*LN('Phytopl Analysis'!H251)))</f>
        <v/>
      </c>
      <c r="I251" s="58" t="str">
        <f>IF('Phytopl Count'!I251=0,"",('Phytopl Analysis'!I251*LN('Phytopl Analysis'!I251)))</f>
        <v/>
      </c>
      <c r="J251" s="58" t="str">
        <f>IF('Phytopl Count'!J251=0,"",('Phytopl Analysis'!J251*LN('Phytopl Analysis'!J251)))</f>
        <v/>
      </c>
      <c r="K251" s="21" t="str">
        <f>IF('Phytopl Count'!K251=0,"",('Phytopl Analysis'!K251*LN('Phytopl Analysis'!K251)))</f>
        <v/>
      </c>
      <c r="L251" s="21" t="str">
        <f>IF('Phytopl Count'!L251=0,"",('Phytopl Analysis'!L251*LN('Phytopl Analysis'!L251)))</f>
        <v/>
      </c>
      <c r="M251" s="58" t="str">
        <f>IF('Phytopl Count'!M251=0,"",('Phytopl Analysis'!M251*LN('Phytopl Analysis'!M251)))</f>
        <v/>
      </c>
      <c r="N251" s="58" t="str">
        <f>IF('Phytopl Count'!N251=0,"",('Phytopl Analysis'!N251*LN('Phytopl Analysis'!N251)))</f>
        <v/>
      </c>
      <c r="O251" s="21" t="str">
        <f>IF('Phytopl Count'!O251=0,"",('Phytopl Analysis'!O251*LN('Phytopl Analysis'!O251)))</f>
        <v/>
      </c>
      <c r="P251" s="21" t="str">
        <f>IF('Phytopl Count'!P251=0,"",('Phytopl Analysis'!P251*LN('Phytopl Analysis'!P251)))</f>
        <v/>
      </c>
      <c r="Q251" s="58" t="str">
        <f>IF('Phytopl Count'!Q251=0,"",('Phytopl Analysis'!Q251*LN('Phytopl Analysis'!Q251)))</f>
        <v/>
      </c>
      <c r="R251" s="58" t="str">
        <f>IF('Phytopl Count'!R251=0,"",('Phytopl Analysis'!R251*LN('Phytopl Analysis'!R251)))</f>
        <v/>
      </c>
      <c r="S251" s="21" t="str">
        <f>IF('Phytopl Count'!S251=0,"",('Phytopl Analysis'!S251*LN('Phytopl Analysis'!S251)))</f>
        <v/>
      </c>
      <c r="T251" s="21" t="str">
        <f>IF('Phytopl Count'!T251=0,"",('Phytopl Analysis'!T251*LN('Phytopl Analysis'!T251)))</f>
        <v/>
      </c>
      <c r="U251" s="58" t="str">
        <f>IF('Phytopl Count'!U251=0,"",('Phytopl Analysis'!U251*LN('Phytopl Analysis'!U251)))</f>
        <v/>
      </c>
      <c r="V251" s="58" t="str">
        <f>IF('Phytopl Count'!V251=0,"",('Phytopl Analysis'!V251*LN('Phytopl Analysis'!V251)))</f>
        <v/>
      </c>
      <c r="W251" s="21" t="str">
        <f>IF('Phytopl Count'!W251=0,"",('Phytopl Analysis'!W251*LN('Phytopl Analysis'!W251)))</f>
        <v/>
      </c>
      <c r="X251" s="21" t="str">
        <f>IF('Phytopl Count'!X251=0,"",('Phytopl Analysis'!X251*LN('Phytopl Analysis'!X251)))</f>
        <v/>
      </c>
      <c r="Y251" s="58" t="str">
        <f>IF('Phytopl Count'!Y251=0,"",('Phytopl Analysis'!Y251*LN('Phytopl Analysis'!Y251)))</f>
        <v/>
      </c>
      <c r="Z251" s="58" t="str">
        <f>IF('Phytopl Count'!Z251=0,"",('Phytopl Analysis'!Z251*LN('Phytopl Analysis'!Z251)))</f>
        <v/>
      </c>
      <c r="AA251" s="21" t="str">
        <f>IF('Phytopl Count'!AA251=0,"",('Phytopl Analysis'!AA251*LN('Phytopl Analysis'!AA251)))</f>
        <v/>
      </c>
      <c r="AB251" s="21" t="str">
        <f>IF('Phytopl Count'!AB251=0,"",('Phytopl Analysis'!AB251*LN('Phytopl Analysis'!AB251)))</f>
        <v/>
      </c>
      <c r="AC251" s="58" t="str">
        <f>IF('Phytopl Count'!AC251=0,"",('Phytopl Analysis'!AC251*LN('Phytopl Analysis'!AC251)))</f>
        <v/>
      </c>
      <c r="AD251" s="58" t="str">
        <f>IF('Phytopl Count'!AD251=0,"",('Phytopl Analysis'!AD251*LN('Phytopl Analysis'!AD251)))</f>
        <v/>
      </c>
      <c r="AE251" s="21" t="str">
        <f>IF('Phytopl Count'!AE251=0,"",('Phytopl Analysis'!AE251*LN('Phytopl Analysis'!AE251)))</f>
        <v/>
      </c>
      <c r="AF251" s="58" t="str">
        <f>IF('Phytopl Count'!AF251=0,"",('Phytopl Analysis'!AF251*LN('Phytopl Analysis'!AF251)))</f>
        <v/>
      </c>
    </row>
    <row r="252" spans="1:32" hidden="1">
      <c r="A252" s="16"/>
      <c r="B252" s="16"/>
      <c r="C252" s="16" t="s">
        <v>73</v>
      </c>
      <c r="D252" s="4" t="s">
        <v>365</v>
      </c>
      <c r="E252" s="4"/>
      <c r="F252" s="59"/>
      <c r="G252" s="21" t="str">
        <f>IF('Phytopl Count'!G252=0,"",('Phytopl Analysis'!G252*LN('Phytopl Analysis'!G252)))</f>
        <v/>
      </c>
      <c r="H252" s="21" t="str">
        <f>IF('Phytopl Count'!H252=0,"",('Phytopl Analysis'!H252*LN('Phytopl Analysis'!H252)))</f>
        <v/>
      </c>
      <c r="I252" s="58" t="str">
        <f>IF('Phytopl Count'!I252=0,"",('Phytopl Analysis'!I252*LN('Phytopl Analysis'!I252)))</f>
        <v/>
      </c>
      <c r="J252" s="58" t="str">
        <f>IF('Phytopl Count'!J252=0,"",('Phytopl Analysis'!J252*LN('Phytopl Analysis'!J252)))</f>
        <v/>
      </c>
      <c r="K252" s="21" t="str">
        <f>IF('Phytopl Count'!K252=0,"",('Phytopl Analysis'!K252*LN('Phytopl Analysis'!K252)))</f>
        <v/>
      </c>
      <c r="L252" s="21" t="str">
        <f>IF('Phytopl Count'!L252=0,"",('Phytopl Analysis'!L252*LN('Phytopl Analysis'!L252)))</f>
        <v/>
      </c>
      <c r="M252" s="58" t="str">
        <f>IF('Phytopl Count'!M252=0,"",('Phytopl Analysis'!M252*LN('Phytopl Analysis'!M252)))</f>
        <v/>
      </c>
      <c r="N252" s="58" t="str">
        <f>IF('Phytopl Count'!N252=0,"",('Phytopl Analysis'!N252*LN('Phytopl Analysis'!N252)))</f>
        <v/>
      </c>
      <c r="O252" s="21" t="str">
        <f>IF('Phytopl Count'!O252=0,"",('Phytopl Analysis'!O252*LN('Phytopl Analysis'!O252)))</f>
        <v/>
      </c>
      <c r="P252" s="21" t="str">
        <f>IF('Phytopl Count'!P252=0,"",('Phytopl Analysis'!P252*LN('Phytopl Analysis'!P252)))</f>
        <v/>
      </c>
      <c r="Q252" s="58" t="str">
        <f>IF('Phytopl Count'!Q252=0,"",('Phytopl Analysis'!Q252*LN('Phytopl Analysis'!Q252)))</f>
        <v/>
      </c>
      <c r="R252" s="58" t="str">
        <f>IF('Phytopl Count'!R252=0,"",('Phytopl Analysis'!R252*LN('Phytopl Analysis'!R252)))</f>
        <v/>
      </c>
      <c r="S252" s="21" t="str">
        <f>IF('Phytopl Count'!S252=0,"",('Phytopl Analysis'!S252*LN('Phytopl Analysis'!S252)))</f>
        <v/>
      </c>
      <c r="T252" s="21" t="str">
        <f>IF('Phytopl Count'!T252=0,"",('Phytopl Analysis'!T252*LN('Phytopl Analysis'!T252)))</f>
        <v/>
      </c>
      <c r="U252" s="58" t="str">
        <f>IF('Phytopl Count'!U252=0,"",('Phytopl Analysis'!U252*LN('Phytopl Analysis'!U252)))</f>
        <v/>
      </c>
      <c r="V252" s="58" t="str">
        <f>IF('Phytopl Count'!V252=0,"",('Phytopl Analysis'!V252*LN('Phytopl Analysis'!V252)))</f>
        <v/>
      </c>
      <c r="W252" s="21" t="str">
        <f>IF('Phytopl Count'!W252=0,"",('Phytopl Analysis'!W252*LN('Phytopl Analysis'!W252)))</f>
        <v/>
      </c>
      <c r="X252" s="21" t="str">
        <f>IF('Phytopl Count'!X252=0,"",('Phytopl Analysis'!X252*LN('Phytopl Analysis'!X252)))</f>
        <v/>
      </c>
      <c r="Y252" s="58" t="str">
        <f>IF('Phytopl Count'!Y252=0,"",('Phytopl Analysis'!Y252*LN('Phytopl Analysis'!Y252)))</f>
        <v/>
      </c>
      <c r="Z252" s="58" t="str">
        <f>IF('Phytopl Count'!Z252=0,"",('Phytopl Analysis'!Z252*LN('Phytopl Analysis'!Z252)))</f>
        <v/>
      </c>
      <c r="AA252" s="21" t="str">
        <f>IF('Phytopl Count'!AA252=0,"",('Phytopl Analysis'!AA252*LN('Phytopl Analysis'!AA252)))</f>
        <v/>
      </c>
      <c r="AB252" s="21" t="str">
        <f>IF('Phytopl Count'!AB252=0,"",('Phytopl Analysis'!AB252*LN('Phytopl Analysis'!AB252)))</f>
        <v/>
      </c>
      <c r="AC252" s="58" t="str">
        <f>IF('Phytopl Count'!AC252=0,"",('Phytopl Analysis'!AC252*LN('Phytopl Analysis'!AC252)))</f>
        <v/>
      </c>
      <c r="AD252" s="58" t="str">
        <f>IF('Phytopl Count'!AD252=0,"",('Phytopl Analysis'!AD252*LN('Phytopl Analysis'!AD252)))</f>
        <v/>
      </c>
      <c r="AE252" s="21" t="str">
        <f>IF('Phytopl Count'!AE252=0,"",('Phytopl Analysis'!AE252*LN('Phytopl Analysis'!AE252)))</f>
        <v/>
      </c>
      <c r="AF252" s="58" t="str">
        <f>IF('Phytopl Count'!AF252=0,"",('Phytopl Analysis'!AF252*LN('Phytopl Analysis'!AF252)))</f>
        <v/>
      </c>
    </row>
    <row r="253" spans="1:32" hidden="1">
      <c r="A253" s="10"/>
      <c r="B253" s="10"/>
      <c r="C253" s="10"/>
      <c r="D253" s="10" t="s">
        <v>5</v>
      </c>
      <c r="E253" s="164" t="s">
        <v>366</v>
      </c>
      <c r="F253" s="9"/>
      <c r="G253" s="21" t="str">
        <f>IF('Phytopl Count'!G253=0,"",('Phytopl Analysis'!G253*LN('Phytopl Analysis'!G253)))</f>
        <v/>
      </c>
      <c r="H253" s="21" t="str">
        <f>IF('Phytopl Count'!H253=0,"",('Phytopl Analysis'!H253*LN('Phytopl Analysis'!H253)))</f>
        <v/>
      </c>
      <c r="I253" s="58" t="str">
        <f>IF('Phytopl Count'!I253=0,"",('Phytopl Analysis'!I253*LN('Phytopl Analysis'!I253)))</f>
        <v/>
      </c>
      <c r="J253" s="58" t="str">
        <f>IF('Phytopl Count'!J253=0,"",('Phytopl Analysis'!J253*LN('Phytopl Analysis'!J253)))</f>
        <v/>
      </c>
      <c r="K253" s="21" t="str">
        <f>IF('Phytopl Count'!K253=0,"",('Phytopl Analysis'!K253*LN('Phytopl Analysis'!K253)))</f>
        <v/>
      </c>
      <c r="L253" s="21" t="str">
        <f>IF('Phytopl Count'!L253=0,"",('Phytopl Analysis'!L253*LN('Phytopl Analysis'!L253)))</f>
        <v/>
      </c>
      <c r="M253" s="58" t="str">
        <f>IF('Phytopl Count'!M253=0,"",('Phytopl Analysis'!M253*LN('Phytopl Analysis'!M253)))</f>
        <v/>
      </c>
      <c r="N253" s="58" t="str">
        <f>IF('Phytopl Count'!N253=0,"",('Phytopl Analysis'!N253*LN('Phytopl Analysis'!N253)))</f>
        <v/>
      </c>
      <c r="O253" s="21" t="str">
        <f>IF('Phytopl Count'!O253=0,"",('Phytopl Analysis'!O253*LN('Phytopl Analysis'!O253)))</f>
        <v/>
      </c>
      <c r="P253" s="21" t="str">
        <f>IF('Phytopl Count'!P253=0,"",('Phytopl Analysis'!P253*LN('Phytopl Analysis'!P253)))</f>
        <v/>
      </c>
      <c r="Q253" s="58" t="str">
        <f>IF('Phytopl Count'!Q253=0,"",('Phytopl Analysis'!Q253*LN('Phytopl Analysis'!Q253)))</f>
        <v/>
      </c>
      <c r="R253" s="58" t="str">
        <f>IF('Phytopl Count'!R253=0,"",('Phytopl Analysis'!R253*LN('Phytopl Analysis'!R253)))</f>
        <v/>
      </c>
      <c r="S253" s="21" t="str">
        <f>IF('Phytopl Count'!S253=0,"",('Phytopl Analysis'!S253*LN('Phytopl Analysis'!S253)))</f>
        <v/>
      </c>
      <c r="T253" s="21" t="str">
        <f>IF('Phytopl Count'!T253=0,"",('Phytopl Analysis'!T253*LN('Phytopl Analysis'!T253)))</f>
        <v/>
      </c>
      <c r="U253" s="58" t="str">
        <f>IF('Phytopl Count'!U253=0,"",('Phytopl Analysis'!U253*LN('Phytopl Analysis'!U253)))</f>
        <v/>
      </c>
      <c r="V253" s="58" t="str">
        <f>IF('Phytopl Count'!V253=0,"",('Phytopl Analysis'!V253*LN('Phytopl Analysis'!V253)))</f>
        <v/>
      </c>
      <c r="W253" s="21" t="str">
        <f>IF('Phytopl Count'!W253=0,"",('Phytopl Analysis'!W253*LN('Phytopl Analysis'!W253)))</f>
        <v/>
      </c>
      <c r="X253" s="21" t="str">
        <f>IF('Phytopl Count'!X253=0,"",('Phytopl Analysis'!X253*LN('Phytopl Analysis'!X253)))</f>
        <v/>
      </c>
      <c r="Y253" s="58" t="str">
        <f>IF('Phytopl Count'!Y253=0,"",('Phytopl Analysis'!Y253*LN('Phytopl Analysis'!Y253)))</f>
        <v/>
      </c>
      <c r="Z253" s="58" t="str">
        <f>IF('Phytopl Count'!Z253=0,"",('Phytopl Analysis'!Z253*LN('Phytopl Analysis'!Z253)))</f>
        <v/>
      </c>
      <c r="AA253" s="21" t="str">
        <f>IF('Phytopl Count'!AA253=0,"",('Phytopl Analysis'!AA253*LN('Phytopl Analysis'!AA253)))</f>
        <v/>
      </c>
      <c r="AB253" s="21" t="str">
        <f>IF('Phytopl Count'!AB253=0,"",('Phytopl Analysis'!AB253*LN('Phytopl Analysis'!AB253)))</f>
        <v/>
      </c>
      <c r="AC253" s="58" t="str">
        <f>IF('Phytopl Count'!AC253=0,"",('Phytopl Analysis'!AC253*LN('Phytopl Analysis'!AC253)))</f>
        <v/>
      </c>
      <c r="AD253" s="58" t="str">
        <f>IF('Phytopl Count'!AD253=0,"",('Phytopl Analysis'!AD253*LN('Phytopl Analysis'!AD253)))</f>
        <v/>
      </c>
      <c r="AE253" s="21" t="str">
        <f>IF('Phytopl Count'!AE253=0,"",('Phytopl Analysis'!AE253*LN('Phytopl Analysis'!AE253)))</f>
        <v/>
      </c>
      <c r="AF253" s="58" t="str">
        <f>IF('Phytopl Count'!AF253=0,"",('Phytopl Analysis'!AF253*LN('Phytopl Analysis'!AF253)))</f>
        <v/>
      </c>
    </row>
    <row r="254" spans="1:32" hidden="1">
      <c r="A254" s="5"/>
      <c r="B254" s="5"/>
      <c r="C254" s="5"/>
      <c r="D254" s="5"/>
      <c r="E254" s="10" t="s">
        <v>6</v>
      </c>
      <c r="F254" s="11" t="s">
        <v>367</v>
      </c>
      <c r="G254" s="21" t="str">
        <f>IF('Phytopl Count'!G254=0,"",('Phytopl Analysis'!G254*LN('Phytopl Analysis'!G254)))</f>
        <v/>
      </c>
      <c r="H254" s="21" t="str">
        <f>IF('Phytopl Count'!H254=0,"",('Phytopl Analysis'!H254*LN('Phytopl Analysis'!H254)))</f>
        <v/>
      </c>
      <c r="I254" s="58" t="str">
        <f>IF('Phytopl Count'!I254=0,"",('Phytopl Analysis'!I254*LN('Phytopl Analysis'!I254)))</f>
        <v/>
      </c>
      <c r="J254" s="58" t="str">
        <f>IF('Phytopl Count'!J254=0,"",('Phytopl Analysis'!J254*LN('Phytopl Analysis'!J254)))</f>
        <v/>
      </c>
      <c r="K254" s="21" t="str">
        <f>IF('Phytopl Count'!K254=0,"",('Phytopl Analysis'!K254*LN('Phytopl Analysis'!K254)))</f>
        <v/>
      </c>
      <c r="L254" s="21" t="str">
        <f>IF('Phytopl Count'!L254=0,"",('Phytopl Analysis'!L254*LN('Phytopl Analysis'!L254)))</f>
        <v/>
      </c>
      <c r="M254" s="58" t="str">
        <f>IF('Phytopl Count'!M254=0,"",('Phytopl Analysis'!M254*LN('Phytopl Analysis'!M254)))</f>
        <v/>
      </c>
      <c r="N254" s="58" t="str">
        <f>IF('Phytopl Count'!N254=0,"",('Phytopl Analysis'!N254*LN('Phytopl Analysis'!N254)))</f>
        <v/>
      </c>
      <c r="O254" s="21" t="str">
        <f>IF('Phytopl Count'!O254=0,"",('Phytopl Analysis'!O254*LN('Phytopl Analysis'!O254)))</f>
        <v/>
      </c>
      <c r="P254" s="21" t="str">
        <f>IF('Phytopl Count'!P254=0,"",('Phytopl Analysis'!P254*LN('Phytopl Analysis'!P254)))</f>
        <v/>
      </c>
      <c r="Q254" s="58" t="str">
        <f>IF('Phytopl Count'!Q254=0,"",('Phytopl Analysis'!Q254*LN('Phytopl Analysis'!Q254)))</f>
        <v/>
      </c>
      <c r="R254" s="58" t="str">
        <f>IF('Phytopl Count'!R254=0,"",('Phytopl Analysis'!R254*LN('Phytopl Analysis'!R254)))</f>
        <v/>
      </c>
      <c r="S254" s="21" t="str">
        <f>IF('Phytopl Count'!S254=0,"",('Phytopl Analysis'!S254*LN('Phytopl Analysis'!S254)))</f>
        <v/>
      </c>
      <c r="T254" s="21" t="str">
        <f>IF('Phytopl Count'!T254=0,"",('Phytopl Analysis'!T254*LN('Phytopl Analysis'!T254)))</f>
        <v/>
      </c>
      <c r="U254" s="58" t="str">
        <f>IF('Phytopl Count'!U254=0,"",('Phytopl Analysis'!U254*LN('Phytopl Analysis'!U254)))</f>
        <v/>
      </c>
      <c r="V254" s="58" t="str">
        <f>IF('Phytopl Count'!V254=0,"",('Phytopl Analysis'!V254*LN('Phytopl Analysis'!V254)))</f>
        <v/>
      </c>
      <c r="W254" s="21" t="str">
        <f>IF('Phytopl Count'!W254=0,"",('Phytopl Analysis'!W254*LN('Phytopl Analysis'!W254)))</f>
        <v/>
      </c>
      <c r="X254" s="21" t="str">
        <f>IF('Phytopl Count'!X254=0,"",('Phytopl Analysis'!X254*LN('Phytopl Analysis'!X254)))</f>
        <v/>
      </c>
      <c r="Y254" s="58" t="str">
        <f>IF('Phytopl Count'!Y254=0,"",('Phytopl Analysis'!Y254*LN('Phytopl Analysis'!Y254)))</f>
        <v/>
      </c>
      <c r="Z254" s="58" t="str">
        <f>IF('Phytopl Count'!Z254=0,"",('Phytopl Analysis'!Z254*LN('Phytopl Analysis'!Z254)))</f>
        <v/>
      </c>
      <c r="AA254" s="21" t="str">
        <f>IF('Phytopl Count'!AA254=0,"",('Phytopl Analysis'!AA254*LN('Phytopl Analysis'!AA254)))</f>
        <v/>
      </c>
      <c r="AB254" s="21" t="str">
        <f>IF('Phytopl Count'!AB254=0,"",('Phytopl Analysis'!AB254*LN('Phytopl Analysis'!AB254)))</f>
        <v/>
      </c>
      <c r="AC254" s="58" t="str">
        <f>IF('Phytopl Count'!AC254=0,"",('Phytopl Analysis'!AC254*LN('Phytopl Analysis'!AC254)))</f>
        <v/>
      </c>
      <c r="AD254" s="58" t="str">
        <f>IF('Phytopl Count'!AD254=0,"",('Phytopl Analysis'!AD254*LN('Phytopl Analysis'!AD254)))</f>
        <v/>
      </c>
      <c r="AE254" s="21" t="str">
        <f>IF('Phytopl Count'!AE254=0,"",('Phytopl Analysis'!AE254*LN('Phytopl Analysis'!AE254)))</f>
        <v/>
      </c>
      <c r="AF254" s="58" t="str">
        <f>IF('Phytopl Count'!AF254=0,"",('Phytopl Analysis'!AF254*LN('Phytopl Analysis'!AF254)))</f>
        <v/>
      </c>
    </row>
    <row r="255" spans="1:32" hidden="1">
      <c r="A255" s="4"/>
      <c r="B255" s="4"/>
      <c r="C255" s="16" t="s">
        <v>73</v>
      </c>
      <c r="D255" s="4" t="s">
        <v>408</v>
      </c>
      <c r="E255" s="10"/>
      <c r="F255" s="9"/>
      <c r="G255" s="21" t="str">
        <f>IF('Phytopl Count'!G252=0,"",('Phytopl Analysis'!G252*LN('Phytopl Analysis'!G252)))</f>
        <v/>
      </c>
      <c r="H255" s="21" t="str">
        <f>IF('Phytopl Count'!H252=0,"",('Phytopl Analysis'!H252*LN('Phytopl Analysis'!H252)))</f>
        <v/>
      </c>
      <c r="I255" s="58" t="str">
        <f>IF('Phytopl Count'!I252=0,"",('Phytopl Analysis'!I252*LN('Phytopl Analysis'!I252)))</f>
        <v/>
      </c>
      <c r="J255" s="58" t="str">
        <f>IF('Phytopl Count'!J252=0,"",('Phytopl Analysis'!J252*LN('Phytopl Analysis'!J252)))</f>
        <v/>
      </c>
      <c r="K255" s="21" t="str">
        <f>IF('Phytopl Count'!K252=0,"",('Phytopl Analysis'!K252*LN('Phytopl Analysis'!K252)))</f>
        <v/>
      </c>
      <c r="L255" s="21" t="str">
        <f>IF('Phytopl Count'!L252=0,"",('Phytopl Analysis'!L252*LN('Phytopl Analysis'!L252)))</f>
        <v/>
      </c>
      <c r="M255" s="58" t="str">
        <f>IF('Phytopl Count'!M252=0,"",('Phytopl Analysis'!M252*LN('Phytopl Analysis'!M252)))</f>
        <v/>
      </c>
      <c r="N255" s="58" t="str">
        <f>IF('Phytopl Count'!N252=0,"",('Phytopl Analysis'!N252*LN('Phytopl Analysis'!N252)))</f>
        <v/>
      </c>
      <c r="O255" s="21" t="str">
        <f>IF('Phytopl Count'!O252=0,"",('Phytopl Analysis'!O252*LN('Phytopl Analysis'!O252)))</f>
        <v/>
      </c>
      <c r="P255" s="21" t="str">
        <f>IF('Phytopl Count'!P252=0,"",('Phytopl Analysis'!P252*LN('Phytopl Analysis'!P252)))</f>
        <v/>
      </c>
      <c r="Q255" s="58" t="str">
        <f>IF('Phytopl Count'!Q252=0,"",('Phytopl Analysis'!Q252*LN('Phytopl Analysis'!Q252)))</f>
        <v/>
      </c>
      <c r="R255" s="58" t="str">
        <f>IF('Phytopl Count'!R252=0,"",('Phytopl Analysis'!R252*LN('Phytopl Analysis'!R252)))</f>
        <v/>
      </c>
      <c r="S255" s="21" t="str">
        <f>IF('Phytopl Count'!S252=0,"",('Phytopl Analysis'!S252*LN('Phytopl Analysis'!S252)))</f>
        <v/>
      </c>
      <c r="T255" s="21" t="str">
        <f>IF('Phytopl Count'!T252=0,"",('Phytopl Analysis'!T252*LN('Phytopl Analysis'!T252)))</f>
        <v/>
      </c>
      <c r="U255" s="58" t="str">
        <f>IF('Phytopl Count'!U252=0,"",('Phytopl Analysis'!U252*LN('Phytopl Analysis'!U252)))</f>
        <v/>
      </c>
      <c r="V255" s="58" t="str">
        <f>IF('Phytopl Count'!V252=0,"",('Phytopl Analysis'!V252*LN('Phytopl Analysis'!V252)))</f>
        <v/>
      </c>
      <c r="W255" s="21" t="str">
        <f>IF('Phytopl Count'!W252=0,"",('Phytopl Analysis'!W252*LN('Phytopl Analysis'!W252)))</f>
        <v/>
      </c>
      <c r="X255" s="21" t="str">
        <f>IF('Phytopl Count'!X252=0,"",('Phytopl Analysis'!X252*LN('Phytopl Analysis'!X252)))</f>
        <v/>
      </c>
      <c r="Y255" s="58" t="str">
        <f>IF('Phytopl Count'!Y252=0,"",('Phytopl Analysis'!Y252*LN('Phytopl Analysis'!Y252)))</f>
        <v/>
      </c>
      <c r="Z255" s="58" t="str">
        <f>IF('Phytopl Count'!Z252=0,"",('Phytopl Analysis'!Z252*LN('Phytopl Analysis'!Z252)))</f>
        <v/>
      </c>
      <c r="AA255" s="21" t="str">
        <f>IF('Phytopl Count'!AA252=0,"",('Phytopl Analysis'!AA252*LN('Phytopl Analysis'!AA252)))</f>
        <v/>
      </c>
      <c r="AB255" s="21" t="str">
        <f>IF('Phytopl Count'!AB252=0,"",('Phytopl Analysis'!AB252*LN('Phytopl Analysis'!AB252)))</f>
        <v/>
      </c>
      <c r="AC255" s="58" t="str">
        <f>IF('Phytopl Count'!AC252=0,"",('Phytopl Analysis'!AC252*LN('Phytopl Analysis'!AC252)))</f>
        <v/>
      </c>
      <c r="AD255" s="58" t="str">
        <f>IF('Phytopl Count'!AD252=0,"",('Phytopl Analysis'!AD252*LN('Phytopl Analysis'!AD252)))</f>
        <v/>
      </c>
      <c r="AE255" s="21" t="str">
        <f>IF('Phytopl Count'!AE252=0,"",('Phytopl Analysis'!AE252*LN('Phytopl Analysis'!AE252)))</f>
        <v/>
      </c>
      <c r="AF255" s="58" t="str">
        <f>IF('Phytopl Count'!AF252=0,"",('Phytopl Analysis'!AF252*LN('Phytopl Analysis'!AF252)))</f>
        <v/>
      </c>
    </row>
    <row r="256" spans="1:32" hidden="1">
      <c r="A256" s="4"/>
      <c r="B256" s="5"/>
      <c r="C256" s="5"/>
      <c r="D256" s="10" t="s">
        <v>5</v>
      </c>
      <c r="E256" s="177" t="s">
        <v>409</v>
      </c>
      <c r="F256" s="11"/>
      <c r="G256" s="21" t="str">
        <f>IF('Phytopl Count'!G253=0,"",('Phytopl Analysis'!G253*LN('Phytopl Analysis'!G253)))</f>
        <v/>
      </c>
      <c r="H256" s="21" t="str">
        <f>IF('Phytopl Count'!H253=0,"",('Phytopl Analysis'!H253*LN('Phytopl Analysis'!H253)))</f>
        <v/>
      </c>
      <c r="I256" s="58" t="str">
        <f>IF('Phytopl Count'!I253=0,"",('Phytopl Analysis'!I253*LN('Phytopl Analysis'!I253)))</f>
        <v/>
      </c>
      <c r="J256" s="58" t="str">
        <f>IF('Phytopl Count'!J253=0,"",('Phytopl Analysis'!J253*LN('Phytopl Analysis'!J253)))</f>
        <v/>
      </c>
      <c r="K256" s="21" t="str">
        <f>IF('Phytopl Count'!K253=0,"",('Phytopl Analysis'!K253*LN('Phytopl Analysis'!K253)))</f>
        <v/>
      </c>
      <c r="L256" s="21" t="str">
        <f>IF('Phytopl Count'!L253=0,"",('Phytopl Analysis'!L253*LN('Phytopl Analysis'!L253)))</f>
        <v/>
      </c>
      <c r="M256" s="58" t="str">
        <f>IF('Phytopl Count'!M253=0,"",('Phytopl Analysis'!M253*LN('Phytopl Analysis'!M253)))</f>
        <v/>
      </c>
      <c r="N256" s="58" t="str">
        <f>IF('Phytopl Count'!N253=0,"",('Phytopl Analysis'!N253*LN('Phytopl Analysis'!N253)))</f>
        <v/>
      </c>
      <c r="O256" s="21" t="str">
        <f>IF('Phytopl Count'!O253=0,"",('Phytopl Analysis'!O253*LN('Phytopl Analysis'!O253)))</f>
        <v/>
      </c>
      <c r="P256" s="21" t="str">
        <f>IF('Phytopl Count'!P253=0,"",('Phytopl Analysis'!P253*LN('Phytopl Analysis'!P253)))</f>
        <v/>
      </c>
      <c r="Q256" s="58" t="str">
        <f>IF('Phytopl Count'!Q253=0,"",('Phytopl Analysis'!Q253*LN('Phytopl Analysis'!Q253)))</f>
        <v/>
      </c>
      <c r="R256" s="58" t="str">
        <f>IF('Phytopl Count'!R253=0,"",('Phytopl Analysis'!R253*LN('Phytopl Analysis'!R253)))</f>
        <v/>
      </c>
      <c r="S256" s="21" t="str">
        <f>IF('Phytopl Count'!S253=0,"",('Phytopl Analysis'!S253*LN('Phytopl Analysis'!S253)))</f>
        <v/>
      </c>
      <c r="T256" s="21" t="str">
        <f>IF('Phytopl Count'!T253=0,"",('Phytopl Analysis'!T253*LN('Phytopl Analysis'!T253)))</f>
        <v/>
      </c>
      <c r="U256" s="58" t="str">
        <f>IF('Phytopl Count'!U253=0,"",('Phytopl Analysis'!U253*LN('Phytopl Analysis'!U253)))</f>
        <v/>
      </c>
      <c r="V256" s="58" t="str">
        <f>IF('Phytopl Count'!V253=0,"",('Phytopl Analysis'!V253*LN('Phytopl Analysis'!V253)))</f>
        <v/>
      </c>
      <c r="W256" s="21" t="str">
        <f>IF('Phytopl Count'!W253=0,"",('Phytopl Analysis'!W253*LN('Phytopl Analysis'!W253)))</f>
        <v/>
      </c>
      <c r="X256" s="21" t="str">
        <f>IF('Phytopl Count'!X253=0,"",('Phytopl Analysis'!X253*LN('Phytopl Analysis'!X253)))</f>
        <v/>
      </c>
      <c r="Y256" s="58" t="str">
        <f>IF('Phytopl Count'!Y253=0,"",('Phytopl Analysis'!Y253*LN('Phytopl Analysis'!Y253)))</f>
        <v/>
      </c>
      <c r="Z256" s="58" t="str">
        <f>IF('Phytopl Count'!Z253=0,"",('Phytopl Analysis'!Z253*LN('Phytopl Analysis'!Z253)))</f>
        <v/>
      </c>
      <c r="AA256" s="21" t="str">
        <f>IF('Phytopl Count'!AA253=0,"",('Phytopl Analysis'!AA253*LN('Phytopl Analysis'!AA253)))</f>
        <v/>
      </c>
      <c r="AB256" s="21" t="str">
        <f>IF('Phytopl Count'!AB253=0,"",('Phytopl Analysis'!AB253*LN('Phytopl Analysis'!AB253)))</f>
        <v/>
      </c>
      <c r="AC256" s="58" t="str">
        <f>IF('Phytopl Count'!AC253=0,"",('Phytopl Analysis'!AC253*LN('Phytopl Analysis'!AC253)))</f>
        <v/>
      </c>
      <c r="AD256" s="58" t="str">
        <f>IF('Phytopl Count'!AD253=0,"",('Phytopl Analysis'!AD253*LN('Phytopl Analysis'!AD253)))</f>
        <v/>
      </c>
      <c r="AE256" s="21" t="str">
        <f>IF('Phytopl Count'!AE253=0,"",('Phytopl Analysis'!AE253*LN('Phytopl Analysis'!AE253)))</f>
        <v/>
      </c>
      <c r="AF256" s="58" t="str">
        <f>IF('Phytopl Count'!AF253=0,"",('Phytopl Analysis'!AF253*LN('Phytopl Analysis'!AF253)))</f>
        <v/>
      </c>
    </row>
    <row r="257" spans="1:32" hidden="1">
      <c r="A257" s="4"/>
      <c r="B257" s="5"/>
      <c r="C257" s="5"/>
      <c r="D257" s="5"/>
      <c r="E257" s="10" t="s">
        <v>6</v>
      </c>
      <c r="F257" s="11" t="s">
        <v>410</v>
      </c>
      <c r="G257" s="21" t="str">
        <f>IF('Phytopl Count'!G254=0,"",('Phytopl Analysis'!G254*LN('Phytopl Analysis'!G254)))</f>
        <v/>
      </c>
      <c r="H257" s="21" t="str">
        <f>IF('Phytopl Count'!H254=0,"",('Phytopl Analysis'!H254*LN('Phytopl Analysis'!H254)))</f>
        <v/>
      </c>
      <c r="I257" s="58" t="str">
        <f>IF('Phytopl Count'!I254=0,"",('Phytopl Analysis'!I254*LN('Phytopl Analysis'!I254)))</f>
        <v/>
      </c>
      <c r="J257" s="58" t="str">
        <f>IF('Phytopl Count'!J254=0,"",('Phytopl Analysis'!J254*LN('Phytopl Analysis'!J254)))</f>
        <v/>
      </c>
      <c r="K257" s="21" t="str">
        <f>IF('Phytopl Count'!K254=0,"",('Phytopl Analysis'!K254*LN('Phytopl Analysis'!K254)))</f>
        <v/>
      </c>
      <c r="L257" s="21" t="str">
        <f>IF('Phytopl Count'!L254=0,"",('Phytopl Analysis'!L254*LN('Phytopl Analysis'!L254)))</f>
        <v/>
      </c>
      <c r="M257" s="58" t="str">
        <f>IF('Phytopl Count'!M254=0,"",('Phytopl Analysis'!M254*LN('Phytopl Analysis'!M254)))</f>
        <v/>
      </c>
      <c r="N257" s="58" t="str">
        <f>IF('Phytopl Count'!N254=0,"",('Phytopl Analysis'!N254*LN('Phytopl Analysis'!N254)))</f>
        <v/>
      </c>
      <c r="O257" s="21" t="str">
        <f>IF('Phytopl Count'!O254=0,"",('Phytopl Analysis'!O254*LN('Phytopl Analysis'!O254)))</f>
        <v/>
      </c>
      <c r="P257" s="21" t="str">
        <f>IF('Phytopl Count'!P254=0,"",('Phytopl Analysis'!P254*LN('Phytopl Analysis'!P254)))</f>
        <v/>
      </c>
      <c r="Q257" s="58" t="str">
        <f>IF('Phytopl Count'!Q254=0,"",('Phytopl Analysis'!Q254*LN('Phytopl Analysis'!Q254)))</f>
        <v/>
      </c>
      <c r="R257" s="58" t="str">
        <f>IF('Phytopl Count'!R254=0,"",('Phytopl Analysis'!R254*LN('Phytopl Analysis'!R254)))</f>
        <v/>
      </c>
      <c r="S257" s="21" t="str">
        <f>IF('Phytopl Count'!S254=0,"",('Phytopl Analysis'!S254*LN('Phytopl Analysis'!S254)))</f>
        <v/>
      </c>
      <c r="T257" s="21" t="str">
        <f>IF('Phytopl Count'!T254=0,"",('Phytopl Analysis'!T254*LN('Phytopl Analysis'!T254)))</f>
        <v/>
      </c>
      <c r="U257" s="58" t="str">
        <f>IF('Phytopl Count'!U254=0,"",('Phytopl Analysis'!U254*LN('Phytopl Analysis'!U254)))</f>
        <v/>
      </c>
      <c r="V257" s="58" t="str">
        <f>IF('Phytopl Count'!V254=0,"",('Phytopl Analysis'!V254*LN('Phytopl Analysis'!V254)))</f>
        <v/>
      </c>
      <c r="W257" s="21" t="str">
        <f>IF('Phytopl Count'!W254=0,"",('Phytopl Analysis'!W254*LN('Phytopl Analysis'!W254)))</f>
        <v/>
      </c>
      <c r="X257" s="21" t="str">
        <f>IF('Phytopl Count'!X254=0,"",('Phytopl Analysis'!X254*LN('Phytopl Analysis'!X254)))</f>
        <v/>
      </c>
      <c r="Y257" s="58" t="str">
        <f>IF('Phytopl Count'!Y254=0,"",('Phytopl Analysis'!Y254*LN('Phytopl Analysis'!Y254)))</f>
        <v/>
      </c>
      <c r="Z257" s="58" t="str">
        <f>IF('Phytopl Count'!Z254=0,"",('Phytopl Analysis'!Z254*LN('Phytopl Analysis'!Z254)))</f>
        <v/>
      </c>
      <c r="AA257" s="21" t="str">
        <f>IF('Phytopl Count'!AA254=0,"",('Phytopl Analysis'!AA254*LN('Phytopl Analysis'!AA254)))</f>
        <v/>
      </c>
      <c r="AB257" s="21" t="str">
        <f>IF('Phytopl Count'!AB254=0,"",('Phytopl Analysis'!AB254*LN('Phytopl Analysis'!AB254)))</f>
        <v/>
      </c>
      <c r="AC257" s="58" t="str">
        <f>IF('Phytopl Count'!AC254=0,"",('Phytopl Analysis'!AC254*LN('Phytopl Analysis'!AC254)))</f>
        <v/>
      </c>
      <c r="AD257" s="58" t="str">
        <f>IF('Phytopl Count'!AD254=0,"",('Phytopl Analysis'!AD254*LN('Phytopl Analysis'!AD254)))</f>
        <v/>
      </c>
      <c r="AE257" s="21" t="str">
        <f>IF('Phytopl Count'!AE254=0,"",('Phytopl Analysis'!AE254*LN('Phytopl Analysis'!AE254)))</f>
        <v/>
      </c>
      <c r="AF257" s="58" t="str">
        <f>IF('Phytopl Count'!AF254=0,"",('Phytopl Analysis'!AF254*LN('Phytopl Analysis'!AF254)))</f>
        <v/>
      </c>
    </row>
    <row r="258" spans="1:32">
      <c r="A258" s="16"/>
      <c r="B258" s="16"/>
      <c r="C258" s="16" t="s">
        <v>73</v>
      </c>
      <c r="D258" s="4" t="s">
        <v>74</v>
      </c>
      <c r="E258" s="4"/>
      <c r="F258" s="59"/>
      <c r="G258" s="21" t="str">
        <f>IF('Phytopl Count'!G258=0,"",('Phytopl Analysis'!G258*LN('Phytopl Analysis'!G258)))</f>
        <v/>
      </c>
      <c r="H258" s="21" t="str">
        <f>IF('Phytopl Count'!H258=0,"",('Phytopl Analysis'!H258*LN('Phytopl Analysis'!H258)))</f>
        <v/>
      </c>
      <c r="I258" s="58" t="str">
        <f>IF('Phytopl Count'!I258=0,"",('Phytopl Analysis'!I258*LN('Phytopl Analysis'!I258)))</f>
        <v/>
      </c>
      <c r="J258" s="58" t="str">
        <f>IF('Phytopl Count'!J258=0,"",('Phytopl Analysis'!J258*LN('Phytopl Analysis'!J258)))</f>
        <v/>
      </c>
      <c r="K258" s="21" t="str">
        <f>IF('Phytopl Count'!K258=0,"",('Phytopl Analysis'!K258*LN('Phytopl Analysis'!K258)))</f>
        <v/>
      </c>
      <c r="L258" s="21" t="str">
        <f>IF('Phytopl Count'!L258=0,"",('Phytopl Analysis'!L258*LN('Phytopl Analysis'!L258)))</f>
        <v/>
      </c>
      <c r="M258" s="58" t="str">
        <f>IF('Phytopl Count'!M258=0,"",('Phytopl Analysis'!M258*LN('Phytopl Analysis'!M258)))</f>
        <v/>
      </c>
      <c r="N258" s="58" t="str">
        <f>IF('Phytopl Count'!N258=0,"",('Phytopl Analysis'!N258*LN('Phytopl Analysis'!N258)))</f>
        <v/>
      </c>
      <c r="O258" s="21" t="str">
        <f>IF('Phytopl Count'!O258=0,"",('Phytopl Analysis'!O258*LN('Phytopl Analysis'!O258)))</f>
        <v/>
      </c>
      <c r="P258" s="21" t="str">
        <f>IF('Phytopl Count'!P258=0,"",('Phytopl Analysis'!P258*LN('Phytopl Analysis'!P258)))</f>
        <v/>
      </c>
      <c r="Q258" s="58" t="str">
        <f>IF('Phytopl Count'!Q258=0,"",('Phytopl Analysis'!Q258*LN('Phytopl Analysis'!Q258)))</f>
        <v/>
      </c>
      <c r="R258" s="58" t="str">
        <f>IF('Phytopl Count'!R258=0,"",('Phytopl Analysis'!R258*LN('Phytopl Analysis'!R258)))</f>
        <v/>
      </c>
      <c r="S258" s="21" t="str">
        <f>IF('Phytopl Count'!S258=0,"",('Phytopl Analysis'!S258*LN('Phytopl Analysis'!S258)))</f>
        <v/>
      </c>
      <c r="T258" s="21" t="str">
        <f>IF('Phytopl Count'!T258=0,"",('Phytopl Analysis'!T258*LN('Phytopl Analysis'!T258)))</f>
        <v/>
      </c>
      <c r="U258" s="58" t="str">
        <f>IF('Phytopl Count'!U258=0,"",('Phytopl Analysis'!U258*LN('Phytopl Analysis'!U258)))</f>
        <v/>
      </c>
      <c r="V258" s="58" t="str">
        <f>IF('Phytopl Count'!V258=0,"",('Phytopl Analysis'!V258*LN('Phytopl Analysis'!V258)))</f>
        <v/>
      </c>
      <c r="W258" s="21" t="str">
        <f>IF('Phytopl Count'!W258=0,"",('Phytopl Analysis'!W258*LN('Phytopl Analysis'!W258)))</f>
        <v/>
      </c>
      <c r="X258" s="21" t="str">
        <f>IF('Phytopl Count'!X258=0,"",('Phytopl Analysis'!X258*LN('Phytopl Analysis'!X258)))</f>
        <v/>
      </c>
      <c r="Y258" s="58" t="str">
        <f>IF('Phytopl Count'!Y258=0,"",('Phytopl Analysis'!Y258*LN('Phytopl Analysis'!Y258)))</f>
        <v/>
      </c>
      <c r="Z258" s="58" t="str">
        <f>IF('Phytopl Count'!Z258=0,"",('Phytopl Analysis'!Z258*LN('Phytopl Analysis'!Z258)))</f>
        <v/>
      </c>
      <c r="AA258" s="21" t="str">
        <f>IF('Phytopl Count'!AA258=0,"",('Phytopl Analysis'!AA258*LN('Phytopl Analysis'!AA258)))</f>
        <v/>
      </c>
      <c r="AB258" s="21" t="str">
        <f>IF('Phytopl Count'!AB258=0,"",('Phytopl Analysis'!AB258*LN('Phytopl Analysis'!AB258)))</f>
        <v/>
      </c>
      <c r="AC258" s="58" t="str">
        <f>IF('Phytopl Count'!AC258=0,"",('Phytopl Analysis'!AC258*LN('Phytopl Analysis'!AC258)))</f>
        <v/>
      </c>
      <c r="AD258" s="58" t="str">
        <f>IF('Phytopl Count'!AD258=0,"",('Phytopl Analysis'!AD258*LN('Phytopl Analysis'!AD258)))</f>
        <v/>
      </c>
      <c r="AE258" s="21" t="str">
        <f>IF('Phytopl Count'!AE258=0,"",('Phytopl Analysis'!AE258*LN('Phytopl Analysis'!AE258)))</f>
        <v/>
      </c>
      <c r="AF258" s="58" t="str">
        <f>IF('Phytopl Count'!AF258=0,"",('Phytopl Analysis'!AF258*LN('Phytopl Analysis'!AF258)))</f>
        <v/>
      </c>
    </row>
    <row r="259" spans="1:32">
      <c r="A259" s="10"/>
      <c r="B259" s="10"/>
      <c r="C259" s="10"/>
      <c r="D259" s="10" t="s">
        <v>5</v>
      </c>
      <c r="E259" s="5" t="s">
        <v>75</v>
      </c>
      <c r="F259" s="9"/>
      <c r="G259" s="21" t="str">
        <f>IF('Phytopl Count'!G259=0,"",('Phytopl Analysis'!G259*LN('Phytopl Analysis'!G259)))</f>
        <v/>
      </c>
      <c r="H259" s="21" t="str">
        <f>IF('Phytopl Count'!H259=0,"",('Phytopl Analysis'!H259*LN('Phytopl Analysis'!H259)))</f>
        <v/>
      </c>
      <c r="I259" s="58" t="str">
        <f>IF('Phytopl Count'!I259=0,"",('Phytopl Analysis'!I259*LN('Phytopl Analysis'!I259)))</f>
        <v/>
      </c>
      <c r="J259" s="58" t="str">
        <f>IF('Phytopl Count'!J259=0,"",('Phytopl Analysis'!J259*LN('Phytopl Analysis'!J259)))</f>
        <v/>
      </c>
      <c r="K259" s="21" t="str">
        <f>IF('Phytopl Count'!K259=0,"",('Phytopl Analysis'!K259*LN('Phytopl Analysis'!K259)))</f>
        <v/>
      </c>
      <c r="L259" s="21" t="str">
        <f>IF('Phytopl Count'!L259=0,"",('Phytopl Analysis'!L259*LN('Phytopl Analysis'!L259)))</f>
        <v/>
      </c>
      <c r="M259" s="58" t="str">
        <f>IF('Phytopl Count'!M259=0,"",('Phytopl Analysis'!M259*LN('Phytopl Analysis'!M259)))</f>
        <v/>
      </c>
      <c r="N259" s="58" t="str">
        <f>IF('Phytopl Count'!N259=0,"",('Phytopl Analysis'!N259*LN('Phytopl Analysis'!N259)))</f>
        <v/>
      </c>
      <c r="O259" s="21" t="str">
        <f>IF('Phytopl Count'!O259=0,"",('Phytopl Analysis'!O259*LN('Phytopl Analysis'!O259)))</f>
        <v/>
      </c>
      <c r="P259" s="21" t="str">
        <f>IF('Phytopl Count'!P259=0,"",('Phytopl Analysis'!P259*LN('Phytopl Analysis'!P259)))</f>
        <v/>
      </c>
      <c r="Q259" s="58" t="str">
        <f>IF('Phytopl Count'!Q259=0,"",('Phytopl Analysis'!Q259*LN('Phytopl Analysis'!Q259)))</f>
        <v/>
      </c>
      <c r="R259" s="58" t="str">
        <f>IF('Phytopl Count'!R259=0,"",('Phytopl Analysis'!R259*LN('Phytopl Analysis'!R259)))</f>
        <v/>
      </c>
      <c r="S259" s="21" t="str">
        <f>IF('Phytopl Count'!S259=0,"",('Phytopl Analysis'!S259*LN('Phytopl Analysis'!S259)))</f>
        <v/>
      </c>
      <c r="T259" s="21" t="str">
        <f>IF('Phytopl Count'!T259=0,"",('Phytopl Analysis'!T259*LN('Phytopl Analysis'!T259)))</f>
        <v/>
      </c>
      <c r="U259" s="58" t="str">
        <f>IF('Phytopl Count'!U259=0,"",('Phytopl Analysis'!U259*LN('Phytopl Analysis'!U259)))</f>
        <v/>
      </c>
      <c r="V259" s="58" t="str">
        <f>IF('Phytopl Count'!V259=0,"",('Phytopl Analysis'!V259*LN('Phytopl Analysis'!V259)))</f>
        <v/>
      </c>
      <c r="W259" s="21" t="str">
        <f>IF('Phytopl Count'!W259=0,"",('Phytopl Analysis'!W259*LN('Phytopl Analysis'!W259)))</f>
        <v/>
      </c>
      <c r="X259" s="21" t="str">
        <f>IF('Phytopl Count'!X259=0,"",('Phytopl Analysis'!X259*LN('Phytopl Analysis'!X259)))</f>
        <v/>
      </c>
      <c r="Y259" s="58" t="str">
        <f>IF('Phytopl Count'!Y259=0,"",('Phytopl Analysis'!Y259*LN('Phytopl Analysis'!Y259)))</f>
        <v/>
      </c>
      <c r="Z259" s="58" t="str">
        <f>IF('Phytopl Count'!Z259=0,"",('Phytopl Analysis'!Z259*LN('Phytopl Analysis'!Z259)))</f>
        <v/>
      </c>
      <c r="AA259" s="21" t="str">
        <f>IF('Phytopl Count'!AA259=0,"",('Phytopl Analysis'!AA259*LN('Phytopl Analysis'!AA259)))</f>
        <v/>
      </c>
      <c r="AB259" s="21" t="str">
        <f>IF('Phytopl Count'!AB259=0,"",('Phytopl Analysis'!AB259*LN('Phytopl Analysis'!AB259)))</f>
        <v/>
      </c>
      <c r="AC259" s="58" t="str">
        <f>IF('Phytopl Count'!AC259=0,"",('Phytopl Analysis'!AC259*LN('Phytopl Analysis'!AC259)))</f>
        <v/>
      </c>
      <c r="AD259" s="58" t="str">
        <f>IF('Phytopl Count'!AD259=0,"",('Phytopl Analysis'!AD259*LN('Phytopl Analysis'!AD259)))</f>
        <v/>
      </c>
      <c r="AE259" s="21" t="str">
        <f>IF('Phytopl Count'!AE259=0,"",('Phytopl Analysis'!AE259*LN('Phytopl Analysis'!AE259)))</f>
        <v/>
      </c>
      <c r="AF259" s="58" t="str">
        <f>IF('Phytopl Count'!AF259=0,"",('Phytopl Analysis'!AF259*LN('Phytopl Analysis'!AF259)))</f>
        <v/>
      </c>
    </row>
    <row r="260" spans="1:32">
      <c r="A260" s="5"/>
      <c r="B260" s="5"/>
      <c r="C260" s="5"/>
      <c r="D260" s="5"/>
      <c r="E260" s="10" t="s">
        <v>6</v>
      </c>
      <c r="F260" s="11" t="s">
        <v>11</v>
      </c>
      <c r="G260" s="21" t="str">
        <f>IF('Phytopl Count'!G260=0,"",('Phytopl Analysis'!G260*LN('Phytopl Analysis'!G260)))</f>
        <v/>
      </c>
      <c r="H260" s="21" t="str">
        <f>IF('Phytopl Count'!H260=0,"",('Phytopl Analysis'!H260*LN('Phytopl Analysis'!H260)))</f>
        <v/>
      </c>
      <c r="I260" s="58">
        <f>IF('Phytopl Count'!I260=0,"",('Phytopl Analysis'!I260*LN('Phytopl Analysis'!I260)))</f>
        <v>-0.33523665356137466</v>
      </c>
      <c r="J260" s="58">
        <f>IF('Phytopl Count'!J260=0,"",('Phytopl Analysis'!J260*LN('Phytopl Analysis'!J260)))</f>
        <v>-0.12884150444391032</v>
      </c>
      <c r="K260" s="21">
        <f>IF('Phytopl Count'!K260=0,"",('Phytopl Analysis'!K260*LN('Phytopl Analysis'!K260)))</f>
        <v>-0.35856946742802159</v>
      </c>
      <c r="L260" s="21">
        <f>IF('Phytopl Count'!L260=0,"",('Phytopl Analysis'!L260*LN('Phytopl Analysis'!L260)))</f>
        <v>-0.27919519416049449</v>
      </c>
      <c r="M260" s="58" t="str">
        <f>IF('Phytopl Count'!M260=0,"",('Phytopl Analysis'!M260*LN('Phytopl Analysis'!M260)))</f>
        <v/>
      </c>
      <c r="N260" s="58">
        <f>IF('Phytopl Count'!N260=0,"",('Phytopl Analysis'!N260*LN('Phytopl Analysis'!N260)))</f>
        <v>-0.1458498424659852</v>
      </c>
      <c r="O260" s="21" t="str">
        <f>IF('Phytopl Count'!O260=0,"",('Phytopl Analysis'!O260*LN('Phytopl Analysis'!O260)))</f>
        <v/>
      </c>
      <c r="P260" s="21">
        <f>IF('Phytopl Count'!P260=0,"",('Phytopl Analysis'!P260*LN('Phytopl Analysis'!P260)))</f>
        <v>-0.11022075559754062</v>
      </c>
      <c r="Q260" s="58">
        <f>IF('Phytopl Count'!Q260=0,"",('Phytopl Analysis'!Q260*LN('Phytopl Analysis'!Q260)))</f>
        <v>-0.29334277233901074</v>
      </c>
      <c r="R260" s="58">
        <f>IF('Phytopl Count'!R260=0,"",('Phytopl Analysis'!R260*LN('Phytopl Analysis'!R260)))</f>
        <v>-0.11022075559754062</v>
      </c>
      <c r="S260" s="21">
        <f>IF('Phytopl Count'!S260=0,"",('Phytopl Analysis'!S260*LN('Phytopl Analysis'!S260)))</f>
        <v>-0.1458498424659852</v>
      </c>
      <c r="T260" s="21">
        <f>IF('Phytopl Count'!T260=0,"",('Phytopl Analysis'!T260*LN('Phytopl Analysis'!T260)))</f>
        <v>-0.22509271130098124</v>
      </c>
      <c r="U260" s="58" t="str">
        <f>IF('Phytopl Count'!U260=0,"",('Phytopl Analysis'!U260*LN('Phytopl Analysis'!U260)))</f>
        <v/>
      </c>
      <c r="V260" s="58" t="str">
        <f>IF('Phytopl Count'!V260=0,"",('Phytopl Analysis'!V260*LN('Phytopl Analysis'!V260)))</f>
        <v/>
      </c>
      <c r="W260" s="21" t="str">
        <f>IF('Phytopl Count'!W260=0,"",('Phytopl Analysis'!W260*LN('Phytopl Analysis'!W260)))</f>
        <v/>
      </c>
      <c r="X260" s="21">
        <f>IF('Phytopl Count'!X260=0,"",('Phytopl Analysis'!X260*LN('Phytopl Analysis'!X260)))</f>
        <v>-0.11022075559754062</v>
      </c>
      <c r="Y260" s="58" t="str">
        <f>IF('Phytopl Count'!Y260=0,"",('Phytopl Analysis'!Y260*LN('Phytopl Analysis'!Y260)))</f>
        <v/>
      </c>
      <c r="Z260" s="58">
        <f>IF('Phytopl Count'!Z260=0,"",('Phytopl Analysis'!Z260*LN('Phytopl Analysis'!Z260)))</f>
        <v>-0.23551788360242082</v>
      </c>
      <c r="AA260" s="21" t="str">
        <f>IF('Phytopl Count'!AA260=0,"",('Phytopl Analysis'!AA260*LN('Phytopl Analysis'!AA260)))</f>
        <v/>
      </c>
      <c r="AB260" s="21">
        <f>IF('Phytopl Count'!AB260=0,"",('Phytopl Analysis'!AB260*LN('Phytopl Analysis'!AB260)))</f>
        <v>-0.12884150444391032</v>
      </c>
      <c r="AC260" s="58" t="str">
        <f>IF('Phytopl Count'!AC260=0,"",('Phytopl Analysis'!AC260*LN('Phytopl Analysis'!AC260)))</f>
        <v/>
      </c>
      <c r="AD260" s="58">
        <f>IF('Phytopl Count'!AD260=0,"",('Phytopl Analysis'!AD260*LN('Phytopl Analysis'!AD260)))</f>
        <v>-0.26326442604085809</v>
      </c>
      <c r="AE260" s="21" t="str">
        <f>IF('Phytopl Count'!AE260=0,"",('Phytopl Analysis'!AE260*LN('Phytopl Analysis'!AE260)))</f>
        <v/>
      </c>
      <c r="AF260" s="58" t="str">
        <f>IF('Phytopl Count'!AF260=0,"",('Phytopl Analysis'!AF260*LN('Phytopl Analysis'!AF260)))</f>
        <v/>
      </c>
    </row>
    <row r="261" spans="1:32" hidden="1">
      <c r="A261" s="5"/>
      <c r="B261" s="5"/>
      <c r="C261" s="5"/>
      <c r="D261" s="5"/>
      <c r="E261" s="10"/>
      <c r="F261" s="11" t="s">
        <v>315</v>
      </c>
      <c r="G261" s="21" t="str">
        <f>IF('Phytopl Count'!G261=0,"",('Phytopl Analysis'!G261*LN('Phytopl Analysis'!G261)))</f>
        <v/>
      </c>
      <c r="H261" s="21" t="str">
        <f>IF('Phytopl Count'!H261=0,"",('Phytopl Analysis'!H261*LN('Phytopl Analysis'!H261)))</f>
        <v/>
      </c>
      <c r="I261" s="58" t="str">
        <f>IF('Phytopl Count'!I261=0,"",('Phytopl Analysis'!I261*LN('Phytopl Analysis'!I261)))</f>
        <v/>
      </c>
      <c r="J261" s="58" t="str">
        <f>IF('Phytopl Count'!J261=0,"",('Phytopl Analysis'!J261*LN('Phytopl Analysis'!J261)))</f>
        <v/>
      </c>
      <c r="K261" s="21" t="str">
        <f>IF('Phytopl Count'!K261=0,"",('Phytopl Analysis'!K261*LN('Phytopl Analysis'!K261)))</f>
        <v/>
      </c>
      <c r="L261" s="21" t="str">
        <f>IF('Phytopl Count'!L261=0,"",('Phytopl Analysis'!L261*LN('Phytopl Analysis'!L261)))</f>
        <v/>
      </c>
      <c r="M261" s="58" t="str">
        <f>IF('Phytopl Count'!M261=0,"",('Phytopl Analysis'!M261*LN('Phytopl Analysis'!M261)))</f>
        <v/>
      </c>
      <c r="N261" s="58" t="str">
        <f>IF('Phytopl Count'!N261=0,"",('Phytopl Analysis'!N261*LN('Phytopl Analysis'!N261)))</f>
        <v/>
      </c>
      <c r="O261" s="21" t="str">
        <f>IF('Phytopl Count'!O261=0,"",('Phytopl Analysis'!O261*LN('Phytopl Analysis'!O261)))</f>
        <v/>
      </c>
      <c r="P261" s="21" t="str">
        <f>IF('Phytopl Count'!P261=0,"",('Phytopl Analysis'!P261*LN('Phytopl Analysis'!P261)))</f>
        <v/>
      </c>
      <c r="Q261" s="58" t="str">
        <f>IF('Phytopl Count'!Q261=0,"",('Phytopl Analysis'!Q261*LN('Phytopl Analysis'!Q261)))</f>
        <v/>
      </c>
      <c r="R261" s="58" t="str">
        <f>IF('Phytopl Count'!R261=0,"",('Phytopl Analysis'!R261*LN('Phytopl Analysis'!R261)))</f>
        <v/>
      </c>
      <c r="S261" s="21" t="str">
        <f>IF('Phytopl Count'!S261=0,"",('Phytopl Analysis'!S261*LN('Phytopl Analysis'!S261)))</f>
        <v/>
      </c>
      <c r="T261" s="21" t="str">
        <f>IF('Phytopl Count'!T261=0,"",('Phytopl Analysis'!T261*LN('Phytopl Analysis'!T261)))</f>
        <v/>
      </c>
      <c r="U261" s="58" t="str">
        <f>IF('Phytopl Count'!U261=0,"",('Phytopl Analysis'!U261*LN('Phytopl Analysis'!U261)))</f>
        <v/>
      </c>
      <c r="V261" s="58" t="str">
        <f>IF('Phytopl Count'!V261=0,"",('Phytopl Analysis'!V261*LN('Phytopl Analysis'!V261)))</f>
        <v/>
      </c>
      <c r="W261" s="21" t="str">
        <f>IF('Phytopl Count'!W261=0,"",('Phytopl Analysis'!W261*LN('Phytopl Analysis'!W261)))</f>
        <v/>
      </c>
      <c r="X261" s="21" t="str">
        <f>IF('Phytopl Count'!X261=0,"",('Phytopl Analysis'!X261*LN('Phytopl Analysis'!X261)))</f>
        <v/>
      </c>
      <c r="Y261" s="58" t="str">
        <f>IF('Phytopl Count'!Y261=0,"",('Phytopl Analysis'!Y261*LN('Phytopl Analysis'!Y261)))</f>
        <v/>
      </c>
      <c r="Z261" s="58" t="str">
        <f>IF('Phytopl Count'!Z261=0,"",('Phytopl Analysis'!Z261*LN('Phytopl Analysis'!Z261)))</f>
        <v/>
      </c>
      <c r="AA261" s="21" t="str">
        <f>IF('Phytopl Count'!AA261=0,"",('Phytopl Analysis'!AA261*LN('Phytopl Analysis'!AA261)))</f>
        <v/>
      </c>
      <c r="AB261" s="21" t="str">
        <f>IF('Phytopl Count'!AB261=0,"",('Phytopl Analysis'!AB261*LN('Phytopl Analysis'!AB261)))</f>
        <v/>
      </c>
      <c r="AC261" s="58" t="str">
        <f>IF('Phytopl Count'!AC261=0,"",('Phytopl Analysis'!AC261*LN('Phytopl Analysis'!AC261)))</f>
        <v/>
      </c>
      <c r="AD261" s="58" t="str">
        <f>IF('Phytopl Count'!AD261=0,"",('Phytopl Analysis'!AD261*LN('Phytopl Analysis'!AD261)))</f>
        <v/>
      </c>
      <c r="AE261" s="21" t="str">
        <f>IF('Phytopl Count'!AE261=0,"",('Phytopl Analysis'!AE261*LN('Phytopl Analysis'!AE261)))</f>
        <v/>
      </c>
      <c r="AF261" s="58" t="str">
        <f>IF('Phytopl Count'!AF261=0,"",('Phytopl Analysis'!AF261*LN('Phytopl Analysis'!AF261)))</f>
        <v/>
      </c>
    </row>
    <row r="262" spans="1:32">
      <c r="A262" s="10"/>
      <c r="B262" s="10"/>
      <c r="C262" s="10"/>
      <c r="D262" s="10" t="s">
        <v>5</v>
      </c>
      <c r="E262" s="5" t="s">
        <v>156</v>
      </c>
      <c r="F262" s="9"/>
      <c r="G262" s="21" t="str">
        <f>IF('Phytopl Count'!G262=0,"",('Phytopl Analysis'!G262*LN('Phytopl Analysis'!G262)))</f>
        <v/>
      </c>
      <c r="H262" s="21" t="str">
        <f>IF('Phytopl Count'!H262=0,"",('Phytopl Analysis'!H262*LN('Phytopl Analysis'!H262)))</f>
        <v/>
      </c>
      <c r="I262" s="58" t="str">
        <f>IF('Phytopl Count'!I262=0,"",('Phytopl Analysis'!I262*LN('Phytopl Analysis'!I262)))</f>
        <v/>
      </c>
      <c r="J262" s="58" t="str">
        <f>IF('Phytopl Count'!J262=0,"",('Phytopl Analysis'!J262*LN('Phytopl Analysis'!J262)))</f>
        <v/>
      </c>
      <c r="K262" s="21" t="str">
        <f>IF('Phytopl Count'!K262=0,"",('Phytopl Analysis'!K262*LN('Phytopl Analysis'!K262)))</f>
        <v/>
      </c>
      <c r="L262" s="21" t="str">
        <f>IF('Phytopl Count'!L262=0,"",('Phytopl Analysis'!L262*LN('Phytopl Analysis'!L262)))</f>
        <v/>
      </c>
      <c r="M262" s="58" t="str">
        <f>IF('Phytopl Count'!M262=0,"",('Phytopl Analysis'!M262*LN('Phytopl Analysis'!M262)))</f>
        <v/>
      </c>
      <c r="N262" s="58" t="str">
        <f>IF('Phytopl Count'!N262=0,"",('Phytopl Analysis'!N262*LN('Phytopl Analysis'!N262)))</f>
        <v/>
      </c>
      <c r="O262" s="21" t="str">
        <f>IF('Phytopl Count'!O262=0,"",('Phytopl Analysis'!O262*LN('Phytopl Analysis'!O262)))</f>
        <v/>
      </c>
      <c r="P262" s="21" t="str">
        <f>IF('Phytopl Count'!P262=0,"",('Phytopl Analysis'!P262*LN('Phytopl Analysis'!P262)))</f>
        <v/>
      </c>
      <c r="Q262" s="58" t="str">
        <f>IF('Phytopl Count'!Q262=0,"",('Phytopl Analysis'!Q262*LN('Phytopl Analysis'!Q262)))</f>
        <v/>
      </c>
      <c r="R262" s="58" t="str">
        <f>IF('Phytopl Count'!R262=0,"",('Phytopl Analysis'!R262*LN('Phytopl Analysis'!R262)))</f>
        <v/>
      </c>
      <c r="S262" s="21" t="str">
        <f>IF('Phytopl Count'!S262=0,"",('Phytopl Analysis'!S262*LN('Phytopl Analysis'!S262)))</f>
        <v/>
      </c>
      <c r="T262" s="21" t="str">
        <f>IF('Phytopl Count'!T262=0,"",('Phytopl Analysis'!T262*LN('Phytopl Analysis'!T262)))</f>
        <v/>
      </c>
      <c r="U262" s="58" t="str">
        <f>IF('Phytopl Count'!U262=0,"",('Phytopl Analysis'!U262*LN('Phytopl Analysis'!U262)))</f>
        <v/>
      </c>
      <c r="V262" s="58" t="str">
        <f>IF('Phytopl Count'!V262=0,"",('Phytopl Analysis'!V262*LN('Phytopl Analysis'!V262)))</f>
        <v/>
      </c>
      <c r="W262" s="21" t="str">
        <f>IF('Phytopl Count'!W262=0,"",('Phytopl Analysis'!W262*LN('Phytopl Analysis'!W262)))</f>
        <v/>
      </c>
      <c r="X262" s="21" t="str">
        <f>IF('Phytopl Count'!X262=0,"",('Phytopl Analysis'!X262*LN('Phytopl Analysis'!X262)))</f>
        <v/>
      </c>
      <c r="Y262" s="58" t="str">
        <f>IF('Phytopl Count'!Y262=0,"",('Phytopl Analysis'!Y262*LN('Phytopl Analysis'!Y262)))</f>
        <v/>
      </c>
      <c r="Z262" s="58" t="str">
        <f>IF('Phytopl Count'!Z262=0,"",('Phytopl Analysis'!Z262*LN('Phytopl Analysis'!Z262)))</f>
        <v/>
      </c>
      <c r="AA262" s="21" t="str">
        <f>IF('Phytopl Count'!AA262=0,"",('Phytopl Analysis'!AA262*LN('Phytopl Analysis'!AA262)))</f>
        <v/>
      </c>
      <c r="AB262" s="21" t="str">
        <f>IF('Phytopl Count'!AB262=0,"",('Phytopl Analysis'!AB262*LN('Phytopl Analysis'!AB262)))</f>
        <v/>
      </c>
      <c r="AC262" s="58" t="str">
        <f>IF('Phytopl Count'!AC262=0,"",('Phytopl Analysis'!AC262*LN('Phytopl Analysis'!AC262)))</f>
        <v/>
      </c>
      <c r="AD262" s="58" t="str">
        <f>IF('Phytopl Count'!AD262=0,"",('Phytopl Analysis'!AD262*LN('Phytopl Analysis'!AD262)))</f>
        <v/>
      </c>
      <c r="AE262" s="21" t="str">
        <f>IF('Phytopl Count'!AE262=0,"",('Phytopl Analysis'!AE262*LN('Phytopl Analysis'!AE262)))</f>
        <v/>
      </c>
      <c r="AF262" s="58" t="str">
        <f>IF('Phytopl Count'!AF262=0,"",('Phytopl Analysis'!AF262*LN('Phytopl Analysis'!AF262)))</f>
        <v/>
      </c>
    </row>
    <row r="263" spans="1:32" hidden="1">
      <c r="A263" s="5"/>
      <c r="B263" s="5"/>
      <c r="C263" s="5"/>
      <c r="D263" s="5"/>
      <c r="F263" s="11" t="s">
        <v>415</v>
      </c>
      <c r="G263" s="21" t="str">
        <f>IF('Phytopl Count'!G263=0,"",('Phytopl Analysis'!G263*LN('Phytopl Analysis'!G263)))</f>
        <v/>
      </c>
      <c r="H263" s="21" t="str">
        <f>IF('Phytopl Count'!H263=0,"",('Phytopl Analysis'!H263*LN('Phytopl Analysis'!H263)))</f>
        <v/>
      </c>
      <c r="I263" s="58" t="str">
        <f>IF('Phytopl Count'!I263=0,"",('Phytopl Analysis'!I263*LN('Phytopl Analysis'!I263)))</f>
        <v/>
      </c>
      <c r="J263" s="58" t="str">
        <f>IF('Phytopl Count'!J263=0,"",('Phytopl Analysis'!J263*LN('Phytopl Analysis'!J263)))</f>
        <v/>
      </c>
      <c r="K263" s="21" t="str">
        <f>IF('Phytopl Count'!K263=0,"",('Phytopl Analysis'!K263*LN('Phytopl Analysis'!K263)))</f>
        <v/>
      </c>
      <c r="L263" s="21" t="str">
        <f>IF('Phytopl Count'!L263=0,"",('Phytopl Analysis'!L263*LN('Phytopl Analysis'!L263)))</f>
        <v/>
      </c>
      <c r="M263" s="58" t="str">
        <f>IF('Phytopl Count'!M263=0,"",('Phytopl Analysis'!M263*LN('Phytopl Analysis'!M263)))</f>
        <v/>
      </c>
      <c r="N263" s="58" t="str">
        <f>IF('Phytopl Count'!N263=0,"",('Phytopl Analysis'!N263*LN('Phytopl Analysis'!N263)))</f>
        <v/>
      </c>
      <c r="O263" s="21" t="str">
        <f>IF('Phytopl Count'!O263=0,"",('Phytopl Analysis'!O263*LN('Phytopl Analysis'!O263)))</f>
        <v/>
      </c>
      <c r="P263" s="21" t="str">
        <f>IF('Phytopl Count'!P263=0,"",('Phytopl Analysis'!P263*LN('Phytopl Analysis'!P263)))</f>
        <v/>
      </c>
      <c r="Q263" s="58" t="str">
        <f>IF('Phytopl Count'!Q263=0,"",('Phytopl Analysis'!Q263*LN('Phytopl Analysis'!Q263)))</f>
        <v/>
      </c>
      <c r="R263" s="58" t="str">
        <f>IF('Phytopl Count'!R263=0,"",('Phytopl Analysis'!R263*LN('Phytopl Analysis'!R263)))</f>
        <v/>
      </c>
      <c r="S263" s="21" t="str">
        <f>IF('Phytopl Count'!S263=0,"",('Phytopl Analysis'!S263*LN('Phytopl Analysis'!S263)))</f>
        <v/>
      </c>
      <c r="T263" s="21" t="str">
        <f>IF('Phytopl Count'!T263=0,"",('Phytopl Analysis'!T263*LN('Phytopl Analysis'!T263)))</f>
        <v/>
      </c>
      <c r="U263" s="58" t="str">
        <f>IF('Phytopl Count'!U263=0,"",('Phytopl Analysis'!U263*LN('Phytopl Analysis'!U263)))</f>
        <v/>
      </c>
      <c r="V263" s="58" t="str">
        <f>IF('Phytopl Count'!V263=0,"",('Phytopl Analysis'!V263*LN('Phytopl Analysis'!V263)))</f>
        <v/>
      </c>
      <c r="W263" s="21" t="str">
        <f>IF('Phytopl Count'!W263=0,"",('Phytopl Analysis'!W263*LN('Phytopl Analysis'!W263)))</f>
        <v/>
      </c>
      <c r="X263" s="21" t="str">
        <f>IF('Phytopl Count'!X263=0,"",('Phytopl Analysis'!X263*LN('Phytopl Analysis'!X263)))</f>
        <v/>
      </c>
      <c r="Y263" s="58" t="str">
        <f>IF('Phytopl Count'!Y263=0,"",('Phytopl Analysis'!Y263*LN('Phytopl Analysis'!Y263)))</f>
        <v/>
      </c>
      <c r="Z263" s="58" t="str">
        <f>IF('Phytopl Count'!Z263=0,"",('Phytopl Analysis'!Z263*LN('Phytopl Analysis'!Z263)))</f>
        <v/>
      </c>
      <c r="AA263" s="21" t="str">
        <f>IF('Phytopl Count'!AA263=0,"",('Phytopl Analysis'!AA263*LN('Phytopl Analysis'!AA263)))</f>
        <v/>
      </c>
      <c r="AB263" s="21" t="str">
        <f>IF('Phytopl Count'!AB263=0,"",('Phytopl Analysis'!AB263*LN('Phytopl Analysis'!AB263)))</f>
        <v/>
      </c>
      <c r="AC263" s="58" t="str">
        <f>IF('Phytopl Count'!AC263=0,"",('Phytopl Analysis'!AC263*LN('Phytopl Analysis'!AC263)))</f>
        <v/>
      </c>
      <c r="AD263" s="58" t="str">
        <f>IF('Phytopl Count'!AD263=0,"",('Phytopl Analysis'!AD263*LN('Phytopl Analysis'!AD263)))</f>
        <v/>
      </c>
      <c r="AE263" s="21" t="str">
        <f>IF('Phytopl Count'!AE263=0,"",('Phytopl Analysis'!AE263*LN('Phytopl Analysis'!AE263)))</f>
        <v/>
      </c>
      <c r="AF263" s="58" t="str">
        <f>IF('Phytopl Count'!AF263=0,"",('Phytopl Analysis'!AF263*LN('Phytopl Analysis'!AF263)))</f>
        <v/>
      </c>
    </row>
    <row r="264" spans="1:32">
      <c r="A264" s="4"/>
      <c r="B264" s="5"/>
      <c r="C264" s="5"/>
      <c r="D264" s="5"/>
      <c r="E264" s="10" t="s">
        <v>6</v>
      </c>
      <c r="F264" s="11" t="s">
        <v>411</v>
      </c>
      <c r="G264" s="21" t="str">
        <f>IF('Phytopl Count'!G264=0,"",('Phytopl Analysis'!G264*LN('Phytopl Analysis'!G264)))</f>
        <v/>
      </c>
      <c r="H264" s="21" t="str">
        <f>IF('Phytopl Count'!H264=0,"",('Phytopl Analysis'!H264*LN('Phytopl Analysis'!H264)))</f>
        <v/>
      </c>
      <c r="I264" s="58" t="str">
        <f>IF('Phytopl Count'!I264=0,"",('Phytopl Analysis'!I264*LN('Phytopl Analysis'!I264)))</f>
        <v/>
      </c>
      <c r="J264" s="58" t="str">
        <f>IF('Phytopl Count'!J264=0,"",('Phytopl Analysis'!J264*LN('Phytopl Analysis'!J264)))</f>
        <v/>
      </c>
      <c r="K264" s="21" t="str">
        <f>IF('Phytopl Count'!K264=0,"",('Phytopl Analysis'!K264*LN('Phytopl Analysis'!K264)))</f>
        <v/>
      </c>
      <c r="L264" s="21" t="str">
        <f>IF('Phytopl Count'!L264=0,"",('Phytopl Analysis'!L264*LN('Phytopl Analysis'!L264)))</f>
        <v/>
      </c>
      <c r="M264" s="58" t="str">
        <f>IF('Phytopl Count'!M264=0,"",('Phytopl Analysis'!M264*LN('Phytopl Analysis'!M264)))</f>
        <v/>
      </c>
      <c r="N264" s="58" t="str">
        <f>IF('Phytopl Count'!N264=0,"",('Phytopl Analysis'!N264*LN('Phytopl Analysis'!N264)))</f>
        <v/>
      </c>
      <c r="O264" s="21" t="str">
        <f>IF('Phytopl Count'!O264=0,"",('Phytopl Analysis'!O264*LN('Phytopl Analysis'!O264)))</f>
        <v/>
      </c>
      <c r="P264" s="21" t="str">
        <f>IF('Phytopl Count'!P264=0,"",('Phytopl Analysis'!P264*LN('Phytopl Analysis'!P264)))</f>
        <v/>
      </c>
      <c r="Q264" s="58" t="str">
        <f>IF('Phytopl Count'!Q264=0,"",('Phytopl Analysis'!Q264*LN('Phytopl Analysis'!Q264)))</f>
        <v/>
      </c>
      <c r="R264" s="58" t="str">
        <f>IF('Phytopl Count'!R264=0,"",('Phytopl Analysis'!R264*LN('Phytopl Analysis'!R264)))</f>
        <v/>
      </c>
      <c r="S264" s="21" t="str">
        <f>IF('Phytopl Count'!S264=0,"",('Phytopl Analysis'!S264*LN('Phytopl Analysis'!S264)))</f>
        <v/>
      </c>
      <c r="T264" s="21" t="str">
        <f>IF('Phytopl Count'!T264=0,"",('Phytopl Analysis'!T264*LN('Phytopl Analysis'!T264)))</f>
        <v/>
      </c>
      <c r="U264" s="58" t="str">
        <f>IF('Phytopl Count'!U264=0,"",('Phytopl Analysis'!U264*LN('Phytopl Analysis'!U264)))</f>
        <v/>
      </c>
      <c r="V264" s="58" t="str">
        <f>IF('Phytopl Count'!V264=0,"",('Phytopl Analysis'!V264*LN('Phytopl Analysis'!V264)))</f>
        <v/>
      </c>
      <c r="W264" s="21" t="str">
        <f>IF('Phytopl Count'!W264=0,"",('Phytopl Analysis'!W264*LN('Phytopl Analysis'!W264)))</f>
        <v/>
      </c>
      <c r="X264" s="21" t="str">
        <f>IF('Phytopl Count'!X264=0,"",('Phytopl Analysis'!X264*LN('Phytopl Analysis'!X264)))</f>
        <v/>
      </c>
      <c r="Y264" s="58" t="str">
        <f>IF('Phytopl Count'!Y264=0,"",('Phytopl Analysis'!Y264*LN('Phytopl Analysis'!Y264)))</f>
        <v/>
      </c>
      <c r="Z264" s="58" t="str">
        <f>IF('Phytopl Count'!Z264=0,"",('Phytopl Analysis'!Z264*LN('Phytopl Analysis'!Z264)))</f>
        <v/>
      </c>
      <c r="AA264" s="21" t="str">
        <f>IF('Phytopl Count'!AA264=0,"",('Phytopl Analysis'!AA264*LN('Phytopl Analysis'!AA264)))</f>
        <v/>
      </c>
      <c r="AB264" s="21">
        <f>IF('Phytopl Count'!AB264=0,"",('Phytopl Analysis'!AB264*LN('Phytopl Analysis'!AB264)))</f>
        <v>-0.12884150444391032</v>
      </c>
      <c r="AC264" s="58" t="str">
        <f>IF('Phytopl Count'!AC264=0,"",('Phytopl Analysis'!AC264*LN('Phytopl Analysis'!AC264)))</f>
        <v/>
      </c>
      <c r="AD264" s="58" t="str">
        <f>IF('Phytopl Count'!AD264=0,"",('Phytopl Analysis'!AD264*LN('Phytopl Analysis'!AD264)))</f>
        <v/>
      </c>
      <c r="AE264" s="21" t="str">
        <f>IF('Phytopl Count'!AE264=0,"",('Phytopl Analysis'!AE264*LN('Phytopl Analysis'!AE264)))</f>
        <v/>
      </c>
      <c r="AF264" s="58" t="str">
        <f>IF('Phytopl Count'!AF264=0,"",('Phytopl Analysis'!AF264*LN('Phytopl Analysis'!AF264)))</f>
        <v/>
      </c>
    </row>
    <row r="265" spans="1:32">
      <c r="A265" s="5"/>
      <c r="B265" s="5"/>
      <c r="C265" s="5"/>
      <c r="D265" s="5"/>
      <c r="E265" s="10"/>
      <c r="F265" s="11" t="s">
        <v>115</v>
      </c>
      <c r="G265" s="21" t="str">
        <f>IF('Phytopl Count'!G265=0,"",('Phytopl Analysis'!G265*LN('Phytopl Analysis'!G265)))</f>
        <v/>
      </c>
      <c r="H265" s="21">
        <f>IF('Phytopl Count'!H265=0,"",('Phytopl Analysis'!H265*LN('Phytopl Analysis'!H265)))</f>
        <v>0.52700171369812387</v>
      </c>
      <c r="I265" s="58" t="str">
        <f>IF('Phytopl Count'!I265=0,"",('Phytopl Analysis'!I265*LN('Phytopl Analysis'!I265)))</f>
        <v/>
      </c>
      <c r="J265" s="58">
        <f>IF('Phytopl Count'!J265=0,"",('Phytopl Analysis'!J265*LN('Phytopl Analysis'!J265)))</f>
        <v>-0.29334277233901074</v>
      </c>
      <c r="K265" s="21">
        <f>IF('Phytopl Count'!K265=0,"",('Phytopl Analysis'!K265*LN('Phytopl Analysis'!K265)))</f>
        <v>-0.22509271130098124</v>
      </c>
      <c r="L265" s="21">
        <f>IF('Phytopl Count'!L265=0,"",('Phytopl Analysis'!L265*LN('Phytopl Analysis'!L265)))</f>
        <v>-0.22509271130098124</v>
      </c>
      <c r="M265" s="58">
        <f>IF('Phytopl Count'!M265=0,"",('Phytopl Analysis'!M265*LN('Phytopl Analysis'!M265)))</f>
        <v>-0.32200626515868613</v>
      </c>
      <c r="N265" s="58">
        <f>IF('Phytopl Count'!N265=0,"",('Phytopl Analysis'!N265*LN('Phytopl Analysis'!N265)))</f>
        <v>-0.1458498424659852</v>
      </c>
      <c r="O265" s="21">
        <f>IF('Phytopl Count'!O265=0,"",('Phytopl Analysis'!O265*LN('Phytopl Analysis'!O265)))</f>
        <v>-0.33523665356137466</v>
      </c>
      <c r="P265" s="21">
        <f>IF('Phytopl Count'!P265=0,"",('Phytopl Analysis'!P265*LN('Phytopl Analysis'!P265)))</f>
        <v>-0.11022075559754062</v>
      </c>
      <c r="Q265" s="58">
        <f>IF('Phytopl Count'!Q265=0,"",('Phytopl Analysis'!Q265*LN('Phytopl Analysis'!Q265)))</f>
        <v>-0.20217719752866301</v>
      </c>
      <c r="R265" s="58" t="str">
        <f>IF('Phytopl Count'!R265=0,"",('Phytopl Analysis'!R265*LN('Phytopl Analysis'!R265)))</f>
        <v/>
      </c>
      <c r="S265" s="21">
        <f>IF('Phytopl Count'!S265=0,"",('Phytopl Analysis'!S265*LN('Phytopl Analysis'!S265)))</f>
        <v>-0.3169714753399841</v>
      </c>
      <c r="T265" s="21">
        <f>IF('Phytopl Count'!T265=0,"",('Phytopl Analysis'!T265*LN('Phytopl Analysis'!T265)))</f>
        <v>-0.35218053955882883</v>
      </c>
      <c r="U265" s="58">
        <f>IF('Phytopl Count'!U265=0,"",('Phytopl Analysis'!U265*LN('Phytopl Analysis'!U265)))</f>
        <v>-0.35856946742802159</v>
      </c>
      <c r="V265" s="58">
        <f>IF('Phytopl Count'!V265=0,"",('Phytopl Analysis'!V265*LN('Phytopl Analysis'!V265)))</f>
        <v>-0.2545625689671801</v>
      </c>
      <c r="W265" s="21">
        <f>IF('Phytopl Count'!W265=0,"",('Phytopl Analysis'!W265*LN('Phytopl Analysis'!W265)))</f>
        <v>-0.1458498424659852</v>
      </c>
      <c r="X265" s="21">
        <f>IF('Phytopl Count'!X265=0,"",('Phytopl Analysis'!X265*LN('Phytopl Analysis'!X265)))</f>
        <v>-0.22509271130098124</v>
      </c>
      <c r="Y265" s="58">
        <f>IF('Phytopl Count'!Y265=0,"",('Phytopl Analysis'!Y265*LN('Phytopl Analysis'!Y265)))</f>
        <v>-0.35856946742802159</v>
      </c>
      <c r="Z265" s="58">
        <f>IF('Phytopl Count'!Z265=0,"",('Phytopl Analysis'!Z265*LN('Phytopl Analysis'!Z265)))</f>
        <v>1.5268375920607815</v>
      </c>
      <c r="AA265" s="21">
        <f>IF('Phytopl Count'!AA265=0,"",('Phytopl Analysis'!AA265*LN('Phytopl Analysis'!AA265)))</f>
        <v>-0.3169714753399841</v>
      </c>
      <c r="AB265" s="21">
        <f>IF('Phytopl Count'!AB265=0,"",('Phytopl Analysis'!AB265*LN('Phytopl Analysis'!AB265)))</f>
        <v>-0.34260770385688732</v>
      </c>
      <c r="AC265" s="58">
        <f>IF('Phytopl Count'!AC265=0,"",('Phytopl Analysis'!AC265*LN('Phytopl Analysis'!AC265)))</f>
        <v>-0.34258331876621473</v>
      </c>
      <c r="AD265" s="58">
        <f>IF('Phytopl Count'!AD265=0,"",('Phytopl Analysis'!AD265*LN('Phytopl Analysis'!AD265)))</f>
        <v>-0.36466229924139099</v>
      </c>
      <c r="AE265" s="21">
        <f>IF('Phytopl Count'!AE265=0,"",('Phytopl Analysis'!AE265*LN('Phytopl Analysis'!AE265)))</f>
        <v>-0.1895528273034891</v>
      </c>
      <c r="AF265" s="58">
        <f>IF('Phytopl Count'!AF265=0,"",('Phytopl Analysis'!AF265*LN('Phytopl Analysis'!AF265)))</f>
        <v>5.7850260746368942</v>
      </c>
    </row>
    <row r="266" spans="1:32">
      <c r="A266" s="4"/>
      <c r="B266" s="4"/>
      <c r="C266" s="16" t="s">
        <v>73</v>
      </c>
      <c r="D266" s="4" t="s">
        <v>283</v>
      </c>
      <c r="E266" s="10"/>
      <c r="F266" s="9"/>
      <c r="G266" s="21" t="str">
        <f>IF('Phytopl Count'!G266=0,"",('Phytopl Analysis'!G266*LN('Phytopl Analysis'!G266)))</f>
        <v/>
      </c>
      <c r="H266" s="21" t="str">
        <f>IF('Phytopl Count'!H266=0,"",('Phytopl Analysis'!H266*LN('Phytopl Analysis'!H266)))</f>
        <v/>
      </c>
      <c r="I266" s="58" t="str">
        <f>IF('Phytopl Count'!I266=0,"",('Phytopl Analysis'!I266*LN('Phytopl Analysis'!I266)))</f>
        <v/>
      </c>
      <c r="J266" s="58" t="str">
        <f>IF('Phytopl Count'!J266=0,"",('Phytopl Analysis'!J266*LN('Phytopl Analysis'!J266)))</f>
        <v/>
      </c>
      <c r="K266" s="21" t="str">
        <f>IF('Phytopl Count'!K266=0,"",('Phytopl Analysis'!K266*LN('Phytopl Analysis'!K266)))</f>
        <v/>
      </c>
      <c r="L266" s="21" t="str">
        <f>IF('Phytopl Count'!L266=0,"",('Phytopl Analysis'!L266*LN('Phytopl Analysis'!L266)))</f>
        <v/>
      </c>
      <c r="M266" s="58" t="str">
        <f>IF('Phytopl Count'!M266=0,"",('Phytopl Analysis'!M266*LN('Phytopl Analysis'!M266)))</f>
        <v/>
      </c>
      <c r="N266" s="58" t="str">
        <f>IF('Phytopl Count'!N266=0,"",('Phytopl Analysis'!N266*LN('Phytopl Analysis'!N266)))</f>
        <v/>
      </c>
      <c r="O266" s="21" t="str">
        <f>IF('Phytopl Count'!O266=0,"",('Phytopl Analysis'!O266*LN('Phytopl Analysis'!O266)))</f>
        <v/>
      </c>
      <c r="P266" s="21" t="str">
        <f>IF('Phytopl Count'!P266=0,"",('Phytopl Analysis'!P266*LN('Phytopl Analysis'!P266)))</f>
        <v/>
      </c>
      <c r="Q266" s="58" t="str">
        <f>IF('Phytopl Count'!Q266=0,"",('Phytopl Analysis'!Q266*LN('Phytopl Analysis'!Q266)))</f>
        <v/>
      </c>
      <c r="R266" s="58" t="str">
        <f>IF('Phytopl Count'!R266=0,"",('Phytopl Analysis'!R266*LN('Phytopl Analysis'!R266)))</f>
        <v/>
      </c>
      <c r="S266" s="21" t="str">
        <f>IF('Phytopl Count'!S266=0,"",('Phytopl Analysis'!S266*LN('Phytopl Analysis'!S266)))</f>
        <v/>
      </c>
      <c r="T266" s="21" t="str">
        <f>IF('Phytopl Count'!T266=0,"",('Phytopl Analysis'!T266*LN('Phytopl Analysis'!T266)))</f>
        <v/>
      </c>
      <c r="U266" s="58" t="str">
        <f>IF('Phytopl Count'!U266=0,"",('Phytopl Analysis'!U266*LN('Phytopl Analysis'!U266)))</f>
        <v/>
      </c>
      <c r="V266" s="58" t="str">
        <f>IF('Phytopl Count'!V266=0,"",('Phytopl Analysis'!V266*LN('Phytopl Analysis'!V266)))</f>
        <v/>
      </c>
      <c r="W266" s="21" t="str">
        <f>IF('Phytopl Count'!W266=0,"",('Phytopl Analysis'!W266*LN('Phytopl Analysis'!W266)))</f>
        <v/>
      </c>
      <c r="X266" s="21" t="str">
        <f>IF('Phytopl Count'!X266=0,"",('Phytopl Analysis'!X266*LN('Phytopl Analysis'!X266)))</f>
        <v/>
      </c>
      <c r="Y266" s="58" t="str">
        <f>IF('Phytopl Count'!Y266=0,"",('Phytopl Analysis'!Y266*LN('Phytopl Analysis'!Y266)))</f>
        <v/>
      </c>
      <c r="Z266" s="58" t="str">
        <f>IF('Phytopl Count'!Z266=0,"",('Phytopl Analysis'!Z266*LN('Phytopl Analysis'!Z266)))</f>
        <v/>
      </c>
      <c r="AA266" s="21" t="str">
        <f>IF('Phytopl Count'!AA266=0,"",('Phytopl Analysis'!AA266*LN('Phytopl Analysis'!AA266)))</f>
        <v/>
      </c>
      <c r="AB266" s="21" t="str">
        <f>IF('Phytopl Count'!AB266=0,"",('Phytopl Analysis'!AB266*LN('Phytopl Analysis'!AB266)))</f>
        <v/>
      </c>
      <c r="AC266" s="58" t="str">
        <f>IF('Phytopl Count'!AC266=0,"",('Phytopl Analysis'!AC266*LN('Phytopl Analysis'!AC266)))</f>
        <v/>
      </c>
      <c r="AD266" s="58" t="str">
        <f>IF('Phytopl Count'!AD266=0,"",('Phytopl Analysis'!AD266*LN('Phytopl Analysis'!AD266)))</f>
        <v/>
      </c>
      <c r="AE266" s="21" t="str">
        <f>IF('Phytopl Count'!AE266=0,"",('Phytopl Analysis'!AE266*LN('Phytopl Analysis'!AE266)))</f>
        <v/>
      </c>
      <c r="AF266" s="58" t="str">
        <f>IF('Phytopl Count'!AF266=0,"",('Phytopl Analysis'!AF266*LN('Phytopl Analysis'!AF266)))</f>
        <v/>
      </c>
    </row>
    <row r="267" spans="1:32" hidden="1">
      <c r="A267" s="4"/>
      <c r="B267" s="5"/>
      <c r="C267" s="5"/>
      <c r="D267" s="10" t="s">
        <v>5</v>
      </c>
      <c r="E267" s="115" t="s">
        <v>306</v>
      </c>
      <c r="F267" s="11"/>
      <c r="G267" s="21" t="str">
        <f>IF('Phytopl Count'!G267=0,"",('Phytopl Analysis'!G267*LN('Phytopl Analysis'!G267)))</f>
        <v/>
      </c>
      <c r="H267" s="21" t="str">
        <f>IF('Phytopl Count'!H267=0,"",('Phytopl Analysis'!H267*LN('Phytopl Analysis'!H267)))</f>
        <v/>
      </c>
      <c r="I267" s="58" t="str">
        <f>IF('Phytopl Count'!I267=0,"",('Phytopl Analysis'!I267*LN('Phytopl Analysis'!I267)))</f>
        <v/>
      </c>
      <c r="J267" s="58" t="str">
        <f>IF('Phytopl Count'!J267=0,"",('Phytopl Analysis'!J267*LN('Phytopl Analysis'!J267)))</f>
        <v/>
      </c>
      <c r="K267" s="21" t="str">
        <f>IF('Phytopl Count'!K267=0,"",('Phytopl Analysis'!K267*LN('Phytopl Analysis'!K267)))</f>
        <v/>
      </c>
      <c r="L267" s="21" t="str">
        <f>IF('Phytopl Count'!L267=0,"",('Phytopl Analysis'!L267*LN('Phytopl Analysis'!L267)))</f>
        <v/>
      </c>
      <c r="M267" s="58" t="str">
        <f>IF('Phytopl Count'!M267=0,"",('Phytopl Analysis'!M267*LN('Phytopl Analysis'!M267)))</f>
        <v/>
      </c>
      <c r="N267" s="58" t="str">
        <f>IF('Phytopl Count'!N267=0,"",('Phytopl Analysis'!N267*LN('Phytopl Analysis'!N267)))</f>
        <v/>
      </c>
      <c r="O267" s="21" t="str">
        <f>IF('Phytopl Count'!O267=0,"",('Phytopl Analysis'!O267*LN('Phytopl Analysis'!O267)))</f>
        <v/>
      </c>
      <c r="P267" s="21" t="str">
        <f>IF('Phytopl Count'!P267=0,"",('Phytopl Analysis'!P267*LN('Phytopl Analysis'!P267)))</f>
        <v/>
      </c>
      <c r="Q267" s="58" t="str">
        <f>IF('Phytopl Count'!Q267=0,"",('Phytopl Analysis'!Q267*LN('Phytopl Analysis'!Q267)))</f>
        <v/>
      </c>
      <c r="R267" s="58" t="str">
        <f>IF('Phytopl Count'!R267=0,"",('Phytopl Analysis'!R267*LN('Phytopl Analysis'!R267)))</f>
        <v/>
      </c>
      <c r="S267" s="21" t="str">
        <f>IF('Phytopl Count'!S267=0,"",('Phytopl Analysis'!S267*LN('Phytopl Analysis'!S267)))</f>
        <v/>
      </c>
      <c r="T267" s="21" t="str">
        <f>IF('Phytopl Count'!T267=0,"",('Phytopl Analysis'!T267*LN('Phytopl Analysis'!T267)))</f>
        <v/>
      </c>
      <c r="U267" s="58" t="str">
        <f>IF('Phytopl Count'!U267=0,"",('Phytopl Analysis'!U267*LN('Phytopl Analysis'!U267)))</f>
        <v/>
      </c>
      <c r="V267" s="58" t="str">
        <f>IF('Phytopl Count'!V267=0,"",('Phytopl Analysis'!V267*LN('Phytopl Analysis'!V267)))</f>
        <v/>
      </c>
      <c r="W267" s="21" t="str">
        <f>IF('Phytopl Count'!W267=0,"",('Phytopl Analysis'!W267*LN('Phytopl Analysis'!W267)))</f>
        <v/>
      </c>
      <c r="X267" s="21" t="str">
        <f>IF('Phytopl Count'!X267=0,"",('Phytopl Analysis'!X267*LN('Phytopl Analysis'!X267)))</f>
        <v/>
      </c>
      <c r="Y267" s="58" t="str">
        <f>IF('Phytopl Count'!Y267=0,"",('Phytopl Analysis'!Y267*LN('Phytopl Analysis'!Y267)))</f>
        <v/>
      </c>
      <c r="Z267" s="58" t="str">
        <f>IF('Phytopl Count'!Z267=0,"",('Phytopl Analysis'!Z267*LN('Phytopl Analysis'!Z267)))</f>
        <v/>
      </c>
      <c r="AA267" s="21" t="str">
        <f>IF('Phytopl Count'!AA267=0,"",('Phytopl Analysis'!AA267*LN('Phytopl Analysis'!AA267)))</f>
        <v/>
      </c>
      <c r="AB267" s="21" t="str">
        <f>IF('Phytopl Count'!AB267=0,"",('Phytopl Analysis'!AB267*LN('Phytopl Analysis'!AB267)))</f>
        <v/>
      </c>
      <c r="AC267" s="58" t="str">
        <f>IF('Phytopl Count'!AC267=0,"",('Phytopl Analysis'!AC267*LN('Phytopl Analysis'!AC267)))</f>
        <v/>
      </c>
      <c r="AD267" s="58" t="str">
        <f>IF('Phytopl Count'!AD267=0,"",('Phytopl Analysis'!AD267*LN('Phytopl Analysis'!AD267)))</f>
        <v/>
      </c>
      <c r="AE267" s="21" t="str">
        <f>IF('Phytopl Count'!AE267=0,"",('Phytopl Analysis'!AE267*LN('Phytopl Analysis'!AE267)))</f>
        <v/>
      </c>
      <c r="AF267" s="58" t="str">
        <f>IF('Phytopl Count'!AF267=0,"",('Phytopl Analysis'!AF267*LN('Phytopl Analysis'!AF267)))</f>
        <v/>
      </c>
    </row>
    <row r="268" spans="1:32" hidden="1">
      <c r="A268" s="4"/>
      <c r="B268" s="5"/>
      <c r="C268" s="5"/>
      <c r="D268" s="5"/>
      <c r="E268" s="10" t="s">
        <v>6</v>
      </c>
      <c r="F268" s="11" t="s">
        <v>284</v>
      </c>
      <c r="G268" s="21" t="str">
        <f>IF('Phytopl Count'!G268=0,"",('Phytopl Analysis'!G268*LN('Phytopl Analysis'!G268)))</f>
        <v/>
      </c>
      <c r="H268" s="21" t="str">
        <f>IF('Phytopl Count'!H268=0,"",('Phytopl Analysis'!H268*LN('Phytopl Analysis'!H268)))</f>
        <v/>
      </c>
      <c r="I268" s="58" t="str">
        <f>IF('Phytopl Count'!I268=0,"",('Phytopl Analysis'!I268*LN('Phytopl Analysis'!I268)))</f>
        <v/>
      </c>
      <c r="J268" s="58" t="str">
        <f>IF('Phytopl Count'!J268=0,"",('Phytopl Analysis'!J268*LN('Phytopl Analysis'!J268)))</f>
        <v/>
      </c>
      <c r="K268" s="21" t="str">
        <f>IF('Phytopl Count'!K268=0,"",('Phytopl Analysis'!K268*LN('Phytopl Analysis'!K268)))</f>
        <v/>
      </c>
      <c r="L268" s="21" t="str">
        <f>IF('Phytopl Count'!L268=0,"",('Phytopl Analysis'!L268*LN('Phytopl Analysis'!L268)))</f>
        <v/>
      </c>
      <c r="M268" s="58" t="str">
        <f>IF('Phytopl Count'!M268=0,"",('Phytopl Analysis'!M268*LN('Phytopl Analysis'!M268)))</f>
        <v/>
      </c>
      <c r="N268" s="58" t="str">
        <f>IF('Phytopl Count'!N268=0,"",('Phytopl Analysis'!N268*LN('Phytopl Analysis'!N268)))</f>
        <v/>
      </c>
      <c r="O268" s="21" t="str">
        <f>IF('Phytopl Count'!O268=0,"",('Phytopl Analysis'!O268*LN('Phytopl Analysis'!O268)))</f>
        <v/>
      </c>
      <c r="P268" s="21" t="str">
        <f>IF('Phytopl Count'!P268=0,"",('Phytopl Analysis'!P268*LN('Phytopl Analysis'!P268)))</f>
        <v/>
      </c>
      <c r="Q268" s="58" t="str">
        <f>IF('Phytopl Count'!Q268=0,"",('Phytopl Analysis'!Q268*LN('Phytopl Analysis'!Q268)))</f>
        <v/>
      </c>
      <c r="R268" s="58" t="str">
        <f>IF('Phytopl Count'!R268=0,"",('Phytopl Analysis'!R268*LN('Phytopl Analysis'!R268)))</f>
        <v/>
      </c>
      <c r="S268" s="21" t="str">
        <f>IF('Phytopl Count'!S268=0,"",('Phytopl Analysis'!S268*LN('Phytopl Analysis'!S268)))</f>
        <v/>
      </c>
      <c r="T268" s="21" t="str">
        <f>IF('Phytopl Count'!T268=0,"",('Phytopl Analysis'!T268*LN('Phytopl Analysis'!T268)))</f>
        <v/>
      </c>
      <c r="U268" s="58" t="str">
        <f>IF('Phytopl Count'!U268=0,"",('Phytopl Analysis'!U268*LN('Phytopl Analysis'!U268)))</f>
        <v/>
      </c>
      <c r="V268" s="58" t="str">
        <f>IF('Phytopl Count'!V268=0,"",('Phytopl Analysis'!V268*LN('Phytopl Analysis'!V268)))</f>
        <v/>
      </c>
      <c r="W268" s="21" t="str">
        <f>IF('Phytopl Count'!W268=0,"",('Phytopl Analysis'!W268*LN('Phytopl Analysis'!W268)))</f>
        <v/>
      </c>
      <c r="X268" s="21" t="str">
        <f>IF('Phytopl Count'!X268=0,"",('Phytopl Analysis'!X268*LN('Phytopl Analysis'!X268)))</f>
        <v/>
      </c>
      <c r="Y268" s="58" t="str">
        <f>IF('Phytopl Count'!Y268=0,"",('Phytopl Analysis'!Y268*LN('Phytopl Analysis'!Y268)))</f>
        <v/>
      </c>
      <c r="Z268" s="58" t="str">
        <f>IF('Phytopl Count'!Z268=0,"",('Phytopl Analysis'!Z268*LN('Phytopl Analysis'!Z268)))</f>
        <v/>
      </c>
      <c r="AA268" s="21" t="str">
        <f>IF('Phytopl Count'!AA268=0,"",('Phytopl Analysis'!AA268*LN('Phytopl Analysis'!AA268)))</f>
        <v/>
      </c>
      <c r="AB268" s="21" t="str">
        <f>IF('Phytopl Count'!AB268=0,"",('Phytopl Analysis'!AB268*LN('Phytopl Analysis'!AB268)))</f>
        <v/>
      </c>
      <c r="AC268" s="58" t="str">
        <f>IF('Phytopl Count'!AC268=0,"",('Phytopl Analysis'!AC268*LN('Phytopl Analysis'!AC268)))</f>
        <v/>
      </c>
      <c r="AD268" s="58" t="str">
        <f>IF('Phytopl Count'!AD268=0,"",('Phytopl Analysis'!AD268*LN('Phytopl Analysis'!AD268)))</f>
        <v/>
      </c>
      <c r="AE268" s="21" t="str">
        <f>IF('Phytopl Count'!AE268=0,"",('Phytopl Analysis'!AE268*LN('Phytopl Analysis'!AE268)))</f>
        <v/>
      </c>
      <c r="AF268" s="58" t="str">
        <f>IF('Phytopl Count'!AF268=0,"",('Phytopl Analysis'!AF268*LN('Phytopl Analysis'!AF268)))</f>
        <v/>
      </c>
    </row>
    <row r="269" spans="1:32" hidden="1">
      <c r="A269" s="4"/>
      <c r="B269" s="5"/>
      <c r="C269" s="5"/>
      <c r="D269" s="5"/>
      <c r="E269" s="10"/>
      <c r="F269" s="11" t="s">
        <v>354</v>
      </c>
      <c r="G269" s="21" t="str">
        <f>IF('Phytopl Count'!G269=0,"",('Phytopl Analysis'!G269*LN('Phytopl Analysis'!G269)))</f>
        <v/>
      </c>
      <c r="H269" s="21" t="str">
        <f>IF('Phytopl Count'!H269=0,"",('Phytopl Analysis'!H269*LN('Phytopl Analysis'!H269)))</f>
        <v/>
      </c>
      <c r="I269" s="58" t="str">
        <f>IF('Phytopl Count'!I269=0,"",('Phytopl Analysis'!I269*LN('Phytopl Analysis'!I269)))</f>
        <v/>
      </c>
      <c r="J269" s="58" t="str">
        <f>IF('Phytopl Count'!J269=0,"",('Phytopl Analysis'!J269*LN('Phytopl Analysis'!J269)))</f>
        <v/>
      </c>
      <c r="K269" s="21" t="str">
        <f>IF('Phytopl Count'!K269=0,"",('Phytopl Analysis'!K269*LN('Phytopl Analysis'!K269)))</f>
        <v/>
      </c>
      <c r="L269" s="21" t="str">
        <f>IF('Phytopl Count'!L269=0,"",('Phytopl Analysis'!L269*LN('Phytopl Analysis'!L269)))</f>
        <v/>
      </c>
      <c r="M269" s="58" t="str">
        <f>IF('Phytopl Count'!M269=0,"",('Phytopl Analysis'!M269*LN('Phytopl Analysis'!M269)))</f>
        <v/>
      </c>
      <c r="N269" s="58" t="str">
        <f>IF('Phytopl Count'!N269=0,"",('Phytopl Analysis'!N269*LN('Phytopl Analysis'!N269)))</f>
        <v/>
      </c>
      <c r="O269" s="21" t="str">
        <f>IF('Phytopl Count'!O269=0,"",('Phytopl Analysis'!O269*LN('Phytopl Analysis'!O269)))</f>
        <v/>
      </c>
      <c r="P269" s="21" t="str">
        <f>IF('Phytopl Count'!P269=0,"",('Phytopl Analysis'!P269*LN('Phytopl Analysis'!P269)))</f>
        <v/>
      </c>
      <c r="Q269" s="58" t="str">
        <f>IF('Phytopl Count'!Q269=0,"",('Phytopl Analysis'!Q269*LN('Phytopl Analysis'!Q269)))</f>
        <v/>
      </c>
      <c r="R269" s="58" t="str">
        <f>IF('Phytopl Count'!R269=0,"",('Phytopl Analysis'!R269*LN('Phytopl Analysis'!R269)))</f>
        <v/>
      </c>
      <c r="S269" s="21" t="str">
        <f>IF('Phytopl Count'!S269=0,"",('Phytopl Analysis'!S269*LN('Phytopl Analysis'!S269)))</f>
        <v/>
      </c>
      <c r="T269" s="21" t="str">
        <f>IF('Phytopl Count'!T269=0,"",('Phytopl Analysis'!T269*LN('Phytopl Analysis'!T269)))</f>
        <v/>
      </c>
      <c r="U269" s="58" t="str">
        <f>IF('Phytopl Count'!U269=0,"",('Phytopl Analysis'!U269*LN('Phytopl Analysis'!U269)))</f>
        <v/>
      </c>
      <c r="V269" s="58" t="str">
        <f>IF('Phytopl Count'!V269=0,"",('Phytopl Analysis'!V269*LN('Phytopl Analysis'!V269)))</f>
        <v/>
      </c>
      <c r="W269" s="21" t="str">
        <f>IF('Phytopl Count'!W269=0,"",('Phytopl Analysis'!W269*LN('Phytopl Analysis'!W269)))</f>
        <v/>
      </c>
      <c r="X269" s="21" t="str">
        <f>IF('Phytopl Count'!X269=0,"",('Phytopl Analysis'!X269*LN('Phytopl Analysis'!X269)))</f>
        <v/>
      </c>
      <c r="Y269" s="58" t="str">
        <f>IF('Phytopl Count'!Y269=0,"",('Phytopl Analysis'!Y269*LN('Phytopl Analysis'!Y269)))</f>
        <v/>
      </c>
      <c r="Z269" s="58" t="str">
        <f>IF('Phytopl Count'!Z269=0,"",('Phytopl Analysis'!Z269*LN('Phytopl Analysis'!Z269)))</f>
        <v/>
      </c>
      <c r="AA269" s="21" t="str">
        <f>IF('Phytopl Count'!AA269=0,"",('Phytopl Analysis'!AA269*LN('Phytopl Analysis'!AA269)))</f>
        <v/>
      </c>
      <c r="AB269" s="21" t="str">
        <f>IF('Phytopl Count'!AB269=0,"",('Phytopl Analysis'!AB269*LN('Phytopl Analysis'!AB269)))</f>
        <v/>
      </c>
      <c r="AC269" s="58" t="str">
        <f>IF('Phytopl Count'!AC269=0,"",('Phytopl Analysis'!AC269*LN('Phytopl Analysis'!AC269)))</f>
        <v/>
      </c>
      <c r="AD269" s="58" t="str">
        <f>IF('Phytopl Count'!AD269=0,"",('Phytopl Analysis'!AD269*LN('Phytopl Analysis'!AD269)))</f>
        <v/>
      </c>
      <c r="AE269" s="21" t="str">
        <f>IF('Phytopl Count'!AE269=0,"",('Phytopl Analysis'!AE269*LN('Phytopl Analysis'!AE269)))</f>
        <v/>
      </c>
      <c r="AF269" s="58" t="str">
        <f>IF('Phytopl Count'!AF269=0,"",('Phytopl Analysis'!AF269*LN('Phytopl Analysis'!AF269)))</f>
        <v/>
      </c>
    </row>
    <row r="270" spans="1:32">
      <c r="A270" s="4"/>
      <c r="B270" s="5"/>
      <c r="C270" s="5"/>
      <c r="D270" s="10" t="s">
        <v>5</v>
      </c>
      <c r="E270" s="176" t="s">
        <v>403</v>
      </c>
      <c r="F270" s="11"/>
      <c r="G270" s="21" t="str">
        <f>IF('Phytopl Count'!G270=0,"",('Phytopl Analysis'!G270*LN('Phytopl Analysis'!G270)))</f>
        <v/>
      </c>
      <c r="H270" s="21" t="str">
        <f>IF('Phytopl Count'!H270=0,"",('Phytopl Analysis'!H270*LN('Phytopl Analysis'!H270)))</f>
        <v/>
      </c>
      <c r="I270" s="58" t="str">
        <f>IF('Phytopl Count'!I270=0,"",('Phytopl Analysis'!I270*LN('Phytopl Analysis'!I270)))</f>
        <v/>
      </c>
      <c r="J270" s="58" t="str">
        <f>IF('Phytopl Count'!J270=0,"",('Phytopl Analysis'!J270*LN('Phytopl Analysis'!J270)))</f>
        <v/>
      </c>
      <c r="K270" s="21" t="str">
        <f>IF('Phytopl Count'!K270=0,"",('Phytopl Analysis'!K270*LN('Phytopl Analysis'!K270)))</f>
        <v/>
      </c>
      <c r="L270" s="21" t="str">
        <f>IF('Phytopl Count'!L270=0,"",('Phytopl Analysis'!L270*LN('Phytopl Analysis'!L270)))</f>
        <v/>
      </c>
      <c r="M270" s="58" t="str">
        <f>IF('Phytopl Count'!M270=0,"",('Phytopl Analysis'!M270*LN('Phytopl Analysis'!M270)))</f>
        <v/>
      </c>
      <c r="N270" s="58" t="str">
        <f>IF('Phytopl Count'!N270=0,"",('Phytopl Analysis'!N270*LN('Phytopl Analysis'!N270)))</f>
        <v/>
      </c>
      <c r="O270" s="21" t="str">
        <f>IF('Phytopl Count'!O270=0,"",('Phytopl Analysis'!O270*LN('Phytopl Analysis'!O270)))</f>
        <v/>
      </c>
      <c r="P270" s="21" t="str">
        <f>IF('Phytopl Count'!P270=0,"",('Phytopl Analysis'!P270*LN('Phytopl Analysis'!P270)))</f>
        <v/>
      </c>
      <c r="Q270" s="58" t="str">
        <f>IF('Phytopl Count'!Q270=0,"",('Phytopl Analysis'!Q270*LN('Phytopl Analysis'!Q270)))</f>
        <v/>
      </c>
      <c r="R270" s="58" t="str">
        <f>IF('Phytopl Count'!R270=0,"",('Phytopl Analysis'!R270*LN('Phytopl Analysis'!R270)))</f>
        <v/>
      </c>
      <c r="S270" s="21" t="str">
        <f>IF('Phytopl Count'!S270=0,"",('Phytopl Analysis'!S270*LN('Phytopl Analysis'!S270)))</f>
        <v/>
      </c>
      <c r="T270" s="21" t="str">
        <f>IF('Phytopl Count'!T270=0,"",('Phytopl Analysis'!T270*LN('Phytopl Analysis'!T270)))</f>
        <v/>
      </c>
      <c r="U270" s="58" t="str">
        <f>IF('Phytopl Count'!U270=0,"",('Phytopl Analysis'!U270*LN('Phytopl Analysis'!U270)))</f>
        <v/>
      </c>
      <c r="V270" s="58" t="str">
        <f>IF('Phytopl Count'!V270=0,"",('Phytopl Analysis'!V270*LN('Phytopl Analysis'!V270)))</f>
        <v/>
      </c>
      <c r="W270" s="21" t="str">
        <f>IF('Phytopl Count'!W270=0,"",('Phytopl Analysis'!W270*LN('Phytopl Analysis'!W270)))</f>
        <v/>
      </c>
      <c r="X270" s="21" t="str">
        <f>IF('Phytopl Count'!X270=0,"",('Phytopl Analysis'!X270*LN('Phytopl Analysis'!X270)))</f>
        <v/>
      </c>
      <c r="Y270" s="58" t="str">
        <f>IF('Phytopl Count'!Y270=0,"",('Phytopl Analysis'!Y270*LN('Phytopl Analysis'!Y270)))</f>
        <v/>
      </c>
      <c r="Z270" s="58" t="str">
        <f>IF('Phytopl Count'!Z270=0,"",('Phytopl Analysis'!Z270*LN('Phytopl Analysis'!Z270)))</f>
        <v/>
      </c>
      <c r="AA270" s="21" t="str">
        <f>IF('Phytopl Count'!AA270=0,"",('Phytopl Analysis'!AA270*LN('Phytopl Analysis'!AA270)))</f>
        <v/>
      </c>
      <c r="AB270" s="21" t="str">
        <f>IF('Phytopl Count'!AB270=0,"",('Phytopl Analysis'!AB270*LN('Phytopl Analysis'!AB270)))</f>
        <v/>
      </c>
      <c r="AC270" s="58" t="str">
        <f>IF('Phytopl Count'!AC270=0,"",('Phytopl Analysis'!AC270*LN('Phytopl Analysis'!AC270)))</f>
        <v/>
      </c>
      <c r="AD270" s="58" t="str">
        <f>IF('Phytopl Count'!AD270=0,"",('Phytopl Analysis'!AD270*LN('Phytopl Analysis'!AD270)))</f>
        <v/>
      </c>
      <c r="AE270" s="21" t="str">
        <f>IF('Phytopl Count'!AE270=0,"",('Phytopl Analysis'!AE270*LN('Phytopl Analysis'!AE270)))</f>
        <v/>
      </c>
      <c r="AF270" s="58" t="str">
        <f>IF('Phytopl Count'!AF270=0,"",('Phytopl Analysis'!AF270*LN('Phytopl Analysis'!AF270)))</f>
        <v/>
      </c>
    </row>
    <row r="271" spans="1:32">
      <c r="A271" s="4"/>
      <c r="B271" s="5"/>
      <c r="C271" s="5"/>
      <c r="D271" s="5"/>
      <c r="E271" s="10" t="s">
        <v>6</v>
      </c>
      <c r="F271" s="11" t="s">
        <v>412</v>
      </c>
      <c r="G271" s="21">
        <f>IF('Phytopl Count'!G271=0,"",('Phytopl Analysis'!G271*LN('Phytopl Analysis'!G271)))</f>
        <v>-0.13467461112101523</v>
      </c>
      <c r="H271" s="21">
        <f>IF('Phytopl Count'!H271=0,"",('Phytopl Analysis'!H271*LN('Phytopl Analysis'!H271)))</f>
        <v>-0.36648594382978167</v>
      </c>
      <c r="I271" s="58" t="str">
        <f>IF('Phytopl Count'!I271=0,"",('Phytopl Analysis'!I271*LN('Phytopl Analysis'!I271)))</f>
        <v/>
      </c>
      <c r="J271" s="58">
        <f>IF('Phytopl Count'!J271=0,"",('Phytopl Analysis'!J271*LN('Phytopl Analysis'!J271)))</f>
        <v>-0.2545625689671801</v>
      </c>
      <c r="K271" s="21">
        <f>IF('Phytopl Count'!K271=0,"",('Phytopl Analysis'!K271*LN('Phytopl Analysis'!K271)))</f>
        <v>-0.26326442604085809</v>
      </c>
      <c r="L271" s="21">
        <f>IF('Phytopl Count'!L271=0,"",('Phytopl Analysis'!L271*LN('Phytopl Analysis'!L271)))</f>
        <v>-8.9576664640739892E-2</v>
      </c>
      <c r="M271" s="58">
        <f>IF('Phytopl Count'!M271=0,"",('Phytopl Analysis'!M271*LN('Phytopl Analysis'!M271)))</f>
        <v>-0.2545625689671801</v>
      </c>
      <c r="N271" s="58">
        <f>IF('Phytopl Count'!N271=0,"",('Phytopl Analysis'!N271*LN('Phytopl Analysis'!N271)))</f>
        <v>-0.1458498424659852</v>
      </c>
      <c r="O271" s="21" t="str">
        <f>IF('Phytopl Count'!O271=0,"",('Phytopl Analysis'!O271*LN('Phytopl Analysis'!O271)))</f>
        <v/>
      </c>
      <c r="P271" s="21">
        <f>IF('Phytopl Count'!P271=0,"",('Phytopl Analysis'!P271*LN('Phytopl Analysis'!P271)))</f>
        <v>-0.11022075559754062</v>
      </c>
      <c r="Q271" s="58">
        <f>IF('Phytopl Count'!Q271=0,"",('Phytopl Analysis'!Q271*LN('Phytopl Analysis'!Q271)))</f>
        <v>-0.2545625689671801</v>
      </c>
      <c r="R271" s="58">
        <f>IF('Phytopl Count'!R271=0,"",('Phytopl Analysis'!R271*LN('Phytopl Analysis'!R271)))</f>
        <v>-0.26326442604085809</v>
      </c>
      <c r="S271" s="21">
        <f>IF('Phytopl Count'!S271=0,"",('Phytopl Analysis'!S271*LN('Phytopl Analysis'!S271)))</f>
        <v>-0.27919519416049449</v>
      </c>
      <c r="T271" s="21" t="str">
        <f>IF('Phytopl Count'!T271=0,"",('Phytopl Analysis'!T271*LN('Phytopl Analysis'!T271)))</f>
        <v/>
      </c>
      <c r="U271" s="58">
        <f>IF('Phytopl Count'!U271=0,"",('Phytopl Analysis'!U271*LN('Phytopl Analysis'!U271)))</f>
        <v>-0.34258331876621473</v>
      </c>
      <c r="V271" s="58">
        <f>IF('Phytopl Count'!V271=0,"",('Phytopl Analysis'!V271*LN('Phytopl Analysis'!V271)))</f>
        <v>-0.32200626515868613</v>
      </c>
      <c r="W271" s="21">
        <f>IF('Phytopl Count'!W271=0,"",('Phytopl Analysis'!W271*LN('Phytopl Analysis'!W271)))</f>
        <v>-0.22509271130098124</v>
      </c>
      <c r="X271" s="21">
        <f>IF('Phytopl Count'!X271=0,"",('Phytopl Analysis'!X271*LN('Phytopl Analysis'!X271)))</f>
        <v>-0.22509271130098124</v>
      </c>
      <c r="Y271" s="58">
        <f>IF('Phytopl Count'!Y271=0,"",('Phytopl Analysis'!Y271*LN('Phytopl Analysis'!Y271)))</f>
        <v>-8.9576664640739892E-2</v>
      </c>
      <c r="Z271" s="58">
        <f>IF('Phytopl Count'!Z271=0,"",('Phytopl Analysis'!Z271*LN('Phytopl Analysis'!Z271)))</f>
        <v>-0.32672065767103176</v>
      </c>
      <c r="AA271" s="21">
        <f>IF('Phytopl Count'!AA271=0,"",('Phytopl Analysis'!AA271*LN('Phytopl Analysis'!AA271)))</f>
        <v>-0.3169714753399841</v>
      </c>
      <c r="AB271" s="21" t="str">
        <f>IF('Phytopl Count'!AB271=0,"",('Phytopl Analysis'!AB271*LN('Phytopl Analysis'!AB271)))</f>
        <v/>
      </c>
      <c r="AC271" s="58">
        <f>IF('Phytopl Count'!AC271=0,"",('Phytopl Analysis'!AC271*LN('Phytopl Analysis'!AC271)))</f>
        <v>-0.3489102557324118</v>
      </c>
      <c r="AD271" s="58">
        <f>IF('Phytopl Count'!AD271=0,"",('Phytopl Analysis'!AD271*LN('Phytopl Analysis'!AD271)))</f>
        <v>-0.36466229924139099</v>
      </c>
      <c r="AE271" s="21">
        <f>IF('Phytopl Count'!AE271=0,"",('Phytopl Analysis'!AE271*LN('Phytopl Analysis'!AE271)))</f>
        <v>-8.9576664640739892E-2</v>
      </c>
      <c r="AF271" s="58">
        <f>IF('Phytopl Count'!AF271=0,"",('Phytopl Analysis'!AF271*LN('Phytopl Analysis'!AF271)))</f>
        <v>-0.36466229924139099</v>
      </c>
    </row>
    <row r="272" spans="1:32" hidden="1">
      <c r="A272" s="4"/>
      <c r="B272" s="5"/>
      <c r="C272" s="5"/>
      <c r="D272" s="5"/>
      <c r="E272" s="10"/>
      <c r="F272" s="11" t="s">
        <v>404</v>
      </c>
      <c r="G272" s="21" t="str">
        <f>IF('Phytopl Count'!G272=0,"",('Phytopl Analysis'!G272*LN('Phytopl Analysis'!G272)))</f>
        <v/>
      </c>
      <c r="H272" s="21" t="str">
        <f>IF('Phytopl Count'!H272=0,"",('Phytopl Analysis'!H272*LN('Phytopl Analysis'!H272)))</f>
        <v/>
      </c>
      <c r="I272" s="58" t="str">
        <f>IF('Phytopl Count'!I272=0,"",('Phytopl Analysis'!I272*LN('Phytopl Analysis'!I272)))</f>
        <v/>
      </c>
      <c r="J272" s="58" t="str">
        <f>IF('Phytopl Count'!J272=0,"",('Phytopl Analysis'!J272*LN('Phytopl Analysis'!J272)))</f>
        <v/>
      </c>
      <c r="K272" s="21" t="str">
        <f>IF('Phytopl Count'!K272=0,"",('Phytopl Analysis'!K272*LN('Phytopl Analysis'!K272)))</f>
        <v/>
      </c>
      <c r="L272" s="21" t="str">
        <f>IF('Phytopl Count'!L272=0,"",('Phytopl Analysis'!L272*LN('Phytopl Analysis'!L272)))</f>
        <v/>
      </c>
      <c r="M272" s="58" t="str">
        <f>IF('Phytopl Count'!M272=0,"",('Phytopl Analysis'!M272*LN('Phytopl Analysis'!M272)))</f>
        <v/>
      </c>
      <c r="N272" s="58" t="str">
        <f>IF('Phytopl Count'!N272=0,"",('Phytopl Analysis'!N272*LN('Phytopl Analysis'!N272)))</f>
        <v/>
      </c>
      <c r="O272" s="21" t="str">
        <f>IF('Phytopl Count'!O272=0,"",('Phytopl Analysis'!O272*LN('Phytopl Analysis'!O272)))</f>
        <v/>
      </c>
      <c r="P272" s="21" t="str">
        <f>IF('Phytopl Count'!P272=0,"",('Phytopl Analysis'!P272*LN('Phytopl Analysis'!P272)))</f>
        <v/>
      </c>
      <c r="Q272" s="58" t="str">
        <f>IF('Phytopl Count'!Q272=0,"",('Phytopl Analysis'!Q272*LN('Phytopl Analysis'!Q272)))</f>
        <v/>
      </c>
      <c r="R272" s="58" t="str">
        <f>IF('Phytopl Count'!R272=0,"",('Phytopl Analysis'!R272*LN('Phytopl Analysis'!R272)))</f>
        <v/>
      </c>
      <c r="S272" s="21" t="str">
        <f>IF('Phytopl Count'!S272=0,"",('Phytopl Analysis'!S272*LN('Phytopl Analysis'!S272)))</f>
        <v/>
      </c>
      <c r="T272" s="21" t="str">
        <f>IF('Phytopl Count'!T272=0,"",('Phytopl Analysis'!T272*LN('Phytopl Analysis'!T272)))</f>
        <v/>
      </c>
      <c r="U272" s="58" t="str">
        <f>IF('Phytopl Count'!U272=0,"",('Phytopl Analysis'!U272*LN('Phytopl Analysis'!U272)))</f>
        <v/>
      </c>
      <c r="V272" s="58" t="str">
        <f>IF('Phytopl Count'!V272=0,"",('Phytopl Analysis'!V272*LN('Phytopl Analysis'!V272)))</f>
        <v/>
      </c>
      <c r="W272" s="21" t="str">
        <f>IF('Phytopl Count'!W272=0,"",('Phytopl Analysis'!W272*LN('Phytopl Analysis'!W272)))</f>
        <v/>
      </c>
      <c r="X272" s="21" t="str">
        <f>IF('Phytopl Count'!X272=0,"",('Phytopl Analysis'!X272*LN('Phytopl Analysis'!X272)))</f>
        <v/>
      </c>
      <c r="Y272" s="58" t="str">
        <f>IF('Phytopl Count'!Y272=0,"",('Phytopl Analysis'!Y272*LN('Phytopl Analysis'!Y272)))</f>
        <v/>
      </c>
      <c r="Z272" s="58" t="str">
        <f>IF('Phytopl Count'!Z272=0,"",('Phytopl Analysis'!Z272*LN('Phytopl Analysis'!Z272)))</f>
        <v/>
      </c>
      <c r="AA272" s="21" t="str">
        <f>IF('Phytopl Count'!AA272=0,"",('Phytopl Analysis'!AA272*LN('Phytopl Analysis'!AA272)))</f>
        <v/>
      </c>
      <c r="AB272" s="21" t="str">
        <f>IF('Phytopl Count'!AB272=0,"",('Phytopl Analysis'!AB272*LN('Phytopl Analysis'!AB272)))</f>
        <v/>
      </c>
      <c r="AC272" s="58" t="str">
        <f>IF('Phytopl Count'!AC272=0,"",('Phytopl Analysis'!AC272*LN('Phytopl Analysis'!AC272)))</f>
        <v/>
      </c>
      <c r="AD272" s="58" t="str">
        <f>IF('Phytopl Count'!AD272=0,"",('Phytopl Analysis'!AD272*LN('Phytopl Analysis'!AD272)))</f>
        <v/>
      </c>
      <c r="AE272" s="21" t="str">
        <f>IF('Phytopl Count'!AE272=0,"",('Phytopl Analysis'!AE272*LN('Phytopl Analysis'!AE272)))</f>
        <v/>
      </c>
      <c r="AF272" s="58" t="str">
        <f>IF('Phytopl Count'!AF272=0,"",('Phytopl Analysis'!AF272*LN('Phytopl Analysis'!AF272)))</f>
        <v/>
      </c>
    </row>
    <row r="273" spans="1:32" hidden="1">
      <c r="A273" s="4"/>
      <c r="B273" s="4"/>
      <c r="C273" s="16" t="s">
        <v>73</v>
      </c>
      <c r="D273" s="4" t="s">
        <v>405</v>
      </c>
      <c r="E273" s="10"/>
      <c r="F273" s="9"/>
      <c r="G273" s="21" t="str">
        <f>IF('Phytopl Count'!G273=0,"",('Phytopl Analysis'!G273*LN('Phytopl Analysis'!G273)))</f>
        <v/>
      </c>
      <c r="H273" s="21" t="str">
        <f>IF('Phytopl Count'!H273=0,"",('Phytopl Analysis'!H273*LN('Phytopl Analysis'!H273)))</f>
        <v/>
      </c>
      <c r="I273" s="58" t="str">
        <f>IF('Phytopl Count'!I273=0,"",('Phytopl Analysis'!I273*LN('Phytopl Analysis'!I273)))</f>
        <v/>
      </c>
      <c r="J273" s="58" t="str">
        <f>IF('Phytopl Count'!J273=0,"",('Phytopl Analysis'!J273*LN('Phytopl Analysis'!J273)))</f>
        <v/>
      </c>
      <c r="K273" s="21" t="str">
        <f>IF('Phytopl Count'!K273=0,"",('Phytopl Analysis'!K273*LN('Phytopl Analysis'!K273)))</f>
        <v/>
      </c>
      <c r="L273" s="21" t="str">
        <f>IF('Phytopl Count'!L273=0,"",('Phytopl Analysis'!L273*LN('Phytopl Analysis'!L273)))</f>
        <v/>
      </c>
      <c r="M273" s="58" t="str">
        <f>IF('Phytopl Count'!M273=0,"",('Phytopl Analysis'!M273*LN('Phytopl Analysis'!M273)))</f>
        <v/>
      </c>
      <c r="N273" s="58" t="str">
        <f>IF('Phytopl Count'!N273=0,"",('Phytopl Analysis'!N273*LN('Phytopl Analysis'!N273)))</f>
        <v/>
      </c>
      <c r="O273" s="21" t="str">
        <f>IF('Phytopl Count'!O273=0,"",('Phytopl Analysis'!O273*LN('Phytopl Analysis'!O273)))</f>
        <v/>
      </c>
      <c r="P273" s="21" t="str">
        <f>IF('Phytopl Count'!P273=0,"",('Phytopl Analysis'!P273*LN('Phytopl Analysis'!P273)))</f>
        <v/>
      </c>
      <c r="Q273" s="58" t="str">
        <f>IF('Phytopl Count'!Q273=0,"",('Phytopl Analysis'!Q273*LN('Phytopl Analysis'!Q273)))</f>
        <v/>
      </c>
      <c r="R273" s="58" t="str">
        <f>IF('Phytopl Count'!R273=0,"",('Phytopl Analysis'!R273*LN('Phytopl Analysis'!R273)))</f>
        <v/>
      </c>
      <c r="S273" s="21" t="str">
        <f>IF('Phytopl Count'!S273=0,"",('Phytopl Analysis'!S273*LN('Phytopl Analysis'!S273)))</f>
        <v/>
      </c>
      <c r="T273" s="21" t="str">
        <f>IF('Phytopl Count'!T273=0,"",('Phytopl Analysis'!T273*LN('Phytopl Analysis'!T273)))</f>
        <v/>
      </c>
      <c r="U273" s="58" t="str">
        <f>IF('Phytopl Count'!U273=0,"",('Phytopl Analysis'!U273*LN('Phytopl Analysis'!U273)))</f>
        <v/>
      </c>
      <c r="V273" s="58" t="str">
        <f>IF('Phytopl Count'!V273=0,"",('Phytopl Analysis'!V273*LN('Phytopl Analysis'!V273)))</f>
        <v/>
      </c>
      <c r="W273" s="21" t="str">
        <f>IF('Phytopl Count'!W273=0,"",('Phytopl Analysis'!W273*LN('Phytopl Analysis'!W273)))</f>
        <v/>
      </c>
      <c r="X273" s="21" t="str">
        <f>IF('Phytopl Count'!X273=0,"",('Phytopl Analysis'!X273*LN('Phytopl Analysis'!X273)))</f>
        <v/>
      </c>
      <c r="Y273" s="58" t="str">
        <f>IF('Phytopl Count'!Y273=0,"",('Phytopl Analysis'!Y273*LN('Phytopl Analysis'!Y273)))</f>
        <v/>
      </c>
      <c r="Z273" s="58" t="str">
        <f>IF('Phytopl Count'!Z273=0,"",('Phytopl Analysis'!Z273*LN('Phytopl Analysis'!Z273)))</f>
        <v/>
      </c>
      <c r="AA273" s="21" t="str">
        <f>IF('Phytopl Count'!AA273=0,"",('Phytopl Analysis'!AA273*LN('Phytopl Analysis'!AA273)))</f>
        <v/>
      </c>
      <c r="AB273" s="21" t="str">
        <f>IF('Phytopl Count'!AB273=0,"",('Phytopl Analysis'!AB273*LN('Phytopl Analysis'!AB273)))</f>
        <v/>
      </c>
      <c r="AC273" s="58" t="str">
        <f>IF('Phytopl Count'!AC273=0,"",('Phytopl Analysis'!AC273*LN('Phytopl Analysis'!AC273)))</f>
        <v/>
      </c>
      <c r="AD273" s="58" t="str">
        <f>IF('Phytopl Count'!AD273=0,"",('Phytopl Analysis'!AD273*LN('Phytopl Analysis'!AD273)))</f>
        <v/>
      </c>
      <c r="AE273" s="21" t="str">
        <f>IF('Phytopl Count'!AE273=0,"",('Phytopl Analysis'!AE273*LN('Phytopl Analysis'!AE273)))</f>
        <v/>
      </c>
      <c r="AF273" s="58" t="str">
        <f>IF('Phytopl Count'!AF273=0,"",('Phytopl Analysis'!AF273*LN('Phytopl Analysis'!AF273)))</f>
        <v/>
      </c>
    </row>
    <row r="274" spans="1:32" hidden="1">
      <c r="A274" s="4"/>
      <c r="B274" s="5"/>
      <c r="C274" s="5"/>
      <c r="D274" s="10" t="s">
        <v>5</v>
      </c>
      <c r="E274" s="177" t="s">
        <v>406</v>
      </c>
      <c r="F274" s="11"/>
      <c r="G274" s="21" t="str">
        <f>IF('Phytopl Count'!G274=0,"",('Phytopl Analysis'!G274*LN('Phytopl Analysis'!G274)))</f>
        <v/>
      </c>
      <c r="H274" s="21" t="str">
        <f>IF('Phytopl Count'!H274=0,"",('Phytopl Analysis'!H274*LN('Phytopl Analysis'!H274)))</f>
        <v/>
      </c>
      <c r="I274" s="58" t="str">
        <f>IF('Phytopl Count'!I274=0,"",('Phytopl Analysis'!I274*LN('Phytopl Analysis'!I274)))</f>
        <v/>
      </c>
      <c r="J274" s="58" t="str">
        <f>IF('Phytopl Count'!J274=0,"",('Phytopl Analysis'!J274*LN('Phytopl Analysis'!J274)))</f>
        <v/>
      </c>
      <c r="K274" s="21" t="str">
        <f>IF('Phytopl Count'!K274=0,"",('Phytopl Analysis'!K274*LN('Phytopl Analysis'!K274)))</f>
        <v/>
      </c>
      <c r="L274" s="21" t="str">
        <f>IF('Phytopl Count'!L274=0,"",('Phytopl Analysis'!L274*LN('Phytopl Analysis'!L274)))</f>
        <v/>
      </c>
      <c r="M274" s="58" t="str">
        <f>IF('Phytopl Count'!M274=0,"",('Phytopl Analysis'!M274*LN('Phytopl Analysis'!M274)))</f>
        <v/>
      </c>
      <c r="N274" s="58" t="str">
        <f>IF('Phytopl Count'!N274=0,"",('Phytopl Analysis'!N274*LN('Phytopl Analysis'!N274)))</f>
        <v/>
      </c>
      <c r="O274" s="21" t="str">
        <f>IF('Phytopl Count'!O274=0,"",('Phytopl Analysis'!O274*LN('Phytopl Analysis'!O274)))</f>
        <v/>
      </c>
      <c r="P274" s="21" t="str">
        <f>IF('Phytopl Count'!P274=0,"",('Phytopl Analysis'!P274*LN('Phytopl Analysis'!P274)))</f>
        <v/>
      </c>
      <c r="Q274" s="58" t="str">
        <f>IF('Phytopl Count'!Q274=0,"",('Phytopl Analysis'!Q274*LN('Phytopl Analysis'!Q274)))</f>
        <v/>
      </c>
      <c r="R274" s="58" t="str">
        <f>IF('Phytopl Count'!R274=0,"",('Phytopl Analysis'!R274*LN('Phytopl Analysis'!R274)))</f>
        <v/>
      </c>
      <c r="S274" s="21" t="str">
        <f>IF('Phytopl Count'!S274=0,"",('Phytopl Analysis'!S274*LN('Phytopl Analysis'!S274)))</f>
        <v/>
      </c>
      <c r="T274" s="21" t="str">
        <f>IF('Phytopl Count'!T274=0,"",('Phytopl Analysis'!T274*LN('Phytopl Analysis'!T274)))</f>
        <v/>
      </c>
      <c r="U274" s="58" t="str">
        <f>IF('Phytopl Count'!U274=0,"",('Phytopl Analysis'!U274*LN('Phytopl Analysis'!U274)))</f>
        <v/>
      </c>
      <c r="V274" s="58" t="str">
        <f>IF('Phytopl Count'!V274=0,"",('Phytopl Analysis'!V274*LN('Phytopl Analysis'!V274)))</f>
        <v/>
      </c>
      <c r="W274" s="21" t="str">
        <f>IF('Phytopl Count'!W274=0,"",('Phytopl Analysis'!W274*LN('Phytopl Analysis'!W274)))</f>
        <v/>
      </c>
      <c r="X274" s="21" t="str">
        <f>IF('Phytopl Count'!X274=0,"",('Phytopl Analysis'!X274*LN('Phytopl Analysis'!X274)))</f>
        <v/>
      </c>
      <c r="Y274" s="58" t="str">
        <f>IF('Phytopl Count'!Y274=0,"",('Phytopl Analysis'!Y274*LN('Phytopl Analysis'!Y274)))</f>
        <v/>
      </c>
      <c r="Z274" s="58" t="str">
        <f>IF('Phytopl Count'!Z274=0,"",('Phytopl Analysis'!Z274*LN('Phytopl Analysis'!Z274)))</f>
        <v/>
      </c>
      <c r="AA274" s="21" t="str">
        <f>IF('Phytopl Count'!AA274=0,"",('Phytopl Analysis'!AA274*LN('Phytopl Analysis'!AA274)))</f>
        <v/>
      </c>
      <c r="AB274" s="21" t="str">
        <f>IF('Phytopl Count'!AB274=0,"",('Phytopl Analysis'!AB274*LN('Phytopl Analysis'!AB274)))</f>
        <v/>
      </c>
      <c r="AC274" s="58" t="str">
        <f>IF('Phytopl Count'!AC274=0,"",('Phytopl Analysis'!AC274*LN('Phytopl Analysis'!AC274)))</f>
        <v/>
      </c>
      <c r="AD274" s="58" t="str">
        <f>IF('Phytopl Count'!AD274=0,"",('Phytopl Analysis'!AD274*LN('Phytopl Analysis'!AD274)))</f>
        <v/>
      </c>
      <c r="AE274" s="21" t="str">
        <f>IF('Phytopl Count'!AE274=0,"",('Phytopl Analysis'!AE274*LN('Phytopl Analysis'!AE274)))</f>
        <v/>
      </c>
      <c r="AF274" s="58" t="str">
        <f>IF('Phytopl Count'!AF274=0,"",('Phytopl Analysis'!AF274*LN('Phytopl Analysis'!AF274)))</f>
        <v/>
      </c>
    </row>
    <row r="275" spans="1:32" hidden="1">
      <c r="A275" s="4"/>
      <c r="B275" s="5"/>
      <c r="C275" s="5"/>
      <c r="D275" s="5"/>
      <c r="E275" s="10" t="s">
        <v>6</v>
      </c>
      <c r="F275" s="11" t="s">
        <v>407</v>
      </c>
      <c r="G275" s="21" t="str">
        <f>IF('Phytopl Count'!G275=0,"",('Phytopl Analysis'!G275*LN('Phytopl Analysis'!G275)))</f>
        <v/>
      </c>
      <c r="H275" s="21" t="str">
        <f>IF('Phytopl Count'!H275=0,"",('Phytopl Analysis'!H275*LN('Phytopl Analysis'!H275)))</f>
        <v/>
      </c>
      <c r="I275" s="58" t="str">
        <f>IF('Phytopl Count'!I275=0,"",('Phytopl Analysis'!I275*LN('Phytopl Analysis'!I275)))</f>
        <v/>
      </c>
      <c r="J275" s="58" t="str">
        <f>IF('Phytopl Count'!J275=0,"",('Phytopl Analysis'!J275*LN('Phytopl Analysis'!J275)))</f>
        <v/>
      </c>
      <c r="K275" s="21" t="str">
        <f>IF('Phytopl Count'!K275=0,"",('Phytopl Analysis'!K275*LN('Phytopl Analysis'!K275)))</f>
        <v/>
      </c>
      <c r="L275" s="21" t="str">
        <f>IF('Phytopl Count'!L275=0,"",('Phytopl Analysis'!L275*LN('Phytopl Analysis'!L275)))</f>
        <v/>
      </c>
      <c r="M275" s="58" t="str">
        <f>IF('Phytopl Count'!M275=0,"",('Phytopl Analysis'!M275*LN('Phytopl Analysis'!M275)))</f>
        <v/>
      </c>
      <c r="N275" s="58" t="str">
        <f>IF('Phytopl Count'!N275=0,"",('Phytopl Analysis'!N275*LN('Phytopl Analysis'!N275)))</f>
        <v/>
      </c>
      <c r="O275" s="21" t="str">
        <f>IF('Phytopl Count'!O275=0,"",('Phytopl Analysis'!O275*LN('Phytopl Analysis'!O275)))</f>
        <v/>
      </c>
      <c r="P275" s="21" t="str">
        <f>IF('Phytopl Count'!P275=0,"",('Phytopl Analysis'!P275*LN('Phytopl Analysis'!P275)))</f>
        <v/>
      </c>
      <c r="Q275" s="58" t="str">
        <f>IF('Phytopl Count'!Q275=0,"",('Phytopl Analysis'!Q275*LN('Phytopl Analysis'!Q275)))</f>
        <v/>
      </c>
      <c r="R275" s="58" t="str">
        <f>IF('Phytopl Count'!R275=0,"",('Phytopl Analysis'!R275*LN('Phytopl Analysis'!R275)))</f>
        <v/>
      </c>
      <c r="S275" s="21" t="str">
        <f>IF('Phytopl Count'!S275=0,"",('Phytopl Analysis'!S275*LN('Phytopl Analysis'!S275)))</f>
        <v/>
      </c>
      <c r="T275" s="21" t="str">
        <f>IF('Phytopl Count'!T275=0,"",('Phytopl Analysis'!T275*LN('Phytopl Analysis'!T275)))</f>
        <v/>
      </c>
      <c r="U275" s="58" t="str">
        <f>IF('Phytopl Count'!U275=0,"",('Phytopl Analysis'!U275*LN('Phytopl Analysis'!U275)))</f>
        <v/>
      </c>
      <c r="V275" s="58" t="str">
        <f>IF('Phytopl Count'!V275=0,"",('Phytopl Analysis'!V275*LN('Phytopl Analysis'!V275)))</f>
        <v/>
      </c>
      <c r="W275" s="21" t="str">
        <f>IF('Phytopl Count'!W275=0,"",('Phytopl Analysis'!W275*LN('Phytopl Analysis'!W275)))</f>
        <v/>
      </c>
      <c r="X275" s="21" t="str">
        <f>IF('Phytopl Count'!X275=0,"",('Phytopl Analysis'!X275*LN('Phytopl Analysis'!X275)))</f>
        <v/>
      </c>
      <c r="Y275" s="58" t="str">
        <f>IF('Phytopl Count'!Y275=0,"",('Phytopl Analysis'!Y275*LN('Phytopl Analysis'!Y275)))</f>
        <v/>
      </c>
      <c r="Z275" s="58" t="str">
        <f>IF('Phytopl Count'!Z275=0,"",('Phytopl Analysis'!Z275*LN('Phytopl Analysis'!Z275)))</f>
        <v/>
      </c>
      <c r="AA275" s="21" t="str">
        <f>IF('Phytopl Count'!AA275=0,"",('Phytopl Analysis'!AA275*LN('Phytopl Analysis'!AA275)))</f>
        <v/>
      </c>
      <c r="AB275" s="21" t="str">
        <f>IF('Phytopl Count'!AB275=0,"",('Phytopl Analysis'!AB275*LN('Phytopl Analysis'!AB275)))</f>
        <v/>
      </c>
      <c r="AC275" s="58" t="str">
        <f>IF('Phytopl Count'!AC275=0,"",('Phytopl Analysis'!AC275*LN('Phytopl Analysis'!AC275)))</f>
        <v/>
      </c>
      <c r="AD275" s="58" t="str">
        <f>IF('Phytopl Count'!AD275=0,"",('Phytopl Analysis'!AD275*LN('Phytopl Analysis'!AD275)))</f>
        <v/>
      </c>
      <c r="AE275" s="21" t="str">
        <f>IF('Phytopl Count'!AE275=0,"",('Phytopl Analysis'!AE275*LN('Phytopl Analysis'!AE275)))</f>
        <v/>
      </c>
      <c r="AF275" s="58" t="str">
        <f>IF('Phytopl Count'!AF275=0,"",('Phytopl Analysis'!AF275*LN('Phytopl Analysis'!AF275)))</f>
        <v/>
      </c>
    </row>
    <row r="276" spans="1:32" hidden="1">
      <c r="A276" s="4"/>
      <c r="B276" s="5"/>
      <c r="C276" s="5"/>
      <c r="D276" s="5"/>
      <c r="E276" s="10"/>
      <c r="F276" s="11"/>
      <c r="G276" s="21" t="str">
        <f>IF('Phytopl Count'!G276=0,"",('Phytopl Analysis'!G276*LN('Phytopl Analysis'!G276)))</f>
        <v/>
      </c>
      <c r="H276" s="21" t="str">
        <f>IF('Phytopl Count'!H276=0,"",('Phytopl Analysis'!H276*LN('Phytopl Analysis'!H276)))</f>
        <v/>
      </c>
      <c r="I276" s="58" t="str">
        <f>IF('Phytopl Count'!I276=0,"",('Phytopl Analysis'!I276*LN('Phytopl Analysis'!I276)))</f>
        <v/>
      </c>
      <c r="J276" s="58" t="str">
        <f>IF('Phytopl Count'!J276=0,"",('Phytopl Analysis'!J276*LN('Phytopl Analysis'!J276)))</f>
        <v/>
      </c>
      <c r="K276" s="21" t="str">
        <f>IF('Phytopl Count'!K276=0,"",('Phytopl Analysis'!K276*LN('Phytopl Analysis'!K276)))</f>
        <v/>
      </c>
      <c r="L276" s="21" t="str">
        <f>IF('Phytopl Count'!L276=0,"",('Phytopl Analysis'!L276*LN('Phytopl Analysis'!L276)))</f>
        <v/>
      </c>
      <c r="M276" s="58" t="str">
        <f>IF('Phytopl Count'!M276=0,"",('Phytopl Analysis'!M276*LN('Phytopl Analysis'!M276)))</f>
        <v/>
      </c>
      <c r="N276" s="58" t="str">
        <f>IF('Phytopl Count'!N276=0,"",('Phytopl Analysis'!N276*LN('Phytopl Analysis'!N276)))</f>
        <v/>
      </c>
      <c r="O276" s="21" t="str">
        <f>IF('Phytopl Count'!O276=0,"",('Phytopl Analysis'!O276*LN('Phytopl Analysis'!O276)))</f>
        <v/>
      </c>
      <c r="P276" s="21" t="str">
        <f>IF('Phytopl Count'!P276=0,"",('Phytopl Analysis'!P276*LN('Phytopl Analysis'!P276)))</f>
        <v/>
      </c>
      <c r="Q276" s="58" t="str">
        <f>IF('Phytopl Count'!Q276=0,"",('Phytopl Analysis'!Q276*LN('Phytopl Analysis'!Q276)))</f>
        <v/>
      </c>
      <c r="R276" s="58" t="str">
        <f>IF('Phytopl Count'!R276=0,"",('Phytopl Analysis'!R276*LN('Phytopl Analysis'!R276)))</f>
        <v/>
      </c>
      <c r="S276" s="21" t="str">
        <f>IF('Phytopl Count'!S276=0,"",('Phytopl Analysis'!S276*LN('Phytopl Analysis'!S276)))</f>
        <v/>
      </c>
      <c r="T276" s="21" t="str">
        <f>IF('Phytopl Count'!T276=0,"",('Phytopl Analysis'!T276*LN('Phytopl Analysis'!T276)))</f>
        <v/>
      </c>
      <c r="U276" s="58" t="str">
        <f>IF('Phytopl Count'!U276=0,"",('Phytopl Analysis'!U276*LN('Phytopl Analysis'!U276)))</f>
        <v/>
      </c>
      <c r="V276" s="58" t="str">
        <f>IF('Phytopl Count'!V276=0,"",('Phytopl Analysis'!V276*LN('Phytopl Analysis'!V276)))</f>
        <v/>
      </c>
      <c r="W276" s="21" t="str">
        <f>IF('Phytopl Count'!W276=0,"",('Phytopl Analysis'!W276*LN('Phytopl Analysis'!W276)))</f>
        <v/>
      </c>
      <c r="X276" s="21" t="str">
        <f>IF('Phytopl Count'!X276=0,"",('Phytopl Analysis'!X276*LN('Phytopl Analysis'!X276)))</f>
        <v/>
      </c>
      <c r="Y276" s="58" t="str">
        <f>IF('Phytopl Count'!Y276=0,"",('Phytopl Analysis'!Y276*LN('Phytopl Analysis'!Y276)))</f>
        <v/>
      </c>
      <c r="Z276" s="58" t="str">
        <f>IF('Phytopl Count'!Z276=0,"",('Phytopl Analysis'!Z276*LN('Phytopl Analysis'!Z276)))</f>
        <v/>
      </c>
      <c r="AA276" s="21" t="str">
        <f>IF('Phytopl Count'!AA276=0,"",('Phytopl Analysis'!AA276*LN('Phytopl Analysis'!AA276)))</f>
        <v/>
      </c>
      <c r="AB276" s="21" t="str">
        <f>IF('Phytopl Count'!AB276=0,"",('Phytopl Analysis'!AB276*LN('Phytopl Analysis'!AB276)))</f>
        <v/>
      </c>
      <c r="AC276" s="58" t="str">
        <f>IF('Phytopl Count'!AC276=0,"",('Phytopl Analysis'!AC276*LN('Phytopl Analysis'!AC276)))</f>
        <v/>
      </c>
      <c r="AD276" s="58" t="str">
        <f>IF('Phytopl Count'!AD276=0,"",('Phytopl Analysis'!AD276*LN('Phytopl Analysis'!AD276)))</f>
        <v/>
      </c>
      <c r="AE276" s="21" t="str">
        <f>IF('Phytopl Count'!AE276=0,"",('Phytopl Analysis'!AE276*LN('Phytopl Analysis'!AE276)))</f>
        <v/>
      </c>
      <c r="AF276" s="58" t="str">
        <f>IF('Phytopl Count'!AF276=0,"",('Phytopl Analysis'!AF276*LN('Phytopl Analysis'!AF276)))</f>
        <v/>
      </c>
    </row>
    <row r="277" spans="1:32" hidden="1">
      <c r="A277" s="16" t="s">
        <v>4</v>
      </c>
      <c r="B277" s="4" t="s">
        <v>316</v>
      </c>
      <c r="C277" s="16"/>
      <c r="D277" s="4"/>
      <c r="E277" s="4"/>
      <c r="F277" s="59"/>
      <c r="G277" s="21" t="str">
        <f>IF('Phytopl Count'!G277=0,"",('Phytopl Analysis'!G277*LN('Phytopl Analysis'!G277)))</f>
        <v/>
      </c>
      <c r="H277" s="21" t="str">
        <f>IF('Phytopl Count'!H277=0,"",('Phytopl Analysis'!H277*LN('Phytopl Analysis'!H277)))</f>
        <v/>
      </c>
      <c r="I277" s="58" t="str">
        <f>IF('Phytopl Count'!I277=0,"",('Phytopl Analysis'!I277*LN('Phytopl Analysis'!I277)))</f>
        <v/>
      </c>
      <c r="J277" s="58" t="str">
        <f>IF('Phytopl Count'!J277=0,"",('Phytopl Analysis'!J277*LN('Phytopl Analysis'!J277)))</f>
        <v/>
      </c>
      <c r="K277" s="21" t="str">
        <f>IF('Phytopl Count'!K277=0,"",('Phytopl Analysis'!K277*LN('Phytopl Analysis'!K277)))</f>
        <v/>
      </c>
      <c r="L277" s="21" t="str">
        <f>IF('Phytopl Count'!L277=0,"",('Phytopl Analysis'!L277*LN('Phytopl Analysis'!L277)))</f>
        <v/>
      </c>
      <c r="M277" s="58" t="str">
        <f>IF('Phytopl Count'!M277=0,"",('Phytopl Analysis'!M277*LN('Phytopl Analysis'!M277)))</f>
        <v/>
      </c>
      <c r="N277" s="58" t="str">
        <f>IF('Phytopl Count'!N277=0,"",('Phytopl Analysis'!N277*LN('Phytopl Analysis'!N277)))</f>
        <v/>
      </c>
      <c r="O277" s="21" t="str">
        <f>IF('Phytopl Count'!O277=0,"",('Phytopl Analysis'!O277*LN('Phytopl Analysis'!O277)))</f>
        <v/>
      </c>
      <c r="P277" s="21" t="str">
        <f>IF('Phytopl Count'!P277=0,"",('Phytopl Analysis'!P277*LN('Phytopl Analysis'!P277)))</f>
        <v/>
      </c>
      <c r="Q277" s="58" t="str">
        <f>IF('Phytopl Count'!Q277=0,"",('Phytopl Analysis'!Q277*LN('Phytopl Analysis'!Q277)))</f>
        <v/>
      </c>
      <c r="R277" s="58" t="str">
        <f>IF('Phytopl Count'!R277=0,"",('Phytopl Analysis'!R277*LN('Phytopl Analysis'!R277)))</f>
        <v/>
      </c>
      <c r="S277" s="21" t="str">
        <f>IF('Phytopl Count'!S277=0,"",('Phytopl Analysis'!S277*LN('Phytopl Analysis'!S277)))</f>
        <v/>
      </c>
      <c r="T277" s="21" t="str">
        <f>IF('Phytopl Count'!T277=0,"",('Phytopl Analysis'!T277*LN('Phytopl Analysis'!T277)))</f>
        <v/>
      </c>
      <c r="U277" s="58" t="str">
        <f>IF('Phytopl Count'!U277=0,"",('Phytopl Analysis'!U277*LN('Phytopl Analysis'!U277)))</f>
        <v/>
      </c>
      <c r="V277" s="58" t="str">
        <f>IF('Phytopl Count'!V277=0,"",('Phytopl Analysis'!V277*LN('Phytopl Analysis'!V277)))</f>
        <v/>
      </c>
      <c r="W277" s="21" t="str">
        <f>IF('Phytopl Count'!W277=0,"",('Phytopl Analysis'!W277*LN('Phytopl Analysis'!W277)))</f>
        <v/>
      </c>
      <c r="X277" s="21" t="str">
        <f>IF('Phytopl Count'!X277=0,"",('Phytopl Analysis'!X277*LN('Phytopl Analysis'!X277)))</f>
        <v/>
      </c>
      <c r="Y277" s="58" t="str">
        <f>IF('Phytopl Count'!Y277=0,"",('Phytopl Analysis'!Y277*LN('Phytopl Analysis'!Y277)))</f>
        <v/>
      </c>
      <c r="Z277" s="58" t="str">
        <f>IF('Phytopl Count'!Z277=0,"",('Phytopl Analysis'!Z277*LN('Phytopl Analysis'!Z277)))</f>
        <v/>
      </c>
      <c r="AA277" s="21" t="str">
        <f>IF('Phytopl Count'!AA277=0,"",('Phytopl Analysis'!AA277*LN('Phytopl Analysis'!AA277)))</f>
        <v/>
      </c>
      <c r="AB277" s="21" t="str">
        <f>IF('Phytopl Count'!AB277=0,"",('Phytopl Analysis'!AB277*LN('Phytopl Analysis'!AB277)))</f>
        <v/>
      </c>
      <c r="AC277" s="58" t="str">
        <f>IF('Phytopl Count'!AC277=0,"",('Phytopl Analysis'!AC277*LN('Phytopl Analysis'!AC277)))</f>
        <v/>
      </c>
      <c r="AD277" s="58" t="str">
        <f>IF('Phytopl Count'!AD277=0,"",('Phytopl Analysis'!AD277*LN('Phytopl Analysis'!AD277)))</f>
        <v/>
      </c>
      <c r="AE277" s="21" t="str">
        <f>IF('Phytopl Count'!AE277=0,"",('Phytopl Analysis'!AE277*LN('Phytopl Analysis'!AE277)))</f>
        <v/>
      </c>
      <c r="AF277" s="58" t="str">
        <f>IF('Phytopl Count'!AF277=0,"",('Phytopl Analysis'!AF277*LN('Phytopl Analysis'!AF277)))</f>
        <v/>
      </c>
    </row>
    <row r="278" spans="1:32" hidden="1">
      <c r="A278" s="16"/>
      <c r="B278" s="16" t="s">
        <v>72</v>
      </c>
      <c r="C278" s="28" t="s">
        <v>317</v>
      </c>
      <c r="D278" s="4"/>
      <c r="E278" s="4"/>
      <c r="F278" s="59"/>
      <c r="G278" s="21" t="str">
        <f>IF('Phytopl Count'!G278=0,"",('Phytopl Analysis'!G278*LN('Phytopl Analysis'!G278)))</f>
        <v/>
      </c>
      <c r="H278" s="21" t="str">
        <f>IF('Phytopl Count'!H278=0,"",('Phytopl Analysis'!H278*LN('Phytopl Analysis'!H278)))</f>
        <v/>
      </c>
      <c r="I278" s="58" t="str">
        <f>IF('Phytopl Count'!I278=0,"",('Phytopl Analysis'!I278*LN('Phytopl Analysis'!I278)))</f>
        <v/>
      </c>
      <c r="J278" s="58" t="str">
        <f>IF('Phytopl Count'!J278=0,"",('Phytopl Analysis'!J278*LN('Phytopl Analysis'!J278)))</f>
        <v/>
      </c>
      <c r="K278" s="21" t="str">
        <f>IF('Phytopl Count'!K278=0,"",('Phytopl Analysis'!K278*LN('Phytopl Analysis'!K278)))</f>
        <v/>
      </c>
      <c r="L278" s="21" t="str">
        <f>IF('Phytopl Count'!L278=0,"",('Phytopl Analysis'!L278*LN('Phytopl Analysis'!L278)))</f>
        <v/>
      </c>
      <c r="M278" s="58" t="str">
        <f>IF('Phytopl Count'!M278=0,"",('Phytopl Analysis'!M278*LN('Phytopl Analysis'!M278)))</f>
        <v/>
      </c>
      <c r="N278" s="58" t="str">
        <f>IF('Phytopl Count'!N278=0,"",('Phytopl Analysis'!N278*LN('Phytopl Analysis'!N278)))</f>
        <v/>
      </c>
      <c r="O278" s="21" t="str">
        <f>IF('Phytopl Count'!O278=0,"",('Phytopl Analysis'!O278*LN('Phytopl Analysis'!O278)))</f>
        <v/>
      </c>
      <c r="P278" s="21" t="str">
        <f>IF('Phytopl Count'!P278=0,"",('Phytopl Analysis'!P278*LN('Phytopl Analysis'!P278)))</f>
        <v/>
      </c>
      <c r="Q278" s="58" t="str">
        <f>IF('Phytopl Count'!Q278=0,"",('Phytopl Analysis'!Q278*LN('Phytopl Analysis'!Q278)))</f>
        <v/>
      </c>
      <c r="R278" s="58" t="str">
        <f>IF('Phytopl Count'!R278=0,"",('Phytopl Analysis'!R278*LN('Phytopl Analysis'!R278)))</f>
        <v/>
      </c>
      <c r="S278" s="21" t="str">
        <f>IF('Phytopl Count'!S278=0,"",('Phytopl Analysis'!S278*LN('Phytopl Analysis'!S278)))</f>
        <v/>
      </c>
      <c r="T278" s="21" t="str">
        <f>IF('Phytopl Count'!T278=0,"",('Phytopl Analysis'!T278*LN('Phytopl Analysis'!T278)))</f>
        <v/>
      </c>
      <c r="U278" s="58" t="str">
        <f>IF('Phytopl Count'!U278=0,"",('Phytopl Analysis'!U278*LN('Phytopl Analysis'!U278)))</f>
        <v/>
      </c>
      <c r="V278" s="58" t="str">
        <f>IF('Phytopl Count'!V278=0,"",('Phytopl Analysis'!V278*LN('Phytopl Analysis'!V278)))</f>
        <v/>
      </c>
      <c r="W278" s="21" t="str">
        <f>IF('Phytopl Count'!W278=0,"",('Phytopl Analysis'!W278*LN('Phytopl Analysis'!W278)))</f>
        <v/>
      </c>
      <c r="X278" s="21" t="str">
        <f>IF('Phytopl Count'!X278=0,"",('Phytopl Analysis'!X278*LN('Phytopl Analysis'!X278)))</f>
        <v/>
      </c>
      <c r="Y278" s="58" t="str">
        <f>IF('Phytopl Count'!Y278=0,"",('Phytopl Analysis'!Y278*LN('Phytopl Analysis'!Y278)))</f>
        <v/>
      </c>
      <c r="Z278" s="58" t="str">
        <f>IF('Phytopl Count'!Z278=0,"",('Phytopl Analysis'!Z278*LN('Phytopl Analysis'!Z278)))</f>
        <v/>
      </c>
      <c r="AA278" s="21" t="str">
        <f>IF('Phytopl Count'!AA278=0,"",('Phytopl Analysis'!AA278*LN('Phytopl Analysis'!AA278)))</f>
        <v/>
      </c>
      <c r="AB278" s="21" t="str">
        <f>IF('Phytopl Count'!AB278=0,"",('Phytopl Analysis'!AB278*LN('Phytopl Analysis'!AB278)))</f>
        <v/>
      </c>
      <c r="AC278" s="58" t="str">
        <f>IF('Phytopl Count'!AC278=0,"",('Phytopl Analysis'!AC278*LN('Phytopl Analysis'!AC278)))</f>
        <v/>
      </c>
      <c r="AD278" s="58" t="str">
        <f>IF('Phytopl Count'!AD278=0,"",('Phytopl Analysis'!AD278*LN('Phytopl Analysis'!AD278)))</f>
        <v/>
      </c>
      <c r="AE278" s="21" t="str">
        <f>IF('Phytopl Count'!AE278=0,"",('Phytopl Analysis'!AE278*LN('Phytopl Analysis'!AE278)))</f>
        <v/>
      </c>
      <c r="AF278" s="58" t="str">
        <f>IF('Phytopl Count'!AF278=0,"",('Phytopl Analysis'!AF278*LN('Phytopl Analysis'!AF278)))</f>
        <v/>
      </c>
    </row>
    <row r="279" spans="1:32" hidden="1">
      <c r="A279" s="16"/>
      <c r="B279" s="4"/>
      <c r="C279" s="16" t="s">
        <v>73</v>
      </c>
      <c r="D279" s="4" t="s">
        <v>318</v>
      </c>
      <c r="E279" s="92"/>
      <c r="F279" s="11"/>
      <c r="G279" s="21" t="str">
        <f>IF('Phytopl Count'!G279=0,"",('Phytopl Analysis'!G279*LN('Phytopl Analysis'!G279)))</f>
        <v/>
      </c>
      <c r="H279" s="21" t="str">
        <f>IF('Phytopl Count'!H279=0,"",('Phytopl Analysis'!H279*LN('Phytopl Analysis'!H279)))</f>
        <v/>
      </c>
      <c r="I279" s="58" t="str">
        <f>IF('Phytopl Count'!I279=0,"",('Phytopl Analysis'!I279*LN('Phytopl Analysis'!I279)))</f>
        <v/>
      </c>
      <c r="J279" s="58" t="str">
        <f>IF('Phytopl Count'!J279=0,"",('Phytopl Analysis'!J279*LN('Phytopl Analysis'!J279)))</f>
        <v/>
      </c>
      <c r="K279" s="21" t="str">
        <f>IF('Phytopl Count'!K279=0,"",('Phytopl Analysis'!K279*LN('Phytopl Analysis'!K279)))</f>
        <v/>
      </c>
      <c r="L279" s="21" t="str">
        <f>IF('Phytopl Count'!L279=0,"",('Phytopl Analysis'!L279*LN('Phytopl Analysis'!L279)))</f>
        <v/>
      </c>
      <c r="M279" s="58" t="str">
        <f>IF('Phytopl Count'!M279=0,"",('Phytopl Analysis'!M279*LN('Phytopl Analysis'!M279)))</f>
        <v/>
      </c>
      <c r="N279" s="58" t="str">
        <f>IF('Phytopl Count'!N279=0,"",('Phytopl Analysis'!N279*LN('Phytopl Analysis'!N279)))</f>
        <v/>
      </c>
      <c r="O279" s="21" t="str">
        <f>IF('Phytopl Count'!O279=0,"",('Phytopl Analysis'!O279*LN('Phytopl Analysis'!O279)))</f>
        <v/>
      </c>
      <c r="P279" s="21" t="str">
        <f>IF('Phytopl Count'!P279=0,"",('Phytopl Analysis'!P279*LN('Phytopl Analysis'!P279)))</f>
        <v/>
      </c>
      <c r="Q279" s="58" t="str">
        <f>IF('Phytopl Count'!Q279=0,"",('Phytopl Analysis'!Q279*LN('Phytopl Analysis'!Q279)))</f>
        <v/>
      </c>
      <c r="R279" s="58" t="str">
        <f>IF('Phytopl Count'!R279=0,"",('Phytopl Analysis'!R279*LN('Phytopl Analysis'!R279)))</f>
        <v/>
      </c>
      <c r="S279" s="21" t="str">
        <f>IF('Phytopl Count'!S279=0,"",('Phytopl Analysis'!S279*LN('Phytopl Analysis'!S279)))</f>
        <v/>
      </c>
      <c r="T279" s="21" t="str">
        <f>IF('Phytopl Count'!T279=0,"",('Phytopl Analysis'!T279*LN('Phytopl Analysis'!T279)))</f>
        <v/>
      </c>
      <c r="U279" s="58" t="str">
        <f>IF('Phytopl Count'!U279=0,"",('Phytopl Analysis'!U279*LN('Phytopl Analysis'!U279)))</f>
        <v/>
      </c>
      <c r="V279" s="58" t="str">
        <f>IF('Phytopl Count'!V279=0,"",('Phytopl Analysis'!V279*LN('Phytopl Analysis'!V279)))</f>
        <v/>
      </c>
      <c r="W279" s="21" t="str">
        <f>IF('Phytopl Count'!W279=0,"",('Phytopl Analysis'!W279*LN('Phytopl Analysis'!W279)))</f>
        <v/>
      </c>
      <c r="X279" s="21" t="str">
        <f>IF('Phytopl Count'!X279=0,"",('Phytopl Analysis'!X279*LN('Phytopl Analysis'!X279)))</f>
        <v/>
      </c>
      <c r="Y279" s="58" t="str">
        <f>IF('Phytopl Count'!Y279=0,"",('Phytopl Analysis'!Y279*LN('Phytopl Analysis'!Y279)))</f>
        <v/>
      </c>
      <c r="Z279" s="58" t="str">
        <f>IF('Phytopl Count'!Z279=0,"",('Phytopl Analysis'!Z279*LN('Phytopl Analysis'!Z279)))</f>
        <v/>
      </c>
      <c r="AA279" s="21" t="str">
        <f>IF('Phytopl Count'!AA279=0,"",('Phytopl Analysis'!AA279*LN('Phytopl Analysis'!AA279)))</f>
        <v/>
      </c>
      <c r="AB279" s="21" t="str">
        <f>IF('Phytopl Count'!AB279=0,"",('Phytopl Analysis'!AB279*LN('Phytopl Analysis'!AB279)))</f>
        <v/>
      </c>
      <c r="AC279" s="58" t="str">
        <f>IF('Phytopl Count'!AC279=0,"",('Phytopl Analysis'!AC279*LN('Phytopl Analysis'!AC279)))</f>
        <v/>
      </c>
      <c r="AD279" s="58" t="str">
        <f>IF('Phytopl Count'!AD279=0,"",('Phytopl Analysis'!AD279*LN('Phytopl Analysis'!AD279)))</f>
        <v/>
      </c>
      <c r="AE279" s="21" t="str">
        <f>IF('Phytopl Count'!AE279=0,"",('Phytopl Analysis'!AE279*LN('Phytopl Analysis'!AE279)))</f>
        <v/>
      </c>
      <c r="AF279" s="58" t="str">
        <f>IF('Phytopl Count'!AF279=0,"",('Phytopl Analysis'!AF279*LN('Phytopl Analysis'!AF279)))</f>
        <v/>
      </c>
    </row>
    <row r="280" spans="1:32" hidden="1">
      <c r="A280" s="4"/>
      <c r="B280" s="92"/>
      <c r="C280" s="92"/>
      <c r="D280" s="93" t="s">
        <v>5</v>
      </c>
      <c r="E280" s="154" t="s">
        <v>319</v>
      </c>
      <c r="F280" s="11"/>
      <c r="G280" s="21" t="str">
        <f>IF('Phytopl Count'!G280=0,"",('Phytopl Analysis'!G280*LN('Phytopl Analysis'!G280)))</f>
        <v/>
      </c>
      <c r="H280" s="21" t="str">
        <f>IF('Phytopl Count'!H280=0,"",('Phytopl Analysis'!H280*LN('Phytopl Analysis'!H280)))</f>
        <v/>
      </c>
      <c r="I280" s="58" t="str">
        <f>IF('Phytopl Count'!I280=0,"",('Phytopl Analysis'!I280*LN('Phytopl Analysis'!I280)))</f>
        <v/>
      </c>
      <c r="J280" s="58" t="str">
        <f>IF('Phytopl Count'!J280=0,"",('Phytopl Analysis'!J280*LN('Phytopl Analysis'!J280)))</f>
        <v/>
      </c>
      <c r="K280" s="21" t="str">
        <f>IF('Phytopl Count'!K280=0,"",('Phytopl Analysis'!K280*LN('Phytopl Analysis'!K280)))</f>
        <v/>
      </c>
      <c r="L280" s="21" t="str">
        <f>IF('Phytopl Count'!L280=0,"",('Phytopl Analysis'!L280*LN('Phytopl Analysis'!L280)))</f>
        <v/>
      </c>
      <c r="M280" s="58" t="str">
        <f>IF('Phytopl Count'!M280=0,"",('Phytopl Analysis'!M280*LN('Phytopl Analysis'!M280)))</f>
        <v/>
      </c>
      <c r="N280" s="58" t="str">
        <f>IF('Phytopl Count'!N280=0,"",('Phytopl Analysis'!N280*LN('Phytopl Analysis'!N280)))</f>
        <v/>
      </c>
      <c r="O280" s="21" t="str">
        <f>IF('Phytopl Count'!O280=0,"",('Phytopl Analysis'!O280*LN('Phytopl Analysis'!O280)))</f>
        <v/>
      </c>
      <c r="P280" s="21" t="str">
        <f>IF('Phytopl Count'!P280=0,"",('Phytopl Analysis'!P280*LN('Phytopl Analysis'!P280)))</f>
        <v/>
      </c>
      <c r="Q280" s="58" t="str">
        <f>IF('Phytopl Count'!Q280=0,"",('Phytopl Analysis'!Q280*LN('Phytopl Analysis'!Q280)))</f>
        <v/>
      </c>
      <c r="R280" s="58" t="str">
        <f>IF('Phytopl Count'!R280=0,"",('Phytopl Analysis'!R280*LN('Phytopl Analysis'!R280)))</f>
        <v/>
      </c>
      <c r="S280" s="21" t="str">
        <f>IF('Phytopl Count'!S280=0,"",('Phytopl Analysis'!S280*LN('Phytopl Analysis'!S280)))</f>
        <v/>
      </c>
      <c r="T280" s="21" t="str">
        <f>IF('Phytopl Count'!T280=0,"",('Phytopl Analysis'!T280*LN('Phytopl Analysis'!T280)))</f>
        <v/>
      </c>
      <c r="U280" s="58" t="str">
        <f>IF('Phytopl Count'!U280=0,"",('Phytopl Analysis'!U280*LN('Phytopl Analysis'!U280)))</f>
        <v/>
      </c>
      <c r="V280" s="58" t="str">
        <f>IF('Phytopl Count'!V280=0,"",('Phytopl Analysis'!V280*LN('Phytopl Analysis'!V280)))</f>
        <v/>
      </c>
      <c r="W280" s="21" t="str">
        <f>IF('Phytopl Count'!W280=0,"",('Phytopl Analysis'!W280*LN('Phytopl Analysis'!W280)))</f>
        <v/>
      </c>
      <c r="X280" s="21" t="str">
        <f>IF('Phytopl Count'!X280=0,"",('Phytopl Analysis'!X280*LN('Phytopl Analysis'!X280)))</f>
        <v/>
      </c>
      <c r="Y280" s="58" t="str">
        <f>IF('Phytopl Count'!Y280=0,"",('Phytopl Analysis'!Y280*LN('Phytopl Analysis'!Y280)))</f>
        <v/>
      </c>
      <c r="Z280" s="58" t="str">
        <f>IF('Phytopl Count'!Z280=0,"",('Phytopl Analysis'!Z280*LN('Phytopl Analysis'!Z280)))</f>
        <v/>
      </c>
      <c r="AA280" s="21" t="str">
        <f>IF('Phytopl Count'!AA280=0,"",('Phytopl Analysis'!AA280*LN('Phytopl Analysis'!AA280)))</f>
        <v/>
      </c>
      <c r="AB280" s="21" t="str">
        <f>IF('Phytopl Count'!AB280=0,"",('Phytopl Analysis'!AB280*LN('Phytopl Analysis'!AB280)))</f>
        <v/>
      </c>
      <c r="AC280" s="58" t="str">
        <f>IF('Phytopl Count'!AC280=0,"",('Phytopl Analysis'!AC280*LN('Phytopl Analysis'!AC280)))</f>
        <v/>
      </c>
      <c r="AD280" s="58" t="str">
        <f>IF('Phytopl Count'!AD280=0,"",('Phytopl Analysis'!AD280*LN('Phytopl Analysis'!AD280)))</f>
        <v/>
      </c>
      <c r="AE280" s="21" t="str">
        <f>IF('Phytopl Count'!AE280=0,"",('Phytopl Analysis'!AE280*LN('Phytopl Analysis'!AE280)))</f>
        <v/>
      </c>
      <c r="AF280" s="58" t="str">
        <f>IF('Phytopl Count'!AF280=0,"",('Phytopl Analysis'!AF280*LN('Phytopl Analysis'!AF280)))</f>
        <v/>
      </c>
    </row>
    <row r="281" spans="1:32" hidden="1">
      <c r="A281" s="4"/>
      <c r="B281" s="92"/>
      <c r="C281" s="92"/>
      <c r="D281" s="92"/>
      <c r="E281" s="93" t="s">
        <v>6</v>
      </c>
      <c r="F281" s="11" t="s">
        <v>320</v>
      </c>
      <c r="G281" s="21" t="str">
        <f>IF('Phytopl Count'!G281=0,"",('Phytopl Analysis'!G281*LN('Phytopl Analysis'!G281)))</f>
        <v/>
      </c>
      <c r="H281" s="21" t="str">
        <f>IF('Phytopl Count'!H281=0,"",('Phytopl Analysis'!H281*LN('Phytopl Analysis'!H281)))</f>
        <v/>
      </c>
      <c r="I281" s="58" t="str">
        <f>IF('Phytopl Count'!I281=0,"",('Phytopl Analysis'!I281*LN('Phytopl Analysis'!I281)))</f>
        <v/>
      </c>
      <c r="J281" s="58" t="str">
        <f>IF('Phytopl Count'!J281=0,"",('Phytopl Analysis'!J281*LN('Phytopl Analysis'!J281)))</f>
        <v/>
      </c>
      <c r="K281" s="21" t="str">
        <f>IF('Phytopl Count'!K281=0,"",('Phytopl Analysis'!K281*LN('Phytopl Analysis'!K281)))</f>
        <v/>
      </c>
      <c r="L281" s="21" t="str">
        <f>IF('Phytopl Count'!L281=0,"",('Phytopl Analysis'!L281*LN('Phytopl Analysis'!L281)))</f>
        <v/>
      </c>
      <c r="M281" s="58" t="str">
        <f>IF('Phytopl Count'!M281=0,"",('Phytopl Analysis'!M281*LN('Phytopl Analysis'!M281)))</f>
        <v/>
      </c>
      <c r="N281" s="58" t="str">
        <f>IF('Phytopl Count'!N281=0,"",('Phytopl Analysis'!N281*LN('Phytopl Analysis'!N281)))</f>
        <v/>
      </c>
      <c r="O281" s="21" t="str">
        <f>IF('Phytopl Count'!O281=0,"",('Phytopl Analysis'!O281*LN('Phytopl Analysis'!O281)))</f>
        <v/>
      </c>
      <c r="P281" s="21" t="str">
        <f>IF('Phytopl Count'!P281=0,"",('Phytopl Analysis'!P281*LN('Phytopl Analysis'!P281)))</f>
        <v/>
      </c>
      <c r="Q281" s="58" t="str">
        <f>IF('Phytopl Count'!Q281=0,"",('Phytopl Analysis'!Q281*LN('Phytopl Analysis'!Q281)))</f>
        <v/>
      </c>
      <c r="R281" s="58" t="str">
        <f>IF('Phytopl Count'!R281=0,"",('Phytopl Analysis'!R281*LN('Phytopl Analysis'!R281)))</f>
        <v/>
      </c>
      <c r="S281" s="21" t="str">
        <f>IF('Phytopl Count'!S281=0,"",('Phytopl Analysis'!S281*LN('Phytopl Analysis'!S281)))</f>
        <v/>
      </c>
      <c r="T281" s="21" t="str">
        <f>IF('Phytopl Count'!T281=0,"",('Phytopl Analysis'!T281*LN('Phytopl Analysis'!T281)))</f>
        <v/>
      </c>
      <c r="U281" s="58" t="str">
        <f>IF('Phytopl Count'!U281=0,"",('Phytopl Analysis'!U281*LN('Phytopl Analysis'!U281)))</f>
        <v/>
      </c>
      <c r="V281" s="58" t="str">
        <f>IF('Phytopl Count'!V281=0,"",('Phytopl Analysis'!V281*LN('Phytopl Analysis'!V281)))</f>
        <v/>
      </c>
      <c r="W281" s="21" t="str">
        <f>IF('Phytopl Count'!W281=0,"",('Phytopl Analysis'!W281*LN('Phytopl Analysis'!W281)))</f>
        <v/>
      </c>
      <c r="X281" s="21" t="str">
        <f>IF('Phytopl Count'!X281=0,"",('Phytopl Analysis'!X281*LN('Phytopl Analysis'!X281)))</f>
        <v/>
      </c>
      <c r="Y281" s="58" t="str">
        <f>IF('Phytopl Count'!Y281=0,"",('Phytopl Analysis'!Y281*LN('Phytopl Analysis'!Y281)))</f>
        <v/>
      </c>
      <c r="Z281" s="58" t="str">
        <f>IF('Phytopl Count'!Z281=0,"",('Phytopl Analysis'!Z281*LN('Phytopl Analysis'!Z281)))</f>
        <v/>
      </c>
      <c r="AA281" s="21" t="str">
        <f>IF('Phytopl Count'!AA281=0,"",('Phytopl Analysis'!AA281*LN('Phytopl Analysis'!AA281)))</f>
        <v/>
      </c>
      <c r="AB281" s="21" t="str">
        <f>IF('Phytopl Count'!AB281=0,"",('Phytopl Analysis'!AB281*LN('Phytopl Analysis'!AB281)))</f>
        <v/>
      </c>
      <c r="AC281" s="58" t="str">
        <f>IF('Phytopl Count'!AC281=0,"",('Phytopl Analysis'!AC281*LN('Phytopl Analysis'!AC281)))</f>
        <v/>
      </c>
      <c r="AD281" s="58" t="str">
        <f>IF('Phytopl Count'!AD281=0,"",('Phytopl Analysis'!AD281*LN('Phytopl Analysis'!AD281)))</f>
        <v/>
      </c>
      <c r="AE281" s="21" t="str">
        <f>IF('Phytopl Count'!AE281=0,"",('Phytopl Analysis'!AE281*LN('Phytopl Analysis'!AE281)))</f>
        <v/>
      </c>
      <c r="AF281" s="58" t="str">
        <f>IF('Phytopl Count'!AF281=0,"",('Phytopl Analysis'!AF281*LN('Phytopl Analysis'!AF281)))</f>
        <v/>
      </c>
    </row>
    <row r="282" spans="1:32" hidden="1">
      <c r="A282" s="4"/>
      <c r="B282" s="92"/>
      <c r="C282" s="92"/>
      <c r="D282" s="93" t="s">
        <v>5</v>
      </c>
      <c r="E282" s="154" t="s">
        <v>327</v>
      </c>
      <c r="F282" s="11"/>
      <c r="G282" s="21" t="str">
        <f>IF('Phytopl Count'!G282=0,"",('Phytopl Analysis'!G282*LN('Phytopl Analysis'!G282)))</f>
        <v/>
      </c>
      <c r="H282" s="21" t="str">
        <f>IF('Phytopl Count'!H282=0,"",('Phytopl Analysis'!H282*LN('Phytopl Analysis'!H282)))</f>
        <v/>
      </c>
      <c r="I282" s="58" t="str">
        <f>IF('Phytopl Count'!I282=0,"",('Phytopl Analysis'!I282*LN('Phytopl Analysis'!I282)))</f>
        <v/>
      </c>
      <c r="J282" s="58" t="str">
        <f>IF('Phytopl Count'!J282=0,"",('Phytopl Analysis'!J282*LN('Phytopl Analysis'!J282)))</f>
        <v/>
      </c>
      <c r="K282" s="21" t="str">
        <f>IF('Phytopl Count'!K282=0,"",('Phytopl Analysis'!K282*LN('Phytopl Analysis'!K282)))</f>
        <v/>
      </c>
      <c r="L282" s="21" t="str">
        <f>IF('Phytopl Count'!L282=0,"",('Phytopl Analysis'!L282*LN('Phytopl Analysis'!L282)))</f>
        <v/>
      </c>
      <c r="M282" s="58" t="str">
        <f>IF('Phytopl Count'!M282=0,"",('Phytopl Analysis'!M282*LN('Phytopl Analysis'!M282)))</f>
        <v/>
      </c>
      <c r="N282" s="58" t="str">
        <f>IF('Phytopl Count'!N282=0,"",('Phytopl Analysis'!N282*LN('Phytopl Analysis'!N282)))</f>
        <v/>
      </c>
      <c r="O282" s="21" t="str">
        <f>IF('Phytopl Count'!O282=0,"",('Phytopl Analysis'!O282*LN('Phytopl Analysis'!O282)))</f>
        <v/>
      </c>
      <c r="P282" s="21" t="str">
        <f>IF('Phytopl Count'!P282=0,"",('Phytopl Analysis'!P282*LN('Phytopl Analysis'!P282)))</f>
        <v/>
      </c>
      <c r="Q282" s="58" t="str">
        <f>IF('Phytopl Count'!Q282=0,"",('Phytopl Analysis'!Q282*LN('Phytopl Analysis'!Q282)))</f>
        <v/>
      </c>
      <c r="R282" s="58" t="str">
        <f>IF('Phytopl Count'!R282=0,"",('Phytopl Analysis'!R282*LN('Phytopl Analysis'!R282)))</f>
        <v/>
      </c>
      <c r="S282" s="21" t="str">
        <f>IF('Phytopl Count'!S282=0,"",('Phytopl Analysis'!S282*LN('Phytopl Analysis'!S282)))</f>
        <v/>
      </c>
      <c r="T282" s="21" t="str">
        <f>IF('Phytopl Count'!T282=0,"",('Phytopl Analysis'!T282*LN('Phytopl Analysis'!T282)))</f>
        <v/>
      </c>
      <c r="U282" s="58" t="str">
        <f>IF('Phytopl Count'!U282=0,"",('Phytopl Analysis'!U282*LN('Phytopl Analysis'!U282)))</f>
        <v/>
      </c>
      <c r="V282" s="58" t="str">
        <f>IF('Phytopl Count'!V282=0,"",('Phytopl Analysis'!V282*LN('Phytopl Analysis'!V282)))</f>
        <v/>
      </c>
      <c r="W282" s="21" t="str">
        <f>IF('Phytopl Count'!W282=0,"",('Phytopl Analysis'!W282*LN('Phytopl Analysis'!W282)))</f>
        <v/>
      </c>
      <c r="X282" s="21" t="str">
        <f>IF('Phytopl Count'!X282=0,"",('Phytopl Analysis'!X282*LN('Phytopl Analysis'!X282)))</f>
        <v/>
      </c>
      <c r="Y282" s="58" t="str">
        <f>IF('Phytopl Count'!Y282=0,"",('Phytopl Analysis'!Y282*LN('Phytopl Analysis'!Y282)))</f>
        <v/>
      </c>
      <c r="Z282" s="58" t="str">
        <f>IF('Phytopl Count'!Z282=0,"",('Phytopl Analysis'!Z282*LN('Phytopl Analysis'!Z282)))</f>
        <v/>
      </c>
      <c r="AA282" s="21" t="str">
        <f>IF('Phytopl Count'!AA282=0,"",('Phytopl Analysis'!AA282*LN('Phytopl Analysis'!AA282)))</f>
        <v/>
      </c>
      <c r="AB282" s="21" t="str">
        <f>IF('Phytopl Count'!AB282=0,"",('Phytopl Analysis'!AB282*LN('Phytopl Analysis'!AB282)))</f>
        <v/>
      </c>
      <c r="AC282" s="58" t="str">
        <f>IF('Phytopl Count'!AC282=0,"",('Phytopl Analysis'!AC282*LN('Phytopl Analysis'!AC282)))</f>
        <v/>
      </c>
      <c r="AD282" s="58" t="str">
        <f>IF('Phytopl Count'!AD282=0,"",('Phytopl Analysis'!AD282*LN('Phytopl Analysis'!AD282)))</f>
        <v/>
      </c>
      <c r="AE282" s="21" t="str">
        <f>IF('Phytopl Count'!AE282=0,"",('Phytopl Analysis'!AE282*LN('Phytopl Analysis'!AE282)))</f>
        <v/>
      </c>
      <c r="AF282" s="58" t="str">
        <f>IF('Phytopl Count'!AF282=0,"",('Phytopl Analysis'!AF282*LN('Phytopl Analysis'!AF282)))</f>
        <v/>
      </c>
    </row>
    <row r="283" spans="1:32" hidden="1">
      <c r="A283" s="4"/>
      <c r="B283" s="92"/>
      <c r="C283" s="92"/>
      <c r="D283" s="92"/>
      <c r="E283" s="93" t="s">
        <v>6</v>
      </c>
      <c r="F283" s="11" t="s">
        <v>328</v>
      </c>
      <c r="G283" s="21" t="str">
        <f>IF('Phytopl Count'!G283=0,"",('Phytopl Analysis'!G283*LN('Phytopl Analysis'!G283)))</f>
        <v/>
      </c>
      <c r="H283" s="21" t="str">
        <f>IF('Phytopl Count'!H283=0,"",('Phytopl Analysis'!H283*LN('Phytopl Analysis'!H283)))</f>
        <v/>
      </c>
      <c r="I283" s="58" t="str">
        <f>IF('Phytopl Count'!I283=0,"",('Phytopl Analysis'!I283*LN('Phytopl Analysis'!I283)))</f>
        <v/>
      </c>
      <c r="J283" s="58" t="str">
        <f>IF('Phytopl Count'!J283=0,"",('Phytopl Analysis'!J283*LN('Phytopl Analysis'!J283)))</f>
        <v/>
      </c>
      <c r="K283" s="21" t="str">
        <f>IF('Phytopl Count'!K283=0,"",('Phytopl Analysis'!K283*LN('Phytopl Analysis'!K283)))</f>
        <v/>
      </c>
      <c r="L283" s="21" t="str">
        <f>IF('Phytopl Count'!L283=0,"",('Phytopl Analysis'!L283*LN('Phytopl Analysis'!L283)))</f>
        <v/>
      </c>
      <c r="M283" s="58" t="str">
        <f>IF('Phytopl Count'!M283=0,"",('Phytopl Analysis'!M283*LN('Phytopl Analysis'!M283)))</f>
        <v/>
      </c>
      <c r="N283" s="58" t="str">
        <f>IF('Phytopl Count'!N283=0,"",('Phytopl Analysis'!N283*LN('Phytopl Analysis'!N283)))</f>
        <v/>
      </c>
      <c r="O283" s="21" t="str">
        <f>IF('Phytopl Count'!O283=0,"",('Phytopl Analysis'!O283*LN('Phytopl Analysis'!O283)))</f>
        <v/>
      </c>
      <c r="P283" s="21" t="str">
        <f>IF('Phytopl Count'!P283=0,"",('Phytopl Analysis'!P283*LN('Phytopl Analysis'!P283)))</f>
        <v/>
      </c>
      <c r="Q283" s="58" t="str">
        <f>IF('Phytopl Count'!Q283=0,"",('Phytopl Analysis'!Q283*LN('Phytopl Analysis'!Q283)))</f>
        <v/>
      </c>
      <c r="R283" s="58" t="str">
        <f>IF('Phytopl Count'!R283=0,"",('Phytopl Analysis'!R283*LN('Phytopl Analysis'!R283)))</f>
        <v/>
      </c>
      <c r="S283" s="21" t="str">
        <f>IF('Phytopl Count'!S283=0,"",('Phytopl Analysis'!S283*LN('Phytopl Analysis'!S283)))</f>
        <v/>
      </c>
      <c r="T283" s="21" t="str">
        <f>IF('Phytopl Count'!T283=0,"",('Phytopl Analysis'!T283*LN('Phytopl Analysis'!T283)))</f>
        <v/>
      </c>
      <c r="U283" s="58" t="str">
        <f>IF('Phytopl Count'!U283=0,"",('Phytopl Analysis'!U283*LN('Phytopl Analysis'!U283)))</f>
        <v/>
      </c>
      <c r="V283" s="58" t="str">
        <f>IF('Phytopl Count'!V283=0,"",('Phytopl Analysis'!V283*LN('Phytopl Analysis'!V283)))</f>
        <v/>
      </c>
      <c r="W283" s="21" t="str">
        <f>IF('Phytopl Count'!W283=0,"",('Phytopl Analysis'!W283*LN('Phytopl Analysis'!W283)))</f>
        <v/>
      </c>
      <c r="X283" s="21" t="str">
        <f>IF('Phytopl Count'!X283=0,"",('Phytopl Analysis'!X283*LN('Phytopl Analysis'!X283)))</f>
        <v/>
      </c>
      <c r="Y283" s="58" t="str">
        <f>IF('Phytopl Count'!Y283=0,"",('Phytopl Analysis'!Y283*LN('Phytopl Analysis'!Y283)))</f>
        <v/>
      </c>
      <c r="Z283" s="58" t="str">
        <f>IF('Phytopl Count'!Z283=0,"",('Phytopl Analysis'!Z283*LN('Phytopl Analysis'!Z283)))</f>
        <v/>
      </c>
      <c r="AA283" s="21" t="str">
        <f>IF('Phytopl Count'!AA283=0,"",('Phytopl Analysis'!AA283*LN('Phytopl Analysis'!AA283)))</f>
        <v/>
      </c>
      <c r="AB283" s="21" t="str">
        <f>IF('Phytopl Count'!AB283=0,"",('Phytopl Analysis'!AB283*LN('Phytopl Analysis'!AB283)))</f>
        <v/>
      </c>
      <c r="AC283" s="58" t="str">
        <f>IF('Phytopl Count'!AC283=0,"",('Phytopl Analysis'!AC283*LN('Phytopl Analysis'!AC283)))</f>
        <v/>
      </c>
      <c r="AD283" s="58" t="str">
        <f>IF('Phytopl Count'!AD283=0,"",('Phytopl Analysis'!AD283*LN('Phytopl Analysis'!AD283)))</f>
        <v/>
      </c>
      <c r="AE283" s="21" t="str">
        <f>IF('Phytopl Count'!AE283=0,"",('Phytopl Analysis'!AE283*LN('Phytopl Analysis'!AE283)))</f>
        <v/>
      </c>
      <c r="AF283" s="58" t="str">
        <f>IF('Phytopl Count'!AF283=0,"",('Phytopl Analysis'!AF283*LN('Phytopl Analysis'!AF283)))</f>
        <v/>
      </c>
    </row>
    <row r="284" spans="1:32" hidden="1">
      <c r="A284" s="4"/>
      <c r="B284" s="92"/>
      <c r="C284" s="92"/>
      <c r="D284" s="92"/>
      <c r="E284" s="93"/>
      <c r="F284" s="11" t="s">
        <v>355</v>
      </c>
      <c r="G284" s="21" t="str">
        <f>IF('Phytopl Count'!G284=0,"",('Phytopl Analysis'!G284*LN('Phytopl Analysis'!G284)))</f>
        <v/>
      </c>
      <c r="H284" s="21" t="str">
        <f>IF('Phytopl Count'!H284=0,"",('Phytopl Analysis'!H284*LN('Phytopl Analysis'!H284)))</f>
        <v/>
      </c>
      <c r="I284" s="58" t="str">
        <f>IF('Phytopl Count'!I284=0,"",('Phytopl Analysis'!I284*LN('Phytopl Analysis'!I284)))</f>
        <v/>
      </c>
      <c r="J284" s="58" t="str">
        <f>IF('Phytopl Count'!J284=0,"",('Phytopl Analysis'!J284*LN('Phytopl Analysis'!J284)))</f>
        <v/>
      </c>
      <c r="K284" s="21" t="str">
        <f>IF('Phytopl Count'!K284=0,"",('Phytopl Analysis'!K284*LN('Phytopl Analysis'!K284)))</f>
        <v/>
      </c>
      <c r="L284" s="21" t="str">
        <f>IF('Phytopl Count'!L284=0,"",('Phytopl Analysis'!L284*LN('Phytopl Analysis'!L284)))</f>
        <v/>
      </c>
      <c r="M284" s="58" t="str">
        <f>IF('Phytopl Count'!M284=0,"",('Phytopl Analysis'!M284*LN('Phytopl Analysis'!M284)))</f>
        <v/>
      </c>
      <c r="N284" s="58" t="str">
        <f>IF('Phytopl Count'!N284=0,"",('Phytopl Analysis'!N284*LN('Phytopl Analysis'!N284)))</f>
        <v/>
      </c>
      <c r="O284" s="21" t="str">
        <f>IF('Phytopl Count'!O284=0,"",('Phytopl Analysis'!O284*LN('Phytopl Analysis'!O284)))</f>
        <v/>
      </c>
      <c r="P284" s="21" t="str">
        <f>IF('Phytopl Count'!P284=0,"",('Phytopl Analysis'!P284*LN('Phytopl Analysis'!P284)))</f>
        <v/>
      </c>
      <c r="Q284" s="58" t="str">
        <f>IF('Phytopl Count'!Q284=0,"",('Phytopl Analysis'!Q284*LN('Phytopl Analysis'!Q284)))</f>
        <v/>
      </c>
      <c r="R284" s="58" t="str">
        <f>IF('Phytopl Count'!R284=0,"",('Phytopl Analysis'!R284*LN('Phytopl Analysis'!R284)))</f>
        <v/>
      </c>
      <c r="S284" s="21" t="str">
        <f>IF('Phytopl Count'!S284=0,"",('Phytopl Analysis'!S284*LN('Phytopl Analysis'!S284)))</f>
        <v/>
      </c>
      <c r="T284" s="21" t="str">
        <f>IF('Phytopl Count'!T284=0,"",('Phytopl Analysis'!T284*LN('Phytopl Analysis'!T284)))</f>
        <v/>
      </c>
      <c r="U284" s="58" t="str">
        <f>IF('Phytopl Count'!U284=0,"",('Phytopl Analysis'!U284*LN('Phytopl Analysis'!U284)))</f>
        <v/>
      </c>
      <c r="V284" s="58" t="str">
        <f>IF('Phytopl Count'!V284=0,"",('Phytopl Analysis'!V284*LN('Phytopl Analysis'!V284)))</f>
        <v/>
      </c>
      <c r="W284" s="21" t="str">
        <f>IF('Phytopl Count'!W284=0,"",('Phytopl Analysis'!W284*LN('Phytopl Analysis'!W284)))</f>
        <v/>
      </c>
      <c r="X284" s="21" t="str">
        <f>IF('Phytopl Count'!X284=0,"",('Phytopl Analysis'!X284*LN('Phytopl Analysis'!X284)))</f>
        <v/>
      </c>
      <c r="Y284" s="58" t="str">
        <f>IF('Phytopl Count'!Y284=0,"",('Phytopl Analysis'!Y284*LN('Phytopl Analysis'!Y284)))</f>
        <v/>
      </c>
      <c r="Z284" s="58" t="str">
        <f>IF('Phytopl Count'!Z284=0,"",('Phytopl Analysis'!Z284*LN('Phytopl Analysis'!Z284)))</f>
        <v/>
      </c>
      <c r="AA284" s="21" t="str">
        <f>IF('Phytopl Count'!AA284=0,"",('Phytopl Analysis'!AA284*LN('Phytopl Analysis'!AA284)))</f>
        <v/>
      </c>
      <c r="AB284" s="21" t="str">
        <f>IF('Phytopl Count'!AB284=0,"",('Phytopl Analysis'!AB284*LN('Phytopl Analysis'!AB284)))</f>
        <v/>
      </c>
      <c r="AC284" s="58" t="str">
        <f>IF('Phytopl Count'!AC284=0,"",('Phytopl Analysis'!AC284*LN('Phytopl Analysis'!AC284)))</f>
        <v/>
      </c>
      <c r="AD284" s="58" t="str">
        <f>IF('Phytopl Count'!AD284=0,"",('Phytopl Analysis'!AD284*LN('Phytopl Analysis'!AD284)))</f>
        <v/>
      </c>
      <c r="AE284" s="21" t="str">
        <f>IF('Phytopl Count'!AE284=0,"",('Phytopl Analysis'!AE284*LN('Phytopl Analysis'!AE284)))</f>
        <v/>
      </c>
      <c r="AF284" s="58" t="str">
        <f>IF('Phytopl Count'!AF284=0,"",('Phytopl Analysis'!AF284*LN('Phytopl Analysis'!AF284)))</f>
        <v/>
      </c>
    </row>
    <row r="285" spans="1:32" hidden="1">
      <c r="A285" s="4"/>
      <c r="B285" s="92"/>
      <c r="C285" s="92"/>
      <c r="D285" s="93" t="s">
        <v>5</v>
      </c>
      <c r="E285" s="154" t="s">
        <v>334</v>
      </c>
      <c r="F285" s="11"/>
      <c r="G285" s="21" t="str">
        <f>IF('Phytopl Count'!G285=0,"",('Phytopl Analysis'!G285*LN('Phytopl Analysis'!G285)))</f>
        <v/>
      </c>
      <c r="H285" s="21" t="str">
        <f>IF('Phytopl Count'!H285=0,"",('Phytopl Analysis'!H285*LN('Phytopl Analysis'!H285)))</f>
        <v/>
      </c>
      <c r="I285" s="58" t="str">
        <f>IF('Phytopl Count'!I285=0,"",('Phytopl Analysis'!I285*LN('Phytopl Analysis'!I285)))</f>
        <v/>
      </c>
      <c r="J285" s="58" t="str">
        <f>IF('Phytopl Count'!J285=0,"",('Phytopl Analysis'!J285*LN('Phytopl Analysis'!J285)))</f>
        <v/>
      </c>
      <c r="K285" s="21" t="str">
        <f>IF('Phytopl Count'!K285=0,"",('Phytopl Analysis'!K285*LN('Phytopl Analysis'!K285)))</f>
        <v/>
      </c>
      <c r="L285" s="21" t="str">
        <f>IF('Phytopl Count'!L285=0,"",('Phytopl Analysis'!L285*LN('Phytopl Analysis'!L285)))</f>
        <v/>
      </c>
      <c r="M285" s="58" t="str">
        <f>IF('Phytopl Count'!M285=0,"",('Phytopl Analysis'!M285*LN('Phytopl Analysis'!M285)))</f>
        <v/>
      </c>
      <c r="N285" s="58" t="str">
        <f>IF('Phytopl Count'!N285=0,"",('Phytopl Analysis'!N285*LN('Phytopl Analysis'!N285)))</f>
        <v/>
      </c>
      <c r="O285" s="21" t="str">
        <f>IF('Phytopl Count'!O285=0,"",('Phytopl Analysis'!O285*LN('Phytopl Analysis'!O285)))</f>
        <v/>
      </c>
      <c r="P285" s="21" t="str">
        <f>IF('Phytopl Count'!P285=0,"",('Phytopl Analysis'!P285*LN('Phytopl Analysis'!P285)))</f>
        <v/>
      </c>
      <c r="Q285" s="58" t="str">
        <f>IF('Phytopl Count'!Q285=0,"",('Phytopl Analysis'!Q285*LN('Phytopl Analysis'!Q285)))</f>
        <v/>
      </c>
      <c r="R285" s="58" t="str">
        <f>IF('Phytopl Count'!R285=0,"",('Phytopl Analysis'!R285*LN('Phytopl Analysis'!R285)))</f>
        <v/>
      </c>
      <c r="S285" s="21" t="str">
        <f>IF('Phytopl Count'!S285=0,"",('Phytopl Analysis'!S285*LN('Phytopl Analysis'!S285)))</f>
        <v/>
      </c>
      <c r="T285" s="21" t="str">
        <f>IF('Phytopl Count'!T285=0,"",('Phytopl Analysis'!T285*LN('Phytopl Analysis'!T285)))</f>
        <v/>
      </c>
      <c r="U285" s="58" t="str">
        <f>IF('Phytopl Count'!U285=0,"",('Phytopl Analysis'!U285*LN('Phytopl Analysis'!U285)))</f>
        <v/>
      </c>
      <c r="V285" s="58" t="str">
        <f>IF('Phytopl Count'!V285=0,"",('Phytopl Analysis'!V285*LN('Phytopl Analysis'!V285)))</f>
        <v/>
      </c>
      <c r="W285" s="21" t="str">
        <f>IF('Phytopl Count'!W285=0,"",('Phytopl Analysis'!W285*LN('Phytopl Analysis'!W285)))</f>
        <v/>
      </c>
      <c r="X285" s="21" t="str">
        <f>IF('Phytopl Count'!X285=0,"",('Phytopl Analysis'!X285*LN('Phytopl Analysis'!X285)))</f>
        <v/>
      </c>
      <c r="Y285" s="58" t="str">
        <f>IF('Phytopl Count'!Y285=0,"",('Phytopl Analysis'!Y285*LN('Phytopl Analysis'!Y285)))</f>
        <v/>
      </c>
      <c r="Z285" s="58" t="str">
        <f>IF('Phytopl Count'!Z285=0,"",('Phytopl Analysis'!Z285*LN('Phytopl Analysis'!Z285)))</f>
        <v/>
      </c>
      <c r="AA285" s="21" t="str">
        <f>IF('Phytopl Count'!AA285=0,"",('Phytopl Analysis'!AA285*LN('Phytopl Analysis'!AA285)))</f>
        <v/>
      </c>
      <c r="AB285" s="21" t="str">
        <f>IF('Phytopl Count'!AB285=0,"",('Phytopl Analysis'!AB285*LN('Phytopl Analysis'!AB285)))</f>
        <v/>
      </c>
      <c r="AC285" s="58" t="str">
        <f>IF('Phytopl Count'!AC285=0,"",('Phytopl Analysis'!AC285*LN('Phytopl Analysis'!AC285)))</f>
        <v/>
      </c>
      <c r="AD285" s="58" t="str">
        <f>IF('Phytopl Count'!AD285=0,"",('Phytopl Analysis'!AD285*LN('Phytopl Analysis'!AD285)))</f>
        <v/>
      </c>
      <c r="AE285" s="21" t="str">
        <f>IF('Phytopl Count'!AE285=0,"",('Phytopl Analysis'!AE285*LN('Phytopl Analysis'!AE285)))</f>
        <v/>
      </c>
      <c r="AF285" s="58" t="str">
        <f>IF('Phytopl Count'!AF285=0,"",('Phytopl Analysis'!AF285*LN('Phytopl Analysis'!AF285)))</f>
        <v/>
      </c>
    </row>
    <row r="286" spans="1:32" hidden="1">
      <c r="A286" s="4"/>
      <c r="B286" s="92"/>
      <c r="C286" s="92"/>
      <c r="D286" s="92"/>
      <c r="E286" s="93" t="s">
        <v>6</v>
      </c>
      <c r="F286" s="11" t="s">
        <v>335</v>
      </c>
      <c r="G286" s="21" t="str">
        <f>IF('Phytopl Count'!G286=0,"",('Phytopl Analysis'!G286*LN('Phytopl Analysis'!G286)))</f>
        <v/>
      </c>
      <c r="H286" s="21" t="str">
        <f>IF('Phytopl Count'!H286=0,"",('Phytopl Analysis'!H286*LN('Phytopl Analysis'!H286)))</f>
        <v/>
      </c>
      <c r="I286" s="58" t="str">
        <f>IF('Phytopl Count'!I286=0,"",('Phytopl Analysis'!I286*LN('Phytopl Analysis'!I286)))</f>
        <v/>
      </c>
      <c r="J286" s="58" t="str">
        <f>IF('Phytopl Count'!J286=0,"",('Phytopl Analysis'!J286*LN('Phytopl Analysis'!J286)))</f>
        <v/>
      </c>
      <c r="K286" s="21" t="str">
        <f>IF('Phytopl Count'!K286=0,"",('Phytopl Analysis'!K286*LN('Phytopl Analysis'!K286)))</f>
        <v/>
      </c>
      <c r="L286" s="21" t="str">
        <f>IF('Phytopl Count'!L286=0,"",('Phytopl Analysis'!L286*LN('Phytopl Analysis'!L286)))</f>
        <v/>
      </c>
      <c r="M286" s="58" t="str">
        <f>IF('Phytopl Count'!M286=0,"",('Phytopl Analysis'!M286*LN('Phytopl Analysis'!M286)))</f>
        <v/>
      </c>
      <c r="N286" s="58" t="str">
        <f>IF('Phytopl Count'!N286=0,"",('Phytopl Analysis'!N286*LN('Phytopl Analysis'!N286)))</f>
        <v/>
      </c>
      <c r="O286" s="21" t="str">
        <f>IF('Phytopl Count'!O286=0,"",('Phytopl Analysis'!O286*LN('Phytopl Analysis'!O286)))</f>
        <v/>
      </c>
      <c r="P286" s="21" t="str">
        <f>IF('Phytopl Count'!P286=0,"",('Phytopl Analysis'!P286*LN('Phytopl Analysis'!P286)))</f>
        <v/>
      </c>
      <c r="Q286" s="58" t="str">
        <f>IF('Phytopl Count'!Q286=0,"",('Phytopl Analysis'!Q286*LN('Phytopl Analysis'!Q286)))</f>
        <v/>
      </c>
      <c r="R286" s="58" t="str">
        <f>IF('Phytopl Count'!R286=0,"",('Phytopl Analysis'!R286*LN('Phytopl Analysis'!R286)))</f>
        <v/>
      </c>
      <c r="S286" s="21" t="str">
        <f>IF('Phytopl Count'!S286=0,"",('Phytopl Analysis'!S286*LN('Phytopl Analysis'!S286)))</f>
        <v/>
      </c>
      <c r="T286" s="21" t="str">
        <f>IF('Phytopl Count'!T286=0,"",('Phytopl Analysis'!T286*LN('Phytopl Analysis'!T286)))</f>
        <v/>
      </c>
      <c r="U286" s="58" t="str">
        <f>IF('Phytopl Count'!U286=0,"",('Phytopl Analysis'!U286*LN('Phytopl Analysis'!U286)))</f>
        <v/>
      </c>
      <c r="V286" s="58" t="str">
        <f>IF('Phytopl Count'!V286=0,"",('Phytopl Analysis'!V286*LN('Phytopl Analysis'!V286)))</f>
        <v/>
      </c>
      <c r="W286" s="21" t="str">
        <f>IF('Phytopl Count'!W286=0,"",('Phytopl Analysis'!W286*LN('Phytopl Analysis'!W286)))</f>
        <v/>
      </c>
      <c r="X286" s="21" t="str">
        <f>IF('Phytopl Count'!X286=0,"",('Phytopl Analysis'!X286*LN('Phytopl Analysis'!X286)))</f>
        <v/>
      </c>
      <c r="Y286" s="58" t="str">
        <f>IF('Phytopl Count'!Y286=0,"",('Phytopl Analysis'!Y286*LN('Phytopl Analysis'!Y286)))</f>
        <v/>
      </c>
      <c r="Z286" s="58" t="str">
        <f>IF('Phytopl Count'!Z286=0,"",('Phytopl Analysis'!Z286*LN('Phytopl Analysis'!Z286)))</f>
        <v/>
      </c>
      <c r="AA286" s="21" t="str">
        <f>IF('Phytopl Count'!AA286=0,"",('Phytopl Analysis'!AA286*LN('Phytopl Analysis'!AA286)))</f>
        <v/>
      </c>
      <c r="AB286" s="21" t="str">
        <f>IF('Phytopl Count'!AB286=0,"",('Phytopl Analysis'!AB286*LN('Phytopl Analysis'!AB286)))</f>
        <v/>
      </c>
      <c r="AC286" s="58" t="str">
        <f>IF('Phytopl Count'!AC286=0,"",('Phytopl Analysis'!AC286*LN('Phytopl Analysis'!AC286)))</f>
        <v/>
      </c>
      <c r="AD286" s="58" t="str">
        <f>IF('Phytopl Count'!AD286=0,"",('Phytopl Analysis'!AD286*LN('Phytopl Analysis'!AD286)))</f>
        <v/>
      </c>
      <c r="AE286" s="21" t="str">
        <f>IF('Phytopl Count'!AE286=0,"",('Phytopl Analysis'!AE286*LN('Phytopl Analysis'!AE286)))</f>
        <v/>
      </c>
      <c r="AF286" s="58" t="str">
        <f>IF('Phytopl Count'!AF286=0,"",('Phytopl Analysis'!AF286*LN('Phytopl Analysis'!AF286)))</f>
        <v/>
      </c>
    </row>
    <row r="287" spans="1:32" hidden="1">
      <c r="A287" s="4"/>
      <c r="B287" s="92"/>
      <c r="C287" s="92"/>
      <c r="D287" s="93" t="s">
        <v>5</v>
      </c>
      <c r="E287" s="173" t="s">
        <v>398</v>
      </c>
      <c r="F287" s="11"/>
      <c r="G287" s="21" t="str">
        <f>IF('Phytopl Count'!G287=0,"",('Phytopl Analysis'!G287*LN('Phytopl Analysis'!G287)))</f>
        <v/>
      </c>
      <c r="H287" s="21" t="str">
        <f>IF('Phytopl Count'!H287=0,"",('Phytopl Analysis'!H287*LN('Phytopl Analysis'!H287)))</f>
        <v/>
      </c>
      <c r="I287" s="58" t="str">
        <f>IF('Phytopl Count'!I287=0,"",('Phytopl Analysis'!I287*LN('Phytopl Analysis'!I287)))</f>
        <v/>
      </c>
      <c r="J287" s="58" t="str">
        <f>IF('Phytopl Count'!J287=0,"",('Phytopl Analysis'!J287*LN('Phytopl Analysis'!J287)))</f>
        <v/>
      </c>
      <c r="K287" s="21" t="str">
        <f>IF('Phytopl Count'!K287=0,"",('Phytopl Analysis'!K287*LN('Phytopl Analysis'!K287)))</f>
        <v/>
      </c>
      <c r="L287" s="21" t="str">
        <f>IF('Phytopl Count'!L287=0,"",('Phytopl Analysis'!L287*LN('Phytopl Analysis'!L287)))</f>
        <v/>
      </c>
      <c r="M287" s="58" t="str">
        <f>IF('Phytopl Count'!M287=0,"",('Phytopl Analysis'!M287*LN('Phytopl Analysis'!M287)))</f>
        <v/>
      </c>
      <c r="N287" s="58" t="str">
        <f>IF('Phytopl Count'!N287=0,"",('Phytopl Analysis'!N287*LN('Phytopl Analysis'!N287)))</f>
        <v/>
      </c>
      <c r="O287" s="21" t="str">
        <f>IF('Phytopl Count'!O287=0,"",('Phytopl Analysis'!O287*LN('Phytopl Analysis'!O287)))</f>
        <v/>
      </c>
      <c r="P287" s="21" t="str">
        <f>IF('Phytopl Count'!P287=0,"",('Phytopl Analysis'!P287*LN('Phytopl Analysis'!P287)))</f>
        <v/>
      </c>
      <c r="Q287" s="58" t="str">
        <f>IF('Phytopl Count'!Q287=0,"",('Phytopl Analysis'!Q287*LN('Phytopl Analysis'!Q287)))</f>
        <v/>
      </c>
      <c r="R287" s="58" t="str">
        <f>IF('Phytopl Count'!R287=0,"",('Phytopl Analysis'!R287*LN('Phytopl Analysis'!R287)))</f>
        <v/>
      </c>
      <c r="S287" s="21" t="str">
        <f>IF('Phytopl Count'!S287=0,"",('Phytopl Analysis'!S287*LN('Phytopl Analysis'!S287)))</f>
        <v/>
      </c>
      <c r="T287" s="21" t="str">
        <f>IF('Phytopl Count'!T287=0,"",('Phytopl Analysis'!T287*LN('Phytopl Analysis'!T287)))</f>
        <v/>
      </c>
      <c r="U287" s="58" t="str">
        <f>IF('Phytopl Count'!U287=0,"",('Phytopl Analysis'!U287*LN('Phytopl Analysis'!U287)))</f>
        <v/>
      </c>
      <c r="V287" s="58" t="str">
        <f>IF('Phytopl Count'!V287=0,"",('Phytopl Analysis'!V287*LN('Phytopl Analysis'!V287)))</f>
        <v/>
      </c>
      <c r="W287" s="21" t="str">
        <f>IF('Phytopl Count'!W287=0,"",('Phytopl Analysis'!W287*LN('Phytopl Analysis'!W287)))</f>
        <v/>
      </c>
      <c r="X287" s="21" t="str">
        <f>IF('Phytopl Count'!X287=0,"",('Phytopl Analysis'!X287*LN('Phytopl Analysis'!X287)))</f>
        <v/>
      </c>
      <c r="Y287" s="58" t="str">
        <f>IF('Phytopl Count'!Y287=0,"",('Phytopl Analysis'!Y287*LN('Phytopl Analysis'!Y287)))</f>
        <v/>
      </c>
      <c r="Z287" s="58" t="str">
        <f>IF('Phytopl Count'!Z287=0,"",('Phytopl Analysis'!Z287*LN('Phytopl Analysis'!Z287)))</f>
        <v/>
      </c>
      <c r="AA287" s="21" t="str">
        <f>IF('Phytopl Count'!AA287=0,"",('Phytopl Analysis'!AA287*LN('Phytopl Analysis'!AA287)))</f>
        <v/>
      </c>
      <c r="AB287" s="21" t="str">
        <f>IF('Phytopl Count'!AB287=0,"",('Phytopl Analysis'!AB287*LN('Phytopl Analysis'!AB287)))</f>
        <v/>
      </c>
      <c r="AC287" s="58" t="str">
        <f>IF('Phytopl Count'!AC287=0,"",('Phytopl Analysis'!AC287*LN('Phytopl Analysis'!AC287)))</f>
        <v/>
      </c>
      <c r="AD287" s="58" t="str">
        <f>IF('Phytopl Count'!AD287=0,"",('Phytopl Analysis'!AD287*LN('Phytopl Analysis'!AD287)))</f>
        <v/>
      </c>
      <c r="AE287" s="21" t="str">
        <f>IF('Phytopl Count'!AE287=0,"",('Phytopl Analysis'!AE287*LN('Phytopl Analysis'!AE287)))</f>
        <v/>
      </c>
      <c r="AF287" s="58" t="str">
        <f>IF('Phytopl Count'!AF287=0,"",('Phytopl Analysis'!AF287*LN('Phytopl Analysis'!AF287)))</f>
        <v/>
      </c>
    </row>
    <row r="288" spans="1:32" hidden="1">
      <c r="A288" s="4"/>
      <c r="B288" s="92"/>
      <c r="C288" s="92"/>
      <c r="D288" s="92"/>
      <c r="E288" s="93" t="s">
        <v>6</v>
      </c>
      <c r="F288" s="11" t="s">
        <v>399</v>
      </c>
      <c r="G288" s="21" t="str">
        <f>IF('Phytopl Count'!G288=0,"",('Phytopl Analysis'!G288*LN('Phytopl Analysis'!G288)))</f>
        <v/>
      </c>
      <c r="H288" s="21" t="str">
        <f>IF('Phytopl Count'!H288=0,"",('Phytopl Analysis'!H288*LN('Phytopl Analysis'!H288)))</f>
        <v/>
      </c>
      <c r="I288" s="58" t="str">
        <f>IF('Phytopl Count'!I288=0,"",('Phytopl Analysis'!I288*LN('Phytopl Analysis'!I288)))</f>
        <v/>
      </c>
      <c r="J288" s="58" t="str">
        <f>IF('Phytopl Count'!J288=0,"",('Phytopl Analysis'!J288*LN('Phytopl Analysis'!J288)))</f>
        <v/>
      </c>
      <c r="K288" s="21" t="str">
        <f>IF('Phytopl Count'!K288=0,"",('Phytopl Analysis'!K288*LN('Phytopl Analysis'!K288)))</f>
        <v/>
      </c>
      <c r="L288" s="21" t="str">
        <f>IF('Phytopl Count'!L288=0,"",('Phytopl Analysis'!L288*LN('Phytopl Analysis'!L288)))</f>
        <v/>
      </c>
      <c r="M288" s="58" t="str">
        <f>IF('Phytopl Count'!M288=0,"",('Phytopl Analysis'!M288*LN('Phytopl Analysis'!M288)))</f>
        <v/>
      </c>
      <c r="N288" s="58" t="str">
        <f>IF('Phytopl Count'!N288=0,"",('Phytopl Analysis'!N288*LN('Phytopl Analysis'!N288)))</f>
        <v/>
      </c>
      <c r="O288" s="21" t="str">
        <f>IF('Phytopl Count'!O288=0,"",('Phytopl Analysis'!O288*LN('Phytopl Analysis'!O288)))</f>
        <v/>
      </c>
      <c r="P288" s="21" t="str">
        <f>IF('Phytopl Count'!P288=0,"",('Phytopl Analysis'!P288*LN('Phytopl Analysis'!P288)))</f>
        <v/>
      </c>
      <c r="Q288" s="58" t="str">
        <f>IF('Phytopl Count'!Q288=0,"",('Phytopl Analysis'!Q288*LN('Phytopl Analysis'!Q288)))</f>
        <v/>
      </c>
      <c r="R288" s="58" t="str">
        <f>IF('Phytopl Count'!R288=0,"",('Phytopl Analysis'!R288*LN('Phytopl Analysis'!R288)))</f>
        <v/>
      </c>
      <c r="S288" s="21" t="str">
        <f>IF('Phytopl Count'!S288=0,"",('Phytopl Analysis'!S288*LN('Phytopl Analysis'!S288)))</f>
        <v/>
      </c>
      <c r="T288" s="21" t="str">
        <f>IF('Phytopl Count'!T288=0,"",('Phytopl Analysis'!T288*LN('Phytopl Analysis'!T288)))</f>
        <v/>
      </c>
      <c r="U288" s="58" t="str">
        <f>IF('Phytopl Count'!U288=0,"",('Phytopl Analysis'!U288*LN('Phytopl Analysis'!U288)))</f>
        <v/>
      </c>
      <c r="V288" s="58" t="str">
        <f>IF('Phytopl Count'!V288=0,"",('Phytopl Analysis'!V288*LN('Phytopl Analysis'!V288)))</f>
        <v/>
      </c>
      <c r="W288" s="21" t="str">
        <f>IF('Phytopl Count'!W288=0,"",('Phytopl Analysis'!W288*LN('Phytopl Analysis'!W288)))</f>
        <v/>
      </c>
      <c r="X288" s="21" t="str">
        <f>IF('Phytopl Count'!X288=0,"",('Phytopl Analysis'!X288*LN('Phytopl Analysis'!X288)))</f>
        <v/>
      </c>
      <c r="Y288" s="58" t="str">
        <f>IF('Phytopl Count'!Y288=0,"",('Phytopl Analysis'!Y288*LN('Phytopl Analysis'!Y288)))</f>
        <v/>
      </c>
      <c r="Z288" s="58" t="str">
        <f>IF('Phytopl Count'!Z288=0,"",('Phytopl Analysis'!Z288*LN('Phytopl Analysis'!Z288)))</f>
        <v/>
      </c>
      <c r="AA288" s="21" t="str">
        <f>IF('Phytopl Count'!AA288=0,"",('Phytopl Analysis'!AA288*LN('Phytopl Analysis'!AA288)))</f>
        <v/>
      </c>
      <c r="AB288" s="21" t="str">
        <f>IF('Phytopl Count'!AB288=0,"",('Phytopl Analysis'!AB288*LN('Phytopl Analysis'!AB288)))</f>
        <v/>
      </c>
      <c r="AC288" s="58" t="str">
        <f>IF('Phytopl Count'!AC288=0,"",('Phytopl Analysis'!AC288*LN('Phytopl Analysis'!AC288)))</f>
        <v/>
      </c>
      <c r="AD288" s="58" t="str">
        <f>IF('Phytopl Count'!AD288=0,"",('Phytopl Analysis'!AD288*LN('Phytopl Analysis'!AD288)))</f>
        <v/>
      </c>
      <c r="AE288" s="21" t="str">
        <f>IF('Phytopl Count'!AE288=0,"",('Phytopl Analysis'!AE288*LN('Phytopl Analysis'!AE288)))</f>
        <v/>
      </c>
      <c r="AF288" s="58" t="str">
        <f>IF('Phytopl Count'!AF288=0,"",('Phytopl Analysis'!AF288*LN('Phytopl Analysis'!AF288)))</f>
        <v/>
      </c>
    </row>
    <row r="289" spans="1:32" hidden="1">
      <c r="A289" s="16"/>
      <c r="B289" s="4"/>
      <c r="C289" s="16" t="s">
        <v>73</v>
      </c>
      <c r="D289" s="4" t="s">
        <v>338</v>
      </c>
      <c r="E289" s="92"/>
      <c r="F289" s="11"/>
      <c r="G289" s="21" t="str">
        <f>IF('Phytopl Count'!G289=0,"",('Phytopl Analysis'!G289*LN('Phytopl Analysis'!G289)))</f>
        <v/>
      </c>
      <c r="H289" s="21" t="str">
        <f>IF('Phytopl Count'!H289=0,"",('Phytopl Analysis'!H289*LN('Phytopl Analysis'!H289)))</f>
        <v/>
      </c>
      <c r="I289" s="58" t="str">
        <f>IF('Phytopl Count'!I289=0,"",('Phytopl Analysis'!I289*LN('Phytopl Analysis'!I289)))</f>
        <v/>
      </c>
      <c r="J289" s="58" t="str">
        <f>IF('Phytopl Count'!J289=0,"",('Phytopl Analysis'!J289*LN('Phytopl Analysis'!J289)))</f>
        <v/>
      </c>
      <c r="K289" s="21" t="str">
        <f>IF('Phytopl Count'!K289=0,"",('Phytopl Analysis'!K289*LN('Phytopl Analysis'!K289)))</f>
        <v/>
      </c>
      <c r="L289" s="21" t="str">
        <f>IF('Phytopl Count'!L289=0,"",('Phytopl Analysis'!L289*LN('Phytopl Analysis'!L289)))</f>
        <v/>
      </c>
      <c r="M289" s="58" t="str">
        <f>IF('Phytopl Count'!M289=0,"",('Phytopl Analysis'!M289*LN('Phytopl Analysis'!M289)))</f>
        <v/>
      </c>
      <c r="N289" s="58" t="str">
        <f>IF('Phytopl Count'!N289=0,"",('Phytopl Analysis'!N289*LN('Phytopl Analysis'!N289)))</f>
        <v/>
      </c>
      <c r="O289" s="21" t="str">
        <f>IF('Phytopl Count'!O289=0,"",('Phytopl Analysis'!O289*LN('Phytopl Analysis'!O289)))</f>
        <v/>
      </c>
      <c r="P289" s="21" t="str">
        <f>IF('Phytopl Count'!P289=0,"",('Phytopl Analysis'!P289*LN('Phytopl Analysis'!P289)))</f>
        <v/>
      </c>
      <c r="Q289" s="58" t="str">
        <f>IF('Phytopl Count'!Q289=0,"",('Phytopl Analysis'!Q289*LN('Phytopl Analysis'!Q289)))</f>
        <v/>
      </c>
      <c r="R289" s="58" t="str">
        <f>IF('Phytopl Count'!R289=0,"",('Phytopl Analysis'!R289*LN('Phytopl Analysis'!R289)))</f>
        <v/>
      </c>
      <c r="S289" s="21" t="str">
        <f>IF('Phytopl Count'!S289=0,"",('Phytopl Analysis'!S289*LN('Phytopl Analysis'!S289)))</f>
        <v/>
      </c>
      <c r="T289" s="21" t="str">
        <f>IF('Phytopl Count'!T289=0,"",('Phytopl Analysis'!T289*LN('Phytopl Analysis'!T289)))</f>
        <v/>
      </c>
      <c r="U289" s="58" t="str">
        <f>IF('Phytopl Count'!U289=0,"",('Phytopl Analysis'!U289*LN('Phytopl Analysis'!U289)))</f>
        <v/>
      </c>
      <c r="V289" s="58" t="str">
        <f>IF('Phytopl Count'!V289=0,"",('Phytopl Analysis'!V289*LN('Phytopl Analysis'!V289)))</f>
        <v/>
      </c>
      <c r="W289" s="21" t="str">
        <f>IF('Phytopl Count'!W289=0,"",('Phytopl Analysis'!W289*LN('Phytopl Analysis'!W289)))</f>
        <v/>
      </c>
      <c r="X289" s="21" t="str">
        <f>IF('Phytopl Count'!X289=0,"",('Phytopl Analysis'!X289*LN('Phytopl Analysis'!X289)))</f>
        <v/>
      </c>
      <c r="Y289" s="58" t="str">
        <f>IF('Phytopl Count'!Y289=0,"",('Phytopl Analysis'!Y289*LN('Phytopl Analysis'!Y289)))</f>
        <v/>
      </c>
      <c r="Z289" s="58" t="str">
        <f>IF('Phytopl Count'!Z289=0,"",('Phytopl Analysis'!Z289*LN('Phytopl Analysis'!Z289)))</f>
        <v/>
      </c>
      <c r="AA289" s="21" t="str">
        <f>IF('Phytopl Count'!AA289=0,"",('Phytopl Analysis'!AA289*LN('Phytopl Analysis'!AA289)))</f>
        <v/>
      </c>
      <c r="AB289" s="21" t="str">
        <f>IF('Phytopl Count'!AB289=0,"",('Phytopl Analysis'!AB289*LN('Phytopl Analysis'!AB289)))</f>
        <v/>
      </c>
      <c r="AC289" s="58" t="str">
        <f>IF('Phytopl Count'!AC289=0,"",('Phytopl Analysis'!AC289*LN('Phytopl Analysis'!AC289)))</f>
        <v/>
      </c>
      <c r="AD289" s="58" t="str">
        <f>IF('Phytopl Count'!AD289=0,"",('Phytopl Analysis'!AD289*LN('Phytopl Analysis'!AD289)))</f>
        <v/>
      </c>
      <c r="AE289" s="21" t="str">
        <f>IF('Phytopl Count'!AE289=0,"",('Phytopl Analysis'!AE289*LN('Phytopl Analysis'!AE289)))</f>
        <v/>
      </c>
      <c r="AF289" s="58" t="str">
        <f>IF('Phytopl Count'!AF289=0,"",('Phytopl Analysis'!AF289*LN('Phytopl Analysis'!AF289)))</f>
        <v/>
      </c>
    </row>
    <row r="290" spans="1:32" hidden="1">
      <c r="A290" s="4"/>
      <c r="B290" s="92"/>
      <c r="C290" s="92"/>
      <c r="D290" s="93" t="s">
        <v>5</v>
      </c>
      <c r="E290" s="154" t="s">
        <v>322</v>
      </c>
      <c r="F290" s="11"/>
      <c r="G290" s="21" t="str">
        <f>IF('Phytopl Count'!G290=0,"",('Phytopl Analysis'!G290*LN('Phytopl Analysis'!G290)))</f>
        <v/>
      </c>
      <c r="H290" s="21" t="str">
        <f>IF('Phytopl Count'!H290=0,"",('Phytopl Analysis'!H290*LN('Phytopl Analysis'!H290)))</f>
        <v/>
      </c>
      <c r="I290" s="58" t="str">
        <f>IF('Phytopl Count'!I290=0,"",('Phytopl Analysis'!I290*LN('Phytopl Analysis'!I290)))</f>
        <v/>
      </c>
      <c r="J290" s="58" t="str">
        <f>IF('Phytopl Count'!J290=0,"",('Phytopl Analysis'!J290*LN('Phytopl Analysis'!J290)))</f>
        <v/>
      </c>
      <c r="K290" s="21" t="str">
        <f>IF('Phytopl Count'!K290=0,"",('Phytopl Analysis'!K290*LN('Phytopl Analysis'!K290)))</f>
        <v/>
      </c>
      <c r="L290" s="21" t="str">
        <f>IF('Phytopl Count'!L290=0,"",('Phytopl Analysis'!L290*LN('Phytopl Analysis'!L290)))</f>
        <v/>
      </c>
      <c r="M290" s="58" t="str">
        <f>IF('Phytopl Count'!M290=0,"",('Phytopl Analysis'!M290*LN('Phytopl Analysis'!M290)))</f>
        <v/>
      </c>
      <c r="N290" s="58" t="str">
        <f>IF('Phytopl Count'!N290=0,"",('Phytopl Analysis'!N290*LN('Phytopl Analysis'!N290)))</f>
        <v/>
      </c>
      <c r="O290" s="21" t="str">
        <f>IF('Phytopl Count'!O290=0,"",('Phytopl Analysis'!O290*LN('Phytopl Analysis'!O290)))</f>
        <v/>
      </c>
      <c r="P290" s="21" t="str">
        <f>IF('Phytopl Count'!P290=0,"",('Phytopl Analysis'!P290*LN('Phytopl Analysis'!P290)))</f>
        <v/>
      </c>
      <c r="Q290" s="58" t="str">
        <f>IF('Phytopl Count'!Q290=0,"",('Phytopl Analysis'!Q290*LN('Phytopl Analysis'!Q290)))</f>
        <v/>
      </c>
      <c r="R290" s="58" t="str">
        <f>IF('Phytopl Count'!R290=0,"",('Phytopl Analysis'!R290*LN('Phytopl Analysis'!R290)))</f>
        <v/>
      </c>
      <c r="S290" s="21" t="str">
        <f>IF('Phytopl Count'!S290=0,"",('Phytopl Analysis'!S290*LN('Phytopl Analysis'!S290)))</f>
        <v/>
      </c>
      <c r="T290" s="21" t="str">
        <f>IF('Phytopl Count'!T290=0,"",('Phytopl Analysis'!T290*LN('Phytopl Analysis'!T290)))</f>
        <v/>
      </c>
      <c r="U290" s="58" t="str">
        <f>IF('Phytopl Count'!U290=0,"",('Phytopl Analysis'!U290*LN('Phytopl Analysis'!U290)))</f>
        <v/>
      </c>
      <c r="V290" s="58" t="str">
        <f>IF('Phytopl Count'!V290=0,"",('Phytopl Analysis'!V290*LN('Phytopl Analysis'!V290)))</f>
        <v/>
      </c>
      <c r="W290" s="21" t="str">
        <f>IF('Phytopl Count'!W290=0,"",('Phytopl Analysis'!W290*LN('Phytopl Analysis'!W290)))</f>
        <v/>
      </c>
      <c r="X290" s="21" t="str">
        <f>IF('Phytopl Count'!X290=0,"",('Phytopl Analysis'!X290*LN('Phytopl Analysis'!X290)))</f>
        <v/>
      </c>
      <c r="Y290" s="58" t="str">
        <f>IF('Phytopl Count'!Y290=0,"",('Phytopl Analysis'!Y290*LN('Phytopl Analysis'!Y290)))</f>
        <v/>
      </c>
      <c r="Z290" s="58" t="str">
        <f>IF('Phytopl Count'!Z290=0,"",('Phytopl Analysis'!Z290*LN('Phytopl Analysis'!Z290)))</f>
        <v/>
      </c>
      <c r="AA290" s="21" t="str">
        <f>IF('Phytopl Count'!AA290=0,"",('Phytopl Analysis'!AA290*LN('Phytopl Analysis'!AA290)))</f>
        <v/>
      </c>
      <c r="AB290" s="21" t="str">
        <f>IF('Phytopl Count'!AB290=0,"",('Phytopl Analysis'!AB290*LN('Phytopl Analysis'!AB290)))</f>
        <v/>
      </c>
      <c r="AC290" s="58" t="str">
        <f>IF('Phytopl Count'!AC290=0,"",('Phytopl Analysis'!AC290*LN('Phytopl Analysis'!AC290)))</f>
        <v/>
      </c>
      <c r="AD290" s="58" t="str">
        <f>IF('Phytopl Count'!AD290=0,"",('Phytopl Analysis'!AD290*LN('Phytopl Analysis'!AD290)))</f>
        <v/>
      </c>
      <c r="AE290" s="21" t="str">
        <f>IF('Phytopl Count'!AE290=0,"",('Phytopl Analysis'!AE290*LN('Phytopl Analysis'!AE290)))</f>
        <v/>
      </c>
      <c r="AF290" s="58" t="str">
        <f>IF('Phytopl Count'!AF290=0,"",('Phytopl Analysis'!AF290*LN('Phytopl Analysis'!AF290)))</f>
        <v/>
      </c>
    </row>
    <row r="291" spans="1:32" hidden="1">
      <c r="A291" s="4"/>
      <c r="B291" s="92"/>
      <c r="C291" s="92"/>
      <c r="D291" s="92"/>
      <c r="E291" s="93" t="s">
        <v>6</v>
      </c>
      <c r="F291" s="11" t="s">
        <v>323</v>
      </c>
      <c r="G291" s="21" t="str">
        <f>IF('Phytopl Count'!G291=0,"",('Phytopl Analysis'!G291*LN('Phytopl Analysis'!G291)))</f>
        <v/>
      </c>
      <c r="H291" s="21" t="str">
        <f>IF('Phytopl Count'!H291=0,"",('Phytopl Analysis'!H291*LN('Phytopl Analysis'!H291)))</f>
        <v/>
      </c>
      <c r="I291" s="58" t="str">
        <f>IF('Phytopl Count'!I291=0,"",('Phytopl Analysis'!I291*LN('Phytopl Analysis'!I291)))</f>
        <v/>
      </c>
      <c r="J291" s="58" t="str">
        <f>IF('Phytopl Count'!J291=0,"",('Phytopl Analysis'!J291*LN('Phytopl Analysis'!J291)))</f>
        <v/>
      </c>
      <c r="K291" s="21" t="str">
        <f>IF('Phytopl Count'!K291=0,"",('Phytopl Analysis'!K291*LN('Phytopl Analysis'!K291)))</f>
        <v/>
      </c>
      <c r="L291" s="21" t="str">
        <f>IF('Phytopl Count'!L291=0,"",('Phytopl Analysis'!L291*LN('Phytopl Analysis'!L291)))</f>
        <v/>
      </c>
      <c r="M291" s="58" t="str">
        <f>IF('Phytopl Count'!M291=0,"",('Phytopl Analysis'!M291*LN('Phytopl Analysis'!M291)))</f>
        <v/>
      </c>
      <c r="N291" s="58" t="str">
        <f>IF('Phytopl Count'!N291=0,"",('Phytopl Analysis'!N291*LN('Phytopl Analysis'!N291)))</f>
        <v/>
      </c>
      <c r="O291" s="21" t="str">
        <f>IF('Phytopl Count'!O291=0,"",('Phytopl Analysis'!O291*LN('Phytopl Analysis'!O291)))</f>
        <v/>
      </c>
      <c r="P291" s="21" t="str">
        <f>IF('Phytopl Count'!P291=0,"",('Phytopl Analysis'!P291*LN('Phytopl Analysis'!P291)))</f>
        <v/>
      </c>
      <c r="Q291" s="58" t="str">
        <f>IF('Phytopl Count'!Q291=0,"",('Phytopl Analysis'!Q291*LN('Phytopl Analysis'!Q291)))</f>
        <v/>
      </c>
      <c r="R291" s="58" t="str">
        <f>IF('Phytopl Count'!R291=0,"",('Phytopl Analysis'!R291*LN('Phytopl Analysis'!R291)))</f>
        <v/>
      </c>
      <c r="S291" s="21" t="str">
        <f>IF('Phytopl Count'!S291=0,"",('Phytopl Analysis'!S291*LN('Phytopl Analysis'!S291)))</f>
        <v/>
      </c>
      <c r="T291" s="21" t="str">
        <f>IF('Phytopl Count'!T291=0,"",('Phytopl Analysis'!T291*LN('Phytopl Analysis'!T291)))</f>
        <v/>
      </c>
      <c r="U291" s="58" t="str">
        <f>IF('Phytopl Count'!U291=0,"",('Phytopl Analysis'!U291*LN('Phytopl Analysis'!U291)))</f>
        <v/>
      </c>
      <c r="V291" s="58" t="str">
        <f>IF('Phytopl Count'!V291=0,"",('Phytopl Analysis'!V291*LN('Phytopl Analysis'!V291)))</f>
        <v/>
      </c>
      <c r="W291" s="21" t="str">
        <f>IF('Phytopl Count'!W291=0,"",('Phytopl Analysis'!W291*LN('Phytopl Analysis'!W291)))</f>
        <v/>
      </c>
      <c r="X291" s="21" t="str">
        <f>IF('Phytopl Count'!X291=0,"",('Phytopl Analysis'!X291*LN('Phytopl Analysis'!X291)))</f>
        <v/>
      </c>
      <c r="Y291" s="58" t="str">
        <f>IF('Phytopl Count'!Y291=0,"",('Phytopl Analysis'!Y291*LN('Phytopl Analysis'!Y291)))</f>
        <v/>
      </c>
      <c r="Z291" s="58" t="str">
        <f>IF('Phytopl Count'!Z291=0,"",('Phytopl Analysis'!Z291*LN('Phytopl Analysis'!Z291)))</f>
        <v/>
      </c>
      <c r="AA291" s="21" t="str">
        <f>IF('Phytopl Count'!AA291=0,"",('Phytopl Analysis'!AA291*LN('Phytopl Analysis'!AA291)))</f>
        <v/>
      </c>
      <c r="AB291" s="21" t="str">
        <f>IF('Phytopl Count'!AB291=0,"",('Phytopl Analysis'!AB291*LN('Phytopl Analysis'!AB291)))</f>
        <v/>
      </c>
      <c r="AC291" s="58" t="str">
        <f>IF('Phytopl Count'!AC291=0,"",('Phytopl Analysis'!AC291*LN('Phytopl Analysis'!AC291)))</f>
        <v/>
      </c>
      <c r="AD291" s="58" t="str">
        <f>IF('Phytopl Count'!AD291=0,"",('Phytopl Analysis'!AD291*LN('Phytopl Analysis'!AD291)))</f>
        <v/>
      </c>
      <c r="AE291" s="21" t="str">
        <f>IF('Phytopl Count'!AE291=0,"",('Phytopl Analysis'!AE291*LN('Phytopl Analysis'!AE291)))</f>
        <v/>
      </c>
      <c r="AF291" s="58" t="str">
        <f>IF('Phytopl Count'!AF291=0,"",('Phytopl Analysis'!AF291*LN('Phytopl Analysis'!AF291)))</f>
        <v/>
      </c>
    </row>
    <row r="292" spans="1:32" hidden="1">
      <c r="A292" s="5"/>
      <c r="B292" s="5"/>
      <c r="C292" s="5"/>
      <c r="D292" s="5"/>
      <c r="E292" s="10"/>
      <c r="F292" s="11"/>
      <c r="G292" s="21" t="str">
        <f>IF('Phytopl Count'!G292=0,"",('Phytopl Analysis'!G292*LN('Phytopl Analysis'!G292)))</f>
        <v/>
      </c>
      <c r="H292" s="21" t="str">
        <f>IF('Phytopl Count'!H292=0,"",('Phytopl Analysis'!H292*LN('Phytopl Analysis'!H292)))</f>
        <v/>
      </c>
      <c r="I292" s="58" t="str">
        <f>IF('Phytopl Count'!I292=0,"",('Phytopl Analysis'!I292*LN('Phytopl Analysis'!I292)))</f>
        <v/>
      </c>
      <c r="J292" s="58" t="str">
        <f>IF('Phytopl Count'!J292=0,"",('Phytopl Analysis'!J292*LN('Phytopl Analysis'!J292)))</f>
        <v/>
      </c>
      <c r="K292" s="21" t="str">
        <f>IF('Phytopl Count'!K292=0,"",('Phytopl Analysis'!K292*LN('Phytopl Analysis'!K292)))</f>
        <v/>
      </c>
      <c r="L292" s="21" t="str">
        <f>IF('Phytopl Count'!L292=0,"",('Phytopl Analysis'!L292*LN('Phytopl Analysis'!L292)))</f>
        <v/>
      </c>
      <c r="M292" s="58" t="str">
        <f>IF('Phytopl Count'!M292=0,"",('Phytopl Analysis'!M292*LN('Phytopl Analysis'!M292)))</f>
        <v/>
      </c>
      <c r="N292" s="58" t="str">
        <f>IF('Phytopl Count'!N292=0,"",('Phytopl Analysis'!N292*LN('Phytopl Analysis'!N292)))</f>
        <v/>
      </c>
      <c r="O292" s="21" t="str">
        <f>IF('Phytopl Count'!O292=0,"",('Phytopl Analysis'!O292*LN('Phytopl Analysis'!O292)))</f>
        <v/>
      </c>
      <c r="P292" s="21" t="str">
        <f>IF('Phytopl Count'!P292=0,"",('Phytopl Analysis'!P292*LN('Phytopl Analysis'!P292)))</f>
        <v/>
      </c>
      <c r="Q292" s="58" t="str">
        <f>IF('Phytopl Count'!Q292=0,"",('Phytopl Analysis'!Q292*LN('Phytopl Analysis'!Q292)))</f>
        <v/>
      </c>
      <c r="R292" s="58" t="str">
        <f>IF('Phytopl Count'!R292=0,"",('Phytopl Analysis'!R292*LN('Phytopl Analysis'!R292)))</f>
        <v/>
      </c>
      <c r="S292" s="21" t="str">
        <f>IF('Phytopl Count'!S292=0,"",('Phytopl Analysis'!S292*LN('Phytopl Analysis'!S292)))</f>
        <v/>
      </c>
      <c r="T292" s="21" t="str">
        <f>IF('Phytopl Count'!T292=0,"",('Phytopl Analysis'!T292*LN('Phytopl Analysis'!T292)))</f>
        <v/>
      </c>
      <c r="U292" s="58" t="str">
        <f>IF('Phytopl Count'!U292=0,"",('Phytopl Analysis'!U292*LN('Phytopl Analysis'!U292)))</f>
        <v/>
      </c>
      <c r="V292" s="58" t="str">
        <f>IF('Phytopl Count'!V292=0,"",('Phytopl Analysis'!V292*LN('Phytopl Analysis'!V292)))</f>
        <v/>
      </c>
      <c r="W292" s="21" t="str">
        <f>IF('Phytopl Count'!W292=0,"",('Phytopl Analysis'!W292*LN('Phytopl Analysis'!W292)))</f>
        <v/>
      </c>
      <c r="X292" s="21" t="str">
        <f>IF('Phytopl Count'!X292=0,"",('Phytopl Analysis'!X292*LN('Phytopl Analysis'!X292)))</f>
        <v/>
      </c>
      <c r="Y292" s="58" t="str">
        <f>IF('Phytopl Count'!Y292=0,"",('Phytopl Analysis'!Y292*LN('Phytopl Analysis'!Y292)))</f>
        <v/>
      </c>
      <c r="Z292" s="58" t="str">
        <f>IF('Phytopl Count'!Z292=0,"",('Phytopl Analysis'!Z292*LN('Phytopl Analysis'!Z292)))</f>
        <v/>
      </c>
      <c r="AA292" s="21" t="str">
        <f>IF('Phytopl Count'!AA292=0,"",('Phytopl Analysis'!AA292*LN('Phytopl Analysis'!AA292)))</f>
        <v/>
      </c>
      <c r="AB292" s="21" t="str">
        <f>IF('Phytopl Count'!AB292=0,"",('Phytopl Analysis'!AB292*LN('Phytopl Analysis'!AB292)))</f>
        <v/>
      </c>
      <c r="AC292" s="58" t="str">
        <f>IF('Phytopl Count'!AC292=0,"",('Phytopl Analysis'!AC292*LN('Phytopl Analysis'!AC292)))</f>
        <v/>
      </c>
      <c r="AD292" s="58" t="str">
        <f>IF('Phytopl Count'!AD292=0,"",('Phytopl Analysis'!AD292*LN('Phytopl Analysis'!AD292)))</f>
        <v/>
      </c>
      <c r="AE292" s="21" t="str">
        <f>IF('Phytopl Count'!AE292=0,"",('Phytopl Analysis'!AE292*LN('Phytopl Analysis'!AE292)))</f>
        <v/>
      </c>
      <c r="AF292" s="58" t="str">
        <f>IF('Phytopl Count'!AF292=0,"",('Phytopl Analysis'!AF292*LN('Phytopl Analysis'!AF292)))</f>
        <v/>
      </c>
    </row>
    <row r="293" spans="1:32" hidden="1">
      <c r="A293" s="16" t="s">
        <v>4</v>
      </c>
      <c r="B293" s="4" t="s">
        <v>329</v>
      </c>
      <c r="C293" s="16"/>
      <c r="D293" s="4"/>
      <c r="E293" s="4"/>
      <c r="F293" s="59"/>
      <c r="G293" s="21" t="str">
        <f>IF('Phytopl Count'!G293=0,"",('Phytopl Analysis'!G293*LN('Phytopl Analysis'!G293)))</f>
        <v/>
      </c>
      <c r="H293" s="21" t="str">
        <f>IF('Phytopl Count'!H293=0,"",('Phytopl Analysis'!H293*LN('Phytopl Analysis'!H293)))</f>
        <v/>
      </c>
      <c r="I293" s="58" t="str">
        <f>IF('Phytopl Count'!I293=0,"",('Phytopl Analysis'!I293*LN('Phytopl Analysis'!I293)))</f>
        <v/>
      </c>
      <c r="J293" s="58" t="str">
        <f>IF('Phytopl Count'!J293=0,"",('Phytopl Analysis'!J293*LN('Phytopl Analysis'!J293)))</f>
        <v/>
      </c>
      <c r="K293" s="21" t="str">
        <f>IF('Phytopl Count'!K293=0,"",('Phytopl Analysis'!K293*LN('Phytopl Analysis'!K293)))</f>
        <v/>
      </c>
      <c r="L293" s="21" t="str">
        <f>IF('Phytopl Count'!L293=0,"",('Phytopl Analysis'!L293*LN('Phytopl Analysis'!L293)))</f>
        <v/>
      </c>
      <c r="M293" s="58" t="str">
        <f>IF('Phytopl Count'!M293=0,"",('Phytopl Analysis'!M293*LN('Phytopl Analysis'!M293)))</f>
        <v/>
      </c>
      <c r="N293" s="58" t="str">
        <f>IF('Phytopl Count'!N293=0,"",('Phytopl Analysis'!N293*LN('Phytopl Analysis'!N293)))</f>
        <v/>
      </c>
      <c r="O293" s="21" t="str">
        <f>IF('Phytopl Count'!O293=0,"",('Phytopl Analysis'!O293*LN('Phytopl Analysis'!O293)))</f>
        <v/>
      </c>
      <c r="P293" s="21" t="str">
        <f>IF('Phytopl Count'!P293=0,"",('Phytopl Analysis'!P293*LN('Phytopl Analysis'!P293)))</f>
        <v/>
      </c>
      <c r="Q293" s="58" t="str">
        <f>IF('Phytopl Count'!Q293=0,"",('Phytopl Analysis'!Q293*LN('Phytopl Analysis'!Q293)))</f>
        <v/>
      </c>
      <c r="R293" s="58" t="str">
        <f>IF('Phytopl Count'!R293=0,"",('Phytopl Analysis'!R293*LN('Phytopl Analysis'!R293)))</f>
        <v/>
      </c>
      <c r="S293" s="21" t="str">
        <f>IF('Phytopl Count'!S293=0,"",('Phytopl Analysis'!S293*LN('Phytopl Analysis'!S293)))</f>
        <v/>
      </c>
      <c r="T293" s="21" t="str">
        <f>IF('Phytopl Count'!T293=0,"",('Phytopl Analysis'!T293*LN('Phytopl Analysis'!T293)))</f>
        <v/>
      </c>
      <c r="U293" s="58" t="str">
        <f>IF('Phytopl Count'!U293=0,"",('Phytopl Analysis'!U293*LN('Phytopl Analysis'!U293)))</f>
        <v/>
      </c>
      <c r="V293" s="58" t="str">
        <f>IF('Phytopl Count'!V293=0,"",('Phytopl Analysis'!V293*LN('Phytopl Analysis'!V293)))</f>
        <v/>
      </c>
      <c r="W293" s="21" t="str">
        <f>IF('Phytopl Count'!W293=0,"",('Phytopl Analysis'!W293*LN('Phytopl Analysis'!W293)))</f>
        <v/>
      </c>
      <c r="X293" s="21" t="str">
        <f>IF('Phytopl Count'!X293=0,"",('Phytopl Analysis'!X293*LN('Phytopl Analysis'!X293)))</f>
        <v/>
      </c>
      <c r="Y293" s="58" t="str">
        <f>IF('Phytopl Count'!Y293=0,"",('Phytopl Analysis'!Y293*LN('Phytopl Analysis'!Y293)))</f>
        <v/>
      </c>
      <c r="Z293" s="58" t="str">
        <f>IF('Phytopl Count'!Z293=0,"",('Phytopl Analysis'!Z293*LN('Phytopl Analysis'!Z293)))</f>
        <v/>
      </c>
      <c r="AA293" s="21" t="str">
        <f>IF('Phytopl Count'!AA293=0,"",('Phytopl Analysis'!AA293*LN('Phytopl Analysis'!AA293)))</f>
        <v/>
      </c>
      <c r="AB293" s="21" t="str">
        <f>IF('Phytopl Count'!AB293=0,"",('Phytopl Analysis'!AB293*LN('Phytopl Analysis'!AB293)))</f>
        <v/>
      </c>
      <c r="AC293" s="58" t="str">
        <f>IF('Phytopl Count'!AC293=0,"",('Phytopl Analysis'!AC293*LN('Phytopl Analysis'!AC293)))</f>
        <v/>
      </c>
      <c r="AD293" s="58" t="str">
        <f>IF('Phytopl Count'!AD293=0,"",('Phytopl Analysis'!AD293*LN('Phytopl Analysis'!AD293)))</f>
        <v/>
      </c>
      <c r="AE293" s="21" t="str">
        <f>IF('Phytopl Count'!AE293=0,"",('Phytopl Analysis'!AE293*LN('Phytopl Analysis'!AE293)))</f>
        <v/>
      </c>
      <c r="AF293" s="58" t="str">
        <f>IF('Phytopl Count'!AF293=0,"",('Phytopl Analysis'!AF293*LN('Phytopl Analysis'!AF293)))</f>
        <v/>
      </c>
    </row>
    <row r="294" spans="1:32" hidden="1">
      <c r="A294" s="16"/>
      <c r="B294" s="16" t="s">
        <v>72</v>
      </c>
      <c r="C294" s="28" t="s">
        <v>330</v>
      </c>
      <c r="D294" s="4"/>
      <c r="E294" s="4"/>
      <c r="F294" s="59"/>
      <c r="G294" s="21" t="str">
        <f>IF('Phytopl Count'!G294=0,"",('Phytopl Analysis'!G294*LN('Phytopl Analysis'!G294)))</f>
        <v/>
      </c>
      <c r="H294" s="21" t="str">
        <f>IF('Phytopl Count'!H294=0,"",('Phytopl Analysis'!H294*LN('Phytopl Analysis'!H294)))</f>
        <v/>
      </c>
      <c r="I294" s="58" t="str">
        <f>IF('Phytopl Count'!I294=0,"",('Phytopl Analysis'!I294*LN('Phytopl Analysis'!I294)))</f>
        <v/>
      </c>
      <c r="J294" s="58" t="str">
        <f>IF('Phytopl Count'!J294=0,"",('Phytopl Analysis'!J294*LN('Phytopl Analysis'!J294)))</f>
        <v/>
      </c>
      <c r="K294" s="21" t="str">
        <f>IF('Phytopl Count'!K294=0,"",('Phytopl Analysis'!K294*LN('Phytopl Analysis'!K294)))</f>
        <v/>
      </c>
      <c r="L294" s="21" t="str">
        <f>IF('Phytopl Count'!L294=0,"",('Phytopl Analysis'!L294*LN('Phytopl Analysis'!L294)))</f>
        <v/>
      </c>
      <c r="M294" s="58" t="str">
        <f>IF('Phytopl Count'!M294=0,"",('Phytopl Analysis'!M294*LN('Phytopl Analysis'!M294)))</f>
        <v/>
      </c>
      <c r="N294" s="58" t="str">
        <f>IF('Phytopl Count'!N294=0,"",('Phytopl Analysis'!N294*LN('Phytopl Analysis'!N294)))</f>
        <v/>
      </c>
      <c r="O294" s="21" t="str">
        <f>IF('Phytopl Count'!O294=0,"",('Phytopl Analysis'!O294*LN('Phytopl Analysis'!O294)))</f>
        <v/>
      </c>
      <c r="P294" s="21" t="str">
        <f>IF('Phytopl Count'!P294=0,"",('Phytopl Analysis'!P294*LN('Phytopl Analysis'!P294)))</f>
        <v/>
      </c>
      <c r="Q294" s="58" t="str">
        <f>IF('Phytopl Count'!Q294=0,"",('Phytopl Analysis'!Q294*LN('Phytopl Analysis'!Q294)))</f>
        <v/>
      </c>
      <c r="R294" s="58" t="str">
        <f>IF('Phytopl Count'!R294=0,"",('Phytopl Analysis'!R294*LN('Phytopl Analysis'!R294)))</f>
        <v/>
      </c>
      <c r="S294" s="21" t="str">
        <f>IF('Phytopl Count'!S294=0,"",('Phytopl Analysis'!S294*LN('Phytopl Analysis'!S294)))</f>
        <v/>
      </c>
      <c r="T294" s="21" t="str">
        <f>IF('Phytopl Count'!T294=0,"",('Phytopl Analysis'!T294*LN('Phytopl Analysis'!T294)))</f>
        <v/>
      </c>
      <c r="U294" s="58" t="str">
        <f>IF('Phytopl Count'!U294=0,"",('Phytopl Analysis'!U294*LN('Phytopl Analysis'!U294)))</f>
        <v/>
      </c>
      <c r="V294" s="58" t="str">
        <f>IF('Phytopl Count'!V294=0,"",('Phytopl Analysis'!V294*LN('Phytopl Analysis'!V294)))</f>
        <v/>
      </c>
      <c r="W294" s="21" t="str">
        <f>IF('Phytopl Count'!W294=0,"",('Phytopl Analysis'!W294*LN('Phytopl Analysis'!W294)))</f>
        <v/>
      </c>
      <c r="X294" s="21" t="str">
        <f>IF('Phytopl Count'!X294=0,"",('Phytopl Analysis'!X294*LN('Phytopl Analysis'!X294)))</f>
        <v/>
      </c>
      <c r="Y294" s="58" t="str">
        <f>IF('Phytopl Count'!Y294=0,"",('Phytopl Analysis'!Y294*LN('Phytopl Analysis'!Y294)))</f>
        <v/>
      </c>
      <c r="Z294" s="58" t="str">
        <f>IF('Phytopl Count'!Z294=0,"",('Phytopl Analysis'!Z294*LN('Phytopl Analysis'!Z294)))</f>
        <v/>
      </c>
      <c r="AA294" s="21" t="str">
        <f>IF('Phytopl Count'!AA294=0,"",('Phytopl Analysis'!AA294*LN('Phytopl Analysis'!AA294)))</f>
        <v/>
      </c>
      <c r="AB294" s="21" t="str">
        <f>IF('Phytopl Count'!AB294=0,"",('Phytopl Analysis'!AB294*LN('Phytopl Analysis'!AB294)))</f>
        <v/>
      </c>
      <c r="AC294" s="58" t="str">
        <f>IF('Phytopl Count'!AC294=0,"",('Phytopl Analysis'!AC294*LN('Phytopl Analysis'!AC294)))</f>
        <v/>
      </c>
      <c r="AD294" s="58" t="str">
        <f>IF('Phytopl Count'!AD294=0,"",('Phytopl Analysis'!AD294*LN('Phytopl Analysis'!AD294)))</f>
        <v/>
      </c>
      <c r="AE294" s="21" t="str">
        <f>IF('Phytopl Count'!AE294=0,"",('Phytopl Analysis'!AE294*LN('Phytopl Analysis'!AE294)))</f>
        <v/>
      </c>
      <c r="AF294" s="58" t="str">
        <f>IF('Phytopl Count'!AF294=0,"",('Phytopl Analysis'!AF294*LN('Phytopl Analysis'!AF294)))</f>
        <v/>
      </c>
    </row>
    <row r="295" spans="1:32" hidden="1">
      <c r="A295" s="16"/>
      <c r="B295" s="16"/>
      <c r="C295" s="16" t="s">
        <v>73</v>
      </c>
      <c r="D295" s="4" t="s">
        <v>331</v>
      </c>
      <c r="E295" s="4"/>
      <c r="F295" s="59"/>
      <c r="G295" s="21" t="str">
        <f>IF('Phytopl Count'!G295=0,"",('Phytopl Analysis'!G295*LN('Phytopl Analysis'!G295)))</f>
        <v/>
      </c>
      <c r="H295" s="21" t="str">
        <f>IF('Phytopl Count'!H295=0,"",('Phytopl Analysis'!H295*LN('Phytopl Analysis'!H295)))</f>
        <v/>
      </c>
      <c r="I295" s="58" t="str">
        <f>IF('Phytopl Count'!I295=0,"",('Phytopl Analysis'!I295*LN('Phytopl Analysis'!I295)))</f>
        <v/>
      </c>
      <c r="J295" s="58" t="str">
        <f>IF('Phytopl Count'!J295=0,"",('Phytopl Analysis'!J295*LN('Phytopl Analysis'!J295)))</f>
        <v/>
      </c>
      <c r="K295" s="21" t="str">
        <f>IF('Phytopl Count'!K295=0,"",('Phytopl Analysis'!K295*LN('Phytopl Analysis'!K295)))</f>
        <v/>
      </c>
      <c r="L295" s="21" t="str">
        <f>IF('Phytopl Count'!L295=0,"",('Phytopl Analysis'!L295*LN('Phytopl Analysis'!L295)))</f>
        <v/>
      </c>
      <c r="M295" s="58" t="str">
        <f>IF('Phytopl Count'!M295=0,"",('Phytopl Analysis'!M295*LN('Phytopl Analysis'!M295)))</f>
        <v/>
      </c>
      <c r="N295" s="58" t="str">
        <f>IF('Phytopl Count'!N295=0,"",('Phytopl Analysis'!N295*LN('Phytopl Analysis'!N295)))</f>
        <v/>
      </c>
      <c r="O295" s="21" t="str">
        <f>IF('Phytopl Count'!O295=0,"",('Phytopl Analysis'!O295*LN('Phytopl Analysis'!O295)))</f>
        <v/>
      </c>
      <c r="P295" s="21" t="str">
        <f>IF('Phytopl Count'!P295=0,"",('Phytopl Analysis'!P295*LN('Phytopl Analysis'!P295)))</f>
        <v/>
      </c>
      <c r="Q295" s="58" t="str">
        <f>IF('Phytopl Count'!Q295=0,"",('Phytopl Analysis'!Q295*LN('Phytopl Analysis'!Q295)))</f>
        <v/>
      </c>
      <c r="R295" s="58" t="str">
        <f>IF('Phytopl Count'!R295=0,"",('Phytopl Analysis'!R295*LN('Phytopl Analysis'!R295)))</f>
        <v/>
      </c>
      <c r="S295" s="21" t="str">
        <f>IF('Phytopl Count'!S295=0,"",('Phytopl Analysis'!S295*LN('Phytopl Analysis'!S295)))</f>
        <v/>
      </c>
      <c r="T295" s="21" t="str">
        <f>IF('Phytopl Count'!T295=0,"",('Phytopl Analysis'!T295*LN('Phytopl Analysis'!T295)))</f>
        <v/>
      </c>
      <c r="U295" s="58" t="str">
        <f>IF('Phytopl Count'!U295=0,"",('Phytopl Analysis'!U295*LN('Phytopl Analysis'!U295)))</f>
        <v/>
      </c>
      <c r="V295" s="58" t="str">
        <f>IF('Phytopl Count'!V295=0,"",('Phytopl Analysis'!V295*LN('Phytopl Analysis'!V295)))</f>
        <v/>
      </c>
      <c r="W295" s="21" t="str">
        <f>IF('Phytopl Count'!W295=0,"",('Phytopl Analysis'!W295*LN('Phytopl Analysis'!W295)))</f>
        <v/>
      </c>
      <c r="X295" s="21" t="str">
        <f>IF('Phytopl Count'!X295=0,"",('Phytopl Analysis'!X295*LN('Phytopl Analysis'!X295)))</f>
        <v/>
      </c>
      <c r="Y295" s="58" t="str">
        <f>IF('Phytopl Count'!Y295=0,"",('Phytopl Analysis'!Y295*LN('Phytopl Analysis'!Y295)))</f>
        <v/>
      </c>
      <c r="Z295" s="58" t="str">
        <f>IF('Phytopl Count'!Z295=0,"",('Phytopl Analysis'!Z295*LN('Phytopl Analysis'!Z295)))</f>
        <v/>
      </c>
      <c r="AA295" s="21" t="str">
        <f>IF('Phytopl Count'!AA295=0,"",('Phytopl Analysis'!AA295*LN('Phytopl Analysis'!AA295)))</f>
        <v/>
      </c>
      <c r="AB295" s="21" t="str">
        <f>IF('Phytopl Count'!AB295=0,"",('Phytopl Analysis'!AB295*LN('Phytopl Analysis'!AB295)))</f>
        <v/>
      </c>
      <c r="AC295" s="58" t="str">
        <f>IF('Phytopl Count'!AC295=0,"",('Phytopl Analysis'!AC295*LN('Phytopl Analysis'!AC295)))</f>
        <v/>
      </c>
      <c r="AD295" s="58" t="str">
        <f>IF('Phytopl Count'!AD295=0,"",('Phytopl Analysis'!AD295*LN('Phytopl Analysis'!AD295)))</f>
        <v/>
      </c>
      <c r="AE295" s="21" t="str">
        <f>IF('Phytopl Count'!AE295=0,"",('Phytopl Analysis'!AE295*LN('Phytopl Analysis'!AE295)))</f>
        <v/>
      </c>
      <c r="AF295" s="58" t="str">
        <f>IF('Phytopl Count'!AF295=0,"",('Phytopl Analysis'!AF295*LN('Phytopl Analysis'!AF295)))</f>
        <v/>
      </c>
    </row>
    <row r="296" spans="1:32" hidden="1">
      <c r="A296" s="10"/>
      <c r="B296" s="10"/>
      <c r="C296" s="10"/>
      <c r="D296" s="10" t="s">
        <v>5</v>
      </c>
      <c r="E296" s="144" t="s">
        <v>332</v>
      </c>
      <c r="F296" s="9"/>
      <c r="G296" s="21" t="str">
        <f>IF('Phytopl Count'!G296=0,"",('Phytopl Analysis'!G296*LN('Phytopl Analysis'!G296)))</f>
        <v/>
      </c>
      <c r="H296" s="21" t="str">
        <f>IF('Phytopl Count'!H296=0,"",('Phytopl Analysis'!H296*LN('Phytopl Analysis'!H296)))</f>
        <v/>
      </c>
      <c r="I296" s="58" t="str">
        <f>IF('Phytopl Count'!I296=0,"",('Phytopl Analysis'!I296*LN('Phytopl Analysis'!I296)))</f>
        <v/>
      </c>
      <c r="J296" s="58" t="str">
        <f>IF('Phytopl Count'!J296=0,"",('Phytopl Analysis'!J296*LN('Phytopl Analysis'!J296)))</f>
        <v/>
      </c>
      <c r="K296" s="21" t="str">
        <f>IF('Phytopl Count'!K296=0,"",('Phytopl Analysis'!K296*LN('Phytopl Analysis'!K296)))</f>
        <v/>
      </c>
      <c r="L296" s="21" t="str">
        <f>IF('Phytopl Count'!L296=0,"",('Phytopl Analysis'!L296*LN('Phytopl Analysis'!L296)))</f>
        <v/>
      </c>
      <c r="M296" s="58" t="str">
        <f>IF('Phytopl Count'!M296=0,"",('Phytopl Analysis'!M296*LN('Phytopl Analysis'!M296)))</f>
        <v/>
      </c>
      <c r="N296" s="58" t="str">
        <f>IF('Phytopl Count'!N296=0,"",('Phytopl Analysis'!N296*LN('Phytopl Analysis'!N296)))</f>
        <v/>
      </c>
      <c r="O296" s="21" t="str">
        <f>IF('Phytopl Count'!O296=0,"",('Phytopl Analysis'!O296*LN('Phytopl Analysis'!O296)))</f>
        <v/>
      </c>
      <c r="P296" s="21" t="str">
        <f>IF('Phytopl Count'!P296=0,"",('Phytopl Analysis'!P296*LN('Phytopl Analysis'!P296)))</f>
        <v/>
      </c>
      <c r="Q296" s="58" t="str">
        <f>IF('Phytopl Count'!Q296=0,"",('Phytopl Analysis'!Q296*LN('Phytopl Analysis'!Q296)))</f>
        <v/>
      </c>
      <c r="R296" s="58" t="str">
        <f>IF('Phytopl Count'!R296=0,"",('Phytopl Analysis'!R296*LN('Phytopl Analysis'!R296)))</f>
        <v/>
      </c>
      <c r="S296" s="21" t="str">
        <f>IF('Phytopl Count'!S296=0,"",('Phytopl Analysis'!S296*LN('Phytopl Analysis'!S296)))</f>
        <v/>
      </c>
      <c r="T296" s="21" t="str">
        <f>IF('Phytopl Count'!T296=0,"",('Phytopl Analysis'!T296*LN('Phytopl Analysis'!T296)))</f>
        <v/>
      </c>
      <c r="U296" s="58" t="str">
        <f>IF('Phytopl Count'!U296=0,"",('Phytopl Analysis'!U296*LN('Phytopl Analysis'!U296)))</f>
        <v/>
      </c>
      <c r="V296" s="58" t="str">
        <f>IF('Phytopl Count'!V296=0,"",('Phytopl Analysis'!V296*LN('Phytopl Analysis'!V296)))</f>
        <v/>
      </c>
      <c r="W296" s="21" t="str">
        <f>IF('Phytopl Count'!W296=0,"",('Phytopl Analysis'!W296*LN('Phytopl Analysis'!W296)))</f>
        <v/>
      </c>
      <c r="X296" s="21" t="str">
        <f>IF('Phytopl Count'!X296=0,"",('Phytopl Analysis'!X296*LN('Phytopl Analysis'!X296)))</f>
        <v/>
      </c>
      <c r="Y296" s="58" t="str">
        <f>IF('Phytopl Count'!Y296=0,"",('Phytopl Analysis'!Y296*LN('Phytopl Analysis'!Y296)))</f>
        <v/>
      </c>
      <c r="Z296" s="58" t="str">
        <f>IF('Phytopl Count'!Z296=0,"",('Phytopl Analysis'!Z296*LN('Phytopl Analysis'!Z296)))</f>
        <v/>
      </c>
      <c r="AA296" s="21" t="str">
        <f>IF('Phytopl Count'!AA296=0,"",('Phytopl Analysis'!AA296*LN('Phytopl Analysis'!AA296)))</f>
        <v/>
      </c>
      <c r="AB296" s="21" t="str">
        <f>IF('Phytopl Count'!AB296=0,"",('Phytopl Analysis'!AB296*LN('Phytopl Analysis'!AB296)))</f>
        <v/>
      </c>
      <c r="AC296" s="58" t="str">
        <f>IF('Phytopl Count'!AC296=0,"",('Phytopl Analysis'!AC296*LN('Phytopl Analysis'!AC296)))</f>
        <v/>
      </c>
      <c r="AD296" s="58" t="str">
        <f>IF('Phytopl Count'!AD296=0,"",('Phytopl Analysis'!AD296*LN('Phytopl Analysis'!AD296)))</f>
        <v/>
      </c>
      <c r="AE296" s="21" t="str">
        <f>IF('Phytopl Count'!AE296=0,"",('Phytopl Analysis'!AE296*LN('Phytopl Analysis'!AE296)))</f>
        <v/>
      </c>
      <c r="AF296" s="58" t="str">
        <f>IF('Phytopl Count'!AF296=0,"",('Phytopl Analysis'!AF296*LN('Phytopl Analysis'!AF296)))</f>
        <v/>
      </c>
    </row>
    <row r="297" spans="1:32" hidden="1">
      <c r="A297" s="5"/>
      <c r="B297" s="5"/>
      <c r="C297" s="5"/>
      <c r="D297" s="5"/>
      <c r="E297" s="10" t="s">
        <v>6</v>
      </c>
      <c r="F297" s="11" t="s">
        <v>333</v>
      </c>
      <c r="G297" s="21" t="str">
        <f>IF('Phytopl Count'!G297=0,"",('Phytopl Analysis'!G297*LN('Phytopl Analysis'!G297)))</f>
        <v/>
      </c>
      <c r="H297" s="21" t="str">
        <f>IF('Phytopl Count'!H297=0,"",('Phytopl Analysis'!H297*LN('Phytopl Analysis'!H297)))</f>
        <v/>
      </c>
      <c r="I297" s="58" t="str">
        <f>IF('Phytopl Count'!I297=0,"",('Phytopl Analysis'!I297*LN('Phytopl Analysis'!I297)))</f>
        <v/>
      </c>
      <c r="J297" s="58" t="str">
        <f>IF('Phytopl Count'!J297=0,"",('Phytopl Analysis'!J297*LN('Phytopl Analysis'!J297)))</f>
        <v/>
      </c>
      <c r="K297" s="21" t="str">
        <f>IF('Phytopl Count'!K297=0,"",('Phytopl Analysis'!K297*LN('Phytopl Analysis'!K297)))</f>
        <v/>
      </c>
      <c r="L297" s="21" t="str">
        <f>IF('Phytopl Count'!L297=0,"",('Phytopl Analysis'!L297*LN('Phytopl Analysis'!L297)))</f>
        <v/>
      </c>
      <c r="M297" s="58" t="str">
        <f>IF('Phytopl Count'!M297=0,"",('Phytopl Analysis'!M297*LN('Phytopl Analysis'!M297)))</f>
        <v/>
      </c>
      <c r="N297" s="58" t="str">
        <f>IF('Phytopl Count'!N297=0,"",('Phytopl Analysis'!N297*LN('Phytopl Analysis'!N297)))</f>
        <v/>
      </c>
      <c r="O297" s="21" t="str">
        <f>IF('Phytopl Count'!O297=0,"",('Phytopl Analysis'!O297*LN('Phytopl Analysis'!O297)))</f>
        <v/>
      </c>
      <c r="P297" s="21" t="str">
        <f>IF('Phytopl Count'!P297=0,"",('Phytopl Analysis'!P297*LN('Phytopl Analysis'!P297)))</f>
        <v/>
      </c>
      <c r="Q297" s="58" t="str">
        <f>IF('Phytopl Count'!Q297=0,"",('Phytopl Analysis'!Q297*LN('Phytopl Analysis'!Q297)))</f>
        <v/>
      </c>
      <c r="R297" s="58" t="str">
        <f>IF('Phytopl Count'!R297=0,"",('Phytopl Analysis'!R297*LN('Phytopl Analysis'!R297)))</f>
        <v/>
      </c>
      <c r="S297" s="21" t="str">
        <f>IF('Phytopl Count'!S297=0,"",('Phytopl Analysis'!S297*LN('Phytopl Analysis'!S297)))</f>
        <v/>
      </c>
      <c r="T297" s="21" t="str">
        <f>IF('Phytopl Count'!T297=0,"",('Phytopl Analysis'!T297*LN('Phytopl Analysis'!T297)))</f>
        <v/>
      </c>
      <c r="U297" s="58" t="str">
        <f>IF('Phytopl Count'!U297=0,"",('Phytopl Analysis'!U297*LN('Phytopl Analysis'!U297)))</f>
        <v/>
      </c>
      <c r="V297" s="58" t="str">
        <f>IF('Phytopl Count'!V297=0,"",('Phytopl Analysis'!V297*LN('Phytopl Analysis'!V297)))</f>
        <v/>
      </c>
      <c r="W297" s="21" t="str">
        <f>IF('Phytopl Count'!W297=0,"",('Phytopl Analysis'!W297*LN('Phytopl Analysis'!W297)))</f>
        <v/>
      </c>
      <c r="X297" s="21" t="str">
        <f>IF('Phytopl Count'!X297=0,"",('Phytopl Analysis'!X297*LN('Phytopl Analysis'!X297)))</f>
        <v/>
      </c>
      <c r="Y297" s="58" t="str">
        <f>IF('Phytopl Count'!Y297=0,"",('Phytopl Analysis'!Y297*LN('Phytopl Analysis'!Y297)))</f>
        <v/>
      </c>
      <c r="Z297" s="58" t="str">
        <f>IF('Phytopl Count'!Z297=0,"",('Phytopl Analysis'!Z297*LN('Phytopl Analysis'!Z297)))</f>
        <v/>
      </c>
      <c r="AA297" s="21" t="str">
        <f>IF('Phytopl Count'!AA297=0,"",('Phytopl Analysis'!AA297*LN('Phytopl Analysis'!AA297)))</f>
        <v/>
      </c>
      <c r="AB297" s="21" t="str">
        <f>IF('Phytopl Count'!AB297=0,"",('Phytopl Analysis'!AB297*LN('Phytopl Analysis'!AB297)))</f>
        <v/>
      </c>
      <c r="AC297" s="58" t="str">
        <f>IF('Phytopl Count'!AC297=0,"",('Phytopl Analysis'!AC297*LN('Phytopl Analysis'!AC297)))</f>
        <v/>
      </c>
      <c r="AD297" s="58" t="str">
        <f>IF('Phytopl Count'!AD297=0,"",('Phytopl Analysis'!AD297*LN('Phytopl Analysis'!AD297)))</f>
        <v/>
      </c>
      <c r="AE297" s="21" t="str">
        <f>IF('Phytopl Count'!AE297=0,"",('Phytopl Analysis'!AE297*LN('Phytopl Analysis'!AE297)))</f>
        <v/>
      </c>
      <c r="AF297" s="58" t="str">
        <f>IF('Phytopl Count'!AF297=0,"",('Phytopl Analysis'!AF297*LN('Phytopl Analysis'!AF297)))</f>
        <v/>
      </c>
    </row>
    <row r="298" spans="1:32" hidden="1">
      <c r="A298" s="10"/>
      <c r="B298" s="10"/>
      <c r="C298" s="10"/>
      <c r="D298" s="10" t="s">
        <v>5</v>
      </c>
      <c r="E298" s="144" t="s">
        <v>336</v>
      </c>
      <c r="F298" s="9"/>
      <c r="G298" s="21" t="str">
        <f>IF('Phytopl Count'!G298=0,"",('Phytopl Analysis'!G298*LN('Phytopl Analysis'!G298)))</f>
        <v/>
      </c>
      <c r="H298" s="21" t="str">
        <f>IF('Phytopl Count'!H298=0,"",('Phytopl Analysis'!H298*LN('Phytopl Analysis'!H298)))</f>
        <v/>
      </c>
      <c r="I298" s="58" t="str">
        <f>IF('Phytopl Count'!I298=0,"",('Phytopl Analysis'!I298*LN('Phytopl Analysis'!I298)))</f>
        <v/>
      </c>
      <c r="J298" s="58" t="str">
        <f>IF('Phytopl Count'!J298=0,"",('Phytopl Analysis'!J298*LN('Phytopl Analysis'!J298)))</f>
        <v/>
      </c>
      <c r="K298" s="21" t="str">
        <f>IF('Phytopl Count'!K298=0,"",('Phytopl Analysis'!K298*LN('Phytopl Analysis'!K298)))</f>
        <v/>
      </c>
      <c r="L298" s="21" t="str">
        <f>IF('Phytopl Count'!L298=0,"",('Phytopl Analysis'!L298*LN('Phytopl Analysis'!L298)))</f>
        <v/>
      </c>
      <c r="M298" s="58" t="str">
        <f>IF('Phytopl Count'!M298=0,"",('Phytopl Analysis'!M298*LN('Phytopl Analysis'!M298)))</f>
        <v/>
      </c>
      <c r="N298" s="58" t="str">
        <f>IF('Phytopl Count'!N298=0,"",('Phytopl Analysis'!N298*LN('Phytopl Analysis'!N298)))</f>
        <v/>
      </c>
      <c r="O298" s="21" t="str">
        <f>IF('Phytopl Count'!O298=0,"",('Phytopl Analysis'!O298*LN('Phytopl Analysis'!O298)))</f>
        <v/>
      </c>
      <c r="P298" s="21" t="str">
        <f>IF('Phytopl Count'!P298=0,"",('Phytopl Analysis'!P298*LN('Phytopl Analysis'!P298)))</f>
        <v/>
      </c>
      <c r="Q298" s="58" t="str">
        <f>IF('Phytopl Count'!Q298=0,"",('Phytopl Analysis'!Q298*LN('Phytopl Analysis'!Q298)))</f>
        <v/>
      </c>
      <c r="R298" s="58" t="str">
        <f>IF('Phytopl Count'!R298=0,"",('Phytopl Analysis'!R298*LN('Phytopl Analysis'!R298)))</f>
        <v/>
      </c>
      <c r="S298" s="21" t="str">
        <f>IF('Phytopl Count'!S298=0,"",('Phytopl Analysis'!S298*LN('Phytopl Analysis'!S298)))</f>
        <v/>
      </c>
      <c r="T298" s="21" t="str">
        <f>IF('Phytopl Count'!T298=0,"",('Phytopl Analysis'!T298*LN('Phytopl Analysis'!T298)))</f>
        <v/>
      </c>
      <c r="U298" s="58" t="str">
        <f>IF('Phytopl Count'!U298=0,"",('Phytopl Analysis'!U298*LN('Phytopl Analysis'!U298)))</f>
        <v/>
      </c>
      <c r="V298" s="58" t="str">
        <f>IF('Phytopl Count'!V298=0,"",('Phytopl Analysis'!V298*LN('Phytopl Analysis'!V298)))</f>
        <v/>
      </c>
      <c r="W298" s="21" t="str">
        <f>IF('Phytopl Count'!W298=0,"",('Phytopl Analysis'!W298*LN('Phytopl Analysis'!W298)))</f>
        <v/>
      </c>
      <c r="X298" s="21" t="str">
        <f>IF('Phytopl Count'!X298=0,"",('Phytopl Analysis'!X298*LN('Phytopl Analysis'!X298)))</f>
        <v/>
      </c>
      <c r="Y298" s="58" t="str">
        <f>IF('Phytopl Count'!Y298=0,"",('Phytopl Analysis'!Y298*LN('Phytopl Analysis'!Y298)))</f>
        <v/>
      </c>
      <c r="Z298" s="58" t="str">
        <f>IF('Phytopl Count'!Z298=0,"",('Phytopl Analysis'!Z298*LN('Phytopl Analysis'!Z298)))</f>
        <v/>
      </c>
      <c r="AA298" s="21" t="str">
        <f>IF('Phytopl Count'!AA298=0,"",('Phytopl Analysis'!AA298*LN('Phytopl Analysis'!AA298)))</f>
        <v/>
      </c>
      <c r="AB298" s="21" t="str">
        <f>IF('Phytopl Count'!AB298=0,"",('Phytopl Analysis'!AB298*LN('Phytopl Analysis'!AB298)))</f>
        <v/>
      </c>
      <c r="AC298" s="58" t="str">
        <f>IF('Phytopl Count'!AC298=0,"",('Phytopl Analysis'!AC298*LN('Phytopl Analysis'!AC298)))</f>
        <v/>
      </c>
      <c r="AD298" s="58" t="str">
        <f>IF('Phytopl Count'!AD298=0,"",('Phytopl Analysis'!AD298*LN('Phytopl Analysis'!AD298)))</f>
        <v/>
      </c>
      <c r="AE298" s="21" t="str">
        <f>IF('Phytopl Count'!AE298=0,"",('Phytopl Analysis'!AE298*LN('Phytopl Analysis'!AE298)))</f>
        <v/>
      </c>
      <c r="AF298" s="58" t="str">
        <f>IF('Phytopl Count'!AF298=0,"",('Phytopl Analysis'!AF298*LN('Phytopl Analysis'!AF298)))</f>
        <v/>
      </c>
    </row>
    <row r="299" spans="1:32" hidden="1">
      <c r="A299" s="5"/>
      <c r="B299" s="5"/>
      <c r="C299" s="5"/>
      <c r="D299" s="5"/>
      <c r="E299" s="10" t="s">
        <v>6</v>
      </c>
      <c r="F299" s="11" t="s">
        <v>337</v>
      </c>
      <c r="G299" s="21" t="str">
        <f>IF('Phytopl Count'!G299=0,"",('Phytopl Analysis'!G299*LN('Phytopl Analysis'!G299)))</f>
        <v/>
      </c>
      <c r="H299" s="21" t="str">
        <f>IF('Phytopl Count'!H299=0,"",('Phytopl Analysis'!H299*LN('Phytopl Analysis'!H299)))</f>
        <v/>
      </c>
      <c r="I299" s="58" t="str">
        <f>IF('Phytopl Count'!I299=0,"",('Phytopl Analysis'!I299*LN('Phytopl Analysis'!I299)))</f>
        <v/>
      </c>
      <c r="J299" s="58" t="str">
        <f>IF('Phytopl Count'!J299=0,"",('Phytopl Analysis'!J299*LN('Phytopl Analysis'!J299)))</f>
        <v/>
      </c>
      <c r="K299" s="21" t="str">
        <f>IF('Phytopl Count'!K299=0,"",('Phytopl Analysis'!K299*LN('Phytopl Analysis'!K299)))</f>
        <v/>
      </c>
      <c r="L299" s="21" t="str">
        <f>IF('Phytopl Count'!L299=0,"",('Phytopl Analysis'!L299*LN('Phytopl Analysis'!L299)))</f>
        <v/>
      </c>
      <c r="M299" s="58" t="str">
        <f>IF('Phytopl Count'!M299=0,"",('Phytopl Analysis'!M299*LN('Phytopl Analysis'!M299)))</f>
        <v/>
      </c>
      <c r="N299" s="58" t="str">
        <f>IF('Phytopl Count'!N299=0,"",('Phytopl Analysis'!N299*LN('Phytopl Analysis'!N299)))</f>
        <v/>
      </c>
      <c r="O299" s="21" t="str">
        <f>IF('Phytopl Count'!O299=0,"",('Phytopl Analysis'!O299*LN('Phytopl Analysis'!O299)))</f>
        <v/>
      </c>
      <c r="P299" s="21" t="str">
        <f>IF('Phytopl Count'!P299=0,"",('Phytopl Analysis'!P299*LN('Phytopl Analysis'!P299)))</f>
        <v/>
      </c>
      <c r="Q299" s="58" t="str">
        <f>IF('Phytopl Count'!Q299=0,"",('Phytopl Analysis'!Q299*LN('Phytopl Analysis'!Q299)))</f>
        <v/>
      </c>
      <c r="R299" s="58" t="str">
        <f>IF('Phytopl Count'!R299=0,"",('Phytopl Analysis'!R299*LN('Phytopl Analysis'!R299)))</f>
        <v/>
      </c>
      <c r="S299" s="21" t="str">
        <f>IF('Phytopl Count'!S299=0,"",('Phytopl Analysis'!S299*LN('Phytopl Analysis'!S299)))</f>
        <v/>
      </c>
      <c r="T299" s="21" t="str">
        <f>IF('Phytopl Count'!T299=0,"",('Phytopl Analysis'!T299*LN('Phytopl Analysis'!T299)))</f>
        <v/>
      </c>
      <c r="U299" s="58" t="str">
        <f>IF('Phytopl Count'!U299=0,"",('Phytopl Analysis'!U299*LN('Phytopl Analysis'!U299)))</f>
        <v/>
      </c>
      <c r="V299" s="58" t="str">
        <f>IF('Phytopl Count'!V299=0,"",('Phytopl Analysis'!V299*LN('Phytopl Analysis'!V299)))</f>
        <v/>
      </c>
      <c r="W299" s="21" t="str">
        <f>IF('Phytopl Count'!W299=0,"",('Phytopl Analysis'!W299*LN('Phytopl Analysis'!W299)))</f>
        <v/>
      </c>
      <c r="X299" s="21" t="str">
        <f>IF('Phytopl Count'!X299=0,"",('Phytopl Analysis'!X299*LN('Phytopl Analysis'!X299)))</f>
        <v/>
      </c>
      <c r="Y299" s="58" t="str">
        <f>IF('Phytopl Count'!Y299=0,"",('Phytopl Analysis'!Y299*LN('Phytopl Analysis'!Y299)))</f>
        <v/>
      </c>
      <c r="Z299" s="58" t="str">
        <f>IF('Phytopl Count'!Z299=0,"",('Phytopl Analysis'!Z299*LN('Phytopl Analysis'!Z299)))</f>
        <v/>
      </c>
      <c r="AA299" s="21" t="str">
        <f>IF('Phytopl Count'!AA299=0,"",('Phytopl Analysis'!AA299*LN('Phytopl Analysis'!AA299)))</f>
        <v/>
      </c>
      <c r="AB299" s="21" t="str">
        <f>IF('Phytopl Count'!AB299=0,"",('Phytopl Analysis'!AB299*LN('Phytopl Analysis'!AB299)))</f>
        <v/>
      </c>
      <c r="AC299" s="58" t="str">
        <f>IF('Phytopl Count'!AC299=0,"",('Phytopl Analysis'!AC299*LN('Phytopl Analysis'!AC299)))</f>
        <v/>
      </c>
      <c r="AD299" s="58" t="str">
        <f>IF('Phytopl Count'!AD299=0,"",('Phytopl Analysis'!AD299*LN('Phytopl Analysis'!AD299)))</f>
        <v/>
      </c>
      <c r="AE299" s="21" t="str">
        <f>IF('Phytopl Count'!AE299=0,"",('Phytopl Analysis'!AE299*LN('Phytopl Analysis'!AE299)))</f>
        <v/>
      </c>
      <c r="AF299" s="58" t="str">
        <f>IF('Phytopl Count'!AF299=0,"",('Phytopl Analysis'!AF299*LN('Phytopl Analysis'!AF299)))</f>
        <v/>
      </c>
    </row>
    <row r="300" spans="1:32" hidden="1">
      <c r="A300" s="5"/>
      <c r="B300" s="5"/>
      <c r="C300" s="5"/>
      <c r="D300" s="5"/>
      <c r="E300" s="10"/>
      <c r="F300" s="11"/>
      <c r="G300" s="21" t="str">
        <f>IF('Phytopl Count'!G300=0,"",('Phytopl Analysis'!G300*LN('Phytopl Analysis'!G300)))</f>
        <v/>
      </c>
      <c r="H300" s="21" t="str">
        <f>IF('Phytopl Count'!H300=0,"",('Phytopl Analysis'!H300*LN('Phytopl Analysis'!H300)))</f>
        <v/>
      </c>
      <c r="I300" s="58" t="str">
        <f>IF('Phytopl Count'!I300=0,"",('Phytopl Analysis'!I300*LN('Phytopl Analysis'!I300)))</f>
        <v/>
      </c>
      <c r="J300" s="58" t="str">
        <f>IF('Phytopl Count'!J300=0,"",('Phytopl Analysis'!J300*LN('Phytopl Analysis'!J300)))</f>
        <v/>
      </c>
      <c r="K300" s="21" t="str">
        <f>IF('Phytopl Count'!K300=0,"",('Phytopl Analysis'!K300*LN('Phytopl Analysis'!K300)))</f>
        <v/>
      </c>
      <c r="L300" s="21" t="str">
        <f>IF('Phytopl Count'!L300=0,"",('Phytopl Analysis'!L300*LN('Phytopl Analysis'!L300)))</f>
        <v/>
      </c>
      <c r="M300" s="58" t="str">
        <f>IF('Phytopl Count'!M300=0,"",('Phytopl Analysis'!M300*LN('Phytopl Analysis'!M300)))</f>
        <v/>
      </c>
      <c r="N300" s="58" t="str">
        <f>IF('Phytopl Count'!N300=0,"",('Phytopl Analysis'!N300*LN('Phytopl Analysis'!N300)))</f>
        <v/>
      </c>
      <c r="O300" s="21" t="str">
        <f>IF('Phytopl Count'!O300=0,"",('Phytopl Analysis'!O300*LN('Phytopl Analysis'!O300)))</f>
        <v/>
      </c>
      <c r="P300" s="21" t="str">
        <f>IF('Phytopl Count'!P300=0,"",('Phytopl Analysis'!P300*LN('Phytopl Analysis'!P300)))</f>
        <v/>
      </c>
      <c r="Q300" s="58" t="str">
        <f>IF('Phytopl Count'!Q300=0,"",('Phytopl Analysis'!Q300*LN('Phytopl Analysis'!Q300)))</f>
        <v/>
      </c>
      <c r="R300" s="58" t="str">
        <f>IF('Phytopl Count'!R300=0,"",('Phytopl Analysis'!R300*LN('Phytopl Analysis'!R300)))</f>
        <v/>
      </c>
      <c r="S300" s="21" t="str">
        <f>IF('Phytopl Count'!S300=0,"",('Phytopl Analysis'!S300*LN('Phytopl Analysis'!S300)))</f>
        <v/>
      </c>
      <c r="T300" s="21" t="str">
        <f>IF('Phytopl Count'!T300=0,"",('Phytopl Analysis'!T300*LN('Phytopl Analysis'!T300)))</f>
        <v/>
      </c>
      <c r="U300" s="58" t="str">
        <f>IF('Phytopl Count'!U300=0,"",('Phytopl Analysis'!U300*LN('Phytopl Analysis'!U300)))</f>
        <v/>
      </c>
      <c r="V300" s="58" t="str">
        <f>IF('Phytopl Count'!V300=0,"",('Phytopl Analysis'!V300*LN('Phytopl Analysis'!V300)))</f>
        <v/>
      </c>
      <c r="W300" s="21" t="str">
        <f>IF('Phytopl Count'!W300=0,"",('Phytopl Analysis'!W300*LN('Phytopl Analysis'!W300)))</f>
        <v/>
      </c>
      <c r="X300" s="21" t="str">
        <f>IF('Phytopl Count'!X300=0,"",('Phytopl Analysis'!X300*LN('Phytopl Analysis'!X300)))</f>
        <v/>
      </c>
      <c r="Y300" s="58" t="str">
        <f>IF('Phytopl Count'!Y300=0,"",('Phytopl Analysis'!Y300*LN('Phytopl Analysis'!Y300)))</f>
        <v/>
      </c>
      <c r="Z300" s="58" t="str">
        <f>IF('Phytopl Count'!Z300=0,"",('Phytopl Analysis'!Z300*LN('Phytopl Analysis'!Z300)))</f>
        <v/>
      </c>
      <c r="AA300" s="21" t="str">
        <f>IF('Phytopl Count'!AA300=0,"",('Phytopl Analysis'!AA300*LN('Phytopl Analysis'!AA300)))</f>
        <v/>
      </c>
      <c r="AB300" s="21" t="str">
        <f>IF('Phytopl Count'!AB300=0,"",('Phytopl Analysis'!AB300*LN('Phytopl Analysis'!AB300)))</f>
        <v/>
      </c>
      <c r="AC300" s="58" t="str">
        <f>IF('Phytopl Count'!AC300=0,"",('Phytopl Analysis'!AC300*LN('Phytopl Analysis'!AC300)))</f>
        <v/>
      </c>
      <c r="AD300" s="58" t="str">
        <f>IF('Phytopl Count'!AD300=0,"",('Phytopl Analysis'!AD300*LN('Phytopl Analysis'!AD300)))</f>
        <v/>
      </c>
      <c r="AE300" s="21" t="str">
        <f>IF('Phytopl Count'!AE300=0,"",('Phytopl Analysis'!AE300*LN('Phytopl Analysis'!AE300)))</f>
        <v/>
      </c>
      <c r="AF300" s="58" t="str">
        <f>IF('Phytopl Count'!AF300=0,"",('Phytopl Analysis'!AF300*LN('Phytopl Analysis'!AF300)))</f>
        <v/>
      </c>
    </row>
    <row r="301" spans="1:32" hidden="1">
      <c r="A301" s="101"/>
      <c r="B301" s="16" t="s">
        <v>268</v>
      </c>
      <c r="C301" s="4"/>
      <c r="D301" s="101"/>
      <c r="E301" s="102"/>
      <c r="F301" s="126"/>
      <c r="G301" s="21" t="str">
        <f>IF('Phytopl Count'!G301=0,"",('Phytopl Analysis'!G301*LN('Phytopl Analysis'!G301)))</f>
        <v/>
      </c>
      <c r="H301" s="21" t="str">
        <f>IF('Phytopl Count'!H301=0,"",('Phytopl Analysis'!H301*LN('Phytopl Analysis'!H301)))</f>
        <v/>
      </c>
      <c r="I301" s="58" t="str">
        <f>IF('Phytopl Count'!I301=0,"",('Phytopl Analysis'!I301*LN('Phytopl Analysis'!I301)))</f>
        <v/>
      </c>
      <c r="J301" s="58" t="str">
        <f>IF('Phytopl Count'!J301=0,"",('Phytopl Analysis'!J301*LN('Phytopl Analysis'!J301)))</f>
        <v/>
      </c>
      <c r="K301" s="21" t="str">
        <f>IF('Phytopl Count'!K301=0,"",('Phytopl Analysis'!K301*LN('Phytopl Analysis'!K301)))</f>
        <v/>
      </c>
      <c r="L301" s="21" t="str">
        <f>IF('Phytopl Count'!L301=0,"",('Phytopl Analysis'!L301*LN('Phytopl Analysis'!L301)))</f>
        <v/>
      </c>
      <c r="M301" s="58" t="str">
        <f>IF('Phytopl Count'!M301=0,"",('Phytopl Analysis'!M301*LN('Phytopl Analysis'!M301)))</f>
        <v/>
      </c>
      <c r="N301" s="58" t="str">
        <f>IF('Phytopl Count'!N301=0,"",('Phytopl Analysis'!N301*LN('Phytopl Analysis'!N301)))</f>
        <v/>
      </c>
      <c r="O301" s="21" t="str">
        <f>IF('Phytopl Count'!O301=0,"",('Phytopl Analysis'!O301*LN('Phytopl Analysis'!O301)))</f>
        <v/>
      </c>
      <c r="P301" s="21" t="str">
        <f>IF('Phytopl Count'!P301=0,"",('Phytopl Analysis'!P301*LN('Phytopl Analysis'!P301)))</f>
        <v/>
      </c>
      <c r="Q301" s="58" t="str">
        <f>IF('Phytopl Count'!Q301=0,"",('Phytopl Analysis'!Q301*LN('Phytopl Analysis'!Q301)))</f>
        <v/>
      </c>
      <c r="R301" s="58" t="str">
        <f>IF('Phytopl Count'!R301=0,"",('Phytopl Analysis'!R301*LN('Phytopl Analysis'!R301)))</f>
        <v/>
      </c>
      <c r="S301" s="21" t="str">
        <f>IF('Phytopl Count'!S301=0,"",('Phytopl Analysis'!S301*LN('Phytopl Analysis'!S301)))</f>
        <v/>
      </c>
      <c r="T301" s="21" t="str">
        <f>IF('Phytopl Count'!T301=0,"",('Phytopl Analysis'!T301*LN('Phytopl Analysis'!T301)))</f>
        <v/>
      </c>
      <c r="U301" s="58" t="str">
        <f>IF('Phytopl Count'!U301=0,"",('Phytopl Analysis'!U301*LN('Phytopl Analysis'!U301)))</f>
        <v/>
      </c>
      <c r="V301" s="58" t="str">
        <f>IF('Phytopl Count'!V301=0,"",('Phytopl Analysis'!V301*LN('Phytopl Analysis'!V301)))</f>
        <v/>
      </c>
      <c r="W301" s="21" t="str">
        <f>IF('Phytopl Count'!W301=0,"",('Phytopl Analysis'!W301*LN('Phytopl Analysis'!W301)))</f>
        <v/>
      </c>
      <c r="X301" s="21" t="str">
        <f>IF('Phytopl Count'!X301=0,"",('Phytopl Analysis'!X301*LN('Phytopl Analysis'!X301)))</f>
        <v/>
      </c>
      <c r="Y301" s="58" t="str">
        <f>IF('Phytopl Count'!Y301=0,"",('Phytopl Analysis'!Y301*LN('Phytopl Analysis'!Y301)))</f>
        <v/>
      </c>
      <c r="Z301" s="58" t="str">
        <f>IF('Phytopl Count'!Z301=0,"",('Phytopl Analysis'!Z301*LN('Phytopl Analysis'!Z301)))</f>
        <v/>
      </c>
      <c r="AA301" s="21" t="str">
        <f>IF('Phytopl Count'!AA301=0,"",('Phytopl Analysis'!AA301*LN('Phytopl Analysis'!AA301)))</f>
        <v/>
      </c>
      <c r="AB301" s="21" t="str">
        <f>IF('Phytopl Count'!AB301=0,"",('Phytopl Analysis'!AB301*LN('Phytopl Analysis'!AB301)))</f>
        <v/>
      </c>
      <c r="AC301" s="58" t="str">
        <f>IF('Phytopl Count'!AC301=0,"",('Phytopl Analysis'!AC301*LN('Phytopl Analysis'!AC301)))</f>
        <v/>
      </c>
      <c r="AD301" s="58" t="str">
        <f>IF('Phytopl Count'!AD301=0,"",('Phytopl Analysis'!AD301*LN('Phytopl Analysis'!AD301)))</f>
        <v/>
      </c>
      <c r="AE301" s="21" t="str">
        <f>IF('Phytopl Count'!AE301=0,"",('Phytopl Analysis'!AE301*LN('Phytopl Analysis'!AE301)))</f>
        <v/>
      </c>
      <c r="AF301" s="58" t="str">
        <f>IF('Phytopl Count'!AF301=0,"",('Phytopl Analysis'!AF301*LN('Phytopl Analysis'!AF301)))</f>
        <v/>
      </c>
    </row>
    <row r="302" spans="1:32" ht="16.2" thickBot="1">
      <c r="A302" s="4"/>
      <c r="B302" s="4"/>
      <c r="C302" s="4"/>
      <c r="D302" s="5"/>
      <c r="E302" s="5"/>
      <c r="F302" s="9"/>
      <c r="G302" s="21" t="str">
        <f>IF('Phytopl Count'!G302=0,"",('Phytopl Analysis'!G302*LN('Phytopl Analysis'!G302)))</f>
        <v/>
      </c>
      <c r="H302" s="21" t="str">
        <f>IF('Phytopl Count'!H302=0,"",('Phytopl Analysis'!H302*LN('Phytopl Analysis'!H302)))</f>
        <v/>
      </c>
      <c r="I302" s="58" t="str">
        <f>IF('Phytopl Count'!I302=0,"",('Phytopl Analysis'!I302*LN('Phytopl Analysis'!I302)))</f>
        <v/>
      </c>
      <c r="J302" s="58" t="str">
        <f>IF('Phytopl Count'!J302=0,"",('Phytopl Analysis'!J302*LN('Phytopl Analysis'!J302)))</f>
        <v/>
      </c>
      <c r="K302" s="21" t="str">
        <f>IF('Phytopl Count'!K302=0,"",('Phytopl Analysis'!K302*LN('Phytopl Analysis'!K302)))</f>
        <v/>
      </c>
      <c r="L302" s="21" t="str">
        <f>IF('Phytopl Count'!L302=0,"",('Phytopl Analysis'!L302*LN('Phytopl Analysis'!L302)))</f>
        <v/>
      </c>
      <c r="M302" s="58" t="str">
        <f>IF('Phytopl Count'!M302=0,"",('Phytopl Analysis'!M302*LN('Phytopl Analysis'!M302)))</f>
        <v/>
      </c>
      <c r="N302" s="58" t="str">
        <f>IF('Phytopl Count'!N302=0,"",('Phytopl Analysis'!N302*LN('Phytopl Analysis'!N302)))</f>
        <v/>
      </c>
      <c r="O302" s="21" t="str">
        <f>IF('Phytopl Count'!O302=0,"",('Phytopl Analysis'!O302*LN('Phytopl Analysis'!O302)))</f>
        <v/>
      </c>
      <c r="P302" s="21" t="str">
        <f>IF('Phytopl Count'!P302=0,"",('Phytopl Analysis'!P302*LN('Phytopl Analysis'!P302)))</f>
        <v/>
      </c>
      <c r="Q302" s="58" t="str">
        <f>IF('Phytopl Count'!Q302=0,"",('Phytopl Analysis'!Q302*LN('Phytopl Analysis'!Q302)))</f>
        <v/>
      </c>
      <c r="R302" s="58" t="str">
        <f>IF('Phytopl Count'!R302=0,"",('Phytopl Analysis'!R302*LN('Phytopl Analysis'!R302)))</f>
        <v/>
      </c>
      <c r="S302" s="21" t="str">
        <f>IF('Phytopl Count'!S302=0,"",('Phytopl Analysis'!S302*LN('Phytopl Analysis'!S302)))</f>
        <v/>
      </c>
      <c r="T302" s="21" t="str">
        <f>IF('Phytopl Count'!T302=0,"",('Phytopl Analysis'!T302*LN('Phytopl Analysis'!T302)))</f>
        <v/>
      </c>
      <c r="U302" s="58" t="str">
        <f>IF('Phytopl Count'!U302=0,"",('Phytopl Analysis'!U302*LN('Phytopl Analysis'!U302)))</f>
        <v/>
      </c>
      <c r="V302" s="58" t="str">
        <f>IF('Phytopl Count'!V302=0,"",('Phytopl Analysis'!V302*LN('Phytopl Analysis'!V302)))</f>
        <v/>
      </c>
      <c r="W302" s="21" t="str">
        <f>IF('Phytopl Count'!W302=0,"",('Phytopl Analysis'!W302*LN('Phytopl Analysis'!W302)))</f>
        <v/>
      </c>
      <c r="X302" s="21" t="str">
        <f>IF('Phytopl Count'!X302=0,"",('Phytopl Analysis'!X302*LN('Phytopl Analysis'!X302)))</f>
        <v/>
      </c>
      <c r="Y302" s="58" t="str">
        <f>IF('Phytopl Count'!Y302=0,"",('Phytopl Analysis'!Y302*LN('Phytopl Analysis'!Y302)))</f>
        <v/>
      </c>
      <c r="Z302" s="58" t="str">
        <f>IF('Phytopl Count'!Z302=0,"",('Phytopl Analysis'!Z302*LN('Phytopl Analysis'!Z302)))</f>
        <v/>
      </c>
      <c r="AA302" s="21" t="str">
        <f>IF('Phytopl Count'!AA302=0,"",('Phytopl Analysis'!AA302*LN('Phytopl Analysis'!AA302)))</f>
        <v/>
      </c>
      <c r="AB302" s="21" t="str">
        <f>IF('Phytopl Count'!AB302=0,"",('Phytopl Analysis'!AB302*LN('Phytopl Analysis'!AB302)))</f>
        <v/>
      </c>
      <c r="AC302" s="58" t="str">
        <f>IF('Phytopl Count'!AC302=0,"",('Phytopl Analysis'!AC302*LN('Phytopl Analysis'!AC302)))</f>
        <v/>
      </c>
      <c r="AD302" s="58" t="str">
        <f>IF('Phytopl Count'!AD302=0,"",('Phytopl Analysis'!AD302*LN('Phytopl Analysis'!AD302)))</f>
        <v/>
      </c>
      <c r="AE302" s="21" t="str">
        <f>IF('Phytopl Count'!AE302=0,"",('Phytopl Analysis'!AE302*LN('Phytopl Analysis'!AE302)))</f>
        <v/>
      </c>
      <c r="AF302" s="58" t="str">
        <f>IF('Phytopl Count'!AF302=0,"",('Phytopl Analysis'!AF302*LN('Phytopl Analysis'!AF302)))</f>
        <v/>
      </c>
    </row>
    <row r="303" spans="1:32" s="2" customFormat="1" ht="16.2" thickBot="1">
      <c r="A303" s="112"/>
      <c r="B303" s="112"/>
      <c r="C303" s="112"/>
      <c r="D303" s="13"/>
      <c r="E303" s="13"/>
      <c r="F303" s="14" t="s">
        <v>51</v>
      </c>
      <c r="G303" s="32">
        <f t="shared" ref="G303:AF303" si="0">SUM(G14:G302)</f>
        <v>-2.0169619847586171</v>
      </c>
      <c r="H303" s="32">
        <f t="shared" si="0"/>
        <v>0.68451338456001554</v>
      </c>
      <c r="I303" s="32">
        <f t="shared" si="0"/>
        <v>-2.3898402833637951</v>
      </c>
      <c r="J303" s="32">
        <f t="shared" si="0"/>
        <v>-3.3464080513464411</v>
      </c>
      <c r="K303" s="32">
        <f t="shared" si="0"/>
        <v>-4.5561168764255582</v>
      </c>
      <c r="L303" s="32">
        <f t="shared" si="0"/>
        <v>-2.6500645570224548</v>
      </c>
      <c r="M303" s="32">
        <f t="shared" si="0"/>
        <v>-2.9443569987070304</v>
      </c>
      <c r="N303" s="32">
        <f t="shared" si="0"/>
        <v>-2.518901502974245</v>
      </c>
      <c r="O303" s="32">
        <f t="shared" si="0"/>
        <v>-4.2726927742298635</v>
      </c>
      <c r="P303" s="32">
        <f t="shared" si="0"/>
        <v>-0.66064067887161249</v>
      </c>
      <c r="Q303" s="32">
        <f t="shared" si="0"/>
        <v>-4.3477702592814733</v>
      </c>
      <c r="R303" s="32">
        <f t="shared" si="0"/>
        <v>-3.6876286256060093</v>
      </c>
      <c r="S303" s="32">
        <f t="shared" si="0"/>
        <v>-3.4437886634058099</v>
      </c>
      <c r="T303" s="32">
        <f t="shared" si="0"/>
        <v>8.9048460717841742</v>
      </c>
      <c r="U303" s="32">
        <f t="shared" si="0"/>
        <v>-3.6107849480126335</v>
      </c>
      <c r="V303" s="32">
        <f t="shared" si="0"/>
        <v>-5.2673189084206893</v>
      </c>
      <c r="W303" s="32">
        <f t="shared" si="0"/>
        <v>-2.8273970245863151</v>
      </c>
      <c r="X303" s="32">
        <f t="shared" si="0"/>
        <v>-2.1674900427549595</v>
      </c>
      <c r="Y303" s="32">
        <f t="shared" si="0"/>
        <v>-2.5825774040968925</v>
      </c>
      <c r="Z303" s="32">
        <f t="shared" si="0"/>
        <v>76.692528255638365</v>
      </c>
      <c r="AA303" s="32">
        <f t="shared" si="0"/>
        <v>-3.3769486991553741</v>
      </c>
      <c r="AB303" s="32">
        <f t="shared" si="0"/>
        <v>-2.9283076413249347</v>
      </c>
      <c r="AC303" s="32">
        <f t="shared" si="0"/>
        <v>-3.1882883099130521</v>
      </c>
      <c r="AD303" s="32">
        <f t="shared" si="0"/>
        <v>-2.083429548083104</v>
      </c>
      <c r="AE303" s="32">
        <f t="shared" si="0"/>
        <v>-2.8788822536460601</v>
      </c>
      <c r="AF303" s="32">
        <f t="shared" si="0"/>
        <v>9.1442292662251763</v>
      </c>
    </row>
    <row r="304" spans="1:32">
      <c r="A304" s="4"/>
      <c r="B304" s="4"/>
      <c r="C304" s="4"/>
      <c r="D304" s="5"/>
      <c r="E304" s="5"/>
      <c r="F304" s="6" t="s">
        <v>52</v>
      </c>
      <c r="G304" s="58">
        <f t="shared" ref="G304:M304" si="1">COUNT(G14:G302)</f>
        <v>13</v>
      </c>
      <c r="H304" s="58">
        <f t="shared" si="1"/>
        <v>14</v>
      </c>
      <c r="I304" s="58">
        <f t="shared" si="1"/>
        <v>12</v>
      </c>
      <c r="J304" s="58">
        <f t="shared" si="1"/>
        <v>20</v>
      </c>
      <c r="K304" s="58">
        <f t="shared" si="1"/>
        <v>21</v>
      </c>
      <c r="L304" s="58">
        <f t="shared" si="1"/>
        <v>14</v>
      </c>
      <c r="M304" s="58">
        <f t="shared" si="1"/>
        <v>16</v>
      </c>
      <c r="N304" s="58">
        <f t="shared" ref="N304:AF304" si="2">COUNT(N14:N302)</f>
        <v>20</v>
      </c>
      <c r="O304" s="58">
        <f t="shared" si="2"/>
        <v>20</v>
      </c>
      <c r="P304" s="58">
        <f t="shared" si="2"/>
        <v>17</v>
      </c>
      <c r="Q304" s="58">
        <f t="shared" si="2"/>
        <v>22</v>
      </c>
      <c r="R304" s="58">
        <f t="shared" si="2"/>
        <v>22</v>
      </c>
      <c r="S304" s="58">
        <f t="shared" si="2"/>
        <v>14</v>
      </c>
      <c r="T304" s="58">
        <f t="shared" si="2"/>
        <v>17</v>
      </c>
      <c r="U304" s="58">
        <f t="shared" si="2"/>
        <v>21</v>
      </c>
      <c r="V304" s="58">
        <f t="shared" si="2"/>
        <v>28</v>
      </c>
      <c r="W304" s="58">
        <f t="shared" si="2"/>
        <v>17</v>
      </c>
      <c r="X304" s="58">
        <f t="shared" si="2"/>
        <v>15</v>
      </c>
      <c r="Y304" s="58">
        <f t="shared" si="2"/>
        <v>13</v>
      </c>
      <c r="Z304" s="58">
        <f t="shared" si="2"/>
        <v>16</v>
      </c>
      <c r="AA304" s="58">
        <f t="shared" si="2"/>
        <v>18</v>
      </c>
      <c r="AB304" s="58">
        <f t="shared" si="2"/>
        <v>15</v>
      </c>
      <c r="AC304" s="58">
        <f t="shared" si="2"/>
        <v>16</v>
      </c>
      <c r="AD304" s="58">
        <f t="shared" si="2"/>
        <v>19</v>
      </c>
      <c r="AE304" s="58">
        <f t="shared" si="2"/>
        <v>19</v>
      </c>
      <c r="AF304" s="58">
        <f t="shared" si="2"/>
        <v>21</v>
      </c>
    </row>
    <row r="305" spans="1:9">
      <c r="A305" s="4"/>
      <c r="B305" s="4"/>
      <c r="C305" s="4"/>
      <c r="D305" s="5"/>
      <c r="E305" s="5"/>
      <c r="F305" s="5"/>
      <c r="G305" s="5"/>
      <c r="H305" s="5"/>
      <c r="I305" s="5"/>
    </row>
    <row r="306" spans="1:9">
      <c r="A306" s="4"/>
      <c r="B306" s="4"/>
      <c r="C306" s="4"/>
      <c r="D306" s="5"/>
      <c r="E306" s="5"/>
      <c r="F306" s="5"/>
      <c r="G306" s="5"/>
      <c r="H306" s="5"/>
      <c r="I306" s="5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80"/>
  <sheetViews>
    <sheetView workbookViewId="0">
      <selection activeCell="E9" sqref="E9"/>
    </sheetView>
  </sheetViews>
  <sheetFormatPr defaultRowHeight="15.6"/>
  <cols>
    <col min="1" max="1" width="27.09765625" bestFit="1" customWidth="1"/>
    <col min="2" max="4" width="14.09765625" customWidth="1"/>
  </cols>
  <sheetData>
    <row r="3" spans="1:4">
      <c r="B3" s="69" t="s">
        <v>180</v>
      </c>
    </row>
    <row r="4" spans="1:4">
      <c r="A4" s="69" t="s">
        <v>177</v>
      </c>
      <c r="B4" t="s">
        <v>181</v>
      </c>
      <c r="C4" t="s">
        <v>182</v>
      </c>
      <c r="D4" t="s">
        <v>183</v>
      </c>
    </row>
    <row r="5" spans="1:4">
      <c r="A5" s="41" t="s">
        <v>138</v>
      </c>
    </row>
    <row r="6" spans="1:4">
      <c r="A6" s="70" t="s">
        <v>13</v>
      </c>
    </row>
    <row r="7" spans="1:4">
      <c r="A7" s="71" t="s">
        <v>89</v>
      </c>
    </row>
    <row r="8" spans="1:4">
      <c r="A8" s="72" t="s">
        <v>146</v>
      </c>
      <c r="B8">
        <v>148.27125492879719</v>
      </c>
      <c r="C8">
        <v>0</v>
      </c>
      <c r="D8">
        <v>2525.4993971388535</v>
      </c>
    </row>
    <row r="9" spans="1:4">
      <c r="A9" s="71" t="s">
        <v>86</v>
      </c>
    </row>
    <row r="10" spans="1:4">
      <c r="A10" s="72" t="s">
        <v>87</v>
      </c>
      <c r="B10">
        <v>0</v>
      </c>
      <c r="C10">
        <v>0</v>
      </c>
      <c r="D10">
        <v>0</v>
      </c>
    </row>
    <row r="11" spans="1:4">
      <c r="A11" s="71" t="s">
        <v>90</v>
      </c>
    </row>
    <row r="12" spans="1:4">
      <c r="A12" s="72" t="s">
        <v>37</v>
      </c>
      <c r="B12">
        <v>0</v>
      </c>
      <c r="C12">
        <v>0</v>
      </c>
      <c r="D12">
        <v>0</v>
      </c>
    </row>
    <row r="13" spans="1:4">
      <c r="A13" s="72" t="s">
        <v>91</v>
      </c>
      <c r="B13">
        <v>63.544823540913086</v>
      </c>
      <c r="C13">
        <v>0</v>
      </c>
      <c r="D13">
        <v>1262.7496985694268</v>
      </c>
    </row>
    <row r="14" spans="1:4">
      <c r="A14" s="71" t="s">
        <v>139</v>
      </c>
    </row>
    <row r="15" spans="1:4">
      <c r="A15" s="72" t="s">
        <v>140</v>
      </c>
      <c r="B15">
        <v>0</v>
      </c>
      <c r="C15">
        <v>0</v>
      </c>
      <c r="D15">
        <v>0</v>
      </c>
    </row>
    <row r="16" spans="1:4">
      <c r="A16" s="71" t="s">
        <v>160</v>
      </c>
    </row>
    <row r="17" spans="1:4">
      <c r="A17" s="72" t="s">
        <v>161</v>
      </c>
      <c r="B17">
        <v>21.181607846971026</v>
      </c>
      <c r="C17">
        <v>0</v>
      </c>
      <c r="D17">
        <v>0</v>
      </c>
    </row>
    <row r="18" spans="1:4">
      <c r="A18" s="71" t="s">
        <v>88</v>
      </c>
    </row>
    <row r="19" spans="1:4">
      <c r="A19" s="72" t="s">
        <v>35</v>
      </c>
      <c r="B19">
        <v>21.181607846971026</v>
      </c>
      <c r="C19">
        <v>0</v>
      </c>
      <c r="D19">
        <v>0</v>
      </c>
    </row>
    <row r="20" spans="1:4">
      <c r="A20" s="70" t="s">
        <v>76</v>
      </c>
    </row>
    <row r="21" spans="1:4">
      <c r="A21" s="71" t="s">
        <v>142</v>
      </c>
    </row>
    <row r="22" spans="1:4">
      <c r="A22" s="72" t="s">
        <v>143</v>
      </c>
      <c r="B22">
        <v>0</v>
      </c>
      <c r="C22">
        <v>0</v>
      </c>
      <c r="D22">
        <v>0</v>
      </c>
    </row>
    <row r="23" spans="1:4">
      <c r="A23" s="71" t="s">
        <v>158</v>
      </c>
    </row>
    <row r="24" spans="1:4">
      <c r="A24" s="72" t="s">
        <v>159</v>
      </c>
      <c r="B24">
        <v>0</v>
      </c>
      <c r="C24">
        <v>0</v>
      </c>
      <c r="D24">
        <v>0</v>
      </c>
    </row>
    <row r="25" spans="1:4">
      <c r="A25" s="71" t="s">
        <v>80</v>
      </c>
    </row>
    <row r="26" spans="1:4">
      <c r="A26" s="72" t="s">
        <v>22</v>
      </c>
      <c r="B26">
        <v>21.181607846971026</v>
      </c>
      <c r="C26">
        <v>0</v>
      </c>
      <c r="D26">
        <v>1262.7496985694268</v>
      </c>
    </row>
    <row r="27" spans="1:4">
      <c r="A27" s="72" t="s">
        <v>24</v>
      </c>
      <c r="B27">
        <v>21.181607846971026</v>
      </c>
      <c r="C27">
        <v>0</v>
      </c>
      <c r="D27">
        <v>0</v>
      </c>
    </row>
    <row r="28" spans="1:4">
      <c r="A28" s="71" t="s">
        <v>78</v>
      </c>
    </row>
    <row r="29" spans="1:4">
      <c r="A29" s="72" t="s">
        <v>17</v>
      </c>
      <c r="B29">
        <v>360.0873333985075</v>
      </c>
      <c r="C29">
        <v>441.01193773693529</v>
      </c>
      <c r="D29">
        <v>6313.748492847134</v>
      </c>
    </row>
    <row r="30" spans="1:4">
      <c r="A30" s="72" t="s">
        <v>99</v>
      </c>
      <c r="B30">
        <v>0</v>
      </c>
      <c r="C30">
        <v>0</v>
      </c>
      <c r="D30">
        <v>0</v>
      </c>
    </row>
    <row r="31" spans="1:4">
      <c r="A31" s="71" t="s">
        <v>81</v>
      </c>
    </row>
    <row r="32" spans="1:4">
      <c r="A32" s="72" t="s">
        <v>26</v>
      </c>
      <c r="B32">
        <v>63.544823540913086</v>
      </c>
      <c r="C32">
        <v>0</v>
      </c>
      <c r="D32">
        <v>0</v>
      </c>
    </row>
    <row r="33" spans="1:4">
      <c r="A33" s="71" t="s">
        <v>19</v>
      </c>
    </row>
    <row r="34" spans="1:4">
      <c r="A34" s="72" t="s">
        <v>157</v>
      </c>
      <c r="B34">
        <v>0</v>
      </c>
      <c r="C34">
        <v>0</v>
      </c>
      <c r="D34">
        <v>0</v>
      </c>
    </row>
    <row r="35" spans="1:4">
      <c r="A35" s="71" t="s">
        <v>109</v>
      </c>
    </row>
    <row r="36" spans="1:4">
      <c r="A36" s="72" t="s">
        <v>110</v>
      </c>
      <c r="B36">
        <v>21.181607846971026</v>
      </c>
      <c r="C36">
        <v>0</v>
      </c>
      <c r="D36">
        <v>0</v>
      </c>
    </row>
    <row r="37" spans="1:4">
      <c r="A37" s="70" t="s">
        <v>148</v>
      </c>
    </row>
    <row r="38" spans="1:4">
      <c r="A38" s="71" t="s">
        <v>103</v>
      </c>
    </row>
    <row r="39" spans="1:4">
      <c r="A39" s="72" t="s">
        <v>104</v>
      </c>
      <c r="B39">
        <v>42.363215693942053</v>
      </c>
      <c r="C39">
        <v>0</v>
      </c>
      <c r="D39">
        <v>0</v>
      </c>
    </row>
    <row r="40" spans="1:4">
      <c r="A40" s="71" t="s">
        <v>83</v>
      </c>
    </row>
    <row r="41" spans="1:4">
      <c r="A41" s="72" t="s">
        <v>31</v>
      </c>
      <c r="B41">
        <v>338.90572555153642</v>
      </c>
      <c r="C41">
        <v>30.414616395650711</v>
      </c>
      <c r="D41">
        <v>2525.4993971388535</v>
      </c>
    </row>
    <row r="42" spans="1:4">
      <c r="A42" s="72" t="s">
        <v>20</v>
      </c>
      <c r="B42">
        <v>1779.2550591455661</v>
      </c>
      <c r="C42">
        <v>1186.1700394303778</v>
      </c>
      <c r="D42">
        <v>10101.997588555414</v>
      </c>
    </row>
    <row r="43" spans="1:4">
      <c r="A43" s="71" t="s">
        <v>149</v>
      </c>
    </row>
    <row r="44" spans="1:4">
      <c r="A44" s="72" t="s">
        <v>150</v>
      </c>
      <c r="B44">
        <v>0</v>
      </c>
      <c r="C44">
        <v>0</v>
      </c>
      <c r="D44">
        <v>0</v>
      </c>
    </row>
    <row r="45" spans="1:4">
      <c r="A45" s="71" t="s">
        <v>82</v>
      </c>
    </row>
    <row r="46" spans="1:4">
      <c r="A46" s="72" t="s">
        <v>29</v>
      </c>
      <c r="B46">
        <v>0</v>
      </c>
      <c r="C46">
        <v>0</v>
      </c>
      <c r="D46">
        <v>0</v>
      </c>
    </row>
    <row r="47" spans="1:4">
      <c r="A47" s="71" t="s">
        <v>77</v>
      </c>
    </row>
    <row r="48" spans="1:4">
      <c r="A48" s="72" t="s">
        <v>102</v>
      </c>
      <c r="B48">
        <v>931.99074526672518</v>
      </c>
      <c r="C48">
        <v>653.91425250649036</v>
      </c>
      <c r="D48">
        <v>39145.240655652233</v>
      </c>
    </row>
    <row r="49" spans="1:4">
      <c r="A49" s="72" t="s">
        <v>14</v>
      </c>
      <c r="B49">
        <v>84.726431387884105</v>
      </c>
      <c r="C49">
        <v>106.45115738477747</v>
      </c>
      <c r="D49">
        <v>7576.4981914165601</v>
      </c>
    </row>
    <row r="50" spans="1:4">
      <c r="A50" s="70" t="s">
        <v>178</v>
      </c>
    </row>
    <row r="51" spans="1:4">
      <c r="A51" s="71" t="s">
        <v>84</v>
      </c>
    </row>
    <row r="52" spans="1:4">
      <c r="A52" s="72" t="s">
        <v>85</v>
      </c>
      <c r="B52">
        <v>190.63447062273926</v>
      </c>
      <c r="C52">
        <v>0</v>
      </c>
      <c r="D52">
        <v>0</v>
      </c>
    </row>
    <row r="53" spans="1:4">
      <c r="A53" s="41" t="s">
        <v>155</v>
      </c>
    </row>
    <row r="54" spans="1:4">
      <c r="A54" s="70" t="s">
        <v>10</v>
      </c>
    </row>
    <row r="55" spans="1:4">
      <c r="A55" s="71" t="s">
        <v>74</v>
      </c>
    </row>
    <row r="56" spans="1:4">
      <c r="A56" s="72" t="s">
        <v>156</v>
      </c>
      <c r="B56">
        <v>0</v>
      </c>
      <c r="C56">
        <v>0</v>
      </c>
      <c r="D56">
        <v>0</v>
      </c>
    </row>
    <row r="57" spans="1:4">
      <c r="A57" s="72" t="s">
        <v>75</v>
      </c>
      <c r="B57">
        <v>0</v>
      </c>
      <c r="C57">
        <v>0</v>
      </c>
      <c r="D57">
        <v>0</v>
      </c>
    </row>
    <row r="58" spans="1:4">
      <c r="A58" s="41" t="s">
        <v>152</v>
      </c>
    </row>
    <row r="59" spans="1:4">
      <c r="A59" s="70" t="s">
        <v>92</v>
      </c>
    </row>
    <row r="60" spans="1:4">
      <c r="A60" s="71" t="s">
        <v>94</v>
      </c>
    </row>
    <row r="61" spans="1:4">
      <c r="A61" s="72" t="s">
        <v>95</v>
      </c>
      <c r="B61">
        <v>0</v>
      </c>
      <c r="C61">
        <v>0</v>
      </c>
      <c r="D61">
        <v>0</v>
      </c>
    </row>
    <row r="62" spans="1:4">
      <c r="A62" s="71" t="s">
        <v>96</v>
      </c>
    </row>
    <row r="63" spans="1:4">
      <c r="A63" s="72" t="s">
        <v>46</v>
      </c>
      <c r="B63">
        <v>0</v>
      </c>
      <c r="C63">
        <v>0</v>
      </c>
      <c r="D63">
        <v>0</v>
      </c>
    </row>
    <row r="64" spans="1:4">
      <c r="A64" s="72" t="s">
        <v>174</v>
      </c>
      <c r="B64">
        <v>0</v>
      </c>
      <c r="C64">
        <v>30.414616395650711</v>
      </c>
      <c r="D64">
        <v>0</v>
      </c>
    </row>
    <row r="65" spans="1:4">
      <c r="A65" s="72" t="s">
        <v>48</v>
      </c>
      <c r="B65">
        <v>0</v>
      </c>
      <c r="C65">
        <v>0</v>
      </c>
      <c r="D65">
        <v>0</v>
      </c>
    </row>
    <row r="66" spans="1:4">
      <c r="A66" s="71" t="s">
        <v>162</v>
      </c>
    </row>
    <row r="67" spans="1:4">
      <c r="A67" s="72" t="s">
        <v>172</v>
      </c>
      <c r="B67">
        <v>0</v>
      </c>
      <c r="C67">
        <v>30.414616395650711</v>
      </c>
      <c r="D67">
        <v>7576.4981914165601</v>
      </c>
    </row>
    <row r="68" spans="1:4">
      <c r="A68" s="72" t="s">
        <v>163</v>
      </c>
      <c r="B68">
        <v>0</v>
      </c>
      <c r="C68">
        <v>0</v>
      </c>
      <c r="D68">
        <v>0</v>
      </c>
    </row>
    <row r="69" spans="1:4">
      <c r="A69" s="71" t="s">
        <v>97</v>
      </c>
    </row>
    <row r="70" spans="1:4">
      <c r="A70" s="72" t="s">
        <v>153</v>
      </c>
      <c r="B70">
        <v>21.181607846971026</v>
      </c>
      <c r="C70">
        <v>60.829232791301422</v>
      </c>
      <c r="D70">
        <v>1262.7496985694268</v>
      </c>
    </row>
    <row r="71" spans="1:4">
      <c r="A71" s="71" t="s">
        <v>93</v>
      </c>
    </row>
    <row r="72" spans="1:4">
      <c r="A72" s="72" t="s">
        <v>40</v>
      </c>
      <c r="B72">
        <v>148.27125492879719</v>
      </c>
      <c r="C72">
        <v>60.829232791301422</v>
      </c>
      <c r="D72">
        <v>11364.747287124841</v>
      </c>
    </row>
    <row r="73" spans="1:4">
      <c r="A73" s="70" t="s">
        <v>164</v>
      </c>
    </row>
    <row r="74" spans="1:4">
      <c r="A74" s="71" t="s">
        <v>98</v>
      </c>
    </row>
    <row r="75" spans="1:4">
      <c r="A75" s="72" t="s">
        <v>44</v>
      </c>
      <c r="B75">
        <v>63.544823540913086</v>
      </c>
      <c r="C75">
        <v>15.207308197825355</v>
      </c>
      <c r="D75">
        <v>1262.7496985694268</v>
      </c>
    </row>
    <row r="76" spans="1:4">
      <c r="A76" s="41" t="s">
        <v>178</v>
      </c>
    </row>
    <row r="77" spans="1:4">
      <c r="A77" s="70" t="s">
        <v>178</v>
      </c>
    </row>
    <row r="78" spans="1:4">
      <c r="A78" s="71" t="s">
        <v>178</v>
      </c>
    </row>
    <row r="79" spans="1:4">
      <c r="A79" s="72" t="s">
        <v>178</v>
      </c>
      <c r="B79">
        <v>0</v>
      </c>
      <c r="C79">
        <v>0</v>
      </c>
      <c r="D79">
        <v>0</v>
      </c>
    </row>
    <row r="80" spans="1:4">
      <c r="A80" s="41" t="s">
        <v>179</v>
      </c>
      <c r="B80">
        <v>4342.2296086290607</v>
      </c>
      <c r="C80">
        <v>2615.6570100259614</v>
      </c>
      <c r="D80">
        <v>92180.727995568159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39"/>
  <sheetViews>
    <sheetView workbookViewId="0">
      <selection activeCell="F20" sqref="F20"/>
    </sheetView>
  </sheetViews>
  <sheetFormatPr defaultColWidth="10.8984375" defaultRowHeight="14.4"/>
  <cols>
    <col min="1" max="1" width="12.59765625" style="5" customWidth="1"/>
    <col min="2" max="2" width="14.5" style="5" customWidth="1"/>
    <col min="3" max="3" width="16" style="5" customWidth="1"/>
    <col min="4" max="4" width="18.3984375" style="5" customWidth="1"/>
    <col min="5" max="5" width="10.8984375" style="5" customWidth="1"/>
    <col min="6" max="6" width="17.69921875" style="5" customWidth="1"/>
    <col min="7" max="9" width="13" style="5" customWidth="1"/>
    <col min="10" max="16384" width="10.8984375" style="5"/>
  </cols>
  <sheetData>
    <row r="1" spans="1:20" ht="21.9" customHeight="1">
      <c r="A1" s="17" t="s">
        <v>55</v>
      </c>
      <c r="B1" s="17"/>
      <c r="C1" s="17"/>
      <c r="K1" s="26"/>
    </row>
    <row r="2" spans="1:20" s="4" customFormat="1">
      <c r="A2" s="4" t="s">
        <v>167</v>
      </c>
    </row>
    <row r="3" spans="1:20" s="4" customFormat="1"/>
    <row r="4" spans="1:20" s="4" customFormat="1">
      <c r="F4" s="16"/>
    </row>
    <row r="5" spans="1:20" s="4" customFormat="1" ht="16.5" customHeight="1">
      <c r="F5" s="6"/>
      <c r="G5" s="33"/>
      <c r="H5" s="33"/>
      <c r="I5" s="33"/>
    </row>
    <row r="6" spans="1:20" s="4" customFormat="1">
      <c r="F6" s="6"/>
      <c r="G6" s="30"/>
      <c r="H6" s="30"/>
      <c r="I6" s="30"/>
    </row>
    <row r="7" spans="1:20" s="7" customFormat="1" ht="15" thickBot="1">
      <c r="A7" s="66" t="s">
        <v>4</v>
      </c>
      <c r="B7" s="66" t="s">
        <v>72</v>
      </c>
      <c r="C7" s="66" t="s">
        <v>73</v>
      </c>
      <c r="D7" s="67" t="s">
        <v>5</v>
      </c>
      <c r="E7" s="7" t="s">
        <v>176</v>
      </c>
      <c r="F7" s="68" t="s">
        <v>6</v>
      </c>
      <c r="G7" s="33" t="e">
        <f>'Phytopl Count'!#REF!</f>
        <v>#REF!</v>
      </c>
      <c r="H7" s="33" t="e">
        <f>'Phytopl Count'!#REF!</f>
        <v>#REF!</v>
      </c>
      <c r="I7" s="33" t="e">
        <f>'Phytopl Count'!#REF!</f>
        <v>#REF!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s="4" customFormat="1" ht="15" thickTop="1">
      <c r="F8" s="6"/>
      <c r="G8" s="38"/>
      <c r="H8" s="38"/>
      <c r="I8" s="38"/>
    </row>
    <row r="9" spans="1:20" s="4" customFormat="1">
      <c r="F9" s="6"/>
      <c r="G9" s="38"/>
      <c r="H9" s="38"/>
      <c r="I9" s="38"/>
    </row>
    <row r="10" spans="1:20" s="4" customFormat="1">
      <c r="F10" s="6"/>
      <c r="G10" s="38"/>
      <c r="H10" s="38"/>
      <c r="I10" s="38"/>
    </row>
    <row r="11" spans="1:20" s="4" customFormat="1">
      <c r="F11" s="6"/>
      <c r="G11" s="38"/>
      <c r="H11" s="38"/>
      <c r="I11" s="38"/>
    </row>
    <row r="12" spans="1:20" s="4" customFormat="1">
      <c r="F12" s="6"/>
      <c r="G12" s="38"/>
      <c r="H12" s="38"/>
      <c r="I12" s="38"/>
    </row>
    <row r="13" spans="1:20" s="4" customFormat="1">
      <c r="F13" s="6"/>
      <c r="G13" s="38"/>
      <c r="H13" s="38"/>
      <c r="I13" s="38"/>
    </row>
    <row r="14" spans="1:20" s="4" customFormat="1">
      <c r="G14" s="31" t="e">
        <f>IF('Phytopl Count'!#REF!=0,"",'Phytopl Count'!#REF!*'Phytopl Count'!#REF!/'Phytopl Count'!#REF!)</f>
        <v>#REF!</v>
      </c>
      <c r="H14" s="31" t="e">
        <f>IF('Phytopl Count'!#REF!=0,"",'Phytopl Count'!#REF!*'Phytopl Count'!#REF!/'Phytopl Count'!#REF!)</f>
        <v>#REF!</v>
      </c>
      <c r="I14" s="31" t="e">
        <f>IF('Phytopl Count'!#REF!=0,"",'Phytopl Count'!#REF!*'Phytopl Count'!#REF!/'Phytopl Count'!#REF!)</f>
        <v>#REF!</v>
      </c>
    </row>
    <row r="15" spans="1:20" s="4" customFormat="1">
      <c r="F15" s="59"/>
      <c r="G15" s="31" t="e">
        <f>IF('Phytopl Count'!#REF!=0,"",'Phytopl Count'!#REF!*'Phytopl Count'!#REF!/'Phytopl Count'!#REF!)</f>
        <v>#REF!</v>
      </c>
      <c r="H15" s="31" t="e">
        <f>IF('Phytopl Count'!#REF!=0,"",'Phytopl Count'!#REF!*'Phytopl Count'!#REF!/'Phytopl Count'!#REF!)</f>
        <v>#REF!</v>
      </c>
      <c r="I15" s="31" t="e">
        <f>IF('Phytopl Count'!#REF!=0,"",'Phytopl Count'!#REF!*'Phytopl Count'!#REF!/'Phytopl Count'!#REF!)</f>
        <v>#REF!</v>
      </c>
    </row>
    <row r="16" spans="1:20" s="4" customFormat="1">
      <c r="A16" s="16"/>
      <c r="B16" s="16"/>
      <c r="F16" s="59"/>
      <c r="G16" s="31" t="e">
        <f>IF('Phytopl Count'!#REF!=0,"",'Phytopl Count'!#REF!*'Phytopl Count'!#REF!/'Phytopl Count'!#REF!)</f>
        <v>#REF!</v>
      </c>
      <c r="H16" s="31" t="e">
        <f>IF('Phytopl Count'!#REF!=0,"",'Phytopl Count'!#REF!*'Phytopl Count'!#REF!/'Phytopl Count'!#REF!)</f>
        <v>#REF!</v>
      </c>
      <c r="I16" s="31" t="e">
        <f>IF('Phytopl Count'!#REF!=0,"",'Phytopl Count'!#REF!*'Phytopl Count'!#REF!/'Phytopl Count'!#REF!)</f>
        <v>#REF!</v>
      </c>
    </row>
    <row r="17" spans="1:9" s="4" customFormat="1">
      <c r="F17" s="62"/>
      <c r="G17" s="31" t="e">
        <f>IF('Phytopl Count'!#REF!=0,"",'Phytopl Count'!#REF!*'Phytopl Count'!#REF!/'Phytopl Count'!#REF!)</f>
        <v>#REF!</v>
      </c>
      <c r="H17" s="31" t="e">
        <f>IF('Phytopl Count'!#REF!=0,"",'Phytopl Count'!#REF!*'Phytopl Count'!#REF!/'Phytopl Count'!#REF!)</f>
        <v>#REF!</v>
      </c>
      <c r="I17" s="31" t="e">
        <f>IF('Phytopl Count'!#REF!=0,"",'Phytopl Count'!#REF!*'Phytopl Count'!#REF!/'Phytopl Count'!#REF!)</f>
        <v>#REF!</v>
      </c>
    </row>
    <row r="18" spans="1:9" s="4" customFormat="1">
      <c r="A18" s="4" t="s">
        <v>138</v>
      </c>
      <c r="B18" s="4" t="s">
        <v>13</v>
      </c>
      <c r="C18" s="4" t="s">
        <v>89</v>
      </c>
      <c r="D18" s="60" t="s">
        <v>146</v>
      </c>
      <c r="F18" s="52" t="s">
        <v>147</v>
      </c>
      <c r="G18" s="31" t="e">
        <f>IF('Phytopl Count'!#REF!=0,"",'Phytopl Count'!#REF!*'Phytopl Count'!#REF!/'Phytopl Count'!#REF!)</f>
        <v>#REF!</v>
      </c>
      <c r="H18" s="31" t="e">
        <f>IF('Phytopl Count'!#REF!=0,"",'Phytopl Count'!#REF!*'Phytopl Count'!#REF!/'Phytopl Count'!#REF!)</f>
        <v>#REF!</v>
      </c>
      <c r="I18" s="31" t="e">
        <f>IF('Phytopl Count'!#REF!=0,"",'Phytopl Count'!#REF!*'Phytopl Count'!#REF!/'Phytopl Count'!#REF!)</f>
        <v>#REF!</v>
      </c>
    </row>
    <row r="19" spans="1:9">
      <c r="A19" s="4" t="s">
        <v>138</v>
      </c>
      <c r="B19" s="4" t="s">
        <v>13</v>
      </c>
      <c r="C19" s="4" t="s">
        <v>89</v>
      </c>
      <c r="D19" s="60" t="s">
        <v>146</v>
      </c>
      <c r="E19" s="10"/>
      <c r="F19" s="11" t="s">
        <v>171</v>
      </c>
      <c r="G19" s="31" t="e">
        <f>IF('Phytopl Count'!#REF!=0,"",'Phytopl Count'!#REF!*'Phytopl Count'!#REF!/'Phytopl Count'!#REF!)</f>
        <v>#REF!</v>
      </c>
      <c r="H19" s="31" t="e">
        <f>IF('Phytopl Count'!#REF!=0,"",'Phytopl Count'!#REF!*'Phytopl Count'!#REF!/'Phytopl Count'!#REF!)</f>
        <v>#REF!</v>
      </c>
      <c r="I19" s="31" t="e">
        <f>IF('Phytopl Count'!#REF!=0,"",'Phytopl Count'!#REF!*'Phytopl Count'!#REF!/'Phytopl Count'!#REF!)</f>
        <v>#REF!</v>
      </c>
    </row>
    <row r="20" spans="1:9" s="4" customFormat="1">
      <c r="A20" s="16"/>
      <c r="B20" s="16"/>
      <c r="C20" s="16"/>
      <c r="F20" s="59"/>
      <c r="G20" s="31" t="e">
        <f>IF('Phytopl Count'!#REF!=0,"",'Phytopl Count'!#REF!*'Phytopl Count'!#REF!/'Phytopl Count'!#REF!)</f>
        <v>#REF!</v>
      </c>
      <c r="H20" s="31" t="e">
        <f>IF('Phytopl Count'!#REF!=0,"",'Phytopl Count'!#REF!*'Phytopl Count'!#REF!/'Phytopl Count'!#REF!)</f>
        <v>#REF!</v>
      </c>
      <c r="I20" s="31" t="e">
        <f>IF('Phytopl Count'!#REF!=0,"",'Phytopl Count'!#REF!*'Phytopl Count'!#REF!/'Phytopl Count'!#REF!)</f>
        <v>#REF!</v>
      </c>
    </row>
    <row r="21" spans="1:9" s="4" customFormat="1">
      <c r="A21" s="61"/>
      <c r="B21" s="61"/>
      <c r="D21" s="61"/>
      <c r="F21" s="62"/>
      <c r="G21" s="31" t="e">
        <f>IF('Phytopl Count'!#REF!=0,"",'Phytopl Count'!#REF!*'Phytopl Count'!#REF!/'Phytopl Count'!#REF!)</f>
        <v>#REF!</v>
      </c>
      <c r="H21" s="31" t="e">
        <f>IF('Phytopl Count'!#REF!=0,"",'Phytopl Count'!#REF!*'Phytopl Count'!#REF!/'Phytopl Count'!#REF!)</f>
        <v>#REF!</v>
      </c>
      <c r="I21" s="31" t="e">
        <f>IF('Phytopl Count'!#REF!=0,"",'Phytopl Count'!#REF!*'Phytopl Count'!#REF!/'Phytopl Count'!#REF!)</f>
        <v>#REF!</v>
      </c>
    </row>
    <row r="22" spans="1:9" s="4" customFormat="1">
      <c r="A22" s="4" t="s">
        <v>138</v>
      </c>
      <c r="B22" s="4" t="s">
        <v>13</v>
      </c>
      <c r="C22" s="4" t="s">
        <v>139</v>
      </c>
      <c r="D22" s="60" t="s">
        <v>140</v>
      </c>
      <c r="E22" s="10"/>
      <c r="F22" s="11" t="s">
        <v>141</v>
      </c>
      <c r="G22" s="31" t="e">
        <f>IF('Phytopl Count'!#REF!=0,"",'Phytopl Count'!#REF!*'Phytopl Count'!#REF!/'Phytopl Count'!#REF!)</f>
        <v>#REF!</v>
      </c>
      <c r="H22" s="31" t="e">
        <f>IF('Phytopl Count'!#REF!=0,"",'Phytopl Count'!#REF!*'Phytopl Count'!#REF!/'Phytopl Count'!#REF!)</f>
        <v>#REF!</v>
      </c>
      <c r="I22" s="31" t="e">
        <f>IF('Phytopl Count'!#REF!=0,"",'Phytopl Count'!#REF!*'Phytopl Count'!#REF!/'Phytopl Count'!#REF!)</f>
        <v>#REF!</v>
      </c>
    </row>
    <row r="23" spans="1:9">
      <c r="E23" s="10"/>
      <c r="F23" s="11"/>
      <c r="G23" s="31" t="e">
        <f>IF('Phytopl Count'!#REF!=0,"",'Phytopl Count'!#REF!*'Phytopl Count'!#REF!/'Phytopl Count'!#REF!)</f>
        <v>#REF!</v>
      </c>
      <c r="H23" s="31" t="e">
        <f>IF('Phytopl Count'!#REF!=0,"",'Phytopl Count'!#REF!*'Phytopl Count'!#REF!/'Phytopl Count'!#REF!)</f>
        <v>#REF!</v>
      </c>
      <c r="I23" s="31" t="e">
        <f>IF('Phytopl Count'!#REF!=0,"",'Phytopl Count'!#REF!*'Phytopl Count'!#REF!/'Phytopl Count'!#REF!)</f>
        <v>#REF!</v>
      </c>
    </row>
    <row r="24" spans="1:9">
      <c r="D24" s="10"/>
      <c r="F24" s="11"/>
      <c r="G24" s="31" t="e">
        <f>IF('Phytopl Count'!#REF!=0,"",'Phytopl Count'!#REF!*'Phytopl Count'!#REF!/'Phytopl Count'!#REF!)</f>
        <v>#REF!</v>
      </c>
      <c r="H24" s="31" t="e">
        <f>IF('Phytopl Count'!#REF!=0,"",'Phytopl Count'!#REF!*'Phytopl Count'!#REF!/'Phytopl Count'!#REF!)</f>
        <v>#REF!</v>
      </c>
      <c r="I24" s="31" t="e">
        <f>IF('Phytopl Count'!#REF!=0,"",'Phytopl Count'!#REF!*'Phytopl Count'!#REF!/'Phytopl Count'!#REF!)</f>
        <v>#REF!</v>
      </c>
    </row>
    <row r="25" spans="1:9">
      <c r="A25" s="4" t="s">
        <v>138</v>
      </c>
      <c r="B25" s="4" t="s">
        <v>13</v>
      </c>
      <c r="C25" s="28" t="s">
        <v>160</v>
      </c>
      <c r="D25" s="12" t="s">
        <v>161</v>
      </c>
      <c r="E25" s="10"/>
      <c r="F25" s="11" t="s">
        <v>114</v>
      </c>
      <c r="G25" s="31" t="e">
        <f>IF('Phytopl Count'!#REF!=0,"",'Phytopl Count'!#REF!*'Phytopl Count'!#REF!/'Phytopl Count'!#REF!)</f>
        <v>#REF!</v>
      </c>
      <c r="H25" s="31" t="e">
        <f>IF('Phytopl Count'!#REF!=0,"",'Phytopl Count'!#REF!*'Phytopl Count'!#REF!/'Phytopl Count'!#REF!)</f>
        <v>#REF!</v>
      </c>
      <c r="I25" s="31" t="e">
        <f>IF('Phytopl Count'!#REF!=0,"",'Phytopl Count'!#REF!*'Phytopl Count'!#REF!/'Phytopl Count'!#REF!)</f>
        <v>#REF!</v>
      </c>
    </row>
    <row r="26" spans="1:9">
      <c r="A26" s="10"/>
      <c r="B26" s="10"/>
      <c r="C26" s="10"/>
      <c r="E26" s="10"/>
      <c r="F26" s="11"/>
      <c r="G26" s="31" t="e">
        <f>IF('Phytopl Count'!#REF!=0,"",'Phytopl Count'!#REF!*'Phytopl Count'!#REF!/'Phytopl Count'!#REF!)</f>
        <v>#REF!</v>
      </c>
      <c r="H26" s="31" t="e">
        <f>IF('Phytopl Count'!#REF!=0,"",'Phytopl Count'!#REF!*'Phytopl Count'!#REF!/'Phytopl Count'!#REF!)</f>
        <v>#REF!</v>
      </c>
      <c r="I26" s="31" t="e">
        <f>IF('Phytopl Count'!#REF!=0,"",'Phytopl Count'!#REF!*'Phytopl Count'!#REF!/'Phytopl Count'!#REF!)</f>
        <v>#REF!</v>
      </c>
    </row>
    <row r="27" spans="1:9">
      <c r="A27" s="10"/>
      <c r="B27" s="10"/>
      <c r="C27" s="10"/>
      <c r="D27" s="10"/>
      <c r="F27" s="11"/>
      <c r="G27" s="31" t="e">
        <f>IF('Phytopl Count'!#REF!=0,"",'Phytopl Count'!#REF!*'Phytopl Count'!#REF!/'Phytopl Count'!#REF!)</f>
        <v>#REF!</v>
      </c>
      <c r="H27" s="31" t="e">
        <f>IF('Phytopl Count'!#REF!=0,"",'Phytopl Count'!#REF!*'Phytopl Count'!#REF!/'Phytopl Count'!#REF!)</f>
        <v>#REF!</v>
      </c>
      <c r="I27" s="31" t="e">
        <f>IF('Phytopl Count'!#REF!=0,"",'Phytopl Count'!#REF!*'Phytopl Count'!#REF!/'Phytopl Count'!#REF!)</f>
        <v>#REF!</v>
      </c>
    </row>
    <row r="28" spans="1:9">
      <c r="A28" s="4" t="s">
        <v>138</v>
      </c>
      <c r="B28" s="4" t="s">
        <v>13</v>
      </c>
      <c r="C28" s="28" t="s">
        <v>86</v>
      </c>
      <c r="D28" s="12" t="s">
        <v>87</v>
      </c>
      <c r="E28" s="10"/>
      <c r="F28" s="11" t="s">
        <v>34</v>
      </c>
      <c r="G28" s="31" t="e">
        <f>IF('Phytopl Count'!#REF!=0,"",'Phytopl Count'!#REF!*'Phytopl Count'!#REF!/'Phytopl Count'!#REF!)</f>
        <v>#REF!</v>
      </c>
      <c r="H28" s="31" t="e">
        <f>IF('Phytopl Count'!#REF!=0,"",'Phytopl Count'!#REF!*'Phytopl Count'!#REF!/'Phytopl Count'!#REF!)</f>
        <v>#REF!</v>
      </c>
      <c r="I28" s="31" t="e">
        <f>IF('Phytopl Count'!#REF!=0,"",'Phytopl Count'!#REF!*'Phytopl Count'!#REF!/'Phytopl Count'!#REF!)</f>
        <v>#REF!</v>
      </c>
    </row>
    <row r="29" spans="1:9">
      <c r="A29" s="4"/>
      <c r="B29" s="4"/>
      <c r="C29" s="16"/>
      <c r="E29" s="16"/>
      <c r="F29" s="54"/>
      <c r="G29" s="31" t="e">
        <f>IF('Phytopl Count'!#REF!=0,"",'Phytopl Count'!#REF!*'Phytopl Count'!#REF!/'Phytopl Count'!#REF!)</f>
        <v>#REF!</v>
      </c>
      <c r="H29" s="31" t="e">
        <f>IF('Phytopl Count'!#REF!=0,"",'Phytopl Count'!#REF!*'Phytopl Count'!#REF!/'Phytopl Count'!#REF!)</f>
        <v>#REF!</v>
      </c>
      <c r="I29" s="31" t="e">
        <f>IF('Phytopl Count'!#REF!=0,"",'Phytopl Count'!#REF!*'Phytopl Count'!#REF!/'Phytopl Count'!#REF!)</f>
        <v>#REF!</v>
      </c>
    </row>
    <row r="30" spans="1:9">
      <c r="D30" s="10"/>
      <c r="F30" s="9"/>
      <c r="G30" s="31" t="e">
        <f>IF('Phytopl Count'!#REF!=0,"",'Phytopl Count'!#REF!*'Phytopl Count'!#REF!/'Phytopl Count'!#REF!)</f>
        <v>#REF!</v>
      </c>
      <c r="H30" s="31" t="e">
        <f>IF('Phytopl Count'!#REF!=0,"",'Phytopl Count'!#REF!*'Phytopl Count'!#REF!/'Phytopl Count'!#REF!)</f>
        <v>#REF!</v>
      </c>
      <c r="I30" s="31" t="e">
        <f>IF('Phytopl Count'!#REF!=0,"",'Phytopl Count'!#REF!*'Phytopl Count'!#REF!/'Phytopl Count'!#REF!)</f>
        <v>#REF!</v>
      </c>
    </row>
    <row r="31" spans="1:9">
      <c r="A31" s="4" t="s">
        <v>138</v>
      </c>
      <c r="B31" s="4" t="s">
        <v>13</v>
      </c>
      <c r="C31" s="4" t="s">
        <v>88</v>
      </c>
      <c r="D31" s="5" t="s">
        <v>35</v>
      </c>
      <c r="E31" s="10"/>
      <c r="F31" s="11" t="s">
        <v>36</v>
      </c>
      <c r="G31" s="31" t="e">
        <f>IF('Phytopl Count'!#REF!=0,"",'Phytopl Count'!#REF!*'Phytopl Count'!#REF!/'Phytopl Count'!#REF!)</f>
        <v>#REF!</v>
      </c>
      <c r="H31" s="31" t="e">
        <f>IF('Phytopl Count'!#REF!=0,"",'Phytopl Count'!#REF!*'Phytopl Count'!#REF!/'Phytopl Count'!#REF!)</f>
        <v>#REF!</v>
      </c>
      <c r="I31" s="31" t="e">
        <f>IF('Phytopl Count'!#REF!=0,"",'Phytopl Count'!#REF!*'Phytopl Count'!#REF!/'Phytopl Count'!#REF!)</f>
        <v>#REF!</v>
      </c>
    </row>
    <row r="32" spans="1:9">
      <c r="A32" s="4" t="s">
        <v>138</v>
      </c>
      <c r="B32" s="4" t="s">
        <v>13</v>
      </c>
      <c r="C32" s="4" t="s">
        <v>88</v>
      </c>
      <c r="D32" s="5" t="s">
        <v>35</v>
      </c>
      <c r="E32" s="10"/>
      <c r="F32" s="50" t="s">
        <v>145</v>
      </c>
      <c r="G32" s="31" t="e">
        <f>IF('Phytopl Count'!#REF!=0,"",'Phytopl Count'!#REF!*'Phytopl Count'!#REF!/'Phytopl Count'!#REF!)</f>
        <v>#REF!</v>
      </c>
      <c r="H32" s="31" t="e">
        <f>IF('Phytopl Count'!#REF!=0,"",'Phytopl Count'!#REF!*'Phytopl Count'!#REF!/'Phytopl Count'!#REF!)</f>
        <v>#REF!</v>
      </c>
      <c r="I32" s="31" t="e">
        <f>IF('Phytopl Count'!#REF!=0,"",'Phytopl Count'!#REF!*'Phytopl Count'!#REF!/'Phytopl Count'!#REF!)</f>
        <v>#REF!</v>
      </c>
    </row>
    <row r="33" spans="1:9">
      <c r="A33" s="4"/>
      <c r="B33" s="4"/>
      <c r="C33" s="16"/>
      <c r="E33" s="16"/>
      <c r="F33" s="54"/>
      <c r="G33" s="31" t="e">
        <f>IF('Phytopl Count'!#REF!=0,"",'Phytopl Count'!#REF!*'Phytopl Count'!#REF!/'Phytopl Count'!#REF!)</f>
        <v>#REF!</v>
      </c>
      <c r="H33" s="31" t="e">
        <f>IF('Phytopl Count'!#REF!=0,"",'Phytopl Count'!#REF!*'Phytopl Count'!#REF!/'Phytopl Count'!#REF!)</f>
        <v>#REF!</v>
      </c>
      <c r="I33" s="31" t="e">
        <f>IF('Phytopl Count'!#REF!=0,"",'Phytopl Count'!#REF!*'Phytopl Count'!#REF!/'Phytopl Count'!#REF!)</f>
        <v>#REF!</v>
      </c>
    </row>
    <row r="34" spans="1:9">
      <c r="D34" s="10"/>
      <c r="F34" s="9"/>
      <c r="G34" s="31" t="e">
        <f>IF('Phytopl Count'!#REF!=0,"",'Phytopl Count'!#REF!*'Phytopl Count'!#REF!/'Phytopl Count'!#REF!)</f>
        <v>#REF!</v>
      </c>
      <c r="H34" s="31" t="e">
        <f>IF('Phytopl Count'!#REF!=0,"",'Phytopl Count'!#REF!*'Phytopl Count'!#REF!/'Phytopl Count'!#REF!)</f>
        <v>#REF!</v>
      </c>
      <c r="I34" s="31" t="e">
        <f>IF('Phytopl Count'!#REF!=0,"",'Phytopl Count'!#REF!*'Phytopl Count'!#REF!/'Phytopl Count'!#REF!)</f>
        <v>#REF!</v>
      </c>
    </row>
    <row r="35" spans="1:9">
      <c r="A35" s="4" t="s">
        <v>138</v>
      </c>
      <c r="B35" s="4" t="s">
        <v>13</v>
      </c>
      <c r="C35" s="4" t="s">
        <v>90</v>
      </c>
      <c r="D35" s="5" t="s">
        <v>37</v>
      </c>
      <c r="E35" s="10"/>
      <c r="F35" s="11" t="s">
        <v>38</v>
      </c>
      <c r="G35" s="31" t="e">
        <f>IF('Phytopl Count'!#REF!=0,"",'Phytopl Count'!#REF!*'Phytopl Count'!#REF!/'Phytopl Count'!#REF!)</f>
        <v>#REF!</v>
      </c>
      <c r="H35" s="31" t="e">
        <f>IF('Phytopl Count'!#REF!=0,"",'Phytopl Count'!#REF!*'Phytopl Count'!#REF!/'Phytopl Count'!#REF!)</f>
        <v>#REF!</v>
      </c>
      <c r="I35" s="31" t="e">
        <f>IF('Phytopl Count'!#REF!=0,"",'Phytopl Count'!#REF!*'Phytopl Count'!#REF!/'Phytopl Count'!#REF!)</f>
        <v>#REF!</v>
      </c>
    </row>
    <row r="36" spans="1:9">
      <c r="D36" s="10"/>
      <c r="F36" s="11"/>
      <c r="G36" s="31" t="e">
        <f>IF('Phytopl Count'!#REF!=0,"",'Phytopl Count'!#REF!*'Phytopl Count'!#REF!/'Phytopl Count'!#REF!)</f>
        <v>#REF!</v>
      </c>
      <c r="H36" s="31" t="e">
        <f>IF('Phytopl Count'!#REF!=0,"",'Phytopl Count'!#REF!*'Phytopl Count'!#REF!/'Phytopl Count'!#REF!)</f>
        <v>#REF!</v>
      </c>
      <c r="I36" s="31" t="e">
        <f>IF('Phytopl Count'!#REF!=0,"",'Phytopl Count'!#REF!*'Phytopl Count'!#REF!/'Phytopl Count'!#REF!)</f>
        <v>#REF!</v>
      </c>
    </row>
    <row r="37" spans="1:9">
      <c r="A37" s="4" t="s">
        <v>138</v>
      </c>
      <c r="B37" s="4" t="s">
        <v>13</v>
      </c>
      <c r="C37" s="4" t="s">
        <v>90</v>
      </c>
      <c r="D37" s="12" t="s">
        <v>91</v>
      </c>
      <c r="E37" s="10"/>
      <c r="F37" s="11" t="s">
        <v>39</v>
      </c>
      <c r="G37" s="31" t="e">
        <f>IF('Phytopl Count'!#REF!=0,"",'Phytopl Count'!#REF!*'Phytopl Count'!#REF!/'Phytopl Count'!#REF!)</f>
        <v>#REF!</v>
      </c>
      <c r="H37" s="31" t="e">
        <f>IF('Phytopl Count'!#REF!=0,"",'Phytopl Count'!#REF!*'Phytopl Count'!#REF!/'Phytopl Count'!#REF!)</f>
        <v>#REF!</v>
      </c>
      <c r="I37" s="31" t="e">
        <f>IF('Phytopl Count'!#REF!=0,"",'Phytopl Count'!#REF!*'Phytopl Count'!#REF!/'Phytopl Count'!#REF!)</f>
        <v>#REF!</v>
      </c>
    </row>
    <row r="38" spans="1:9" s="4" customFormat="1">
      <c r="A38" s="5"/>
      <c r="B38" s="5"/>
      <c r="C38" s="5"/>
      <c r="D38" s="5"/>
      <c r="E38" s="10"/>
      <c r="F38" s="11"/>
      <c r="G38" s="31" t="e">
        <f>IF('Phytopl Count'!#REF!=0,"",'Phytopl Count'!#REF!*'Phytopl Count'!#REF!/'Phytopl Count'!#REF!)</f>
        <v>#REF!</v>
      </c>
      <c r="H38" s="31"/>
      <c r="I38" s="31"/>
    </row>
    <row r="39" spans="1:9">
      <c r="A39" s="16"/>
      <c r="B39" s="16"/>
      <c r="D39" s="4"/>
      <c r="E39" s="4"/>
      <c r="F39" s="59"/>
      <c r="G39" s="31" t="e">
        <f>IF('Phytopl Count'!#REF!=0,"",'Phytopl Count'!#REF!*'Phytopl Count'!#REF!/'Phytopl Count'!#REF!)</f>
        <v>#REF!</v>
      </c>
      <c r="H39" s="31" t="e">
        <f>IF('Phytopl Count'!#REF!=0,"",'Phytopl Count'!#REF!*'Phytopl Count'!#REF!/'Phytopl Count'!#REF!)</f>
        <v>#REF!</v>
      </c>
      <c r="I39" s="31" t="e">
        <f>IF('Phytopl Count'!#REF!=0,"",'Phytopl Count'!#REF!*'Phytopl Count'!#REF!/'Phytopl Count'!#REF!)</f>
        <v>#REF!</v>
      </c>
    </row>
    <row r="40" spans="1:9">
      <c r="A40" s="16"/>
      <c r="B40" s="16"/>
      <c r="C40" s="16"/>
      <c r="E40" s="4"/>
      <c r="F40" s="59"/>
      <c r="G40" s="31" t="e">
        <f>IF('Phytopl Count'!#REF!=0,"",'Phytopl Count'!#REF!*'Phytopl Count'!#REF!/'Phytopl Count'!#REF!)</f>
        <v>#REF!</v>
      </c>
      <c r="H40" s="31" t="e">
        <f>IF('Phytopl Count'!#REF!=0,"",'Phytopl Count'!#REF!*'Phytopl Count'!#REF!/'Phytopl Count'!#REF!)</f>
        <v>#REF!</v>
      </c>
      <c r="I40" s="31" t="e">
        <f>IF('Phytopl Count'!#REF!=0,"",'Phytopl Count'!#REF!*'Phytopl Count'!#REF!/'Phytopl Count'!#REF!)</f>
        <v>#REF!</v>
      </c>
    </row>
    <row r="41" spans="1:9">
      <c r="A41" s="61"/>
      <c r="B41" s="61"/>
      <c r="C41" s="61"/>
      <c r="D41" s="61"/>
      <c r="F41" s="62"/>
      <c r="G41" s="31" t="e">
        <f>IF('Phytopl Count'!#REF!=0,"",'Phytopl Count'!#REF!*'Phytopl Count'!#REF!/'Phytopl Count'!#REF!)</f>
        <v>#REF!</v>
      </c>
      <c r="H41" s="31" t="e">
        <f>IF('Phytopl Count'!#REF!=0,"",'Phytopl Count'!#REF!*'Phytopl Count'!#REF!/'Phytopl Count'!#REF!)</f>
        <v>#REF!</v>
      </c>
      <c r="I41" s="31" t="e">
        <f>IF('Phytopl Count'!#REF!=0,"",'Phytopl Count'!#REF!*'Phytopl Count'!#REF!/'Phytopl Count'!#REF!)</f>
        <v>#REF!</v>
      </c>
    </row>
    <row r="42" spans="1:9">
      <c r="A42" s="4" t="s">
        <v>138</v>
      </c>
      <c r="B42" s="4" t="s">
        <v>76</v>
      </c>
      <c r="C42" s="4" t="s">
        <v>142</v>
      </c>
      <c r="D42" s="60" t="s">
        <v>143</v>
      </c>
      <c r="E42" s="10"/>
      <c r="F42" s="11" t="s">
        <v>144</v>
      </c>
      <c r="G42" s="31" t="e">
        <f>IF('Phytopl Count'!#REF!=0,"",'Phytopl Count'!#REF!*'Phytopl Count'!#REF!/'Phytopl Count'!#REF!)</f>
        <v>#REF!</v>
      </c>
      <c r="H42" s="31" t="e">
        <f>IF('Phytopl Count'!#REF!=0,"",'Phytopl Count'!#REF!*'Phytopl Count'!#REF!/'Phytopl Count'!#REF!)</f>
        <v>#REF!</v>
      </c>
      <c r="I42" s="31" t="e">
        <f>IF('Phytopl Count'!#REF!=0,"",'Phytopl Count'!#REF!*'Phytopl Count'!#REF!/'Phytopl Count'!#REF!)</f>
        <v>#REF!</v>
      </c>
    </row>
    <row r="43" spans="1:9">
      <c r="A43" s="4"/>
      <c r="B43" s="4"/>
      <c r="C43" s="16"/>
      <c r="E43" s="4"/>
      <c r="F43" s="54"/>
      <c r="G43" s="31" t="e">
        <f>IF('Phytopl Count'!#REF!=0,"",'Phytopl Count'!#REF!*'Phytopl Count'!#REF!/'Phytopl Count'!#REF!)</f>
        <v>#REF!</v>
      </c>
      <c r="H43" s="31" t="e">
        <f>IF('Phytopl Count'!#REF!=0,"",'Phytopl Count'!#REF!*'Phytopl Count'!#REF!/'Phytopl Count'!#REF!)</f>
        <v>#REF!</v>
      </c>
      <c r="I43" s="31" t="e">
        <f>IF('Phytopl Count'!#REF!=0,"",'Phytopl Count'!#REF!*'Phytopl Count'!#REF!/'Phytopl Count'!#REF!)</f>
        <v>#REF!</v>
      </c>
    </row>
    <row r="44" spans="1:9">
      <c r="D44" s="10"/>
      <c r="F44" s="11"/>
      <c r="G44" s="31" t="e">
        <f>IF('Phytopl Count'!#REF!=0,"",'Phytopl Count'!#REF!*'Phytopl Count'!#REF!/'Phytopl Count'!#REF!)</f>
        <v>#REF!</v>
      </c>
      <c r="H44" s="31" t="e">
        <f>IF('Phytopl Count'!#REF!=0,"",'Phytopl Count'!#REF!*'Phytopl Count'!#REF!/'Phytopl Count'!#REF!)</f>
        <v>#REF!</v>
      </c>
      <c r="I44" s="31" t="e">
        <f>IF('Phytopl Count'!#REF!=0,"",'Phytopl Count'!#REF!*'Phytopl Count'!#REF!/'Phytopl Count'!#REF!)</f>
        <v>#REF!</v>
      </c>
    </row>
    <row r="45" spans="1:9">
      <c r="A45" s="4" t="s">
        <v>138</v>
      </c>
      <c r="B45" s="4" t="s">
        <v>76</v>
      </c>
      <c r="C45" s="4" t="s">
        <v>78</v>
      </c>
      <c r="D45" s="5" t="s">
        <v>17</v>
      </c>
      <c r="E45" s="10"/>
      <c r="F45" s="11" t="s">
        <v>18</v>
      </c>
      <c r="G45" s="31" t="e">
        <f>IF('Phytopl Count'!#REF!=0,"",'Phytopl Count'!#REF!*'Phytopl Count'!#REF!/'Phytopl Count'!#REF!)</f>
        <v>#REF!</v>
      </c>
      <c r="H45" s="31" t="e">
        <f>IF('Phytopl Count'!#REF!=0,"",'Phytopl Count'!#REF!*'Phytopl Count'!#REF!/'Phytopl Count'!#REF!)</f>
        <v>#REF!</v>
      </c>
      <c r="I45" s="31" t="e">
        <f>IF('Phytopl Count'!#REF!=0,"",'Phytopl Count'!#REF!*'Phytopl Count'!#REF!/'Phytopl Count'!#REF!)</f>
        <v>#REF!</v>
      </c>
    </row>
    <row r="46" spans="1:9">
      <c r="D46" s="10"/>
      <c r="F46" s="11"/>
      <c r="G46" s="31" t="e">
        <f>IF('Phytopl Count'!#REF!=0,"",'Phytopl Count'!#REF!*'Phytopl Count'!#REF!/'Phytopl Count'!#REF!)</f>
        <v>#REF!</v>
      </c>
      <c r="H46" s="31" t="e">
        <f>IF('Phytopl Count'!#REF!=0,"",'Phytopl Count'!#REF!*'Phytopl Count'!#REF!/'Phytopl Count'!#REF!)</f>
        <v>#REF!</v>
      </c>
      <c r="I46" s="31" t="e">
        <f>IF('Phytopl Count'!#REF!=0,"",'Phytopl Count'!#REF!*'Phytopl Count'!#REF!/'Phytopl Count'!#REF!)</f>
        <v>#REF!</v>
      </c>
    </row>
    <row r="47" spans="1:9">
      <c r="A47" s="4" t="s">
        <v>138</v>
      </c>
      <c r="B47" s="4" t="s">
        <v>76</v>
      </c>
      <c r="C47" s="4" t="s">
        <v>78</v>
      </c>
      <c r="D47" s="12" t="s">
        <v>99</v>
      </c>
      <c r="E47" s="10"/>
      <c r="F47" s="11" t="s">
        <v>100</v>
      </c>
      <c r="G47" s="31" t="e">
        <f>IF('Phytopl Count'!#REF!=0,"",'Phytopl Count'!#REF!*'Phytopl Count'!#REF!/'Phytopl Count'!#REF!)</f>
        <v>#REF!</v>
      </c>
      <c r="H47" s="31" t="e">
        <f>IF('Phytopl Count'!#REF!=0,"",'Phytopl Count'!#REF!*'Phytopl Count'!#REF!/'Phytopl Count'!#REF!)</f>
        <v>#REF!</v>
      </c>
      <c r="I47" s="31" t="e">
        <f>IF('Phytopl Count'!#REF!=0,"",'Phytopl Count'!#REF!*'Phytopl Count'!#REF!/'Phytopl Count'!#REF!)</f>
        <v>#REF!</v>
      </c>
    </row>
    <row r="48" spans="1:9">
      <c r="C48" s="10"/>
      <c r="F48" s="11"/>
      <c r="G48" s="31"/>
      <c r="H48" s="31"/>
      <c r="I48" s="31"/>
    </row>
    <row r="49" spans="1:9">
      <c r="D49" s="10"/>
      <c r="F49" s="11"/>
      <c r="G49" s="31"/>
      <c r="H49" s="31"/>
      <c r="I49" s="31"/>
    </row>
    <row r="50" spans="1:9">
      <c r="A50" s="4" t="s">
        <v>138</v>
      </c>
      <c r="B50" s="4" t="s">
        <v>76</v>
      </c>
      <c r="C50" s="4" t="s">
        <v>19</v>
      </c>
      <c r="D50" s="5" t="s">
        <v>157</v>
      </c>
      <c r="E50" s="10"/>
      <c r="F50" s="11" t="s">
        <v>19</v>
      </c>
      <c r="G50" s="31" t="e">
        <f>IF('Phytopl Count'!#REF!=0,"",'Phytopl Count'!#REF!*'Phytopl Count'!#REF!/'Phytopl Count'!#REF!)</f>
        <v>#REF!</v>
      </c>
      <c r="H50" s="31" t="e">
        <f>IF('Phytopl Count'!#REF!=0,"",'Phytopl Count'!#REF!*'Phytopl Count'!#REF!/'Phytopl Count'!#REF!)</f>
        <v>#REF!</v>
      </c>
      <c r="I50" s="31" t="e">
        <f>IF('Phytopl Count'!#REF!=0,"",'Phytopl Count'!#REF!*'Phytopl Count'!#REF!/'Phytopl Count'!#REF!)</f>
        <v>#REF!</v>
      </c>
    </row>
    <row r="51" spans="1:9">
      <c r="C51" s="10"/>
      <c r="F51" s="11"/>
      <c r="G51" s="31"/>
      <c r="H51" s="31"/>
      <c r="I51" s="31"/>
    </row>
    <row r="52" spans="1:9">
      <c r="D52" s="10"/>
      <c r="F52" s="11"/>
      <c r="G52" s="31"/>
      <c r="H52" s="31"/>
      <c r="I52" s="31"/>
    </row>
    <row r="53" spans="1:9">
      <c r="A53" s="4" t="s">
        <v>138</v>
      </c>
      <c r="B53" s="4" t="s">
        <v>76</v>
      </c>
      <c r="C53" s="4" t="s">
        <v>158</v>
      </c>
      <c r="D53" s="5" t="s">
        <v>159</v>
      </c>
      <c r="E53" s="10"/>
      <c r="F53" s="11" t="s">
        <v>21</v>
      </c>
      <c r="G53" s="31" t="e">
        <f>IF('Phytopl Count'!#REF!=0,"",'Phytopl Count'!#REF!*'Phytopl Count'!#REF!/'Phytopl Count'!#REF!)</f>
        <v>#REF!</v>
      </c>
      <c r="H53" s="31" t="e">
        <f>IF('Phytopl Count'!#REF!=0,"",'Phytopl Count'!#REF!*'Phytopl Count'!#REF!/'Phytopl Count'!#REF!)</f>
        <v>#REF!</v>
      </c>
      <c r="I53" s="31" t="e">
        <f>IF('Phytopl Count'!#REF!=0,"",'Phytopl Count'!#REF!*'Phytopl Count'!#REF!/'Phytopl Count'!#REF!)</f>
        <v>#REF!</v>
      </c>
    </row>
    <row r="54" spans="1:9">
      <c r="A54" s="4"/>
      <c r="B54" s="4"/>
      <c r="C54" s="16"/>
      <c r="E54" s="4"/>
      <c r="F54" s="54"/>
      <c r="G54" s="31" t="e">
        <f>IF('Phytopl Count'!#REF!=0,"",'Phytopl Count'!#REF!*'Phytopl Count'!#REF!/'Phytopl Count'!#REF!)</f>
        <v>#REF!</v>
      </c>
      <c r="H54" s="31" t="e">
        <f>IF('Phytopl Count'!#REF!=0,"",'Phytopl Count'!#REF!*'Phytopl Count'!#REF!/'Phytopl Count'!#REF!)</f>
        <v>#REF!</v>
      </c>
      <c r="I54" s="31" t="e">
        <f>IF('Phytopl Count'!#REF!=0,"",'Phytopl Count'!#REF!*'Phytopl Count'!#REF!/'Phytopl Count'!#REF!)</f>
        <v>#REF!</v>
      </c>
    </row>
    <row r="55" spans="1:9">
      <c r="A55" s="10"/>
      <c r="B55" s="10"/>
      <c r="C55" s="10"/>
      <c r="D55" s="10"/>
      <c r="F55" s="9"/>
      <c r="G55" s="31" t="e">
        <f>IF('Phytopl Count'!#REF!=0,"",'Phytopl Count'!#REF!*'Phytopl Count'!#REF!/'Phytopl Count'!#REF!)</f>
        <v>#REF!</v>
      </c>
      <c r="H55" s="31" t="e">
        <f>IF('Phytopl Count'!#REF!=0,"",'Phytopl Count'!#REF!*'Phytopl Count'!#REF!/'Phytopl Count'!#REF!)</f>
        <v>#REF!</v>
      </c>
      <c r="I55" s="31" t="e">
        <f>IF('Phytopl Count'!#REF!=0,"",'Phytopl Count'!#REF!*'Phytopl Count'!#REF!/'Phytopl Count'!#REF!)</f>
        <v>#REF!</v>
      </c>
    </row>
    <row r="56" spans="1:9">
      <c r="A56" s="4" t="s">
        <v>138</v>
      </c>
      <c r="B56" s="4" t="s">
        <v>76</v>
      </c>
      <c r="C56" s="4" t="s">
        <v>80</v>
      </c>
      <c r="D56" s="5" t="s">
        <v>22</v>
      </c>
      <c r="E56" s="10"/>
      <c r="F56" s="11" t="s">
        <v>23</v>
      </c>
      <c r="G56" s="31" t="e">
        <f>IF('Phytopl Count'!#REF!=0,"",'Phytopl Count'!#REF!*'Phytopl Count'!#REF!/'Phytopl Count'!#REF!)</f>
        <v>#REF!</v>
      </c>
      <c r="H56" s="31" t="e">
        <f>IF('Phytopl Count'!#REF!=0,"",'Phytopl Count'!#REF!*'Phytopl Count'!#REF!/'Phytopl Count'!#REF!)</f>
        <v>#REF!</v>
      </c>
      <c r="I56" s="31" t="e">
        <f>IF('Phytopl Count'!#REF!=0,"",'Phytopl Count'!#REF!*'Phytopl Count'!#REF!/'Phytopl Count'!#REF!)</f>
        <v>#REF!</v>
      </c>
    </row>
    <row r="57" spans="1:9">
      <c r="D57" s="10"/>
      <c r="F57" s="11"/>
      <c r="G57" s="31" t="e">
        <f>IF('Phytopl Count'!#REF!=0,"",'Phytopl Count'!#REF!*'Phytopl Count'!#REF!/'Phytopl Count'!#REF!)</f>
        <v>#REF!</v>
      </c>
      <c r="H57" s="31" t="e">
        <f>IF('Phytopl Count'!#REF!=0,"",'Phytopl Count'!#REF!*'Phytopl Count'!#REF!/'Phytopl Count'!#REF!)</f>
        <v>#REF!</v>
      </c>
      <c r="I57" s="31" t="e">
        <f>IF('Phytopl Count'!#REF!=0,"",'Phytopl Count'!#REF!*'Phytopl Count'!#REF!/'Phytopl Count'!#REF!)</f>
        <v>#REF!</v>
      </c>
    </row>
    <row r="58" spans="1:9">
      <c r="A58" s="4" t="s">
        <v>138</v>
      </c>
      <c r="B58" s="4" t="s">
        <v>76</v>
      </c>
      <c r="C58" s="4" t="s">
        <v>80</v>
      </c>
      <c r="D58" s="12" t="s">
        <v>24</v>
      </c>
      <c r="E58" s="10"/>
      <c r="F58" s="11" t="s">
        <v>25</v>
      </c>
      <c r="G58" s="31" t="e">
        <f>IF('Phytopl Count'!#REF!=0,"",'Phytopl Count'!#REF!*'Phytopl Count'!#REF!/'Phytopl Count'!#REF!)</f>
        <v>#REF!</v>
      </c>
      <c r="H58" s="31" t="e">
        <f>IF('Phytopl Count'!#REF!=0,"",'Phytopl Count'!#REF!*'Phytopl Count'!#REF!/'Phytopl Count'!#REF!)</f>
        <v>#REF!</v>
      </c>
      <c r="I58" s="31" t="e">
        <f>IF('Phytopl Count'!#REF!=0,"",'Phytopl Count'!#REF!*'Phytopl Count'!#REF!/'Phytopl Count'!#REF!)</f>
        <v>#REF!</v>
      </c>
    </row>
    <row r="59" spans="1:9">
      <c r="A59" s="4"/>
      <c r="B59" s="4"/>
      <c r="C59" s="16"/>
      <c r="E59" s="16"/>
      <c r="F59" s="54"/>
      <c r="G59" s="31" t="e">
        <f>IF('Phytopl Count'!#REF!=0,"",'Phytopl Count'!#REF!*'Phytopl Count'!#REF!/'Phytopl Count'!#REF!)</f>
        <v>#REF!</v>
      </c>
      <c r="H59" s="31" t="e">
        <f>IF('Phytopl Count'!#REF!=0,"",'Phytopl Count'!#REF!*'Phytopl Count'!#REF!/'Phytopl Count'!#REF!)</f>
        <v>#REF!</v>
      </c>
      <c r="I59" s="31" t="e">
        <f>IF('Phytopl Count'!#REF!=0,"",'Phytopl Count'!#REF!*'Phytopl Count'!#REF!/'Phytopl Count'!#REF!)</f>
        <v>#REF!</v>
      </c>
    </row>
    <row r="60" spans="1:9">
      <c r="D60" s="10"/>
      <c r="F60" s="11"/>
      <c r="G60" s="31" t="e">
        <f>IF('Phytopl Count'!#REF!=0,"",'Phytopl Count'!#REF!*'Phytopl Count'!#REF!/'Phytopl Count'!#REF!)</f>
        <v>#REF!</v>
      </c>
      <c r="H60" s="31" t="e">
        <f>IF('Phytopl Count'!#REF!=0,"",'Phytopl Count'!#REF!*'Phytopl Count'!#REF!/'Phytopl Count'!#REF!)</f>
        <v>#REF!</v>
      </c>
      <c r="I60" s="31" t="e">
        <f>IF('Phytopl Count'!#REF!=0,"",'Phytopl Count'!#REF!*'Phytopl Count'!#REF!/'Phytopl Count'!#REF!)</f>
        <v>#REF!</v>
      </c>
    </row>
    <row r="61" spans="1:9">
      <c r="A61" s="4" t="s">
        <v>138</v>
      </c>
      <c r="B61" s="4" t="s">
        <v>76</v>
      </c>
      <c r="C61" s="4" t="s">
        <v>81</v>
      </c>
      <c r="D61" s="12" t="s">
        <v>26</v>
      </c>
      <c r="E61" s="10"/>
      <c r="F61" s="11" t="s">
        <v>27</v>
      </c>
      <c r="G61" s="31" t="e">
        <f>IF('Phytopl Count'!#REF!=0,"",'Phytopl Count'!#REF!*'Phytopl Count'!#REF!/'Phytopl Count'!#REF!)</f>
        <v>#REF!</v>
      </c>
      <c r="H61" s="31" t="e">
        <f>IF('Phytopl Count'!#REF!=0,"",'Phytopl Count'!#REF!*'Phytopl Count'!#REF!/'Phytopl Count'!#REF!)</f>
        <v>#REF!</v>
      </c>
      <c r="I61" s="31" t="e">
        <f>IF('Phytopl Count'!#REF!=0,"",'Phytopl Count'!#REF!*'Phytopl Count'!#REF!/'Phytopl Count'!#REF!)</f>
        <v>#REF!</v>
      </c>
    </row>
    <row r="62" spans="1:9">
      <c r="A62" s="4" t="s">
        <v>138</v>
      </c>
      <c r="B62" s="4" t="s">
        <v>76</v>
      </c>
      <c r="C62" s="4" t="s">
        <v>81</v>
      </c>
      <c r="D62" s="12" t="s">
        <v>26</v>
      </c>
      <c r="E62" s="12"/>
      <c r="F62" s="11" t="s">
        <v>28</v>
      </c>
      <c r="G62" s="31" t="e">
        <f>IF('Phytopl Count'!#REF!=0,"",'Phytopl Count'!#REF!*'Phytopl Count'!#REF!/'Phytopl Count'!#REF!)</f>
        <v>#REF!</v>
      </c>
      <c r="H62" s="31" t="e">
        <f>IF('Phytopl Count'!#REF!=0,"",'Phytopl Count'!#REF!*'Phytopl Count'!#REF!/'Phytopl Count'!#REF!)</f>
        <v>#REF!</v>
      </c>
      <c r="I62" s="31" t="e">
        <f>IF('Phytopl Count'!#REF!=0,"",'Phytopl Count'!#REF!*'Phytopl Count'!#REF!/'Phytopl Count'!#REF!)</f>
        <v>#REF!</v>
      </c>
    </row>
    <row r="63" spans="1:9">
      <c r="A63" s="4"/>
      <c r="B63" s="4"/>
      <c r="C63" s="16"/>
      <c r="E63" s="16"/>
      <c r="F63" s="54"/>
      <c r="G63" s="31" t="e">
        <f>IF('Phytopl Count'!#REF!=0,"",'Phytopl Count'!#REF!*'Phytopl Count'!#REF!/'Phytopl Count'!#REF!)</f>
        <v>#REF!</v>
      </c>
      <c r="H63" s="31" t="e">
        <f>IF('Phytopl Count'!#REF!=0,"",'Phytopl Count'!#REF!*'Phytopl Count'!#REF!/'Phytopl Count'!#REF!)</f>
        <v>#REF!</v>
      </c>
      <c r="I63" s="31" t="e">
        <f>IF('Phytopl Count'!#REF!=0,"",'Phytopl Count'!#REF!*'Phytopl Count'!#REF!/'Phytopl Count'!#REF!)</f>
        <v>#REF!</v>
      </c>
    </row>
    <row r="64" spans="1:9">
      <c r="D64" s="10"/>
      <c r="F64" s="11"/>
      <c r="G64" s="31" t="e">
        <f>IF('Phytopl Count'!#REF!=0,"",'Phytopl Count'!#REF!*'Phytopl Count'!#REF!/'Phytopl Count'!#REF!)</f>
        <v>#REF!</v>
      </c>
      <c r="H64" s="31" t="e">
        <f>IF('Phytopl Count'!#REF!=0,"",'Phytopl Count'!#REF!*'Phytopl Count'!#REF!/'Phytopl Count'!#REF!)</f>
        <v>#REF!</v>
      </c>
      <c r="I64" s="31" t="e">
        <f>IF('Phytopl Count'!#REF!=0,"",'Phytopl Count'!#REF!*'Phytopl Count'!#REF!/'Phytopl Count'!#REF!)</f>
        <v>#REF!</v>
      </c>
    </row>
    <row r="65" spans="1:9">
      <c r="A65" s="4" t="s">
        <v>138</v>
      </c>
      <c r="B65" s="4" t="s">
        <v>76</v>
      </c>
      <c r="C65" s="4" t="s">
        <v>109</v>
      </c>
      <c r="D65" s="12" t="s">
        <v>110</v>
      </c>
      <c r="E65" s="10"/>
      <c r="F65" s="11" t="s">
        <v>111</v>
      </c>
      <c r="G65" s="31" t="e">
        <f>IF('Phytopl Count'!#REF!=0,"",'Phytopl Count'!#REF!*'Phytopl Count'!#REF!/'Phytopl Count'!#REF!)</f>
        <v>#REF!</v>
      </c>
      <c r="H65" s="31" t="e">
        <f>IF('Phytopl Count'!#REF!=0,"",'Phytopl Count'!#REF!*'Phytopl Count'!#REF!/'Phytopl Count'!#REF!)</f>
        <v>#REF!</v>
      </c>
      <c r="I65" s="31" t="e">
        <f>IF('Phytopl Count'!#REF!=0,"",'Phytopl Count'!#REF!*'Phytopl Count'!#REF!/'Phytopl Count'!#REF!)</f>
        <v>#REF!</v>
      </c>
    </row>
    <row r="66" spans="1:9">
      <c r="E66" s="10"/>
      <c r="F66" s="11"/>
      <c r="G66" s="31" t="e">
        <f>IF('Phytopl Count'!#REF!=0,"",'Phytopl Count'!#REF!*'Phytopl Count'!#REF!/'Phytopl Count'!#REF!)</f>
        <v>#REF!</v>
      </c>
      <c r="H66" s="31"/>
      <c r="I66" s="31"/>
    </row>
    <row r="67" spans="1:9">
      <c r="A67" s="16"/>
      <c r="B67" s="16"/>
      <c r="D67" s="4"/>
      <c r="E67" s="4"/>
      <c r="F67" s="59"/>
      <c r="G67" s="31" t="e">
        <f>IF('Phytopl Count'!#REF!=0,"",'Phytopl Count'!#REF!*'Phytopl Count'!#REF!/'Phytopl Count'!#REF!)</f>
        <v>#REF!</v>
      </c>
      <c r="H67" s="31" t="e">
        <f>IF('Phytopl Count'!#REF!=0,"",'Phytopl Count'!#REF!*'Phytopl Count'!#REF!/'Phytopl Count'!#REF!)</f>
        <v>#REF!</v>
      </c>
      <c r="I67" s="31" t="e">
        <f>IF('Phytopl Count'!#REF!=0,"",'Phytopl Count'!#REF!*'Phytopl Count'!#REF!/'Phytopl Count'!#REF!)</f>
        <v>#REF!</v>
      </c>
    </row>
    <row r="68" spans="1:9">
      <c r="A68" s="16"/>
      <c r="B68" s="16"/>
      <c r="C68" s="16"/>
      <c r="E68" s="4"/>
      <c r="F68" s="59"/>
      <c r="G68" s="31" t="e">
        <f>IF('Phytopl Count'!#REF!=0,"",'Phytopl Count'!#REF!*'Phytopl Count'!#REF!/'Phytopl Count'!#REF!)</f>
        <v>#REF!</v>
      </c>
      <c r="H68" s="31" t="e">
        <f>IF('Phytopl Count'!#REF!=0,"",'Phytopl Count'!#REF!*'Phytopl Count'!#REF!/'Phytopl Count'!#REF!)</f>
        <v>#REF!</v>
      </c>
      <c r="I68" s="31" t="e">
        <f>IF('Phytopl Count'!#REF!=0,"",'Phytopl Count'!#REF!*'Phytopl Count'!#REF!/'Phytopl Count'!#REF!)</f>
        <v>#REF!</v>
      </c>
    </row>
    <row r="69" spans="1:9">
      <c r="A69" s="61"/>
      <c r="B69" s="61"/>
      <c r="C69" s="61"/>
      <c r="D69" s="61"/>
      <c r="F69" s="62"/>
      <c r="G69" s="31" t="e">
        <f>IF('Phytopl Count'!#REF!=0,"",'Phytopl Count'!#REF!*'Phytopl Count'!#REF!/'Phytopl Count'!#REF!)</f>
        <v>#REF!</v>
      </c>
      <c r="H69" s="31" t="e">
        <f>IF('Phytopl Count'!#REF!=0,"",'Phytopl Count'!#REF!*'Phytopl Count'!#REF!/'Phytopl Count'!#REF!)</f>
        <v>#REF!</v>
      </c>
      <c r="I69" s="31" t="e">
        <f>IF('Phytopl Count'!#REF!=0,"",'Phytopl Count'!#REF!*'Phytopl Count'!#REF!/'Phytopl Count'!#REF!)</f>
        <v>#REF!</v>
      </c>
    </row>
    <row r="70" spans="1:9">
      <c r="A70" s="4" t="s">
        <v>138</v>
      </c>
      <c r="B70" s="4" t="s">
        <v>148</v>
      </c>
      <c r="C70" s="4" t="s">
        <v>149</v>
      </c>
      <c r="D70" s="60" t="s">
        <v>150</v>
      </c>
      <c r="E70" s="10"/>
      <c r="F70" s="52" t="s">
        <v>151</v>
      </c>
      <c r="G70" s="31" t="e">
        <f>IF('Phytopl Count'!#REF!=0,"",'Phytopl Count'!#REF!*'Phytopl Count'!#REF!/'Phytopl Count'!#REF!)</f>
        <v>#REF!</v>
      </c>
      <c r="H70" s="31" t="e">
        <f>IF('Phytopl Count'!#REF!=0,"",'Phytopl Count'!#REF!*'Phytopl Count'!#REF!/'Phytopl Count'!#REF!)</f>
        <v>#REF!</v>
      </c>
      <c r="I70" s="31" t="e">
        <f>IF('Phytopl Count'!#REF!=0,"",'Phytopl Count'!#REF!*'Phytopl Count'!#REF!/'Phytopl Count'!#REF!)</f>
        <v>#REF!</v>
      </c>
    </row>
    <row r="71" spans="1:9">
      <c r="A71" s="16"/>
      <c r="B71" s="16"/>
      <c r="C71" s="16"/>
      <c r="E71" s="4"/>
      <c r="F71" s="59"/>
      <c r="G71" s="31" t="e">
        <f>IF('Phytopl Count'!#REF!=0,"",'Phytopl Count'!#REF!*'Phytopl Count'!#REF!/'Phytopl Count'!#REF!)</f>
        <v>#REF!</v>
      </c>
      <c r="H71" s="31" t="e">
        <f>IF('Phytopl Count'!#REF!=0,"",'Phytopl Count'!#REF!*'Phytopl Count'!#REF!/'Phytopl Count'!#REF!)</f>
        <v>#REF!</v>
      </c>
      <c r="I71" s="31" t="e">
        <f>IF('Phytopl Count'!#REF!=0,"",'Phytopl Count'!#REF!*'Phytopl Count'!#REF!/'Phytopl Count'!#REF!)</f>
        <v>#REF!</v>
      </c>
    </row>
    <row r="72" spans="1:9">
      <c r="A72" s="10"/>
      <c r="B72" s="10"/>
      <c r="C72" s="10"/>
      <c r="D72" s="10"/>
      <c r="F72" s="9"/>
      <c r="G72" s="31" t="e">
        <f>IF('Phytopl Count'!#REF!=0,"",'Phytopl Count'!#REF!*'Phytopl Count'!#REF!/'Phytopl Count'!#REF!)</f>
        <v>#REF!</v>
      </c>
      <c r="H72" s="31" t="e">
        <f>IF('Phytopl Count'!#REF!=0,"",'Phytopl Count'!#REF!*'Phytopl Count'!#REF!/'Phytopl Count'!#REF!)</f>
        <v>#REF!</v>
      </c>
      <c r="I72" s="31" t="e">
        <f>IF('Phytopl Count'!#REF!=0,"",'Phytopl Count'!#REF!*'Phytopl Count'!#REF!/'Phytopl Count'!#REF!)</f>
        <v>#REF!</v>
      </c>
    </row>
    <row r="73" spans="1:9" ht="15.6">
      <c r="A73" s="4" t="s">
        <v>138</v>
      </c>
      <c r="B73" s="4" t="s">
        <v>148</v>
      </c>
      <c r="C73" s="4" t="s">
        <v>77</v>
      </c>
      <c r="D73" t="s">
        <v>102</v>
      </c>
      <c r="E73" s="10"/>
      <c r="F73" s="11" t="s">
        <v>15</v>
      </c>
      <c r="G73" s="31" t="e">
        <f>IF('Phytopl Count'!#REF!=0,"",'Phytopl Count'!#REF!*'Phytopl Count'!#REF!/'Phytopl Count'!#REF!)</f>
        <v>#REF!</v>
      </c>
      <c r="H73" s="31" t="e">
        <f>IF('Phytopl Count'!#REF!=0,"",'Phytopl Count'!#REF!*'Phytopl Count'!#REF!/'Phytopl Count'!#REF!)</f>
        <v>#REF!</v>
      </c>
      <c r="I73" s="31" t="e">
        <f>IF('Phytopl Count'!#REF!=0,"",'Phytopl Count'!#REF!*'Phytopl Count'!#REF!/'Phytopl Count'!#REF!)</f>
        <v>#REF!</v>
      </c>
    </row>
    <row r="74" spans="1:9">
      <c r="D74" s="10"/>
      <c r="F74" s="11"/>
      <c r="G74" s="31" t="e">
        <f>IF('Phytopl Count'!#REF!=0,"",'Phytopl Count'!#REF!*'Phytopl Count'!#REF!/'Phytopl Count'!#REF!)</f>
        <v>#REF!</v>
      </c>
      <c r="H74" s="31" t="e">
        <f>IF('Phytopl Count'!#REF!=0,"",'Phytopl Count'!#REF!*'Phytopl Count'!#REF!/'Phytopl Count'!#REF!)</f>
        <v>#REF!</v>
      </c>
      <c r="I74" s="31" t="e">
        <f>IF('Phytopl Count'!#REF!=0,"",'Phytopl Count'!#REF!*'Phytopl Count'!#REF!/'Phytopl Count'!#REF!)</f>
        <v>#REF!</v>
      </c>
    </row>
    <row r="75" spans="1:9">
      <c r="A75" s="4" t="s">
        <v>138</v>
      </c>
      <c r="B75" s="4" t="s">
        <v>148</v>
      </c>
      <c r="C75" s="4" t="s">
        <v>77</v>
      </c>
      <c r="D75" s="5" t="s">
        <v>14</v>
      </c>
      <c r="E75" s="10"/>
      <c r="F75" s="11" t="s">
        <v>16</v>
      </c>
      <c r="G75" s="31" t="e">
        <f>IF('Phytopl Count'!#REF!=0,"",'Phytopl Count'!#REF!*'Phytopl Count'!#REF!/'Phytopl Count'!#REF!)</f>
        <v>#REF!</v>
      </c>
      <c r="H75" s="31" t="e">
        <f>IF('Phytopl Count'!#REF!=0,"",'Phytopl Count'!#REF!*'Phytopl Count'!#REF!/'Phytopl Count'!#REF!)</f>
        <v>#REF!</v>
      </c>
      <c r="I75" s="31" t="e">
        <f>IF('Phytopl Count'!#REF!=0,"",'Phytopl Count'!#REF!*'Phytopl Count'!#REF!/'Phytopl Count'!#REF!)</f>
        <v>#REF!</v>
      </c>
    </row>
    <row r="76" spans="1:9">
      <c r="A76" s="4" t="s">
        <v>138</v>
      </c>
      <c r="B76" s="4" t="s">
        <v>148</v>
      </c>
      <c r="C76" s="4" t="s">
        <v>77</v>
      </c>
      <c r="D76" s="5" t="s">
        <v>14</v>
      </c>
      <c r="E76" s="10"/>
      <c r="F76" s="11" t="s">
        <v>101</v>
      </c>
      <c r="G76" s="31" t="e">
        <f>IF('Phytopl Count'!#REF!=0,"",'Phytopl Count'!#REF!*'Phytopl Count'!#REF!/'Phytopl Count'!#REF!)</f>
        <v>#REF!</v>
      </c>
      <c r="H76" s="31" t="e">
        <f>IF('Phytopl Count'!#REF!=0,"",'Phytopl Count'!#REF!*'Phytopl Count'!#REF!/'Phytopl Count'!#REF!)</f>
        <v>#REF!</v>
      </c>
      <c r="I76" s="31" t="e">
        <f>IF('Phytopl Count'!#REF!=0,"",'Phytopl Count'!#REF!*'Phytopl Count'!#REF!/'Phytopl Count'!#REF!)</f>
        <v>#REF!</v>
      </c>
    </row>
    <row r="77" spans="1:9">
      <c r="A77" s="4"/>
      <c r="B77" s="4"/>
      <c r="C77" s="16"/>
      <c r="E77" s="4"/>
      <c r="F77" s="54"/>
      <c r="G77" s="31" t="e">
        <f>IF('Phytopl Count'!#REF!=0,"",'Phytopl Count'!#REF!*'Phytopl Count'!#REF!/'Phytopl Count'!#REF!)</f>
        <v>#REF!</v>
      </c>
      <c r="H77" s="31"/>
      <c r="I77" s="31"/>
    </row>
    <row r="78" spans="1:9">
      <c r="D78" s="10"/>
      <c r="F78" s="11"/>
      <c r="G78" s="31" t="e">
        <f>IF('Phytopl Count'!#REF!=0,"",'Phytopl Count'!#REF!*'Phytopl Count'!#REF!/'Phytopl Count'!#REF!)</f>
        <v>#REF!</v>
      </c>
      <c r="H78" s="31" t="e">
        <f>IF('Phytopl Count'!#REF!=0,"",'Phytopl Count'!#REF!*'Phytopl Count'!#REF!/'Phytopl Count'!#REF!)</f>
        <v>#REF!</v>
      </c>
      <c r="I78" s="31" t="e">
        <f>IF('Phytopl Count'!#REF!=0,"",'Phytopl Count'!#REF!*'Phytopl Count'!#REF!/'Phytopl Count'!#REF!)</f>
        <v>#REF!</v>
      </c>
    </row>
    <row r="79" spans="1:9">
      <c r="A79" s="4" t="s">
        <v>138</v>
      </c>
      <c r="B79" s="4" t="s">
        <v>148</v>
      </c>
      <c r="C79" s="4" t="s">
        <v>83</v>
      </c>
      <c r="D79" s="5" t="s">
        <v>20</v>
      </c>
      <c r="E79" s="10"/>
      <c r="F79" s="11" t="s">
        <v>79</v>
      </c>
      <c r="G79" s="31" t="e">
        <f>IF('Phytopl Count'!#REF!=0,"",'Phytopl Count'!#REF!*'Phytopl Count'!#REF!/'Phytopl Count'!#REF!)</f>
        <v>#REF!</v>
      </c>
      <c r="H79" s="31" t="e">
        <f>IF('Phytopl Count'!#REF!=0,"",'Phytopl Count'!#REF!*'Phytopl Count'!#REF!/'Phytopl Count'!#REF!)</f>
        <v>#REF!</v>
      </c>
      <c r="I79" s="31" t="e">
        <f>IF('Phytopl Count'!#REF!=0,"",'Phytopl Count'!#REF!*'Phytopl Count'!#REF!/'Phytopl Count'!#REF!)</f>
        <v>#REF!</v>
      </c>
    </row>
    <row r="80" spans="1:9">
      <c r="D80" s="10"/>
      <c r="F80" s="11"/>
      <c r="G80" s="31" t="e">
        <f>IF('Phytopl Count'!#REF!=0,"",'Phytopl Count'!#REF!*'Phytopl Count'!#REF!/'Phytopl Count'!#REF!)</f>
        <v>#REF!</v>
      </c>
      <c r="H80" s="31" t="e">
        <f>IF('Phytopl Count'!#REF!=0,"",'Phytopl Count'!#REF!*'Phytopl Count'!#REF!/'Phytopl Count'!#REF!)</f>
        <v>#REF!</v>
      </c>
      <c r="I80" s="31" t="e">
        <f>IF('Phytopl Count'!#REF!=0,"",'Phytopl Count'!#REF!*'Phytopl Count'!#REF!/'Phytopl Count'!#REF!)</f>
        <v>#REF!</v>
      </c>
    </row>
    <row r="81" spans="1:9">
      <c r="A81" s="4" t="s">
        <v>138</v>
      </c>
      <c r="B81" s="4" t="s">
        <v>148</v>
      </c>
      <c r="C81" s="4" t="s">
        <v>83</v>
      </c>
      <c r="D81" s="12" t="s">
        <v>31</v>
      </c>
      <c r="E81" s="10"/>
      <c r="F81" s="11" t="s">
        <v>32</v>
      </c>
      <c r="G81" s="31" t="e">
        <f>IF('Phytopl Count'!#REF!=0,"",'Phytopl Count'!#REF!*'Phytopl Count'!#REF!/'Phytopl Count'!#REF!)</f>
        <v>#REF!</v>
      </c>
      <c r="H81" s="31" t="e">
        <f>IF('Phytopl Count'!#REF!=0,"",'Phytopl Count'!#REF!*'Phytopl Count'!#REF!/'Phytopl Count'!#REF!)</f>
        <v>#REF!</v>
      </c>
      <c r="I81" s="31" t="e">
        <f>IF('Phytopl Count'!#REF!=0,"",'Phytopl Count'!#REF!*'Phytopl Count'!#REF!/'Phytopl Count'!#REF!)</f>
        <v>#REF!</v>
      </c>
    </row>
    <row r="82" spans="1:9">
      <c r="A82" s="4" t="s">
        <v>138</v>
      </c>
      <c r="B82" s="4" t="s">
        <v>148</v>
      </c>
      <c r="C82" s="4" t="s">
        <v>83</v>
      </c>
      <c r="D82" s="12" t="s">
        <v>31</v>
      </c>
      <c r="E82" s="10"/>
      <c r="F82" s="11" t="s">
        <v>113</v>
      </c>
      <c r="G82" s="31" t="e">
        <f>IF('Phytopl Count'!#REF!=0,"",'Phytopl Count'!#REF!*'Phytopl Count'!#REF!/'Phytopl Count'!#REF!)</f>
        <v>#REF!</v>
      </c>
      <c r="H82" s="31" t="e">
        <f>IF('Phytopl Count'!#REF!=0,"",'Phytopl Count'!#REF!*'Phytopl Count'!#REF!/'Phytopl Count'!#REF!)</f>
        <v>#REF!</v>
      </c>
      <c r="I82" s="31" t="e">
        <f>IF('Phytopl Count'!#REF!=0,"",'Phytopl Count'!#REF!*'Phytopl Count'!#REF!/'Phytopl Count'!#REF!)</f>
        <v>#REF!</v>
      </c>
    </row>
    <row r="83" spans="1:9">
      <c r="A83" s="4"/>
      <c r="B83" s="4"/>
      <c r="C83" s="16"/>
      <c r="E83" s="28"/>
      <c r="F83" s="54"/>
      <c r="G83" s="31" t="e">
        <f>IF('Phytopl Count'!#REF!=0,"",'Phytopl Count'!#REF!*'Phytopl Count'!#REF!/'Phytopl Count'!#REF!)</f>
        <v>#REF!</v>
      </c>
      <c r="H83" s="31" t="e">
        <f>IF('Phytopl Count'!#REF!=0,"",'Phytopl Count'!#REF!*'Phytopl Count'!#REF!/'Phytopl Count'!#REF!)</f>
        <v>#REF!</v>
      </c>
      <c r="I83" s="31" t="e">
        <f>IF('Phytopl Count'!#REF!=0,"",'Phytopl Count'!#REF!*'Phytopl Count'!#REF!/'Phytopl Count'!#REF!)</f>
        <v>#REF!</v>
      </c>
    </row>
    <row r="84" spans="1:9">
      <c r="D84" s="10"/>
      <c r="F84" s="11"/>
      <c r="G84" s="31" t="e">
        <f>IF('Phytopl Count'!#REF!=0,"",'Phytopl Count'!#REF!*'Phytopl Count'!#REF!/'Phytopl Count'!#REF!)</f>
        <v>#REF!</v>
      </c>
      <c r="H84" s="31" t="e">
        <f>IF('Phytopl Count'!#REF!=0,"",'Phytopl Count'!#REF!*'Phytopl Count'!#REF!/'Phytopl Count'!#REF!)</f>
        <v>#REF!</v>
      </c>
      <c r="I84" s="31" t="e">
        <f>IF('Phytopl Count'!#REF!=0,"",'Phytopl Count'!#REF!*'Phytopl Count'!#REF!/'Phytopl Count'!#REF!)</f>
        <v>#REF!</v>
      </c>
    </row>
    <row r="85" spans="1:9">
      <c r="A85" s="4" t="s">
        <v>138</v>
      </c>
      <c r="B85" s="4" t="s">
        <v>148</v>
      </c>
      <c r="C85" s="4" t="s">
        <v>103</v>
      </c>
      <c r="D85" s="12" t="s">
        <v>104</v>
      </c>
      <c r="E85" s="10"/>
      <c r="F85" s="11" t="s">
        <v>30</v>
      </c>
      <c r="G85" s="31" t="e">
        <f>IF('Phytopl Count'!#REF!=0,"",'Phytopl Count'!#REF!*'Phytopl Count'!#REF!/'Phytopl Count'!#REF!)</f>
        <v>#REF!</v>
      </c>
      <c r="H85" s="31" t="e">
        <f>IF('Phytopl Count'!#REF!=0,"",'Phytopl Count'!#REF!*'Phytopl Count'!#REF!/'Phytopl Count'!#REF!)</f>
        <v>#REF!</v>
      </c>
      <c r="I85" s="31" t="e">
        <f>IF('Phytopl Count'!#REF!=0,"",'Phytopl Count'!#REF!*'Phytopl Count'!#REF!/'Phytopl Count'!#REF!)</f>
        <v>#REF!</v>
      </c>
    </row>
    <row r="86" spans="1:9">
      <c r="A86" s="4" t="s">
        <v>138</v>
      </c>
      <c r="B86" s="4" t="s">
        <v>148</v>
      </c>
      <c r="C86" s="4" t="s">
        <v>103</v>
      </c>
      <c r="D86" s="12" t="s">
        <v>104</v>
      </c>
      <c r="E86" s="10"/>
      <c r="F86" s="11" t="s">
        <v>105</v>
      </c>
      <c r="G86" s="31" t="e">
        <f>IF('Phytopl Count'!#REF!=0,"",'Phytopl Count'!#REF!*'Phytopl Count'!#REF!/'Phytopl Count'!#REF!)</f>
        <v>#REF!</v>
      </c>
      <c r="H86" s="31" t="e">
        <f>IF('Phytopl Count'!#REF!=0,"",'Phytopl Count'!#REF!*'Phytopl Count'!#REF!/'Phytopl Count'!#REF!)</f>
        <v>#REF!</v>
      </c>
      <c r="I86" s="31" t="e">
        <f>IF('Phytopl Count'!#REF!=0,"",'Phytopl Count'!#REF!*'Phytopl Count'!#REF!/'Phytopl Count'!#REF!)</f>
        <v>#REF!</v>
      </c>
    </row>
    <row r="87" spans="1:9">
      <c r="A87" s="4"/>
      <c r="B87" s="4"/>
      <c r="C87" s="16"/>
      <c r="E87" s="28"/>
      <c r="F87" s="54"/>
      <c r="G87" s="31" t="e">
        <f>IF('Phytopl Count'!#REF!=0,"",'Phytopl Count'!#REF!*'Phytopl Count'!#REF!/'Phytopl Count'!#REF!)</f>
        <v>#REF!</v>
      </c>
      <c r="H87" s="31"/>
      <c r="I87" s="31"/>
    </row>
    <row r="88" spans="1:9">
      <c r="D88" s="10"/>
      <c r="F88" s="11"/>
      <c r="G88" s="31" t="e">
        <f>IF('Phytopl Count'!#REF!=0,"",'Phytopl Count'!#REF!*'Phytopl Count'!#REF!/'Phytopl Count'!#REF!)</f>
        <v>#REF!</v>
      </c>
      <c r="H88" s="31"/>
      <c r="I88" s="31"/>
    </row>
    <row r="89" spans="1:9">
      <c r="A89" s="4" t="s">
        <v>138</v>
      </c>
      <c r="B89" s="4" t="s">
        <v>148</v>
      </c>
      <c r="C89" s="4" t="s">
        <v>82</v>
      </c>
      <c r="D89" s="12" t="s">
        <v>29</v>
      </c>
      <c r="E89" s="10"/>
      <c r="F89" s="11" t="s">
        <v>112</v>
      </c>
      <c r="G89" s="31" t="e">
        <f>IF('Phytopl Count'!#REF!=0,"",'Phytopl Count'!#REF!*'Phytopl Count'!#REF!/'Phytopl Count'!#REF!)</f>
        <v>#REF!</v>
      </c>
      <c r="H89" s="31" t="e">
        <f>IF('Phytopl Count'!#REF!=0,"",'Phytopl Count'!#REF!*'Phytopl Count'!#REF!/'Phytopl Count'!#REF!)</f>
        <v>#REF!</v>
      </c>
      <c r="I89" s="31" t="e">
        <f>IF('Phytopl Count'!#REF!=0,"",'Phytopl Count'!#REF!*'Phytopl Count'!#REF!/'Phytopl Count'!#REF!)</f>
        <v>#REF!</v>
      </c>
    </row>
    <row r="90" spans="1:9">
      <c r="A90" s="4" t="s">
        <v>138</v>
      </c>
      <c r="B90" s="4" t="s">
        <v>148</v>
      </c>
      <c r="C90" s="4" t="s">
        <v>82</v>
      </c>
      <c r="D90" s="12" t="s">
        <v>29</v>
      </c>
      <c r="E90" s="10"/>
      <c r="F90" s="11" t="s">
        <v>168</v>
      </c>
      <c r="G90" s="31" t="e">
        <f>IF('Phytopl Count'!#REF!=0,"",'Phytopl Count'!#REF!*'Phytopl Count'!#REF!/'Phytopl Count'!#REF!)</f>
        <v>#REF!</v>
      </c>
      <c r="H90" s="31" t="e">
        <f>IF('Phytopl Count'!#REF!=0,"",'Phytopl Count'!#REF!*'Phytopl Count'!#REF!/'Phytopl Count'!#REF!)</f>
        <v>#REF!</v>
      </c>
      <c r="I90" s="31" t="e">
        <f>IF('Phytopl Count'!#REF!=0,"",'Phytopl Count'!#REF!*'Phytopl Count'!#REF!/'Phytopl Count'!#REF!)</f>
        <v>#REF!</v>
      </c>
    </row>
    <row r="91" spans="1:9">
      <c r="A91" s="4"/>
      <c r="B91" s="4"/>
      <c r="C91" s="16"/>
      <c r="E91" s="16"/>
      <c r="F91" s="54"/>
      <c r="G91" s="31" t="e">
        <f>IF('Phytopl Count'!#REF!=0,"",'Phytopl Count'!#REF!*'Phytopl Count'!#REF!/'Phytopl Count'!#REF!)</f>
        <v>#REF!</v>
      </c>
      <c r="H91" s="31" t="e">
        <f>IF('Phytopl Count'!#REF!=0,"",'Phytopl Count'!#REF!*'Phytopl Count'!#REF!/'Phytopl Count'!#REF!)</f>
        <v>#REF!</v>
      </c>
      <c r="I91" s="31" t="e">
        <f>IF('Phytopl Count'!#REF!=0,"",'Phytopl Count'!#REF!*'Phytopl Count'!#REF!/'Phytopl Count'!#REF!)</f>
        <v>#REF!</v>
      </c>
    </row>
    <row r="92" spans="1:9">
      <c r="D92" s="10"/>
      <c r="F92" s="9"/>
      <c r="G92" s="31" t="e">
        <f>IF('Phytopl Count'!#REF!=0,"",'Phytopl Count'!#REF!*'Phytopl Count'!#REF!/'Phytopl Count'!#REF!)</f>
        <v>#REF!</v>
      </c>
      <c r="H92" s="31" t="e">
        <f>IF('Phytopl Count'!#REF!=0,"",'Phytopl Count'!#REF!*'Phytopl Count'!#REF!/'Phytopl Count'!#REF!)</f>
        <v>#REF!</v>
      </c>
      <c r="I92" s="31" t="e">
        <f>IF('Phytopl Count'!#REF!=0,"",'Phytopl Count'!#REF!*'Phytopl Count'!#REF!/'Phytopl Count'!#REF!)</f>
        <v>#REF!</v>
      </c>
    </row>
    <row r="93" spans="1:9">
      <c r="A93" s="4" t="s">
        <v>138</v>
      </c>
      <c r="C93" s="4" t="s">
        <v>84</v>
      </c>
      <c r="D93" s="12" t="s">
        <v>85</v>
      </c>
      <c r="E93" s="10"/>
      <c r="F93" s="11" t="s">
        <v>33</v>
      </c>
      <c r="G93" s="31" t="e">
        <f>IF('Phytopl Count'!#REF!=0,"",'Phytopl Count'!#REF!*'Phytopl Count'!#REF!/'Phytopl Count'!#REF!)</f>
        <v>#REF!</v>
      </c>
      <c r="H93" s="31" t="e">
        <f>IF('Phytopl Count'!#REF!=0,"",'Phytopl Count'!#REF!*'Phytopl Count'!#REF!/'Phytopl Count'!#REF!)</f>
        <v>#REF!</v>
      </c>
      <c r="I93" s="31" t="e">
        <f>IF('Phytopl Count'!#REF!=0,"",'Phytopl Count'!#REF!*'Phytopl Count'!#REF!/'Phytopl Count'!#REF!)</f>
        <v>#REF!</v>
      </c>
    </row>
    <row r="94" spans="1:9">
      <c r="A94" s="4"/>
      <c r="B94" s="4"/>
      <c r="C94" s="4"/>
      <c r="D94" s="4"/>
      <c r="E94" s="4"/>
      <c r="F94" s="16"/>
      <c r="G94" s="31" t="e">
        <f>IF('Phytopl Count'!#REF!=0,"",'Phytopl Count'!#REF!*'Phytopl Count'!#REF!/'Phytopl Count'!#REF!)</f>
        <v>#REF!</v>
      </c>
      <c r="H94" s="31" t="e">
        <f>IF('Phytopl Count'!#REF!=0,"",'Phytopl Count'!#REF!*'Phytopl Count'!#REF!/'Phytopl Count'!#REF!)</f>
        <v>#REF!</v>
      </c>
      <c r="I94" s="31" t="e">
        <f>IF('Phytopl Count'!#REF!=0,"",'Phytopl Count'!#REF!*'Phytopl Count'!#REF!/'Phytopl Count'!#REF!)</f>
        <v>#REF!</v>
      </c>
    </row>
    <row r="95" spans="1:9">
      <c r="A95" s="16"/>
      <c r="C95" s="16"/>
      <c r="D95" s="4"/>
      <c r="E95" s="4"/>
      <c r="F95" s="59"/>
      <c r="G95" s="31" t="e">
        <f>IF('Phytopl Count'!#REF!=0,"",'Phytopl Count'!#REF!*'Phytopl Count'!#REF!/'Phytopl Count'!#REF!)</f>
        <v>#REF!</v>
      </c>
      <c r="H95" s="31" t="e">
        <f>IF('Phytopl Count'!#REF!=0,"",'Phytopl Count'!#REF!*'Phytopl Count'!#REF!/'Phytopl Count'!#REF!)</f>
        <v>#REF!</v>
      </c>
      <c r="I95" s="31" t="e">
        <f>IF('Phytopl Count'!#REF!=0,"",'Phytopl Count'!#REF!*'Phytopl Count'!#REF!/'Phytopl Count'!#REF!)</f>
        <v>#REF!</v>
      </c>
    </row>
    <row r="96" spans="1:9">
      <c r="A96" s="10"/>
      <c r="B96" s="16"/>
      <c r="D96" s="4"/>
      <c r="F96" s="9"/>
      <c r="G96" s="31" t="e">
        <f>IF('Phytopl Count'!#REF!=0,"",'Phytopl Count'!#REF!*'Phytopl Count'!#REF!/'Phytopl Count'!#REF!)</f>
        <v>#REF!</v>
      </c>
      <c r="H96" s="31" t="e">
        <f>IF('Phytopl Count'!#REF!=0,"",'Phytopl Count'!#REF!*'Phytopl Count'!#REF!/'Phytopl Count'!#REF!)</f>
        <v>#REF!</v>
      </c>
      <c r="I96" s="31" t="e">
        <f>IF('Phytopl Count'!#REF!=0,"",'Phytopl Count'!#REF!*'Phytopl Count'!#REF!/'Phytopl Count'!#REF!)</f>
        <v>#REF!</v>
      </c>
    </row>
    <row r="97" spans="1:9">
      <c r="A97" s="10"/>
      <c r="B97" s="10"/>
      <c r="C97" s="16"/>
      <c r="F97" s="9"/>
      <c r="G97" s="31" t="e">
        <f>IF('Phytopl Count'!#REF!=0,"",'Phytopl Count'!#REF!*'Phytopl Count'!#REF!/'Phytopl Count'!#REF!)</f>
        <v>#REF!</v>
      </c>
      <c r="H97" s="31" t="e">
        <f>IF('Phytopl Count'!#REF!=0,"",'Phytopl Count'!#REF!*'Phytopl Count'!#REF!/'Phytopl Count'!#REF!)</f>
        <v>#REF!</v>
      </c>
      <c r="I97" s="31" t="e">
        <f>IF('Phytopl Count'!#REF!=0,"",'Phytopl Count'!#REF!*'Phytopl Count'!#REF!/'Phytopl Count'!#REF!)</f>
        <v>#REF!</v>
      </c>
    </row>
    <row r="98" spans="1:9">
      <c r="A98" s="10"/>
      <c r="B98" s="10"/>
      <c r="C98" s="10"/>
      <c r="D98" s="10"/>
      <c r="F98" s="9"/>
      <c r="G98" s="31" t="e">
        <f>IF('Phytopl Count'!#REF!=0,"",'Phytopl Count'!#REF!*'Phytopl Count'!#REF!/'Phytopl Count'!#REF!)</f>
        <v>#REF!</v>
      </c>
      <c r="H98" s="31" t="e">
        <f>IF('Phytopl Count'!#REF!=0,"",'Phytopl Count'!#REF!*'Phytopl Count'!#REF!/'Phytopl Count'!#REF!)</f>
        <v>#REF!</v>
      </c>
      <c r="I98" s="31" t="e">
        <f>IF('Phytopl Count'!#REF!=0,"",'Phytopl Count'!#REF!*'Phytopl Count'!#REF!/'Phytopl Count'!#REF!)</f>
        <v>#REF!</v>
      </c>
    </row>
    <row r="99" spans="1:9">
      <c r="A99" s="4" t="s">
        <v>152</v>
      </c>
      <c r="B99" s="53" t="s">
        <v>92</v>
      </c>
      <c r="C99" s="51" t="s">
        <v>97</v>
      </c>
      <c r="D99" s="49" t="s">
        <v>153</v>
      </c>
      <c r="E99" s="10" t="s">
        <v>6</v>
      </c>
      <c r="F99" s="52" t="s">
        <v>154</v>
      </c>
      <c r="G99" s="31" t="e">
        <f>IF('Phytopl Count'!#REF!=0,"",'Phytopl Count'!#REF!*'Phytopl Count'!#REF!/'Phytopl Count'!#REF!)</f>
        <v>#REF!</v>
      </c>
      <c r="H99" s="31" t="e">
        <f>IF('Phytopl Count'!#REF!=0,"",'Phytopl Count'!#REF!*'Phytopl Count'!#REF!/'Phytopl Count'!#REF!)</f>
        <v>#REF!</v>
      </c>
      <c r="I99" s="31" t="e">
        <f>IF('Phytopl Count'!#REF!=0,"",'Phytopl Count'!#REF!*'Phytopl Count'!#REF!/'Phytopl Count'!#REF!)</f>
        <v>#REF!</v>
      </c>
    </row>
    <row r="100" spans="1:9">
      <c r="A100" s="4" t="s">
        <v>152</v>
      </c>
      <c r="B100" s="53" t="s">
        <v>92</v>
      </c>
      <c r="C100" s="51" t="s">
        <v>97</v>
      </c>
      <c r="D100" s="49" t="s">
        <v>153</v>
      </c>
      <c r="E100" s="10" t="s">
        <v>6</v>
      </c>
      <c r="F100" s="11" t="s">
        <v>50</v>
      </c>
      <c r="G100" s="31" t="e">
        <f>IF('Phytopl Count'!#REF!=0,"",'Phytopl Count'!#REF!*'Phytopl Count'!#REF!/'Phytopl Count'!#REF!)</f>
        <v>#REF!</v>
      </c>
      <c r="H100" s="31" t="e">
        <f>IF('Phytopl Count'!#REF!=0,"",'Phytopl Count'!#REF!*'Phytopl Count'!#REF!/'Phytopl Count'!#REF!)</f>
        <v>#REF!</v>
      </c>
      <c r="I100" s="31" t="e">
        <f>IF('Phytopl Count'!#REF!=0,"",'Phytopl Count'!#REF!*'Phytopl Count'!#REF!/'Phytopl Count'!#REF!)</f>
        <v>#REF!</v>
      </c>
    </row>
    <row r="101" spans="1:9">
      <c r="A101" s="10"/>
      <c r="B101" s="4"/>
      <c r="C101" s="10"/>
      <c r="F101" s="11"/>
      <c r="G101" s="31" t="e">
        <f>IF('Phytopl Count'!#REF!=0,"",'Phytopl Count'!#REF!*'Phytopl Count'!#REF!/'Phytopl Count'!#REF!)</f>
        <v>#REF!</v>
      </c>
      <c r="H101" s="31" t="e">
        <f>IF('Phytopl Count'!#REF!=0,"",'Phytopl Count'!#REF!*'Phytopl Count'!#REF!/'Phytopl Count'!#REF!)</f>
        <v>#REF!</v>
      </c>
      <c r="I101" s="31" t="e">
        <f>IF('Phytopl Count'!#REF!=0,"",'Phytopl Count'!#REF!*'Phytopl Count'!#REF!/'Phytopl Count'!#REF!)</f>
        <v>#REF!</v>
      </c>
    </row>
    <row r="102" spans="1:9">
      <c r="D102" s="10"/>
      <c r="F102" s="11"/>
      <c r="G102" s="31" t="e">
        <f>IF('Phytopl Count'!#REF!=0,"",'Phytopl Count'!#REF!*'Phytopl Count'!#REF!/'Phytopl Count'!#REF!)</f>
        <v>#REF!</v>
      </c>
      <c r="H102" s="31" t="e">
        <f>IF('Phytopl Count'!#REF!=0,"",'Phytopl Count'!#REF!*'Phytopl Count'!#REF!/'Phytopl Count'!#REF!)</f>
        <v>#REF!</v>
      </c>
      <c r="I102" s="31" t="e">
        <f>IF('Phytopl Count'!#REF!=0,"",'Phytopl Count'!#REF!*'Phytopl Count'!#REF!/'Phytopl Count'!#REF!)</f>
        <v>#REF!</v>
      </c>
    </row>
    <row r="103" spans="1:9">
      <c r="A103" s="4" t="s">
        <v>152</v>
      </c>
      <c r="B103" s="53" t="s">
        <v>92</v>
      </c>
      <c r="C103" s="4" t="s">
        <v>93</v>
      </c>
      <c r="D103" s="12" t="s">
        <v>40</v>
      </c>
      <c r="E103" s="10"/>
      <c r="F103" s="11" t="s">
        <v>41</v>
      </c>
      <c r="G103" s="31" t="e">
        <f>IF('Phytopl Count'!#REF!=0,"",'Phytopl Count'!#REF!*'Phytopl Count'!#REF!/'Phytopl Count'!#REF!)</f>
        <v>#REF!</v>
      </c>
      <c r="H103" s="31" t="e">
        <f>IF('Phytopl Count'!#REF!=0,"",'Phytopl Count'!#REF!*'Phytopl Count'!#REF!/'Phytopl Count'!#REF!)</f>
        <v>#REF!</v>
      </c>
      <c r="I103" s="31" t="e">
        <f>IF('Phytopl Count'!#REF!=0,"",'Phytopl Count'!#REF!*'Phytopl Count'!#REF!/'Phytopl Count'!#REF!)</f>
        <v>#REF!</v>
      </c>
    </row>
    <row r="104" spans="1:9">
      <c r="C104" s="16"/>
      <c r="E104" s="10"/>
      <c r="F104" s="11"/>
      <c r="G104" s="31" t="e">
        <f>IF('Phytopl Count'!#REF!=0,"",'Phytopl Count'!#REF!*'Phytopl Count'!#REF!/'Phytopl Count'!#REF!)</f>
        <v>#REF!</v>
      </c>
      <c r="H104" s="31" t="e">
        <f>IF('Phytopl Count'!#REF!=0,"",'Phytopl Count'!#REF!*'Phytopl Count'!#REF!/'Phytopl Count'!#REF!)</f>
        <v>#REF!</v>
      </c>
      <c r="I104" s="31" t="e">
        <f>IF('Phytopl Count'!#REF!=0,"",'Phytopl Count'!#REF!*'Phytopl Count'!#REF!/'Phytopl Count'!#REF!)</f>
        <v>#REF!</v>
      </c>
    </row>
    <row r="105" spans="1:9">
      <c r="D105" s="10"/>
      <c r="F105" s="11"/>
      <c r="G105" s="31" t="e">
        <f>IF('Phytopl Count'!#REF!=0,"",'Phytopl Count'!#REF!*'Phytopl Count'!#REF!/'Phytopl Count'!#REF!)</f>
        <v>#REF!</v>
      </c>
      <c r="H105" s="31" t="e">
        <f>IF('Phytopl Count'!#REF!=0,"",'Phytopl Count'!#REF!*'Phytopl Count'!#REF!/'Phytopl Count'!#REF!)</f>
        <v>#REF!</v>
      </c>
      <c r="I105" s="31" t="e">
        <f>IF('Phytopl Count'!#REF!=0,"",'Phytopl Count'!#REF!*'Phytopl Count'!#REF!/'Phytopl Count'!#REF!)</f>
        <v>#REF!</v>
      </c>
    </row>
    <row r="106" spans="1:9">
      <c r="A106" s="4" t="s">
        <v>152</v>
      </c>
      <c r="B106" s="53" t="s">
        <v>92</v>
      </c>
      <c r="C106" s="4" t="s">
        <v>94</v>
      </c>
      <c r="D106" s="12" t="s">
        <v>95</v>
      </c>
      <c r="E106" s="10"/>
      <c r="F106" s="11" t="s">
        <v>42</v>
      </c>
      <c r="G106" s="31" t="e">
        <f>IF('Phytopl Count'!#REF!=0,"",'Phytopl Count'!#REF!*'Phytopl Count'!#REF!/'Phytopl Count'!#REF!)</f>
        <v>#REF!</v>
      </c>
      <c r="H106" s="31" t="e">
        <f>IF('Phytopl Count'!#REF!=0,"",'Phytopl Count'!#REF!*'Phytopl Count'!#REF!/'Phytopl Count'!#REF!)</f>
        <v>#REF!</v>
      </c>
      <c r="I106" s="31" t="e">
        <f>IF('Phytopl Count'!#REF!=0,"",'Phytopl Count'!#REF!*'Phytopl Count'!#REF!/'Phytopl Count'!#REF!)</f>
        <v>#REF!</v>
      </c>
    </row>
    <row r="107" spans="1:9">
      <c r="C107" s="16"/>
      <c r="E107" s="10"/>
      <c r="F107" s="11"/>
      <c r="G107" s="31" t="e">
        <f>IF('Phytopl Count'!#REF!=0,"",'Phytopl Count'!#REF!*'Phytopl Count'!#REF!/'Phytopl Count'!#REF!)</f>
        <v>#REF!</v>
      </c>
      <c r="H107" s="31" t="e">
        <f>IF('Phytopl Count'!#REF!=0,"",'Phytopl Count'!#REF!*'Phytopl Count'!#REF!/'Phytopl Count'!#REF!)</f>
        <v>#REF!</v>
      </c>
      <c r="I107" s="31" t="e">
        <f>IF('Phytopl Count'!#REF!=0,"",'Phytopl Count'!#REF!*'Phytopl Count'!#REF!/'Phytopl Count'!#REF!)</f>
        <v>#REF!</v>
      </c>
    </row>
    <row r="108" spans="1:9">
      <c r="D108" s="10"/>
      <c r="F108" s="11"/>
      <c r="G108" s="31" t="e">
        <f>IF('Phytopl Count'!#REF!=0,"",'Phytopl Count'!#REF!*'Phytopl Count'!#REF!/'Phytopl Count'!#REF!)</f>
        <v>#REF!</v>
      </c>
      <c r="H108" s="31" t="e">
        <f>IF('Phytopl Count'!#REF!=0,"",'Phytopl Count'!#REF!*'Phytopl Count'!#REF!/'Phytopl Count'!#REF!)</f>
        <v>#REF!</v>
      </c>
      <c r="I108" s="31" t="e">
        <f>IF('Phytopl Count'!#REF!=0,"",'Phytopl Count'!#REF!*'Phytopl Count'!#REF!/'Phytopl Count'!#REF!)</f>
        <v>#REF!</v>
      </c>
    </row>
    <row r="109" spans="1:9">
      <c r="A109" s="4" t="s">
        <v>152</v>
      </c>
      <c r="B109" s="53" t="s">
        <v>92</v>
      </c>
      <c r="C109" s="51" t="s">
        <v>162</v>
      </c>
      <c r="D109" s="55" t="s">
        <v>163</v>
      </c>
      <c r="E109" s="10"/>
      <c r="F109" s="9" t="s">
        <v>43</v>
      </c>
      <c r="G109" s="31" t="e">
        <f>IF('Phytopl Count'!#REF!=0,"",'Phytopl Count'!#REF!*'Phytopl Count'!#REF!/'Phytopl Count'!#REF!)</f>
        <v>#REF!</v>
      </c>
      <c r="H109" s="31" t="e">
        <f>IF('Phytopl Count'!#REF!=0,"",'Phytopl Count'!#REF!*'Phytopl Count'!#REF!/'Phytopl Count'!#REF!)</f>
        <v>#REF!</v>
      </c>
      <c r="I109" s="31" t="e">
        <f>IF('Phytopl Count'!#REF!=0,"",'Phytopl Count'!#REF!*'Phytopl Count'!#REF!/'Phytopl Count'!#REF!)</f>
        <v>#REF!</v>
      </c>
    </row>
    <row r="110" spans="1:9">
      <c r="D110" s="10"/>
      <c r="F110" s="11"/>
      <c r="G110" s="31" t="e">
        <f>IF('Phytopl Count'!#REF!=0,"",'Phytopl Count'!#REF!*'Phytopl Count'!#REF!/'Phytopl Count'!#REF!)</f>
        <v>#REF!</v>
      </c>
      <c r="H110" s="31" t="e">
        <f>IF('Phytopl Count'!#REF!=0,"",'Phytopl Count'!#REF!*'Phytopl Count'!#REF!/'Phytopl Count'!#REF!)</f>
        <v>#REF!</v>
      </c>
      <c r="I110" s="31" t="e">
        <f>IF('Phytopl Count'!#REF!=0,"",'Phytopl Count'!#REF!*'Phytopl Count'!#REF!/'Phytopl Count'!#REF!)</f>
        <v>#REF!</v>
      </c>
    </row>
    <row r="111" spans="1:9">
      <c r="A111" s="4" t="s">
        <v>152</v>
      </c>
      <c r="B111" s="53" t="s">
        <v>92</v>
      </c>
      <c r="C111" s="51" t="s">
        <v>162</v>
      </c>
      <c r="D111" s="64" t="s">
        <v>172</v>
      </c>
      <c r="E111" s="10"/>
      <c r="F111" s="65" t="s">
        <v>173</v>
      </c>
      <c r="G111" s="31" t="e">
        <f>IF('Phytopl Count'!#REF!=0,"",'Phytopl Count'!#REF!*'Phytopl Count'!#REF!/'Phytopl Count'!#REF!)</f>
        <v>#REF!</v>
      </c>
      <c r="H111" s="31" t="e">
        <f>IF('Phytopl Count'!#REF!=0,"",'Phytopl Count'!#REF!*'Phytopl Count'!#REF!/'Phytopl Count'!#REF!)</f>
        <v>#REF!</v>
      </c>
      <c r="I111" s="31" t="e">
        <f>IF('Phytopl Count'!#REF!=0,"",'Phytopl Count'!#REF!*'Phytopl Count'!#REF!/'Phytopl Count'!#REF!)</f>
        <v>#REF!</v>
      </c>
    </row>
    <row r="112" spans="1:9">
      <c r="C112" s="16"/>
      <c r="E112" s="10"/>
      <c r="F112" s="9"/>
      <c r="G112" s="31" t="e">
        <f>IF('Phytopl Count'!#REF!=0,"",'Phytopl Count'!#REF!*'Phytopl Count'!#REF!/'Phytopl Count'!#REF!)</f>
        <v>#REF!</v>
      </c>
      <c r="H112" s="31" t="e">
        <f>IF('Phytopl Count'!#REF!=0,"",'Phytopl Count'!#REF!*'Phytopl Count'!#REF!/'Phytopl Count'!#REF!)</f>
        <v>#REF!</v>
      </c>
      <c r="I112" s="31" t="e">
        <f>IF('Phytopl Count'!#REF!=0,"",'Phytopl Count'!#REF!*'Phytopl Count'!#REF!/'Phytopl Count'!#REF!)</f>
        <v>#REF!</v>
      </c>
    </row>
    <row r="113" spans="1:9">
      <c r="D113" s="10"/>
      <c r="F113" s="9"/>
      <c r="G113" s="31" t="e">
        <f>IF('Phytopl Count'!#REF!=0,"",'Phytopl Count'!#REF!*'Phytopl Count'!#REF!/'Phytopl Count'!#REF!)</f>
        <v>#REF!</v>
      </c>
      <c r="H113" s="31" t="e">
        <f>IF('Phytopl Count'!#REF!=0,"",'Phytopl Count'!#REF!*'Phytopl Count'!#REF!/'Phytopl Count'!#REF!)</f>
        <v>#REF!</v>
      </c>
      <c r="I113" s="31" t="e">
        <f>IF('Phytopl Count'!#REF!=0,"",'Phytopl Count'!#REF!*'Phytopl Count'!#REF!/'Phytopl Count'!#REF!)</f>
        <v>#REF!</v>
      </c>
    </row>
    <row r="114" spans="1:9">
      <c r="A114" s="4" t="s">
        <v>152</v>
      </c>
      <c r="B114" s="53" t="s">
        <v>92</v>
      </c>
      <c r="C114" s="4" t="s">
        <v>96</v>
      </c>
      <c r="D114" s="12" t="s">
        <v>46</v>
      </c>
      <c r="E114" s="10"/>
      <c r="F114" s="11" t="s">
        <v>47</v>
      </c>
      <c r="G114" s="31" t="e">
        <f>IF('Phytopl Count'!#REF!=0,"",'Phytopl Count'!#REF!*'Phytopl Count'!#REF!/'Phytopl Count'!#REF!)</f>
        <v>#REF!</v>
      </c>
      <c r="H114" s="31" t="e">
        <f>IF('Phytopl Count'!#REF!=0,"",'Phytopl Count'!#REF!*'Phytopl Count'!#REF!/'Phytopl Count'!#REF!)</f>
        <v>#REF!</v>
      </c>
      <c r="I114" s="31" t="e">
        <f>IF('Phytopl Count'!#REF!=0,"",'Phytopl Count'!#REF!*'Phytopl Count'!#REF!/'Phytopl Count'!#REF!)</f>
        <v>#REF!</v>
      </c>
    </row>
    <row r="115" spans="1:9">
      <c r="D115" s="10"/>
      <c r="F115" s="11"/>
      <c r="G115" s="31" t="e">
        <f>IF('Phytopl Count'!#REF!=0,"",'Phytopl Count'!#REF!*'Phytopl Count'!#REF!/'Phytopl Count'!#REF!)</f>
        <v>#REF!</v>
      </c>
      <c r="H115" s="31" t="e">
        <f>IF('Phytopl Count'!#REF!=0,"",'Phytopl Count'!#REF!*'Phytopl Count'!#REF!/'Phytopl Count'!#REF!)</f>
        <v>#REF!</v>
      </c>
      <c r="I115" s="31" t="e">
        <f>IF('Phytopl Count'!#REF!=0,"",'Phytopl Count'!#REF!*'Phytopl Count'!#REF!/'Phytopl Count'!#REF!)</f>
        <v>#REF!</v>
      </c>
    </row>
    <row r="116" spans="1:9">
      <c r="A116" s="4" t="s">
        <v>152</v>
      </c>
      <c r="B116" s="53" t="s">
        <v>92</v>
      </c>
      <c r="C116" s="4" t="s">
        <v>96</v>
      </c>
      <c r="D116" s="12" t="s">
        <v>48</v>
      </c>
      <c r="E116" s="10"/>
      <c r="F116" s="11" t="s">
        <v>49</v>
      </c>
      <c r="G116" s="31" t="e">
        <f>IF('Phytopl Count'!#REF!=0,"",'Phytopl Count'!#REF!*'Phytopl Count'!#REF!/'Phytopl Count'!#REF!)</f>
        <v>#REF!</v>
      </c>
      <c r="H116" s="31" t="e">
        <f>IF('Phytopl Count'!#REF!=0,"",'Phytopl Count'!#REF!*'Phytopl Count'!#REF!/'Phytopl Count'!#REF!)</f>
        <v>#REF!</v>
      </c>
      <c r="I116" s="31" t="e">
        <f>IF('Phytopl Count'!#REF!=0,"",'Phytopl Count'!#REF!*'Phytopl Count'!#REF!/'Phytopl Count'!#REF!)</f>
        <v>#REF!</v>
      </c>
    </row>
    <row r="117" spans="1:9">
      <c r="D117" s="10"/>
      <c r="F117" s="11"/>
      <c r="G117" s="31" t="e">
        <f>IF('Phytopl Count'!#REF!=0,"",'Phytopl Count'!#REF!*'Phytopl Count'!#REF!/'Phytopl Count'!#REF!)</f>
        <v>#REF!</v>
      </c>
      <c r="H117" s="31" t="e">
        <f>IF('Phytopl Count'!#REF!=0,"",'Phytopl Count'!#REF!*'Phytopl Count'!#REF!/'Phytopl Count'!#REF!)</f>
        <v>#REF!</v>
      </c>
      <c r="I117" s="31" t="e">
        <f>IF('Phytopl Count'!#REF!=0,"",'Phytopl Count'!#REF!*'Phytopl Count'!#REF!/'Phytopl Count'!#REF!)</f>
        <v>#REF!</v>
      </c>
    </row>
    <row r="118" spans="1:9">
      <c r="A118" s="4" t="s">
        <v>152</v>
      </c>
      <c r="B118" s="53" t="s">
        <v>92</v>
      </c>
      <c r="C118" s="4" t="s">
        <v>96</v>
      </c>
      <c r="D118" s="64" t="s">
        <v>174</v>
      </c>
      <c r="E118" s="10"/>
      <c r="F118" s="11" t="s">
        <v>175</v>
      </c>
      <c r="G118" s="31" t="e">
        <f>IF('Phytopl Count'!#REF!=0,"",'Phytopl Count'!#REF!*'Phytopl Count'!#REF!/'Phytopl Count'!#REF!)</f>
        <v>#REF!</v>
      </c>
      <c r="H118" s="31" t="e">
        <f>IF('Phytopl Count'!#REF!=0,"",'Phytopl Count'!#REF!*'Phytopl Count'!#REF!/'Phytopl Count'!#REF!)</f>
        <v>#REF!</v>
      </c>
      <c r="I118" s="31" t="e">
        <f>IF('Phytopl Count'!#REF!=0,"",'Phytopl Count'!#REF!*'Phytopl Count'!#REF!/'Phytopl Count'!#REF!)</f>
        <v>#REF!</v>
      </c>
    </row>
    <row r="119" spans="1:9">
      <c r="E119" s="10"/>
      <c r="F119" s="11"/>
      <c r="G119" s="31" t="e">
        <f>IF('Phytopl Count'!#REF!=0,"",'Phytopl Count'!#REF!*'Phytopl Count'!#REF!/'Phytopl Count'!#REF!)</f>
        <v>#REF!</v>
      </c>
      <c r="H119" s="31" t="e">
        <f>IF('Phytopl Count'!#REF!=0,"",'Phytopl Count'!#REF!*'Phytopl Count'!#REF!/'Phytopl Count'!#REF!)</f>
        <v>#REF!</v>
      </c>
      <c r="I119" s="31" t="e">
        <f>IF('Phytopl Count'!#REF!=0,"",'Phytopl Count'!#REF!*'Phytopl Count'!#REF!/'Phytopl Count'!#REF!)</f>
        <v>#REF!</v>
      </c>
    </row>
    <row r="120" spans="1:9">
      <c r="A120" s="4"/>
      <c r="B120" s="16"/>
      <c r="D120" s="4"/>
      <c r="E120" s="16"/>
      <c r="F120" s="59"/>
      <c r="G120" s="31" t="e">
        <f>IF('Phytopl Count'!#REF!=0,"",'Phytopl Count'!#REF!*'Phytopl Count'!#REF!/'Phytopl Count'!#REF!)</f>
        <v>#REF!</v>
      </c>
      <c r="H120" s="31" t="e">
        <f>IF('Phytopl Count'!#REF!=0,"",'Phytopl Count'!#REF!*'Phytopl Count'!#REF!/'Phytopl Count'!#REF!)</f>
        <v>#REF!</v>
      </c>
      <c r="I120" s="31" t="e">
        <f>IF('Phytopl Count'!#REF!=0,"",'Phytopl Count'!#REF!*'Phytopl Count'!#REF!/'Phytopl Count'!#REF!)</f>
        <v>#REF!</v>
      </c>
    </row>
    <row r="121" spans="1:9">
      <c r="A121" s="4"/>
      <c r="B121" s="4"/>
      <c r="C121" s="16"/>
      <c r="E121" s="16"/>
      <c r="F121" s="59"/>
      <c r="G121" s="31" t="e">
        <f>IF('Phytopl Count'!#REF!=0,"",'Phytopl Count'!#REF!*'Phytopl Count'!#REF!/'Phytopl Count'!#REF!)</f>
        <v>#REF!</v>
      </c>
      <c r="H121" s="31" t="e">
        <f>IF('Phytopl Count'!#REF!=0,"",'Phytopl Count'!#REF!*'Phytopl Count'!#REF!/'Phytopl Count'!#REF!)</f>
        <v>#REF!</v>
      </c>
      <c r="I121" s="31" t="e">
        <f>IF('Phytopl Count'!#REF!=0,"",'Phytopl Count'!#REF!*'Phytopl Count'!#REF!/'Phytopl Count'!#REF!)</f>
        <v>#REF!</v>
      </c>
    </row>
    <row r="122" spans="1:9">
      <c r="D122" s="10"/>
      <c r="F122" s="11"/>
      <c r="G122" s="31" t="e">
        <f>IF('Phytopl Count'!#REF!=0,"",'Phytopl Count'!#REF!*'Phytopl Count'!#REF!/'Phytopl Count'!#REF!)</f>
        <v>#REF!</v>
      </c>
      <c r="H122" s="31" t="e">
        <f>IF('Phytopl Count'!#REF!=0,"",'Phytopl Count'!#REF!*'Phytopl Count'!#REF!/'Phytopl Count'!#REF!)</f>
        <v>#REF!</v>
      </c>
      <c r="I122" s="31" t="e">
        <f>IF('Phytopl Count'!#REF!=0,"",'Phytopl Count'!#REF!*'Phytopl Count'!#REF!/'Phytopl Count'!#REF!)</f>
        <v>#REF!</v>
      </c>
    </row>
    <row r="123" spans="1:9">
      <c r="A123" s="4" t="s">
        <v>152</v>
      </c>
      <c r="B123" s="4" t="s">
        <v>164</v>
      </c>
      <c r="C123" s="4" t="s">
        <v>98</v>
      </c>
      <c r="D123" s="12" t="s">
        <v>44</v>
      </c>
      <c r="E123" s="10"/>
      <c r="F123" s="11" t="s">
        <v>45</v>
      </c>
      <c r="G123" s="31" t="e">
        <f>IF('Phytopl Count'!#REF!=0,"",'Phytopl Count'!#REF!*'Phytopl Count'!#REF!/'Phytopl Count'!#REF!)</f>
        <v>#REF!</v>
      </c>
      <c r="H123" s="31" t="e">
        <f>IF('Phytopl Count'!#REF!=0,"",'Phytopl Count'!#REF!*'Phytopl Count'!#REF!/'Phytopl Count'!#REF!)</f>
        <v>#REF!</v>
      </c>
      <c r="I123" s="31" t="e">
        <f>IF('Phytopl Count'!#REF!=0,"",'Phytopl Count'!#REF!*'Phytopl Count'!#REF!/'Phytopl Count'!#REF!)</f>
        <v>#REF!</v>
      </c>
    </row>
    <row r="124" spans="1:9">
      <c r="A124" s="4"/>
      <c r="B124" s="4"/>
      <c r="C124" s="4"/>
      <c r="D124" s="4"/>
      <c r="E124" s="4"/>
      <c r="F124" s="16"/>
      <c r="G124" s="31" t="e">
        <f>IF('Phytopl Count'!#REF!=0,"",'Phytopl Count'!#REF!*'Phytopl Count'!#REF!/'Phytopl Count'!#REF!)</f>
        <v>#REF!</v>
      </c>
      <c r="H124" s="31" t="e">
        <f>IF('Phytopl Count'!#REF!=0,"",'Phytopl Count'!#REF!*'Phytopl Count'!#REF!/'Phytopl Count'!#REF!)</f>
        <v>#REF!</v>
      </c>
      <c r="I124" s="31" t="e">
        <f>IF('Phytopl Count'!#REF!=0,"",'Phytopl Count'!#REF!*'Phytopl Count'!#REF!/'Phytopl Count'!#REF!)</f>
        <v>#REF!</v>
      </c>
    </row>
    <row r="125" spans="1:9">
      <c r="C125" s="16"/>
      <c r="D125" s="4"/>
      <c r="E125" s="4"/>
      <c r="F125" s="59"/>
      <c r="G125" s="31" t="e">
        <f>IF('Phytopl Count'!#REF!=0,"",'Phytopl Count'!#REF!*'Phytopl Count'!#REF!/'Phytopl Count'!#REF!)</f>
        <v>#REF!</v>
      </c>
      <c r="H125" s="31" t="e">
        <f>IF('Phytopl Count'!#REF!=0,"",'Phytopl Count'!#REF!*'Phytopl Count'!#REF!/'Phytopl Count'!#REF!)</f>
        <v>#REF!</v>
      </c>
      <c r="I125" s="31" t="e">
        <f>IF('Phytopl Count'!#REF!=0,"",'Phytopl Count'!#REF!*'Phytopl Count'!#REF!/'Phytopl Count'!#REF!)</f>
        <v>#REF!</v>
      </c>
    </row>
    <row r="126" spans="1:9">
      <c r="A126" s="16"/>
      <c r="B126" s="16"/>
      <c r="D126" s="4"/>
      <c r="E126" s="4"/>
      <c r="F126" s="59"/>
      <c r="G126" s="31" t="e">
        <f>IF('Phytopl Count'!#REF!=0,"",'Phytopl Count'!#REF!*'Phytopl Count'!#REF!/'Phytopl Count'!#REF!)</f>
        <v>#REF!</v>
      </c>
      <c r="H126" s="31" t="e">
        <f>IF('Phytopl Count'!#REF!=0,"",'Phytopl Count'!#REF!*'Phytopl Count'!#REF!/'Phytopl Count'!#REF!)</f>
        <v>#REF!</v>
      </c>
      <c r="I126" s="31" t="e">
        <f>IF('Phytopl Count'!#REF!=0,"",'Phytopl Count'!#REF!*'Phytopl Count'!#REF!/'Phytopl Count'!#REF!)</f>
        <v>#REF!</v>
      </c>
    </row>
    <row r="127" spans="1:9">
      <c r="A127" s="16"/>
      <c r="B127" s="16"/>
      <c r="C127" s="16"/>
      <c r="E127" s="4"/>
      <c r="F127" s="59"/>
      <c r="G127" s="31" t="e">
        <f>IF('Phytopl Count'!#REF!=0,"",'Phytopl Count'!#REF!*'Phytopl Count'!#REF!/'Phytopl Count'!#REF!)</f>
        <v>#REF!</v>
      </c>
      <c r="H127" s="31" t="e">
        <f>IF('Phytopl Count'!#REF!=0,"",'Phytopl Count'!#REF!*'Phytopl Count'!#REF!/'Phytopl Count'!#REF!)</f>
        <v>#REF!</v>
      </c>
      <c r="I127" s="31" t="e">
        <f>IF('Phytopl Count'!#REF!=0,"",'Phytopl Count'!#REF!*'Phytopl Count'!#REF!/'Phytopl Count'!#REF!)</f>
        <v>#REF!</v>
      </c>
    </row>
    <row r="128" spans="1:9">
      <c r="A128" s="10"/>
      <c r="B128" s="10"/>
      <c r="C128" s="10"/>
      <c r="D128" s="10"/>
      <c r="F128" s="9"/>
      <c r="G128" s="31" t="e">
        <f>IF('Phytopl Count'!#REF!=0,"",'Phytopl Count'!#REF!*'Phytopl Count'!#REF!/'Phytopl Count'!#REF!)</f>
        <v>#REF!</v>
      </c>
      <c r="H128" s="31" t="e">
        <f>IF('Phytopl Count'!#REF!=0,"",'Phytopl Count'!#REF!*'Phytopl Count'!#REF!/'Phytopl Count'!#REF!)</f>
        <v>#REF!</v>
      </c>
      <c r="I128" s="31" t="e">
        <f>IF('Phytopl Count'!#REF!=0,"",'Phytopl Count'!#REF!*'Phytopl Count'!#REF!/'Phytopl Count'!#REF!)</f>
        <v>#REF!</v>
      </c>
    </row>
    <row r="129" spans="1:20">
      <c r="A129" s="4" t="s">
        <v>155</v>
      </c>
      <c r="B129" s="28" t="s">
        <v>10</v>
      </c>
      <c r="C129" s="4" t="s">
        <v>74</v>
      </c>
      <c r="D129" s="5" t="s">
        <v>75</v>
      </c>
      <c r="E129" s="10"/>
      <c r="F129" s="11" t="s">
        <v>11</v>
      </c>
      <c r="G129" s="31" t="e">
        <f>IF('Phytopl Count'!#REF!=0,"",'Phytopl Count'!#REF!*'Phytopl Count'!#REF!/'Phytopl Count'!#REF!)</f>
        <v>#REF!</v>
      </c>
      <c r="H129" s="31" t="e">
        <f>IF('Phytopl Count'!#REF!=0,"",'Phytopl Count'!#REF!*'Phytopl Count'!#REF!/'Phytopl Count'!#REF!)</f>
        <v>#REF!</v>
      </c>
      <c r="I129" s="31" t="e">
        <f>IF('Phytopl Count'!#REF!=0,"",'Phytopl Count'!#REF!*'Phytopl Count'!#REF!/'Phytopl Count'!#REF!)</f>
        <v>#REF!</v>
      </c>
    </row>
    <row r="130" spans="1:20">
      <c r="A130" s="10"/>
      <c r="B130" s="10"/>
      <c r="C130" s="10"/>
      <c r="D130" s="10"/>
      <c r="F130" s="9"/>
      <c r="G130" s="31"/>
      <c r="H130" s="31"/>
      <c r="I130" s="31"/>
    </row>
    <row r="131" spans="1:20">
      <c r="A131" s="4" t="s">
        <v>155</v>
      </c>
      <c r="B131" s="28" t="s">
        <v>10</v>
      </c>
      <c r="C131" s="4" t="s">
        <v>74</v>
      </c>
      <c r="D131" s="5" t="s">
        <v>156</v>
      </c>
      <c r="E131" s="10"/>
      <c r="F131" s="11" t="s">
        <v>115</v>
      </c>
      <c r="G131" s="31" t="e">
        <f>IF('Phytopl Count'!#REF!=0,"",'Phytopl Count'!#REF!*'Phytopl Count'!#REF!/'Phytopl Count'!#REF!)</f>
        <v>#REF!</v>
      </c>
      <c r="H131" s="31" t="e">
        <f>IF('Phytopl Count'!#REF!=0,"",'Phytopl Count'!#REF!*'Phytopl Count'!#REF!/'Phytopl Count'!#REF!)</f>
        <v>#REF!</v>
      </c>
      <c r="I131" s="31" t="e">
        <f>IF('Phytopl Count'!#REF!=0,"",'Phytopl Count'!#REF!*'Phytopl Count'!#REF!/'Phytopl Count'!#REF!)</f>
        <v>#REF!</v>
      </c>
    </row>
    <row r="132" spans="1:20">
      <c r="F132" s="9"/>
      <c r="G132" s="31" t="e">
        <f>IF('Phytopl Count'!#REF!=0,"",'Phytopl Count'!#REF!*'Phytopl Count'!#REF!/'Phytopl Count'!#REF!)</f>
        <v>#REF!</v>
      </c>
      <c r="H132" s="31" t="e">
        <f>IF('Phytopl Count'!#REF!=0,"",'Phytopl Count'!#REF!*'Phytopl Count'!#REF!/'Phytopl Count'!#REF!)</f>
        <v>#REF!</v>
      </c>
      <c r="I132" s="31" t="e">
        <f>IF('Phytopl Count'!#REF!=0,"",'Phytopl Count'!#REF!*'Phytopl Count'!#REF!/'Phytopl Count'!#REF!)</f>
        <v>#REF!</v>
      </c>
    </row>
    <row r="133" spans="1:20">
      <c r="E133" s="10"/>
      <c r="F133" s="11"/>
      <c r="G133" s="31" t="e">
        <f>IF('Phytopl Count'!#REF!=0,"",'Phytopl Count'!#REF!*'Phytopl Count'!#REF!/'Phytopl Count'!#REF!)</f>
        <v>#REF!</v>
      </c>
      <c r="H133" s="31" t="e">
        <f>IF('Phytopl Count'!#REF!=0,"",'Phytopl Count'!#REF!*'Phytopl Count'!#REF!/'Phytopl Count'!#REF!)</f>
        <v>#REF!</v>
      </c>
      <c r="I133" s="31" t="e">
        <f>IF('Phytopl Count'!#REF!=0,"",'Phytopl Count'!#REF!*'Phytopl Count'!#REF!/'Phytopl Count'!#REF!)</f>
        <v>#REF!</v>
      </c>
    </row>
    <row r="134" spans="1:20">
      <c r="G134" s="31" t="e">
        <f>IF('Phytopl Count'!#REF!=0,"",'Phytopl Count'!#REF!*'Phytopl Count'!#REF!/'Phytopl Count'!#REF!)</f>
        <v>#REF!</v>
      </c>
      <c r="H134" s="31" t="e">
        <f>IF('Phytopl Count'!#REF!=0,"",'Phytopl Count'!#REF!*'Phytopl Count'!#REF!/'Phytopl Count'!#REF!)</f>
        <v>#REF!</v>
      </c>
      <c r="I134" s="31" t="e">
        <f>IF('Phytopl Count'!#REF!=0,"",'Phytopl Count'!#REF!*'Phytopl Count'!#REF!/'Phytopl Count'!#REF!)</f>
        <v>#REF!</v>
      </c>
    </row>
    <row r="135" spans="1:20" ht="15" thickBot="1">
      <c r="G135" s="31" t="e">
        <f>IF('Phytopl Count'!#REF!=0,"",'Phytopl Count'!#REF!*'Phytopl Count'!#REF!/'Phytopl Count'!#REF!)</f>
        <v>#REF!</v>
      </c>
      <c r="H135" s="31" t="e">
        <f>IF('Phytopl Count'!#REF!=0,"",'Phytopl Count'!#REF!*'Phytopl Count'!#REF!/'Phytopl Count'!#REF!)</f>
        <v>#REF!</v>
      </c>
      <c r="I135" s="31" t="e">
        <f>IF('Phytopl Count'!#REF!=0,"",'Phytopl Count'!#REF!*'Phytopl Count'!#REF!/'Phytopl Count'!#REF!)</f>
        <v>#REF!</v>
      </c>
    </row>
    <row r="136" spans="1:20" s="13" customFormat="1" ht="15" thickBot="1">
      <c r="F136" s="15" t="s">
        <v>7</v>
      </c>
      <c r="G136" s="32">
        <f>COUNT(G14:G135)</f>
        <v>0</v>
      </c>
      <c r="H136" s="32">
        <f>COUNT(H14:H135)</f>
        <v>0</v>
      </c>
      <c r="I136" s="32">
        <f>COUNT(I14:I135)</f>
        <v>0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>
      <c r="F137" s="16" t="s">
        <v>60</v>
      </c>
      <c r="G137" s="31" t="e">
        <f>SUM(G14:G135)</f>
        <v>#REF!</v>
      </c>
      <c r="H137" s="31" t="e">
        <f>SUM(H14:H135)</f>
        <v>#REF!</v>
      </c>
      <c r="I137" s="31" t="e">
        <f>SUM(I14:I135)</f>
        <v>#REF!</v>
      </c>
    </row>
    <row r="138" spans="1:20">
      <c r="F138" s="16" t="s">
        <v>53</v>
      </c>
      <c r="G138" s="31" t="str">
        <f>IF(G136=0,"",(G137*LN(G137)-'Ln Data'!#REF!)/G137)</f>
        <v/>
      </c>
      <c r="H138" s="31" t="str">
        <f>IF(H136=0,"",(H137*LN(H137)-'Ln Data'!#REF!)/H137)</f>
        <v/>
      </c>
      <c r="I138" s="31" t="str">
        <f>IF(I136=0,"",(I137*LN(I137)-'Ln Data'!#REF!)/I137)</f>
        <v/>
      </c>
    </row>
    <row r="139" spans="1:20">
      <c r="F139" s="16" t="s">
        <v>54</v>
      </c>
      <c r="G139" s="31" t="str">
        <f>IF(G136=0,"",G138/LN(G136))</f>
        <v/>
      </c>
      <c r="H139" s="31" t="str">
        <f>IF(H136=0,"",H138/LN(H136))</f>
        <v/>
      </c>
      <c r="I139" s="31" t="str">
        <f>IF(I136=0,"",I138/LN(I136))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62"/>
  <sheetViews>
    <sheetView zoomScale="70" zoomScaleNormal="70" workbookViewId="0">
      <selection sqref="A1:F1048576"/>
    </sheetView>
  </sheetViews>
  <sheetFormatPr defaultRowHeight="15.6"/>
  <cols>
    <col min="1" max="1" width="8.59765625" style="5" customWidth="1"/>
    <col min="2" max="5" width="2.09765625" style="5" customWidth="1"/>
    <col min="6" max="6" width="17.69921875" style="5" customWidth="1"/>
    <col min="7" max="7" width="11.59765625" style="34" customWidth="1"/>
    <col min="8" max="26" width="11.59765625" style="77" customWidth="1"/>
  </cols>
  <sheetData>
    <row r="1" spans="1:26" ht="18">
      <c r="A1" s="17" t="s">
        <v>55</v>
      </c>
      <c r="B1" s="17"/>
      <c r="C1" s="17"/>
      <c r="G1"/>
      <c r="H1"/>
      <c r="I1"/>
      <c r="J1" t="s">
        <v>189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>
      <c r="A2" s="4" t="s">
        <v>167</v>
      </c>
      <c r="B2" s="4"/>
      <c r="C2" s="4"/>
      <c r="D2" s="4"/>
      <c r="E2" s="4"/>
      <c r="F2" s="4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>
      <c r="A3" s="4"/>
      <c r="B3" s="4"/>
      <c r="C3" s="4"/>
      <c r="D3" s="4"/>
      <c r="E3" s="4"/>
      <c r="F3" s="4" t="s">
        <v>61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>
      <c r="A4" s="4"/>
      <c r="B4" s="4"/>
      <c r="C4" s="4"/>
      <c r="D4" s="4"/>
      <c r="E4" s="4"/>
      <c r="F4" s="16" t="s">
        <v>126</v>
      </c>
      <c r="G4" s="34" t="s">
        <v>211</v>
      </c>
      <c r="H4" s="77" t="s">
        <v>212</v>
      </c>
      <c r="I4" s="77" t="s">
        <v>213</v>
      </c>
      <c r="J4" s="77" t="s">
        <v>214</v>
      </c>
      <c r="K4" s="77" t="s">
        <v>215</v>
      </c>
      <c r="L4" s="77" t="s">
        <v>216</v>
      </c>
      <c r="M4" s="77" t="s">
        <v>217</v>
      </c>
      <c r="N4" s="77" t="s">
        <v>218</v>
      </c>
      <c r="O4" s="77" t="s">
        <v>219</v>
      </c>
      <c r="P4" s="77" t="s">
        <v>220</v>
      </c>
      <c r="Q4" s="77" t="s">
        <v>221</v>
      </c>
      <c r="R4" s="77" t="s">
        <v>222</v>
      </c>
      <c r="S4" s="77" t="s">
        <v>223</v>
      </c>
      <c r="T4" s="77" t="s">
        <v>224</v>
      </c>
      <c r="U4" s="77" t="s">
        <v>225</v>
      </c>
      <c r="V4" s="77" t="s">
        <v>226</v>
      </c>
      <c r="W4" s="77" t="s">
        <v>227</v>
      </c>
      <c r="X4" s="77" t="s">
        <v>228</v>
      </c>
      <c r="Y4" s="77" t="s">
        <v>229</v>
      </c>
      <c r="Z4" s="77" t="s">
        <v>230</v>
      </c>
    </row>
    <row r="5" spans="1:26">
      <c r="A5" s="4"/>
      <c r="B5" s="4"/>
      <c r="C5" s="4"/>
      <c r="D5" s="4"/>
      <c r="E5" s="4"/>
      <c r="F5" s="6" t="s">
        <v>125</v>
      </c>
      <c r="G5" s="34" t="s">
        <v>191</v>
      </c>
      <c r="H5" s="77" t="s">
        <v>193</v>
      </c>
      <c r="I5" s="77" t="s">
        <v>192</v>
      </c>
      <c r="J5" s="77" t="s">
        <v>194</v>
      </c>
      <c r="K5" s="77" t="s">
        <v>195</v>
      </c>
      <c r="L5" s="77" t="s">
        <v>198</v>
      </c>
      <c r="M5" s="77" t="s">
        <v>197</v>
      </c>
      <c r="N5" s="77" t="s">
        <v>196</v>
      </c>
      <c r="O5" s="77" t="s">
        <v>199</v>
      </c>
      <c r="P5" s="77" t="s">
        <v>202</v>
      </c>
      <c r="Q5" s="77" t="s">
        <v>200</v>
      </c>
      <c r="R5" s="77" t="s">
        <v>201</v>
      </c>
      <c r="S5" s="77" t="s">
        <v>203</v>
      </c>
      <c r="T5" s="77" t="s">
        <v>204</v>
      </c>
      <c r="U5" s="77" t="s">
        <v>205</v>
      </c>
      <c r="V5" s="77" t="s">
        <v>206</v>
      </c>
      <c r="W5" s="77" t="s">
        <v>207</v>
      </c>
      <c r="X5" s="77" t="s">
        <v>208</v>
      </c>
      <c r="Y5" s="77" t="s">
        <v>209</v>
      </c>
      <c r="Z5" s="77" t="s">
        <v>210</v>
      </c>
    </row>
    <row r="6" spans="1:26">
      <c r="A6" s="4"/>
      <c r="B6" s="4"/>
      <c r="C6" s="4"/>
      <c r="D6" s="4"/>
      <c r="E6" s="4"/>
      <c r="F6" s="6" t="s">
        <v>170</v>
      </c>
      <c r="G6" s="80">
        <v>3926.9908169872415</v>
      </c>
      <c r="H6" s="81">
        <v>3926.9908169872415</v>
      </c>
      <c r="I6" s="81">
        <v>3926.9908169872415</v>
      </c>
      <c r="J6" s="81">
        <v>3926.9908169872415</v>
      </c>
      <c r="K6" s="81">
        <v>3926.9908169872415</v>
      </c>
      <c r="L6" s="81">
        <v>3926.9908169872415</v>
      </c>
      <c r="M6" s="81">
        <v>3926.9908169872415</v>
      </c>
      <c r="N6" s="81">
        <v>3926.9908169872415</v>
      </c>
      <c r="O6" s="81">
        <v>3926.9908169872415</v>
      </c>
      <c r="P6" s="81">
        <v>3926.9908169872415</v>
      </c>
      <c r="Q6" s="81">
        <v>3926.9908169872415</v>
      </c>
      <c r="R6" s="81">
        <v>3926.9908169872415</v>
      </c>
      <c r="S6" s="81">
        <v>3926.9908169872415</v>
      </c>
      <c r="T6" s="81">
        <v>3926.9908169872415</v>
      </c>
      <c r="U6" s="81">
        <v>3926.9908169872415</v>
      </c>
      <c r="V6" s="81">
        <v>3926.9908169872415</v>
      </c>
      <c r="W6" s="81">
        <v>3926.9908169872415</v>
      </c>
      <c r="X6" s="81">
        <v>3926.9908169872415</v>
      </c>
      <c r="Y6" s="81">
        <v>3926.9908169872415</v>
      </c>
      <c r="Z6" s="81">
        <v>3926.9908169872415</v>
      </c>
    </row>
    <row r="7" spans="1:26" ht="16.2" thickBot="1">
      <c r="A7" s="7"/>
      <c r="B7" s="7"/>
      <c r="C7" s="7"/>
      <c r="D7" s="7"/>
      <c r="E7" s="7"/>
      <c r="F7" s="8" t="s">
        <v>57</v>
      </c>
      <c r="G7" s="84">
        <v>47.169811320754718</v>
      </c>
      <c r="H7" s="84">
        <v>62.893081761006286</v>
      </c>
      <c r="I7" s="84">
        <v>62.893081761006286</v>
      </c>
      <c r="J7" s="84">
        <v>47.169811320754718</v>
      </c>
      <c r="K7" s="84">
        <v>52.410901467505241</v>
      </c>
      <c r="L7" s="84">
        <v>62.893081761006286</v>
      </c>
      <c r="M7" s="84">
        <v>47.169811320754718</v>
      </c>
      <c r="N7" s="84">
        <v>62.893081761006286</v>
      </c>
      <c r="O7" s="84">
        <v>47.169811320754718</v>
      </c>
      <c r="P7" s="84">
        <v>62.893081761006286</v>
      </c>
      <c r="Q7" s="84">
        <v>78.616352201257854</v>
      </c>
      <c r="R7" s="84">
        <v>62.893081761006286</v>
      </c>
      <c r="S7" s="84">
        <v>62.893081761006286</v>
      </c>
      <c r="T7" s="84">
        <v>62.893081761006286</v>
      </c>
      <c r="U7" s="84">
        <v>47.169811320754718</v>
      </c>
      <c r="V7" s="84">
        <v>62.893081761006286</v>
      </c>
      <c r="W7" s="84">
        <v>47.169811320754718</v>
      </c>
      <c r="X7" s="84">
        <v>78.616352201257854</v>
      </c>
      <c r="Y7" s="84">
        <v>62.893081761006286</v>
      </c>
      <c r="Z7" s="84">
        <v>62.893081761006286</v>
      </c>
    </row>
    <row r="8" spans="1:26" ht="16.2" hidden="1" thickTop="1">
      <c r="A8" s="4"/>
      <c r="B8" s="4"/>
      <c r="C8" s="4"/>
      <c r="D8" s="4"/>
      <c r="E8" s="4"/>
      <c r="F8" s="6"/>
    </row>
    <row r="9" spans="1:26" hidden="1">
      <c r="A9" s="4"/>
      <c r="B9" s="4"/>
      <c r="C9" s="4"/>
      <c r="D9" s="4"/>
      <c r="E9" s="4"/>
      <c r="F9" s="6"/>
    </row>
    <row r="10" spans="1:26" hidden="1">
      <c r="A10" s="4"/>
      <c r="B10" s="4"/>
      <c r="C10" s="4"/>
      <c r="D10" s="4"/>
      <c r="E10" s="4"/>
      <c r="F10" s="6"/>
    </row>
    <row r="11" spans="1:26" hidden="1">
      <c r="A11" s="4"/>
      <c r="B11" s="4"/>
      <c r="C11" s="4"/>
      <c r="D11" s="4"/>
      <c r="E11" s="4"/>
      <c r="F11" s="6"/>
    </row>
    <row r="12" spans="1:26" hidden="1">
      <c r="A12" s="4"/>
      <c r="B12" s="4"/>
      <c r="C12" s="4"/>
      <c r="D12" s="4"/>
      <c r="E12" s="4"/>
      <c r="F12" s="6"/>
    </row>
    <row r="13" spans="1:26" hidden="1">
      <c r="A13" s="4"/>
      <c r="B13" s="4"/>
      <c r="C13" s="4"/>
      <c r="D13" s="4"/>
      <c r="E13" s="4"/>
      <c r="F13" s="6"/>
    </row>
    <row r="14" spans="1:26" ht="16.2" thickTop="1">
      <c r="A14" s="16" t="s">
        <v>4</v>
      </c>
      <c r="B14" s="4" t="s">
        <v>138</v>
      </c>
      <c r="C14" s="16"/>
      <c r="D14" s="4"/>
      <c r="E14" s="4"/>
      <c r="F14" s="59"/>
      <c r="G14" s="34" t="s">
        <v>190</v>
      </c>
      <c r="H14" s="77" t="s">
        <v>190</v>
      </c>
      <c r="I14" s="77" t="s">
        <v>190</v>
      </c>
      <c r="J14" s="77" t="s">
        <v>190</v>
      </c>
      <c r="K14" s="77" t="s">
        <v>190</v>
      </c>
      <c r="L14" s="77" t="s">
        <v>190</v>
      </c>
      <c r="M14" s="77" t="s">
        <v>190</v>
      </c>
      <c r="N14" s="77" t="s">
        <v>190</v>
      </c>
      <c r="O14" s="77" t="s">
        <v>190</v>
      </c>
      <c r="P14" s="77" t="s">
        <v>190</v>
      </c>
      <c r="Q14" s="77" t="s">
        <v>190</v>
      </c>
      <c r="R14" s="77" t="s">
        <v>190</v>
      </c>
      <c r="S14" s="77" t="s">
        <v>190</v>
      </c>
      <c r="T14" s="77" t="s">
        <v>190</v>
      </c>
      <c r="U14" s="77" t="s">
        <v>190</v>
      </c>
      <c r="V14" s="77" t="s">
        <v>190</v>
      </c>
      <c r="W14" s="77" t="s">
        <v>190</v>
      </c>
      <c r="X14" s="77" t="s">
        <v>190</v>
      </c>
      <c r="Y14" s="77" t="s">
        <v>190</v>
      </c>
      <c r="Z14" s="77" t="s">
        <v>190</v>
      </c>
    </row>
    <row r="15" spans="1:26">
      <c r="A15" s="16"/>
      <c r="B15" s="16" t="s">
        <v>72</v>
      </c>
      <c r="C15" s="4" t="s">
        <v>13</v>
      </c>
      <c r="D15" s="4"/>
      <c r="E15" s="4"/>
      <c r="F15" s="59"/>
      <c r="G15" s="34" t="s">
        <v>190</v>
      </c>
      <c r="H15" s="77" t="s">
        <v>190</v>
      </c>
      <c r="I15" s="77" t="s">
        <v>190</v>
      </c>
      <c r="J15" s="77" t="s">
        <v>190</v>
      </c>
      <c r="K15" s="77" t="s">
        <v>190</v>
      </c>
      <c r="L15" s="77" t="s">
        <v>190</v>
      </c>
      <c r="M15" s="77" t="s">
        <v>190</v>
      </c>
      <c r="N15" s="77" t="s">
        <v>190</v>
      </c>
      <c r="O15" s="77" t="s">
        <v>190</v>
      </c>
      <c r="P15" s="77" t="s">
        <v>190</v>
      </c>
      <c r="Q15" s="77" t="s">
        <v>190</v>
      </c>
      <c r="R15" s="77" t="s">
        <v>190</v>
      </c>
      <c r="S15" s="77" t="s">
        <v>190</v>
      </c>
      <c r="T15" s="77" t="s">
        <v>190</v>
      </c>
      <c r="U15" s="77" t="s">
        <v>190</v>
      </c>
      <c r="V15" s="77" t="s">
        <v>190</v>
      </c>
      <c r="W15" s="77" t="s">
        <v>190</v>
      </c>
      <c r="X15" s="77" t="s">
        <v>190</v>
      </c>
      <c r="Y15" s="77" t="s">
        <v>190</v>
      </c>
      <c r="Z15" s="77" t="s">
        <v>190</v>
      </c>
    </row>
    <row r="16" spans="1:26">
      <c r="A16" s="16"/>
      <c r="B16" s="16"/>
      <c r="C16" s="16" t="s">
        <v>73</v>
      </c>
      <c r="D16" s="4" t="s">
        <v>89</v>
      </c>
      <c r="E16" s="4"/>
      <c r="F16" s="59"/>
      <c r="G16" s="34" t="s">
        <v>190</v>
      </c>
      <c r="H16" s="77" t="s">
        <v>190</v>
      </c>
      <c r="I16" s="77" t="s">
        <v>190</v>
      </c>
      <c r="J16" s="77" t="s">
        <v>190</v>
      </c>
      <c r="K16" s="77" t="s">
        <v>190</v>
      </c>
      <c r="L16" s="77" t="s">
        <v>190</v>
      </c>
      <c r="M16" s="77" t="s">
        <v>190</v>
      </c>
      <c r="N16" s="77" t="s">
        <v>190</v>
      </c>
      <c r="O16" s="77" t="s">
        <v>190</v>
      </c>
      <c r="P16" s="77" t="s">
        <v>190</v>
      </c>
      <c r="Q16" s="77" t="s">
        <v>190</v>
      </c>
      <c r="R16" s="77" t="s">
        <v>190</v>
      </c>
      <c r="S16" s="77" t="s">
        <v>190</v>
      </c>
      <c r="T16" s="77" t="s">
        <v>190</v>
      </c>
      <c r="U16" s="77" t="s">
        <v>190</v>
      </c>
      <c r="V16" s="77" t="s">
        <v>190</v>
      </c>
      <c r="W16" s="77" t="s">
        <v>190</v>
      </c>
      <c r="X16" s="77" t="s">
        <v>190</v>
      </c>
      <c r="Y16" s="77" t="s">
        <v>190</v>
      </c>
      <c r="Z16" s="77" t="s">
        <v>190</v>
      </c>
    </row>
    <row r="17" spans="1:26">
      <c r="A17" s="61"/>
      <c r="B17" s="61"/>
      <c r="C17" s="26"/>
      <c r="D17" s="61" t="s">
        <v>5</v>
      </c>
      <c r="E17" s="60" t="s">
        <v>146</v>
      </c>
      <c r="F17" s="62"/>
      <c r="G17" s="34" t="s">
        <v>190</v>
      </c>
      <c r="H17" s="77" t="s">
        <v>190</v>
      </c>
      <c r="I17" s="77" t="s">
        <v>190</v>
      </c>
      <c r="J17" s="77" t="s">
        <v>190</v>
      </c>
      <c r="K17" s="77" t="s">
        <v>190</v>
      </c>
      <c r="L17" s="77" t="s">
        <v>190</v>
      </c>
      <c r="M17" s="77" t="s">
        <v>190</v>
      </c>
      <c r="N17" s="77" t="s">
        <v>190</v>
      </c>
      <c r="O17" s="77" t="s">
        <v>190</v>
      </c>
      <c r="P17" s="77" t="s">
        <v>190</v>
      </c>
      <c r="Q17" s="77" t="s">
        <v>190</v>
      </c>
      <c r="R17" s="77" t="s">
        <v>190</v>
      </c>
      <c r="S17" s="77" t="s">
        <v>190</v>
      </c>
      <c r="T17" s="77" t="s">
        <v>190</v>
      </c>
      <c r="U17" s="77" t="s">
        <v>190</v>
      </c>
      <c r="V17" s="77" t="s">
        <v>190</v>
      </c>
      <c r="W17" s="77" t="s">
        <v>190</v>
      </c>
      <c r="X17" s="77" t="s">
        <v>190</v>
      </c>
      <c r="Y17" s="77" t="s">
        <v>190</v>
      </c>
      <c r="Z17" s="77" t="s">
        <v>190</v>
      </c>
    </row>
    <row r="18" spans="1:26">
      <c r="E18" s="10" t="s">
        <v>6</v>
      </c>
      <c r="F18" s="52" t="s">
        <v>147</v>
      </c>
      <c r="G18" s="34" t="s">
        <v>190</v>
      </c>
      <c r="H18" s="77" t="s">
        <v>190</v>
      </c>
      <c r="I18" s="77" t="s">
        <v>190</v>
      </c>
      <c r="J18" s="77" t="s">
        <v>190</v>
      </c>
      <c r="K18" s="77" t="s">
        <v>190</v>
      </c>
      <c r="L18" s="77" t="s">
        <v>190</v>
      </c>
      <c r="M18" s="77" t="s">
        <v>190</v>
      </c>
      <c r="N18" s="77" t="s">
        <v>190</v>
      </c>
      <c r="O18" s="77" t="s">
        <v>190</v>
      </c>
      <c r="P18" s="77" t="s">
        <v>190</v>
      </c>
      <c r="Q18" s="77" t="s">
        <v>190</v>
      </c>
      <c r="R18" s="77" t="s">
        <v>190</v>
      </c>
      <c r="S18" s="77" t="s">
        <v>190</v>
      </c>
      <c r="T18" s="77" t="s">
        <v>190</v>
      </c>
      <c r="U18" s="77" t="s">
        <v>190</v>
      </c>
      <c r="V18" s="77" t="s">
        <v>190</v>
      </c>
      <c r="W18" s="77" t="s">
        <v>190</v>
      </c>
      <c r="X18" s="77" t="s">
        <v>190</v>
      </c>
      <c r="Y18" s="77" t="s">
        <v>190</v>
      </c>
      <c r="Z18" s="77" t="s">
        <v>190</v>
      </c>
    </row>
    <row r="19" spans="1:26">
      <c r="E19" s="10"/>
      <c r="F19" s="11" t="s">
        <v>171</v>
      </c>
      <c r="G19" s="34" t="s">
        <v>190</v>
      </c>
      <c r="H19" s="77" t="s">
        <v>190</v>
      </c>
      <c r="I19" s="77" t="s">
        <v>190</v>
      </c>
      <c r="J19" s="77" t="s">
        <v>190</v>
      </c>
      <c r="K19" s="77" t="s">
        <v>190</v>
      </c>
      <c r="L19" s="77" t="s">
        <v>190</v>
      </c>
      <c r="M19" s="77" t="s">
        <v>190</v>
      </c>
      <c r="N19" s="77" t="s">
        <v>190</v>
      </c>
      <c r="O19" s="77" t="s">
        <v>190</v>
      </c>
      <c r="P19" s="77" t="s">
        <v>190</v>
      </c>
      <c r="Q19" s="77" t="s">
        <v>190</v>
      </c>
      <c r="R19" s="77" t="s">
        <v>190</v>
      </c>
      <c r="S19" s="77" t="s">
        <v>190</v>
      </c>
      <c r="T19" s="77" t="s">
        <v>190</v>
      </c>
      <c r="U19" s="77" t="s">
        <v>190</v>
      </c>
      <c r="V19" s="77" t="s">
        <v>190</v>
      </c>
      <c r="W19" s="77" t="s">
        <v>190</v>
      </c>
      <c r="X19" s="77" t="s">
        <v>190</v>
      </c>
      <c r="Y19" s="77" t="s">
        <v>190</v>
      </c>
      <c r="Z19" s="77" t="s">
        <v>190</v>
      </c>
    </row>
    <row r="20" spans="1:26">
      <c r="E20" s="10"/>
      <c r="F20" s="11" t="s">
        <v>184</v>
      </c>
      <c r="G20" s="78">
        <v>0.19218710109210005</v>
      </c>
      <c r="H20" s="79">
        <v>0.24023387636512503</v>
      </c>
      <c r="I20" s="79">
        <v>0.19218710109210005</v>
      </c>
      <c r="J20" s="79">
        <v>0.15615201963733127</v>
      </c>
      <c r="K20" s="79">
        <v>1.3346326464729169E-2</v>
      </c>
      <c r="L20" s="79">
        <v>0.51249893624560006</v>
      </c>
      <c r="M20" s="79">
        <v>0.10810524436430627</v>
      </c>
      <c r="N20" s="79">
        <v>0.17617150933442502</v>
      </c>
      <c r="O20" s="79">
        <v>6.0058469091281264E-2</v>
      </c>
      <c r="P20" s="77" t="s">
        <v>190</v>
      </c>
      <c r="Q20" s="77" t="s">
        <v>190</v>
      </c>
      <c r="R20" s="79">
        <v>3.2031183515350004E-2</v>
      </c>
      <c r="S20" s="79">
        <v>0.33632742691117506</v>
      </c>
      <c r="T20" s="79">
        <v>0.32031183515350004</v>
      </c>
      <c r="U20" s="79">
        <v>6.0058469091281264E-2</v>
      </c>
      <c r="V20" s="79">
        <v>0.16015591757675002</v>
      </c>
      <c r="W20" s="79">
        <v>1.2011693818256253E-2</v>
      </c>
      <c r="X20" s="77" t="s">
        <v>190</v>
      </c>
      <c r="Y20" s="77" t="s">
        <v>190</v>
      </c>
      <c r="Z20" s="77" t="s">
        <v>190</v>
      </c>
    </row>
    <row r="21" spans="1:26">
      <c r="A21" s="16"/>
      <c r="B21" s="16"/>
      <c r="C21" s="16" t="s">
        <v>73</v>
      </c>
      <c r="D21" s="4" t="s">
        <v>139</v>
      </c>
      <c r="E21" s="4"/>
      <c r="F21" s="59"/>
      <c r="G21" s="34" t="s">
        <v>190</v>
      </c>
      <c r="H21" s="77" t="s">
        <v>190</v>
      </c>
      <c r="I21" s="77" t="s">
        <v>190</v>
      </c>
      <c r="J21" s="77" t="s">
        <v>190</v>
      </c>
      <c r="K21" s="77" t="s">
        <v>190</v>
      </c>
      <c r="L21" s="77" t="s">
        <v>190</v>
      </c>
      <c r="M21" s="77" t="s">
        <v>190</v>
      </c>
      <c r="N21" s="77" t="s">
        <v>190</v>
      </c>
      <c r="O21" s="77" t="s">
        <v>190</v>
      </c>
      <c r="P21" s="77" t="s">
        <v>190</v>
      </c>
      <c r="Q21" s="77" t="s">
        <v>190</v>
      </c>
      <c r="R21" s="77" t="s">
        <v>190</v>
      </c>
      <c r="S21" s="77" t="s">
        <v>190</v>
      </c>
      <c r="T21" s="77" t="s">
        <v>190</v>
      </c>
      <c r="U21" s="77" t="s">
        <v>190</v>
      </c>
      <c r="V21" s="77" t="s">
        <v>190</v>
      </c>
      <c r="W21" s="77" t="s">
        <v>190</v>
      </c>
      <c r="X21" s="77" t="s">
        <v>190</v>
      </c>
      <c r="Y21" s="77" t="s">
        <v>190</v>
      </c>
      <c r="Z21" s="77" t="s">
        <v>190</v>
      </c>
    </row>
    <row r="22" spans="1:26">
      <c r="A22" s="61"/>
      <c r="B22" s="61"/>
      <c r="C22" s="61"/>
      <c r="D22" s="61" t="s">
        <v>5</v>
      </c>
      <c r="E22" s="60" t="s">
        <v>140</v>
      </c>
      <c r="F22" s="62"/>
      <c r="G22" s="34" t="s">
        <v>190</v>
      </c>
      <c r="H22" s="77" t="s">
        <v>190</v>
      </c>
      <c r="I22" s="77" t="s">
        <v>190</v>
      </c>
      <c r="J22" s="77" t="s">
        <v>190</v>
      </c>
      <c r="K22" s="77" t="s">
        <v>190</v>
      </c>
      <c r="L22" s="77" t="s">
        <v>190</v>
      </c>
      <c r="M22" s="77" t="s">
        <v>190</v>
      </c>
      <c r="N22" s="77" t="s">
        <v>190</v>
      </c>
      <c r="O22" s="77" t="s">
        <v>190</v>
      </c>
      <c r="P22" s="77" t="s">
        <v>190</v>
      </c>
      <c r="Q22" s="77" t="s">
        <v>190</v>
      </c>
      <c r="R22" s="77" t="s">
        <v>190</v>
      </c>
      <c r="S22" s="77" t="s">
        <v>190</v>
      </c>
      <c r="T22" s="77" t="s">
        <v>190</v>
      </c>
      <c r="U22" s="77" t="s">
        <v>190</v>
      </c>
      <c r="V22" s="77" t="s">
        <v>190</v>
      </c>
      <c r="W22" s="77" t="s">
        <v>190</v>
      </c>
      <c r="X22" s="77" t="s">
        <v>190</v>
      </c>
      <c r="Y22" s="77" t="s">
        <v>190</v>
      </c>
      <c r="Z22" s="77" t="s">
        <v>190</v>
      </c>
    </row>
    <row r="23" spans="1:26">
      <c r="E23" s="10" t="s">
        <v>6</v>
      </c>
      <c r="F23" s="11" t="s">
        <v>141</v>
      </c>
      <c r="G23" s="34" t="s">
        <v>190</v>
      </c>
      <c r="H23" s="77" t="s">
        <v>190</v>
      </c>
      <c r="I23" s="77" t="s">
        <v>190</v>
      </c>
      <c r="J23" s="77" t="s">
        <v>190</v>
      </c>
      <c r="K23" s="77" t="s">
        <v>190</v>
      </c>
      <c r="L23" s="77" t="s">
        <v>190</v>
      </c>
      <c r="M23" s="77" t="s">
        <v>190</v>
      </c>
      <c r="N23" s="77" t="s">
        <v>190</v>
      </c>
      <c r="O23" s="77" t="s">
        <v>190</v>
      </c>
      <c r="P23" s="77" t="s">
        <v>190</v>
      </c>
      <c r="Q23" s="77" t="s">
        <v>190</v>
      </c>
      <c r="R23" s="77" t="s">
        <v>190</v>
      </c>
      <c r="S23" s="77" t="s">
        <v>190</v>
      </c>
      <c r="T23" s="77" t="s">
        <v>190</v>
      </c>
      <c r="U23" s="77" t="s">
        <v>190</v>
      </c>
      <c r="V23" s="77" t="s">
        <v>190</v>
      </c>
      <c r="W23" s="77" t="s">
        <v>190</v>
      </c>
      <c r="X23" s="77" t="s">
        <v>190</v>
      </c>
      <c r="Y23" s="77" t="s">
        <v>190</v>
      </c>
      <c r="Z23" s="77" t="s">
        <v>190</v>
      </c>
    </row>
    <row r="24" spans="1:26">
      <c r="C24" s="16"/>
      <c r="D24" s="28" t="s">
        <v>160</v>
      </c>
      <c r="E24" s="10"/>
      <c r="F24" s="11"/>
      <c r="G24" s="34" t="s">
        <v>190</v>
      </c>
      <c r="H24" s="77" t="s">
        <v>190</v>
      </c>
      <c r="I24" s="77" t="s">
        <v>190</v>
      </c>
      <c r="J24" s="77" t="s">
        <v>190</v>
      </c>
      <c r="K24" s="77" t="s">
        <v>190</v>
      </c>
      <c r="L24" s="77" t="s">
        <v>190</v>
      </c>
      <c r="M24" s="77" t="s">
        <v>190</v>
      </c>
      <c r="N24" s="77" t="s">
        <v>190</v>
      </c>
      <c r="O24" s="77" t="s">
        <v>190</v>
      </c>
      <c r="P24" s="77" t="s">
        <v>190</v>
      </c>
      <c r="Q24" s="77" t="s">
        <v>190</v>
      </c>
      <c r="R24" s="77" t="s">
        <v>190</v>
      </c>
      <c r="S24" s="77" t="s">
        <v>190</v>
      </c>
      <c r="T24" s="77" t="s">
        <v>190</v>
      </c>
      <c r="U24" s="77" t="s">
        <v>190</v>
      </c>
      <c r="V24" s="77" t="s">
        <v>190</v>
      </c>
      <c r="W24" s="77" t="s">
        <v>190</v>
      </c>
      <c r="X24" s="77" t="s">
        <v>190</v>
      </c>
      <c r="Y24" s="77" t="s">
        <v>190</v>
      </c>
      <c r="Z24" s="77" t="s">
        <v>190</v>
      </c>
    </row>
    <row r="25" spans="1:26">
      <c r="C25" s="74"/>
      <c r="D25" s="10" t="s">
        <v>5</v>
      </c>
      <c r="E25" s="12" t="s">
        <v>161</v>
      </c>
      <c r="F25" s="11"/>
      <c r="G25" s="34" t="s">
        <v>190</v>
      </c>
      <c r="H25" s="77" t="s">
        <v>190</v>
      </c>
      <c r="I25" s="77" t="s">
        <v>190</v>
      </c>
      <c r="J25" s="77" t="s">
        <v>190</v>
      </c>
      <c r="K25" s="77" t="s">
        <v>190</v>
      </c>
      <c r="L25" s="77" t="s">
        <v>190</v>
      </c>
      <c r="M25" s="77" t="s">
        <v>190</v>
      </c>
      <c r="N25" s="77" t="s">
        <v>190</v>
      </c>
      <c r="O25" s="77" t="s">
        <v>190</v>
      </c>
      <c r="P25" s="77" t="s">
        <v>190</v>
      </c>
      <c r="Q25" s="77" t="s">
        <v>190</v>
      </c>
      <c r="R25" s="77" t="s">
        <v>190</v>
      </c>
      <c r="S25" s="77" t="s">
        <v>190</v>
      </c>
      <c r="T25" s="77" t="s">
        <v>190</v>
      </c>
      <c r="U25" s="77" t="s">
        <v>190</v>
      </c>
      <c r="V25" s="77" t="s">
        <v>190</v>
      </c>
      <c r="W25" s="77" t="s">
        <v>190</v>
      </c>
      <c r="X25" s="77" t="s">
        <v>190</v>
      </c>
      <c r="Y25" s="77" t="s">
        <v>190</v>
      </c>
      <c r="Z25" s="77" t="s">
        <v>190</v>
      </c>
    </row>
    <row r="26" spans="1:26">
      <c r="A26" s="10"/>
      <c r="B26" s="10"/>
      <c r="C26" s="10"/>
      <c r="D26" s="10"/>
      <c r="E26" s="10" t="s">
        <v>6</v>
      </c>
      <c r="F26" s="11" t="s">
        <v>114</v>
      </c>
      <c r="G26" s="34" t="s">
        <v>190</v>
      </c>
      <c r="H26" s="77" t="s">
        <v>190</v>
      </c>
      <c r="I26" s="77" t="s">
        <v>190</v>
      </c>
      <c r="J26" s="77" t="s">
        <v>190</v>
      </c>
      <c r="K26" s="77" t="s">
        <v>190</v>
      </c>
      <c r="L26" s="77" t="s">
        <v>190</v>
      </c>
      <c r="M26" s="77" t="s">
        <v>190</v>
      </c>
      <c r="N26" s="77" t="s">
        <v>190</v>
      </c>
      <c r="O26" s="77" t="s">
        <v>190</v>
      </c>
      <c r="P26" s="77" t="s">
        <v>190</v>
      </c>
      <c r="Q26" s="77" t="s">
        <v>190</v>
      </c>
      <c r="R26" s="77" t="s">
        <v>190</v>
      </c>
      <c r="S26" s="77" t="s">
        <v>190</v>
      </c>
      <c r="T26" s="77" t="s">
        <v>190</v>
      </c>
      <c r="U26" s="77" t="s">
        <v>190</v>
      </c>
      <c r="V26" s="77" t="s">
        <v>190</v>
      </c>
      <c r="W26" s="77" t="s">
        <v>190</v>
      </c>
      <c r="X26" s="77" t="s">
        <v>190</v>
      </c>
      <c r="Y26" s="77" t="s">
        <v>190</v>
      </c>
      <c r="Z26" s="77" t="s">
        <v>190</v>
      </c>
    </row>
    <row r="27" spans="1:26">
      <c r="A27" s="10"/>
      <c r="B27" s="10"/>
      <c r="C27" s="10" t="s">
        <v>73</v>
      </c>
      <c r="D27" s="28" t="s">
        <v>86</v>
      </c>
      <c r="E27" s="10"/>
      <c r="F27" s="11"/>
      <c r="G27" s="34" t="s">
        <v>190</v>
      </c>
      <c r="H27" s="77" t="s">
        <v>190</v>
      </c>
      <c r="I27" s="77" t="s">
        <v>190</v>
      </c>
      <c r="J27" s="77" t="s">
        <v>190</v>
      </c>
      <c r="K27" s="77" t="s">
        <v>190</v>
      </c>
      <c r="L27" s="77" t="s">
        <v>190</v>
      </c>
      <c r="M27" s="77" t="s">
        <v>190</v>
      </c>
      <c r="N27" s="77" t="s">
        <v>190</v>
      </c>
      <c r="O27" s="77" t="s">
        <v>190</v>
      </c>
      <c r="P27" s="77" t="s">
        <v>190</v>
      </c>
      <c r="Q27" s="77" t="s">
        <v>190</v>
      </c>
      <c r="R27" s="77" t="s">
        <v>190</v>
      </c>
      <c r="S27" s="77" t="s">
        <v>190</v>
      </c>
      <c r="T27" s="77" t="s">
        <v>190</v>
      </c>
      <c r="U27" s="77" t="s">
        <v>190</v>
      </c>
      <c r="V27" s="77" t="s">
        <v>190</v>
      </c>
      <c r="W27" s="77" t="s">
        <v>190</v>
      </c>
      <c r="X27" s="77" t="s">
        <v>190</v>
      </c>
      <c r="Y27" s="77" t="s">
        <v>190</v>
      </c>
      <c r="Z27" s="77" t="s">
        <v>190</v>
      </c>
    </row>
    <row r="28" spans="1:26">
      <c r="A28" s="10"/>
      <c r="B28" s="10"/>
      <c r="C28" s="10"/>
      <c r="D28" s="10" t="s">
        <v>5</v>
      </c>
      <c r="E28" s="12" t="s">
        <v>87</v>
      </c>
      <c r="F28" s="11"/>
      <c r="G28" s="34" t="s">
        <v>190</v>
      </c>
      <c r="H28" s="77" t="s">
        <v>190</v>
      </c>
      <c r="I28" s="77" t="s">
        <v>190</v>
      </c>
      <c r="J28" s="77" t="s">
        <v>190</v>
      </c>
      <c r="K28" s="77" t="s">
        <v>190</v>
      </c>
      <c r="L28" s="77" t="s">
        <v>190</v>
      </c>
      <c r="M28" s="77" t="s">
        <v>190</v>
      </c>
      <c r="N28" s="77" t="s">
        <v>190</v>
      </c>
      <c r="O28" s="77" t="s">
        <v>190</v>
      </c>
      <c r="P28" s="77" t="s">
        <v>190</v>
      </c>
      <c r="Q28" s="77" t="s">
        <v>190</v>
      </c>
      <c r="R28" s="77" t="s">
        <v>190</v>
      </c>
      <c r="S28" s="77" t="s">
        <v>190</v>
      </c>
      <c r="T28" s="77" t="s">
        <v>190</v>
      </c>
      <c r="U28" s="77" t="s">
        <v>190</v>
      </c>
      <c r="V28" s="77" t="s">
        <v>190</v>
      </c>
      <c r="W28" s="77" t="s">
        <v>190</v>
      </c>
      <c r="X28" s="77" t="s">
        <v>190</v>
      </c>
      <c r="Y28" s="77" t="s">
        <v>190</v>
      </c>
      <c r="Z28" s="77" t="s">
        <v>190</v>
      </c>
    </row>
    <row r="29" spans="1:26">
      <c r="E29" s="10" t="s">
        <v>6</v>
      </c>
      <c r="F29" s="11" t="s">
        <v>34</v>
      </c>
      <c r="G29" s="34" t="s">
        <v>190</v>
      </c>
      <c r="H29" s="77" t="s">
        <v>190</v>
      </c>
      <c r="I29" s="77" t="s">
        <v>190</v>
      </c>
      <c r="J29" s="77" t="s">
        <v>190</v>
      </c>
      <c r="K29" s="77" t="s">
        <v>190</v>
      </c>
      <c r="L29" s="77" t="s">
        <v>190</v>
      </c>
      <c r="M29" s="77" t="s">
        <v>190</v>
      </c>
      <c r="N29" s="77" t="s">
        <v>190</v>
      </c>
      <c r="O29" s="77" t="s">
        <v>190</v>
      </c>
      <c r="P29" s="77" t="s">
        <v>190</v>
      </c>
      <c r="Q29" s="77" t="s">
        <v>190</v>
      </c>
      <c r="R29" s="77" t="s">
        <v>190</v>
      </c>
      <c r="S29" s="77" t="s">
        <v>190</v>
      </c>
      <c r="T29" s="77" t="s">
        <v>190</v>
      </c>
      <c r="U29" s="77" t="s">
        <v>190</v>
      </c>
      <c r="V29" s="77" t="s">
        <v>190</v>
      </c>
      <c r="W29" s="77" t="s">
        <v>190</v>
      </c>
      <c r="X29" s="77" t="s">
        <v>190</v>
      </c>
      <c r="Y29" s="77" t="s">
        <v>190</v>
      </c>
      <c r="Z29" s="77" t="s">
        <v>190</v>
      </c>
    </row>
    <row r="30" spans="1:26">
      <c r="A30" s="4"/>
      <c r="B30" s="4"/>
      <c r="C30" s="16" t="s">
        <v>73</v>
      </c>
      <c r="D30" s="4" t="s">
        <v>88</v>
      </c>
      <c r="E30" s="16"/>
      <c r="F30" s="54"/>
      <c r="G30" s="34" t="s">
        <v>190</v>
      </c>
      <c r="H30" s="77" t="s">
        <v>190</v>
      </c>
      <c r="I30" s="77" t="s">
        <v>190</v>
      </c>
      <c r="J30" s="77" t="s">
        <v>190</v>
      </c>
      <c r="K30" s="77" t="s">
        <v>190</v>
      </c>
      <c r="L30" s="77" t="s">
        <v>190</v>
      </c>
      <c r="M30" s="77" t="s">
        <v>190</v>
      </c>
      <c r="N30" s="77" t="s">
        <v>190</v>
      </c>
      <c r="O30" s="77" t="s">
        <v>190</v>
      </c>
      <c r="P30" s="77" t="s">
        <v>190</v>
      </c>
      <c r="Q30" s="77" t="s">
        <v>190</v>
      </c>
      <c r="R30" s="77" t="s">
        <v>190</v>
      </c>
      <c r="S30" s="77" t="s">
        <v>190</v>
      </c>
      <c r="T30" s="77" t="s">
        <v>190</v>
      </c>
      <c r="U30" s="77" t="s">
        <v>190</v>
      </c>
      <c r="V30" s="77" t="s">
        <v>190</v>
      </c>
      <c r="W30" s="77" t="s">
        <v>190</v>
      </c>
      <c r="X30" s="77" t="s">
        <v>190</v>
      </c>
      <c r="Y30" s="77" t="s">
        <v>190</v>
      </c>
      <c r="Z30" s="77" t="s">
        <v>190</v>
      </c>
    </row>
    <row r="31" spans="1:26">
      <c r="D31" s="10" t="s">
        <v>5</v>
      </c>
      <c r="E31" s="5" t="s">
        <v>35</v>
      </c>
      <c r="F31" s="9"/>
      <c r="G31" s="34" t="s">
        <v>190</v>
      </c>
      <c r="H31" s="77" t="s">
        <v>190</v>
      </c>
      <c r="I31" s="77" t="s">
        <v>190</v>
      </c>
      <c r="J31" s="77" t="s">
        <v>190</v>
      </c>
      <c r="K31" s="77" t="s">
        <v>190</v>
      </c>
      <c r="L31" s="77" t="s">
        <v>190</v>
      </c>
      <c r="M31" s="77" t="s">
        <v>190</v>
      </c>
      <c r="N31" s="77" t="s">
        <v>190</v>
      </c>
      <c r="O31" s="77" t="s">
        <v>190</v>
      </c>
      <c r="P31" s="77" t="s">
        <v>190</v>
      </c>
      <c r="Q31" s="77" t="s">
        <v>190</v>
      </c>
      <c r="R31" s="77" t="s">
        <v>190</v>
      </c>
      <c r="S31" s="77" t="s">
        <v>190</v>
      </c>
      <c r="T31" s="77" t="s">
        <v>190</v>
      </c>
      <c r="U31" s="77" t="s">
        <v>190</v>
      </c>
      <c r="V31" s="77" t="s">
        <v>190</v>
      </c>
      <c r="W31" s="77" t="s">
        <v>190</v>
      </c>
      <c r="X31" s="77" t="s">
        <v>190</v>
      </c>
      <c r="Y31" s="77" t="s">
        <v>190</v>
      </c>
      <c r="Z31" s="77" t="s">
        <v>190</v>
      </c>
    </row>
    <row r="32" spans="1:26">
      <c r="E32" s="10" t="s">
        <v>6</v>
      </c>
      <c r="F32" s="11" t="s">
        <v>36</v>
      </c>
      <c r="G32" s="78">
        <v>0.26425726400163757</v>
      </c>
      <c r="H32" s="79">
        <v>4.8046775273025012E-2</v>
      </c>
      <c r="I32" s="79">
        <v>1.6015591757675002E-2</v>
      </c>
      <c r="J32" s="79">
        <v>8.4081856727793766E-2</v>
      </c>
      <c r="K32" s="79" t="s">
        <v>190</v>
      </c>
      <c r="L32" s="79">
        <v>1.6015591757675002E-2</v>
      </c>
      <c r="M32" s="79">
        <v>4.8046775273025012E-2</v>
      </c>
      <c r="N32" s="79">
        <v>3.2031183515350004E-2</v>
      </c>
      <c r="O32" s="79" t="s">
        <v>190</v>
      </c>
      <c r="P32" s="79" t="s">
        <v>190</v>
      </c>
      <c r="Q32" s="79">
        <v>2.0019489697093752E-2</v>
      </c>
      <c r="R32" s="79">
        <v>1.6015591757675002E-2</v>
      </c>
      <c r="S32" s="79" t="s">
        <v>190</v>
      </c>
      <c r="T32" s="79" t="s">
        <v>190</v>
      </c>
      <c r="U32" s="79" t="s">
        <v>190</v>
      </c>
      <c r="V32" s="79">
        <v>4.8046775273025012E-2</v>
      </c>
      <c r="W32" s="79">
        <v>1.2011693818256253E-2</v>
      </c>
      <c r="X32" s="77" t="s">
        <v>190</v>
      </c>
      <c r="Y32" s="77" t="s">
        <v>190</v>
      </c>
      <c r="Z32" s="77" t="s">
        <v>190</v>
      </c>
    </row>
    <row r="33" spans="1:26">
      <c r="E33" s="10"/>
      <c r="F33" s="50" t="s">
        <v>145</v>
      </c>
      <c r="G33" s="78">
        <v>1.2011693818256253E-2</v>
      </c>
      <c r="H33" s="79" t="s">
        <v>190</v>
      </c>
      <c r="I33" s="79" t="s">
        <v>190</v>
      </c>
      <c r="J33" s="79" t="s">
        <v>190</v>
      </c>
      <c r="K33" s="79" t="s">
        <v>190</v>
      </c>
      <c r="L33" s="79" t="s">
        <v>190</v>
      </c>
      <c r="M33" s="79" t="s">
        <v>190</v>
      </c>
      <c r="N33" s="79" t="s">
        <v>190</v>
      </c>
      <c r="O33" s="79" t="s">
        <v>190</v>
      </c>
      <c r="P33" s="79" t="s">
        <v>190</v>
      </c>
      <c r="Q33" s="79" t="s">
        <v>190</v>
      </c>
      <c r="R33" s="79" t="s">
        <v>190</v>
      </c>
      <c r="S33" s="79" t="s">
        <v>190</v>
      </c>
      <c r="T33" s="79" t="s">
        <v>190</v>
      </c>
      <c r="U33" s="79" t="s">
        <v>190</v>
      </c>
      <c r="V33" s="79" t="s">
        <v>190</v>
      </c>
      <c r="W33" s="79" t="s">
        <v>190</v>
      </c>
      <c r="X33" s="77" t="s">
        <v>190</v>
      </c>
      <c r="Y33" s="77" t="s">
        <v>190</v>
      </c>
      <c r="Z33" s="77" t="s">
        <v>190</v>
      </c>
    </row>
    <row r="34" spans="1:26">
      <c r="A34" s="4"/>
      <c r="B34" s="4"/>
      <c r="C34" s="16" t="s">
        <v>73</v>
      </c>
      <c r="D34" s="4" t="s">
        <v>90</v>
      </c>
      <c r="E34" s="16"/>
      <c r="F34" s="54"/>
      <c r="G34" s="34" t="s">
        <v>190</v>
      </c>
      <c r="H34" s="77" t="s">
        <v>190</v>
      </c>
      <c r="I34" s="77" t="s">
        <v>190</v>
      </c>
      <c r="J34" s="77" t="s">
        <v>190</v>
      </c>
      <c r="K34" s="77" t="s">
        <v>190</v>
      </c>
      <c r="L34" s="77" t="s">
        <v>190</v>
      </c>
      <c r="M34" s="77" t="s">
        <v>190</v>
      </c>
      <c r="N34" s="77" t="s">
        <v>190</v>
      </c>
      <c r="O34" s="77" t="s">
        <v>190</v>
      </c>
      <c r="P34" s="77" t="s">
        <v>190</v>
      </c>
      <c r="Q34" s="77" t="s">
        <v>190</v>
      </c>
      <c r="R34" s="77" t="s">
        <v>190</v>
      </c>
      <c r="S34" s="77" t="s">
        <v>190</v>
      </c>
      <c r="T34" s="77" t="s">
        <v>190</v>
      </c>
      <c r="U34" s="77" t="s">
        <v>190</v>
      </c>
      <c r="V34" s="77" t="s">
        <v>190</v>
      </c>
      <c r="W34" s="77" t="s">
        <v>190</v>
      </c>
      <c r="X34" s="77" t="s">
        <v>190</v>
      </c>
      <c r="Y34" s="77" t="s">
        <v>190</v>
      </c>
      <c r="Z34" s="77" t="s">
        <v>190</v>
      </c>
    </row>
    <row r="35" spans="1:26">
      <c r="D35" s="10" t="s">
        <v>5</v>
      </c>
      <c r="E35" s="5" t="s">
        <v>37</v>
      </c>
      <c r="F35" s="9"/>
      <c r="G35" s="34" t="s">
        <v>190</v>
      </c>
      <c r="H35" s="77" t="s">
        <v>190</v>
      </c>
      <c r="I35" s="77" t="s">
        <v>190</v>
      </c>
      <c r="J35" s="77" t="s">
        <v>190</v>
      </c>
      <c r="K35" s="77" t="s">
        <v>190</v>
      </c>
      <c r="L35" s="77" t="s">
        <v>190</v>
      </c>
      <c r="M35" s="77" t="s">
        <v>190</v>
      </c>
      <c r="N35" s="77" t="s">
        <v>190</v>
      </c>
      <c r="O35" s="77" t="s">
        <v>190</v>
      </c>
      <c r="P35" s="77" t="s">
        <v>190</v>
      </c>
      <c r="Q35" s="77" t="s">
        <v>190</v>
      </c>
      <c r="R35" s="77" t="s">
        <v>190</v>
      </c>
      <c r="S35" s="77" t="s">
        <v>190</v>
      </c>
      <c r="T35" s="77" t="s">
        <v>190</v>
      </c>
      <c r="U35" s="77" t="s">
        <v>190</v>
      </c>
      <c r="V35" s="77" t="s">
        <v>190</v>
      </c>
      <c r="W35" s="77" t="s">
        <v>190</v>
      </c>
      <c r="X35" s="77" t="s">
        <v>190</v>
      </c>
      <c r="Y35" s="77" t="s">
        <v>190</v>
      </c>
      <c r="Z35" s="77" t="s">
        <v>190</v>
      </c>
    </row>
    <row r="36" spans="1:26">
      <c r="E36" s="10" t="s">
        <v>6</v>
      </c>
      <c r="F36" s="11" t="s">
        <v>38</v>
      </c>
      <c r="G36" s="34" t="s">
        <v>190</v>
      </c>
      <c r="H36" s="77" t="s">
        <v>190</v>
      </c>
      <c r="I36" s="77" t="s">
        <v>190</v>
      </c>
      <c r="J36" s="77" t="s">
        <v>190</v>
      </c>
      <c r="K36" s="77" t="s">
        <v>190</v>
      </c>
      <c r="L36" s="77" t="s">
        <v>190</v>
      </c>
      <c r="M36" s="77" t="s">
        <v>190</v>
      </c>
      <c r="N36" s="77" t="s">
        <v>190</v>
      </c>
      <c r="O36" s="77" t="s">
        <v>190</v>
      </c>
      <c r="P36" s="77" t="s">
        <v>190</v>
      </c>
      <c r="Q36" s="77" t="s">
        <v>190</v>
      </c>
      <c r="R36" s="77" t="s">
        <v>190</v>
      </c>
      <c r="S36" s="77" t="s">
        <v>190</v>
      </c>
      <c r="T36" s="77" t="s">
        <v>190</v>
      </c>
      <c r="U36" s="79">
        <v>1.2011693818256253E-2</v>
      </c>
      <c r="V36" s="79">
        <v>1.6015591757675002E-2</v>
      </c>
      <c r="W36" s="77" t="s">
        <v>190</v>
      </c>
      <c r="X36" s="77" t="s">
        <v>190</v>
      </c>
      <c r="Y36" s="77" t="s">
        <v>190</v>
      </c>
      <c r="Z36" s="77" t="s">
        <v>190</v>
      </c>
    </row>
    <row r="37" spans="1:26">
      <c r="D37" s="10" t="s">
        <v>5</v>
      </c>
      <c r="E37" s="12" t="s">
        <v>91</v>
      </c>
      <c r="F37" s="11"/>
      <c r="G37" s="34" t="s">
        <v>190</v>
      </c>
      <c r="H37" s="77" t="s">
        <v>190</v>
      </c>
      <c r="I37" s="77" t="s">
        <v>190</v>
      </c>
      <c r="J37" s="77" t="s">
        <v>190</v>
      </c>
      <c r="K37" s="77" t="s">
        <v>190</v>
      </c>
      <c r="L37" s="77" t="s">
        <v>190</v>
      </c>
      <c r="M37" s="77" t="s">
        <v>190</v>
      </c>
      <c r="N37" s="77" t="s">
        <v>190</v>
      </c>
      <c r="O37" s="77" t="s">
        <v>190</v>
      </c>
      <c r="P37" s="77" t="s">
        <v>190</v>
      </c>
      <c r="Q37" s="77" t="s">
        <v>190</v>
      </c>
      <c r="R37" s="77" t="s">
        <v>190</v>
      </c>
      <c r="S37" s="77" t="s">
        <v>190</v>
      </c>
      <c r="T37" s="77" t="s">
        <v>190</v>
      </c>
      <c r="U37" s="77" t="s">
        <v>190</v>
      </c>
      <c r="V37" s="77" t="s">
        <v>190</v>
      </c>
      <c r="W37" s="77" t="s">
        <v>190</v>
      </c>
      <c r="X37" s="77" t="s">
        <v>190</v>
      </c>
      <c r="Y37" s="77" t="s">
        <v>190</v>
      </c>
      <c r="Z37" s="77" t="s">
        <v>190</v>
      </c>
    </row>
    <row r="38" spans="1:26">
      <c r="E38" s="10" t="s">
        <v>6</v>
      </c>
      <c r="F38" s="11" t="s">
        <v>39</v>
      </c>
      <c r="G38" s="34" t="s">
        <v>190</v>
      </c>
      <c r="H38" s="77" t="s">
        <v>190</v>
      </c>
      <c r="I38" s="77" t="s">
        <v>190</v>
      </c>
      <c r="J38" s="77" t="s">
        <v>190</v>
      </c>
      <c r="K38" s="77" t="s">
        <v>190</v>
      </c>
      <c r="L38" s="77" t="s">
        <v>190</v>
      </c>
      <c r="M38" s="77" t="s">
        <v>190</v>
      </c>
      <c r="N38" s="77" t="s">
        <v>190</v>
      </c>
      <c r="O38" s="77" t="s">
        <v>190</v>
      </c>
      <c r="P38" s="77" t="s">
        <v>190</v>
      </c>
      <c r="Q38" s="77" t="s">
        <v>190</v>
      </c>
      <c r="R38" s="77" t="s">
        <v>190</v>
      </c>
      <c r="S38" s="77" t="s">
        <v>190</v>
      </c>
      <c r="T38" s="77" t="s">
        <v>190</v>
      </c>
      <c r="U38" s="77" t="s">
        <v>190</v>
      </c>
      <c r="V38" s="77" t="s">
        <v>190</v>
      </c>
      <c r="W38" s="77" t="s">
        <v>190</v>
      </c>
      <c r="X38" s="77" t="s">
        <v>190</v>
      </c>
      <c r="Y38" s="77" t="s">
        <v>190</v>
      </c>
      <c r="Z38" s="77" t="s">
        <v>190</v>
      </c>
    </row>
    <row r="39" spans="1:26">
      <c r="E39" s="10"/>
      <c r="F39" s="11"/>
      <c r="G39" s="34" t="s">
        <v>190</v>
      </c>
      <c r="H39" s="77" t="s">
        <v>190</v>
      </c>
      <c r="I39" s="77" t="s">
        <v>190</v>
      </c>
      <c r="J39" s="77" t="s">
        <v>190</v>
      </c>
      <c r="K39" s="77" t="s">
        <v>190</v>
      </c>
      <c r="L39" s="77" t="s">
        <v>190</v>
      </c>
      <c r="M39" s="77" t="s">
        <v>190</v>
      </c>
      <c r="N39" s="77" t="s">
        <v>190</v>
      </c>
      <c r="O39" s="77" t="s">
        <v>190</v>
      </c>
      <c r="P39" s="77" t="s">
        <v>190</v>
      </c>
      <c r="Q39" s="77" t="s">
        <v>190</v>
      </c>
      <c r="R39" s="77" t="s">
        <v>190</v>
      </c>
      <c r="S39" s="77" t="s">
        <v>190</v>
      </c>
      <c r="T39" s="77" t="s">
        <v>190</v>
      </c>
      <c r="U39" s="77" t="s">
        <v>190</v>
      </c>
      <c r="V39" s="77" t="s">
        <v>190</v>
      </c>
      <c r="W39" s="77" t="s">
        <v>190</v>
      </c>
      <c r="X39" s="77" t="s">
        <v>190</v>
      </c>
      <c r="Y39" s="77" t="s">
        <v>190</v>
      </c>
      <c r="Z39" s="77" t="s">
        <v>190</v>
      </c>
    </row>
    <row r="40" spans="1:26">
      <c r="A40" s="16"/>
      <c r="B40" s="16" t="s">
        <v>72</v>
      </c>
      <c r="C40" s="4" t="s">
        <v>76</v>
      </c>
      <c r="D40" s="4"/>
      <c r="E40" s="4"/>
      <c r="F40" s="59"/>
      <c r="G40" s="34" t="s">
        <v>190</v>
      </c>
      <c r="H40" s="77" t="s">
        <v>190</v>
      </c>
      <c r="I40" s="77" t="s">
        <v>190</v>
      </c>
      <c r="J40" s="77" t="s">
        <v>190</v>
      </c>
      <c r="K40" s="77" t="s">
        <v>190</v>
      </c>
      <c r="L40" s="77" t="s">
        <v>190</v>
      </c>
      <c r="M40" s="77" t="s">
        <v>190</v>
      </c>
      <c r="N40" s="77" t="s">
        <v>190</v>
      </c>
      <c r="O40" s="77" t="s">
        <v>190</v>
      </c>
      <c r="P40" s="77" t="s">
        <v>190</v>
      </c>
      <c r="Q40" s="77" t="s">
        <v>190</v>
      </c>
      <c r="R40" s="77" t="s">
        <v>190</v>
      </c>
      <c r="S40" s="77" t="s">
        <v>190</v>
      </c>
      <c r="T40" s="77" t="s">
        <v>190</v>
      </c>
      <c r="U40" s="77" t="s">
        <v>190</v>
      </c>
      <c r="V40" s="77" t="s">
        <v>190</v>
      </c>
      <c r="W40" s="77" t="s">
        <v>190</v>
      </c>
      <c r="X40" s="77" t="s">
        <v>190</v>
      </c>
      <c r="Y40" s="77" t="s">
        <v>190</v>
      </c>
      <c r="Z40" s="77" t="s">
        <v>190</v>
      </c>
    </row>
    <row r="41" spans="1:26">
      <c r="A41" s="16"/>
      <c r="B41" s="16"/>
      <c r="C41" s="16" t="s">
        <v>73</v>
      </c>
      <c r="D41" s="4" t="s">
        <v>142</v>
      </c>
      <c r="E41" s="4"/>
      <c r="F41" s="59"/>
      <c r="G41" s="34" t="s">
        <v>190</v>
      </c>
      <c r="H41" s="77" t="s">
        <v>190</v>
      </c>
      <c r="I41" s="77" t="s">
        <v>190</v>
      </c>
      <c r="J41" s="77" t="s">
        <v>190</v>
      </c>
      <c r="K41" s="77" t="s">
        <v>190</v>
      </c>
      <c r="L41" s="77" t="s">
        <v>190</v>
      </c>
      <c r="M41" s="77" t="s">
        <v>190</v>
      </c>
      <c r="N41" s="77" t="s">
        <v>190</v>
      </c>
      <c r="O41" s="77" t="s">
        <v>190</v>
      </c>
      <c r="P41" s="77" t="s">
        <v>190</v>
      </c>
      <c r="Q41" s="77" t="s">
        <v>190</v>
      </c>
      <c r="R41" s="77" t="s">
        <v>190</v>
      </c>
      <c r="S41" s="77" t="s">
        <v>190</v>
      </c>
      <c r="T41" s="77" t="s">
        <v>190</v>
      </c>
      <c r="U41" s="77" t="s">
        <v>190</v>
      </c>
      <c r="V41" s="77" t="s">
        <v>190</v>
      </c>
      <c r="W41" s="77" t="s">
        <v>190</v>
      </c>
      <c r="X41" s="77" t="s">
        <v>190</v>
      </c>
      <c r="Y41" s="77" t="s">
        <v>190</v>
      </c>
      <c r="Z41" s="77" t="s">
        <v>190</v>
      </c>
    </row>
    <row r="42" spans="1:26">
      <c r="A42" s="61"/>
      <c r="B42" s="61"/>
      <c r="C42" s="61"/>
      <c r="D42" s="61" t="s">
        <v>5</v>
      </c>
      <c r="E42" s="60" t="s">
        <v>143</v>
      </c>
      <c r="F42" s="62"/>
      <c r="G42" s="34" t="s">
        <v>190</v>
      </c>
      <c r="H42" s="77" t="s">
        <v>190</v>
      </c>
      <c r="I42" s="77" t="s">
        <v>190</v>
      </c>
      <c r="J42" s="77" t="s">
        <v>190</v>
      </c>
      <c r="K42" s="77" t="s">
        <v>190</v>
      </c>
      <c r="L42" s="77" t="s">
        <v>190</v>
      </c>
      <c r="M42" s="77" t="s">
        <v>190</v>
      </c>
      <c r="N42" s="77" t="s">
        <v>190</v>
      </c>
      <c r="O42" s="77" t="s">
        <v>190</v>
      </c>
      <c r="P42" s="77" t="s">
        <v>190</v>
      </c>
      <c r="Q42" s="77" t="s">
        <v>190</v>
      </c>
      <c r="R42" s="77" t="s">
        <v>190</v>
      </c>
      <c r="S42" s="77" t="s">
        <v>190</v>
      </c>
      <c r="T42" s="77" t="s">
        <v>190</v>
      </c>
      <c r="U42" s="77" t="s">
        <v>190</v>
      </c>
      <c r="V42" s="77" t="s">
        <v>190</v>
      </c>
      <c r="W42" s="77" t="s">
        <v>190</v>
      </c>
      <c r="X42" s="77" t="s">
        <v>190</v>
      </c>
      <c r="Y42" s="77" t="s">
        <v>190</v>
      </c>
      <c r="Z42" s="77" t="s">
        <v>190</v>
      </c>
    </row>
    <row r="43" spans="1:26">
      <c r="E43" s="10" t="s">
        <v>6</v>
      </c>
      <c r="F43" s="11" t="s">
        <v>144</v>
      </c>
      <c r="G43" s="34" t="s">
        <v>190</v>
      </c>
      <c r="H43" s="77" t="s">
        <v>190</v>
      </c>
      <c r="I43" s="77" t="s">
        <v>190</v>
      </c>
      <c r="J43" s="77" t="s">
        <v>190</v>
      </c>
      <c r="K43" s="77" t="s">
        <v>190</v>
      </c>
      <c r="L43" s="77" t="s">
        <v>190</v>
      </c>
      <c r="M43" s="77" t="s">
        <v>190</v>
      </c>
      <c r="N43" s="77" t="s">
        <v>190</v>
      </c>
      <c r="O43" s="77" t="s">
        <v>190</v>
      </c>
      <c r="P43" s="77" t="s">
        <v>190</v>
      </c>
      <c r="Q43" s="77" t="s">
        <v>190</v>
      </c>
      <c r="R43" s="77" t="s">
        <v>190</v>
      </c>
      <c r="S43" s="77" t="s">
        <v>190</v>
      </c>
      <c r="T43" s="77" t="s">
        <v>190</v>
      </c>
      <c r="U43" s="77" t="s">
        <v>190</v>
      </c>
      <c r="V43" s="77" t="s">
        <v>190</v>
      </c>
      <c r="W43" s="77" t="s">
        <v>190</v>
      </c>
      <c r="X43" s="77" t="s">
        <v>190</v>
      </c>
      <c r="Y43" s="77" t="s">
        <v>190</v>
      </c>
      <c r="Z43" s="77" t="s">
        <v>190</v>
      </c>
    </row>
    <row r="44" spans="1:26">
      <c r="A44" s="4"/>
      <c r="B44" s="4"/>
      <c r="C44" s="16" t="s">
        <v>73</v>
      </c>
      <c r="D44" s="4" t="s">
        <v>78</v>
      </c>
      <c r="E44" s="4"/>
      <c r="F44" s="54"/>
      <c r="G44" s="34" t="s">
        <v>190</v>
      </c>
      <c r="H44" s="77" t="s">
        <v>190</v>
      </c>
      <c r="I44" s="77" t="s">
        <v>190</v>
      </c>
      <c r="J44" s="77" t="s">
        <v>190</v>
      </c>
      <c r="K44" s="77" t="s">
        <v>190</v>
      </c>
      <c r="L44" s="77" t="s">
        <v>190</v>
      </c>
      <c r="M44" s="77" t="s">
        <v>190</v>
      </c>
      <c r="N44" s="77" t="s">
        <v>190</v>
      </c>
      <c r="O44" s="77" t="s">
        <v>190</v>
      </c>
      <c r="P44" s="77" t="s">
        <v>190</v>
      </c>
      <c r="Q44" s="77" t="s">
        <v>190</v>
      </c>
      <c r="R44" s="77" t="s">
        <v>190</v>
      </c>
      <c r="S44" s="77" t="s">
        <v>190</v>
      </c>
      <c r="T44" s="77" t="s">
        <v>190</v>
      </c>
      <c r="U44" s="77" t="s">
        <v>190</v>
      </c>
      <c r="V44" s="77" t="s">
        <v>190</v>
      </c>
      <c r="W44" s="77" t="s">
        <v>190</v>
      </c>
      <c r="X44" s="77" t="s">
        <v>190</v>
      </c>
      <c r="Y44" s="77" t="s">
        <v>190</v>
      </c>
      <c r="Z44" s="77" t="s">
        <v>190</v>
      </c>
    </row>
    <row r="45" spans="1:26">
      <c r="D45" s="10" t="s">
        <v>5</v>
      </c>
      <c r="E45" s="5" t="s">
        <v>17</v>
      </c>
      <c r="F45" s="11"/>
      <c r="G45" s="34" t="s">
        <v>190</v>
      </c>
      <c r="H45" s="77" t="s">
        <v>190</v>
      </c>
      <c r="I45" s="77" t="s">
        <v>190</v>
      </c>
      <c r="J45" s="77" t="s">
        <v>190</v>
      </c>
      <c r="K45" s="77" t="s">
        <v>190</v>
      </c>
      <c r="L45" s="77" t="s">
        <v>190</v>
      </c>
      <c r="M45" s="77" t="s">
        <v>190</v>
      </c>
      <c r="N45" s="77" t="s">
        <v>190</v>
      </c>
      <c r="O45" s="77" t="s">
        <v>190</v>
      </c>
      <c r="P45" s="77" t="s">
        <v>190</v>
      </c>
      <c r="Q45" s="77" t="s">
        <v>190</v>
      </c>
      <c r="R45" s="77" t="s">
        <v>190</v>
      </c>
      <c r="S45" s="77" t="s">
        <v>190</v>
      </c>
      <c r="T45" s="77" t="s">
        <v>190</v>
      </c>
      <c r="U45" s="77" t="s">
        <v>190</v>
      </c>
      <c r="V45" s="77" t="s">
        <v>190</v>
      </c>
      <c r="W45" s="77" t="s">
        <v>190</v>
      </c>
      <c r="X45" s="77" t="s">
        <v>190</v>
      </c>
      <c r="Y45" s="77" t="s">
        <v>190</v>
      </c>
      <c r="Z45" s="77" t="s">
        <v>190</v>
      </c>
    </row>
    <row r="46" spans="1:26">
      <c r="E46" s="10" t="s">
        <v>6</v>
      </c>
      <c r="F46" s="11" t="s">
        <v>18</v>
      </c>
      <c r="G46" s="34" t="s">
        <v>190</v>
      </c>
      <c r="H46" s="77" t="s">
        <v>190</v>
      </c>
      <c r="I46" s="77" t="s">
        <v>190</v>
      </c>
      <c r="J46" s="77" t="s">
        <v>190</v>
      </c>
      <c r="K46" s="77" t="s">
        <v>190</v>
      </c>
      <c r="L46" s="77" t="s">
        <v>190</v>
      </c>
      <c r="M46" s="77" t="s">
        <v>190</v>
      </c>
      <c r="N46" s="77" t="s">
        <v>190</v>
      </c>
      <c r="O46" s="77" t="s">
        <v>190</v>
      </c>
      <c r="P46" s="77" t="s">
        <v>190</v>
      </c>
      <c r="Q46" s="77" t="s">
        <v>190</v>
      </c>
      <c r="R46" s="77" t="s">
        <v>190</v>
      </c>
      <c r="S46" s="77" t="s">
        <v>190</v>
      </c>
      <c r="T46" s="77" t="s">
        <v>190</v>
      </c>
      <c r="U46" s="77" t="s">
        <v>190</v>
      </c>
      <c r="V46" s="77" t="s">
        <v>190</v>
      </c>
      <c r="W46" s="77" t="s">
        <v>190</v>
      </c>
      <c r="X46" s="77" t="s">
        <v>190</v>
      </c>
      <c r="Y46" s="77" t="s">
        <v>190</v>
      </c>
      <c r="Z46" s="77" t="s">
        <v>190</v>
      </c>
    </row>
    <row r="47" spans="1:26">
      <c r="D47" s="10" t="s">
        <v>5</v>
      </c>
      <c r="E47" s="12" t="s">
        <v>99</v>
      </c>
      <c r="F47" s="11"/>
      <c r="G47" s="34" t="s">
        <v>190</v>
      </c>
      <c r="H47" s="77" t="s">
        <v>190</v>
      </c>
      <c r="I47" s="77" t="s">
        <v>190</v>
      </c>
      <c r="J47" s="77" t="s">
        <v>190</v>
      </c>
      <c r="K47" s="77" t="s">
        <v>190</v>
      </c>
      <c r="L47" s="77" t="s">
        <v>190</v>
      </c>
      <c r="M47" s="77" t="s">
        <v>190</v>
      </c>
      <c r="N47" s="77" t="s">
        <v>190</v>
      </c>
      <c r="O47" s="77" t="s">
        <v>190</v>
      </c>
      <c r="P47" s="77" t="s">
        <v>190</v>
      </c>
      <c r="Q47" s="77" t="s">
        <v>190</v>
      </c>
      <c r="R47" s="77" t="s">
        <v>190</v>
      </c>
      <c r="S47" s="77" t="s">
        <v>190</v>
      </c>
      <c r="T47" s="77" t="s">
        <v>190</v>
      </c>
      <c r="U47" s="77" t="s">
        <v>190</v>
      </c>
      <c r="V47" s="77" t="s">
        <v>190</v>
      </c>
      <c r="W47" s="77" t="s">
        <v>190</v>
      </c>
      <c r="X47" s="77" t="s">
        <v>190</v>
      </c>
      <c r="Y47" s="77" t="s">
        <v>190</v>
      </c>
      <c r="Z47" s="77" t="s">
        <v>190</v>
      </c>
    </row>
    <row r="48" spans="1:26">
      <c r="E48" s="10" t="s">
        <v>6</v>
      </c>
      <c r="F48" s="11" t="s">
        <v>100</v>
      </c>
      <c r="G48" s="34" t="s">
        <v>190</v>
      </c>
      <c r="H48" s="77" t="s">
        <v>190</v>
      </c>
      <c r="I48" s="77" t="s">
        <v>190</v>
      </c>
      <c r="J48" s="77" t="s">
        <v>190</v>
      </c>
      <c r="K48" s="77" t="s">
        <v>190</v>
      </c>
      <c r="L48" s="77" t="s">
        <v>190</v>
      </c>
      <c r="M48" s="77" t="s">
        <v>190</v>
      </c>
      <c r="N48" s="77" t="s">
        <v>190</v>
      </c>
      <c r="O48" s="77" t="s">
        <v>190</v>
      </c>
      <c r="P48" s="77" t="s">
        <v>190</v>
      </c>
      <c r="Q48" s="77" t="s">
        <v>190</v>
      </c>
      <c r="R48" s="77" t="s">
        <v>190</v>
      </c>
      <c r="S48" s="77" t="s">
        <v>190</v>
      </c>
      <c r="T48" s="77" t="s">
        <v>190</v>
      </c>
      <c r="U48" s="77" t="s">
        <v>190</v>
      </c>
      <c r="V48" s="77" t="s">
        <v>190</v>
      </c>
      <c r="W48" s="77" t="s">
        <v>190</v>
      </c>
      <c r="X48" s="77" t="s">
        <v>190</v>
      </c>
      <c r="Y48" s="77" t="s">
        <v>190</v>
      </c>
      <c r="Z48" s="77" t="s">
        <v>190</v>
      </c>
    </row>
    <row r="49" spans="1:26">
      <c r="C49" s="10" t="s">
        <v>73</v>
      </c>
      <c r="D49" s="4" t="s">
        <v>19</v>
      </c>
      <c r="F49" s="11"/>
      <c r="G49" s="34" t="s">
        <v>190</v>
      </c>
      <c r="H49" s="77" t="s">
        <v>190</v>
      </c>
      <c r="I49" s="77" t="s">
        <v>190</v>
      </c>
      <c r="J49" s="77" t="s">
        <v>190</v>
      </c>
      <c r="K49" s="77" t="s">
        <v>190</v>
      </c>
      <c r="L49" s="77" t="s">
        <v>190</v>
      </c>
      <c r="M49" s="77" t="s">
        <v>190</v>
      </c>
      <c r="N49" s="77" t="s">
        <v>190</v>
      </c>
      <c r="O49" s="77" t="s">
        <v>190</v>
      </c>
      <c r="P49" s="77" t="s">
        <v>190</v>
      </c>
      <c r="Q49" s="77" t="s">
        <v>190</v>
      </c>
      <c r="R49" s="77" t="s">
        <v>190</v>
      </c>
      <c r="S49" s="77" t="s">
        <v>190</v>
      </c>
      <c r="T49" s="77" t="s">
        <v>190</v>
      </c>
      <c r="U49" s="77" t="s">
        <v>190</v>
      </c>
      <c r="V49" s="77" t="s">
        <v>190</v>
      </c>
      <c r="W49" s="77" t="s">
        <v>190</v>
      </c>
      <c r="X49" s="77" t="s">
        <v>190</v>
      </c>
      <c r="Y49" s="77" t="s">
        <v>190</v>
      </c>
      <c r="Z49" s="77" t="s">
        <v>190</v>
      </c>
    </row>
    <row r="50" spans="1:26">
      <c r="D50" s="10" t="s">
        <v>5</v>
      </c>
      <c r="E50" s="5" t="s">
        <v>157</v>
      </c>
      <c r="F50" s="11"/>
      <c r="G50" s="34" t="s">
        <v>190</v>
      </c>
      <c r="H50" s="77" t="s">
        <v>190</v>
      </c>
      <c r="I50" s="77" t="s">
        <v>190</v>
      </c>
      <c r="J50" s="77" t="s">
        <v>190</v>
      </c>
      <c r="K50" s="77" t="s">
        <v>190</v>
      </c>
      <c r="L50" s="77" t="s">
        <v>190</v>
      </c>
      <c r="M50" s="77" t="s">
        <v>190</v>
      </c>
      <c r="N50" s="77" t="s">
        <v>190</v>
      </c>
      <c r="O50" s="77" t="s">
        <v>190</v>
      </c>
      <c r="P50" s="77" t="s">
        <v>190</v>
      </c>
      <c r="Q50" s="77" t="s">
        <v>190</v>
      </c>
      <c r="R50" s="77" t="s">
        <v>190</v>
      </c>
      <c r="S50" s="77" t="s">
        <v>190</v>
      </c>
      <c r="T50" s="77" t="s">
        <v>190</v>
      </c>
      <c r="U50" s="77" t="s">
        <v>190</v>
      </c>
      <c r="V50" s="77" t="s">
        <v>190</v>
      </c>
      <c r="W50" s="77" t="s">
        <v>190</v>
      </c>
      <c r="X50" s="77" t="s">
        <v>190</v>
      </c>
      <c r="Y50" s="77" t="s">
        <v>190</v>
      </c>
      <c r="Z50" s="77" t="s">
        <v>190</v>
      </c>
    </row>
    <row r="51" spans="1:26">
      <c r="A51" s="10"/>
      <c r="B51" s="10"/>
      <c r="C51" s="10"/>
      <c r="D51" s="10"/>
      <c r="E51" s="10" t="s">
        <v>6</v>
      </c>
      <c r="F51" s="11" t="s">
        <v>19</v>
      </c>
      <c r="G51" s="34" t="s">
        <v>190</v>
      </c>
      <c r="H51" s="77" t="s">
        <v>190</v>
      </c>
      <c r="I51" s="77" t="s">
        <v>190</v>
      </c>
      <c r="J51" s="77" t="s">
        <v>190</v>
      </c>
      <c r="K51" s="77" t="s">
        <v>190</v>
      </c>
      <c r="L51" s="77" t="s">
        <v>190</v>
      </c>
      <c r="M51" s="77" t="s">
        <v>190</v>
      </c>
      <c r="N51" s="77" t="s">
        <v>190</v>
      </c>
      <c r="O51" s="77" t="s">
        <v>190</v>
      </c>
      <c r="P51" s="77" t="s">
        <v>190</v>
      </c>
      <c r="Q51" s="77" t="s">
        <v>190</v>
      </c>
      <c r="R51" s="77" t="s">
        <v>190</v>
      </c>
      <c r="S51" s="77" t="s">
        <v>190</v>
      </c>
      <c r="T51" s="77" t="s">
        <v>190</v>
      </c>
      <c r="U51" s="77" t="s">
        <v>190</v>
      </c>
      <c r="V51" s="77" t="s">
        <v>190</v>
      </c>
      <c r="W51" s="77" t="s">
        <v>190</v>
      </c>
      <c r="X51" s="77" t="s">
        <v>190</v>
      </c>
      <c r="Y51" s="77" t="s">
        <v>190</v>
      </c>
      <c r="Z51" s="77" t="s">
        <v>190</v>
      </c>
    </row>
    <row r="52" spans="1:26">
      <c r="C52" s="10" t="s">
        <v>73</v>
      </c>
      <c r="D52" s="4" t="s">
        <v>158</v>
      </c>
      <c r="F52" s="11"/>
      <c r="G52" s="34" t="s">
        <v>190</v>
      </c>
      <c r="H52" s="77" t="s">
        <v>190</v>
      </c>
      <c r="I52" s="77" t="s">
        <v>190</v>
      </c>
      <c r="J52" s="77" t="s">
        <v>190</v>
      </c>
      <c r="K52" s="77" t="s">
        <v>190</v>
      </c>
      <c r="L52" s="77" t="s">
        <v>190</v>
      </c>
      <c r="M52" s="77" t="s">
        <v>190</v>
      </c>
      <c r="N52" s="77" t="s">
        <v>190</v>
      </c>
      <c r="O52" s="77" t="s">
        <v>190</v>
      </c>
      <c r="P52" s="77" t="s">
        <v>190</v>
      </c>
      <c r="Q52" s="77" t="s">
        <v>190</v>
      </c>
      <c r="R52" s="77" t="s">
        <v>190</v>
      </c>
      <c r="S52" s="77" t="s">
        <v>190</v>
      </c>
      <c r="T52" s="77" t="s">
        <v>190</v>
      </c>
      <c r="U52" s="77" t="s">
        <v>190</v>
      </c>
      <c r="V52" s="77" t="s">
        <v>190</v>
      </c>
      <c r="W52" s="77" t="s">
        <v>190</v>
      </c>
      <c r="X52" s="77" t="s">
        <v>190</v>
      </c>
      <c r="Y52" s="77" t="s">
        <v>190</v>
      </c>
      <c r="Z52" s="77" t="s">
        <v>190</v>
      </c>
    </row>
    <row r="53" spans="1:26">
      <c r="D53" s="10" t="s">
        <v>5</v>
      </c>
      <c r="E53" s="5" t="s">
        <v>159</v>
      </c>
      <c r="F53" s="11"/>
      <c r="G53" s="34" t="s">
        <v>190</v>
      </c>
      <c r="H53" s="77" t="s">
        <v>190</v>
      </c>
      <c r="I53" s="77" t="s">
        <v>190</v>
      </c>
      <c r="J53" s="77" t="s">
        <v>190</v>
      </c>
      <c r="K53" s="77" t="s">
        <v>190</v>
      </c>
      <c r="L53" s="77" t="s">
        <v>190</v>
      </c>
      <c r="M53" s="77" t="s">
        <v>190</v>
      </c>
      <c r="N53" s="77" t="s">
        <v>190</v>
      </c>
      <c r="O53" s="77" t="s">
        <v>190</v>
      </c>
      <c r="P53" s="77" t="s">
        <v>190</v>
      </c>
      <c r="Q53" s="77" t="s">
        <v>190</v>
      </c>
      <c r="R53" s="77" t="s">
        <v>190</v>
      </c>
      <c r="S53" s="77" t="s">
        <v>190</v>
      </c>
      <c r="T53" s="77" t="s">
        <v>190</v>
      </c>
      <c r="U53" s="77" t="s">
        <v>190</v>
      </c>
      <c r="V53" s="77" t="s">
        <v>190</v>
      </c>
      <c r="W53" s="77" t="s">
        <v>190</v>
      </c>
      <c r="X53" s="77" t="s">
        <v>190</v>
      </c>
      <c r="Y53" s="77" t="s">
        <v>190</v>
      </c>
      <c r="Z53" s="77" t="s">
        <v>190</v>
      </c>
    </row>
    <row r="54" spans="1:26">
      <c r="E54" s="10" t="s">
        <v>6</v>
      </c>
      <c r="F54" s="11" t="s">
        <v>21</v>
      </c>
      <c r="G54" s="34" t="s">
        <v>190</v>
      </c>
      <c r="H54" s="77" t="s">
        <v>190</v>
      </c>
      <c r="I54" s="77" t="s">
        <v>190</v>
      </c>
      <c r="J54" s="77" t="s">
        <v>190</v>
      </c>
      <c r="K54" s="77" t="s">
        <v>190</v>
      </c>
      <c r="L54" s="77" t="s">
        <v>190</v>
      </c>
      <c r="M54" s="77" t="s">
        <v>190</v>
      </c>
      <c r="N54" s="77" t="s">
        <v>190</v>
      </c>
      <c r="O54" s="77" t="s">
        <v>190</v>
      </c>
      <c r="P54" s="77" t="s">
        <v>190</v>
      </c>
      <c r="Q54" s="77" t="s">
        <v>190</v>
      </c>
      <c r="R54" s="77" t="s">
        <v>190</v>
      </c>
      <c r="S54" s="77" t="s">
        <v>190</v>
      </c>
      <c r="T54" s="77" t="s">
        <v>190</v>
      </c>
      <c r="U54" s="77" t="s">
        <v>190</v>
      </c>
      <c r="V54" s="77" t="s">
        <v>190</v>
      </c>
      <c r="W54" s="77" t="s">
        <v>190</v>
      </c>
      <c r="X54" s="77" t="s">
        <v>190</v>
      </c>
      <c r="Y54" s="77" t="s">
        <v>190</v>
      </c>
      <c r="Z54" s="77" t="s">
        <v>190</v>
      </c>
    </row>
    <row r="55" spans="1:26">
      <c r="A55" s="4"/>
      <c r="B55" s="4"/>
      <c r="C55" s="16" t="s">
        <v>73</v>
      </c>
      <c r="D55" s="4" t="s">
        <v>80</v>
      </c>
      <c r="E55" s="4"/>
      <c r="F55" s="54"/>
      <c r="G55" s="34" t="s">
        <v>190</v>
      </c>
      <c r="H55" s="77" t="s">
        <v>190</v>
      </c>
      <c r="I55" s="77" t="s">
        <v>190</v>
      </c>
      <c r="J55" s="77" t="s">
        <v>190</v>
      </c>
      <c r="K55" s="77" t="s">
        <v>190</v>
      </c>
      <c r="L55" s="77" t="s">
        <v>190</v>
      </c>
      <c r="M55" s="77" t="s">
        <v>190</v>
      </c>
      <c r="N55" s="77" t="s">
        <v>190</v>
      </c>
      <c r="O55" s="77" t="s">
        <v>190</v>
      </c>
      <c r="P55" s="77" t="s">
        <v>190</v>
      </c>
      <c r="Q55" s="77" t="s">
        <v>190</v>
      </c>
      <c r="R55" s="77" t="s">
        <v>190</v>
      </c>
      <c r="S55" s="77" t="s">
        <v>190</v>
      </c>
      <c r="T55" s="77" t="s">
        <v>190</v>
      </c>
      <c r="U55" s="77" t="s">
        <v>190</v>
      </c>
      <c r="V55" s="77" t="s">
        <v>190</v>
      </c>
      <c r="W55" s="77" t="s">
        <v>190</v>
      </c>
      <c r="X55" s="77" t="s">
        <v>190</v>
      </c>
      <c r="Y55" s="77" t="s">
        <v>190</v>
      </c>
      <c r="Z55" s="77" t="s">
        <v>190</v>
      </c>
    </row>
    <row r="56" spans="1:26">
      <c r="A56" s="10"/>
      <c r="B56" s="10"/>
      <c r="C56" s="10"/>
      <c r="D56" s="10" t="s">
        <v>5</v>
      </c>
      <c r="E56" s="5" t="s">
        <v>22</v>
      </c>
      <c r="F56" s="9"/>
      <c r="G56" s="34" t="s">
        <v>190</v>
      </c>
      <c r="H56" s="77" t="s">
        <v>190</v>
      </c>
      <c r="I56" s="77" t="s">
        <v>190</v>
      </c>
      <c r="J56" s="77" t="s">
        <v>190</v>
      </c>
      <c r="K56" s="77" t="s">
        <v>190</v>
      </c>
      <c r="L56" s="77" t="s">
        <v>190</v>
      </c>
      <c r="M56" s="77" t="s">
        <v>190</v>
      </c>
      <c r="N56" s="77" t="s">
        <v>190</v>
      </c>
      <c r="O56" s="77" t="s">
        <v>190</v>
      </c>
      <c r="P56" s="77" t="s">
        <v>190</v>
      </c>
      <c r="Q56" s="77" t="s">
        <v>190</v>
      </c>
      <c r="R56" s="77" t="s">
        <v>190</v>
      </c>
      <c r="S56" s="77" t="s">
        <v>190</v>
      </c>
      <c r="T56" s="77" t="s">
        <v>190</v>
      </c>
      <c r="U56" s="77" t="s">
        <v>190</v>
      </c>
      <c r="V56" s="77" t="s">
        <v>190</v>
      </c>
      <c r="W56" s="77" t="s">
        <v>190</v>
      </c>
      <c r="X56" s="77" t="s">
        <v>190</v>
      </c>
      <c r="Y56" s="77" t="s">
        <v>190</v>
      </c>
      <c r="Z56" s="77" t="s">
        <v>190</v>
      </c>
    </row>
    <row r="57" spans="1:26">
      <c r="A57" s="10"/>
      <c r="B57" s="10"/>
      <c r="C57" s="10"/>
      <c r="D57" s="10"/>
      <c r="E57" s="10" t="s">
        <v>6</v>
      </c>
      <c r="F57" s="11" t="s">
        <v>23</v>
      </c>
      <c r="G57" s="78">
        <v>1.2011693818256253E-2</v>
      </c>
      <c r="H57" s="77" t="s">
        <v>190</v>
      </c>
      <c r="I57" s="77" t="s">
        <v>190</v>
      </c>
      <c r="J57" s="77" t="s">
        <v>190</v>
      </c>
      <c r="K57" s="77" t="s">
        <v>190</v>
      </c>
      <c r="L57" s="77" t="s">
        <v>190</v>
      </c>
      <c r="M57" s="77" t="s">
        <v>190</v>
      </c>
      <c r="N57" s="77" t="s">
        <v>190</v>
      </c>
      <c r="O57" s="77" t="s">
        <v>190</v>
      </c>
      <c r="P57" s="77" t="s">
        <v>190</v>
      </c>
      <c r="Q57" s="77" t="s">
        <v>190</v>
      </c>
      <c r="R57" s="77" t="s">
        <v>190</v>
      </c>
      <c r="S57" s="77" t="s">
        <v>190</v>
      </c>
      <c r="T57" s="77" t="s">
        <v>190</v>
      </c>
      <c r="U57" s="77" t="s">
        <v>190</v>
      </c>
      <c r="V57" s="77" t="s">
        <v>190</v>
      </c>
      <c r="W57" s="77" t="s">
        <v>190</v>
      </c>
      <c r="X57" s="77" t="s">
        <v>190</v>
      </c>
      <c r="Y57" s="77" t="s">
        <v>190</v>
      </c>
      <c r="Z57" s="77" t="s">
        <v>190</v>
      </c>
    </row>
    <row r="58" spans="1:26">
      <c r="D58" s="10" t="s">
        <v>5</v>
      </c>
      <c r="E58" s="12" t="s">
        <v>24</v>
      </c>
      <c r="F58" s="11"/>
      <c r="G58" s="34" t="s">
        <v>190</v>
      </c>
      <c r="H58" s="77" t="s">
        <v>190</v>
      </c>
      <c r="I58" s="77" t="s">
        <v>190</v>
      </c>
      <c r="J58" s="77" t="s">
        <v>190</v>
      </c>
      <c r="K58" s="77" t="s">
        <v>190</v>
      </c>
      <c r="L58" s="77" t="s">
        <v>190</v>
      </c>
      <c r="M58" s="77" t="s">
        <v>190</v>
      </c>
      <c r="N58" s="77" t="s">
        <v>190</v>
      </c>
      <c r="O58" s="77" t="s">
        <v>190</v>
      </c>
      <c r="P58" s="77" t="s">
        <v>190</v>
      </c>
      <c r="Q58" s="77" t="s">
        <v>190</v>
      </c>
      <c r="R58" s="77" t="s">
        <v>190</v>
      </c>
      <c r="S58" s="77" t="s">
        <v>190</v>
      </c>
      <c r="T58" s="77" t="s">
        <v>190</v>
      </c>
      <c r="U58" s="77" t="s">
        <v>190</v>
      </c>
      <c r="V58" s="77" t="s">
        <v>190</v>
      </c>
      <c r="W58" s="77" t="s">
        <v>190</v>
      </c>
      <c r="X58" s="77" t="s">
        <v>190</v>
      </c>
      <c r="Y58" s="77" t="s">
        <v>190</v>
      </c>
      <c r="Z58" s="77" t="s">
        <v>190</v>
      </c>
    </row>
    <row r="59" spans="1:26">
      <c r="E59" s="10" t="s">
        <v>6</v>
      </c>
      <c r="F59" s="11" t="s">
        <v>25</v>
      </c>
      <c r="G59" s="34" t="s">
        <v>190</v>
      </c>
      <c r="H59" s="77" t="s">
        <v>190</v>
      </c>
      <c r="I59" s="77" t="s">
        <v>190</v>
      </c>
      <c r="J59" s="77" t="s">
        <v>190</v>
      </c>
      <c r="K59" s="77" t="s">
        <v>190</v>
      </c>
      <c r="L59" s="77" t="s">
        <v>190</v>
      </c>
      <c r="M59" s="77" t="s">
        <v>190</v>
      </c>
      <c r="N59" s="77" t="s">
        <v>190</v>
      </c>
      <c r="O59" s="77" t="s">
        <v>190</v>
      </c>
      <c r="P59" s="77" t="s">
        <v>190</v>
      </c>
      <c r="Q59" s="77" t="s">
        <v>190</v>
      </c>
      <c r="R59" s="77" t="s">
        <v>190</v>
      </c>
      <c r="S59" s="77" t="s">
        <v>190</v>
      </c>
      <c r="T59" s="77" t="s">
        <v>190</v>
      </c>
      <c r="U59" s="77" t="s">
        <v>190</v>
      </c>
      <c r="V59" s="77" t="s">
        <v>190</v>
      </c>
      <c r="W59" s="77" t="s">
        <v>190</v>
      </c>
      <c r="X59" s="77" t="s">
        <v>190</v>
      </c>
      <c r="Y59" s="77" t="s">
        <v>190</v>
      </c>
      <c r="Z59" s="77" t="s">
        <v>190</v>
      </c>
    </row>
    <row r="60" spans="1:26">
      <c r="A60" s="4"/>
      <c r="B60" s="4"/>
      <c r="C60" s="16" t="s">
        <v>73</v>
      </c>
      <c r="D60" s="4" t="s">
        <v>81</v>
      </c>
      <c r="E60" s="16"/>
      <c r="F60" s="54"/>
      <c r="G60" s="34" t="s">
        <v>190</v>
      </c>
      <c r="H60" s="77" t="s">
        <v>190</v>
      </c>
      <c r="I60" s="77" t="s">
        <v>190</v>
      </c>
      <c r="J60" s="77" t="s">
        <v>190</v>
      </c>
      <c r="K60" s="77" t="s">
        <v>190</v>
      </c>
      <c r="L60" s="77" t="s">
        <v>190</v>
      </c>
      <c r="M60" s="77" t="s">
        <v>190</v>
      </c>
      <c r="N60" s="77" t="s">
        <v>190</v>
      </c>
      <c r="O60" s="77" t="s">
        <v>190</v>
      </c>
      <c r="P60" s="77" t="s">
        <v>190</v>
      </c>
      <c r="Q60" s="77" t="s">
        <v>190</v>
      </c>
      <c r="R60" s="77" t="s">
        <v>190</v>
      </c>
      <c r="S60" s="77" t="s">
        <v>190</v>
      </c>
      <c r="T60" s="77" t="s">
        <v>190</v>
      </c>
      <c r="U60" s="77" t="s">
        <v>190</v>
      </c>
      <c r="V60" s="77" t="s">
        <v>190</v>
      </c>
      <c r="W60" s="77" t="s">
        <v>190</v>
      </c>
      <c r="X60" s="77" t="s">
        <v>190</v>
      </c>
      <c r="Y60" s="77" t="s">
        <v>190</v>
      </c>
      <c r="Z60" s="77" t="s">
        <v>190</v>
      </c>
    </row>
    <row r="61" spans="1:26">
      <c r="D61" s="10" t="s">
        <v>5</v>
      </c>
      <c r="E61" s="12" t="s">
        <v>26</v>
      </c>
      <c r="F61" s="11"/>
      <c r="G61" s="34" t="s">
        <v>190</v>
      </c>
      <c r="H61" s="77" t="s">
        <v>190</v>
      </c>
      <c r="I61" s="77" t="s">
        <v>190</v>
      </c>
      <c r="J61" s="77" t="s">
        <v>190</v>
      </c>
      <c r="K61" s="77" t="s">
        <v>190</v>
      </c>
      <c r="L61" s="77" t="s">
        <v>190</v>
      </c>
      <c r="M61" s="77" t="s">
        <v>190</v>
      </c>
      <c r="N61" s="77" t="s">
        <v>190</v>
      </c>
      <c r="O61" s="77" t="s">
        <v>190</v>
      </c>
      <c r="P61" s="77" t="s">
        <v>190</v>
      </c>
      <c r="Q61" s="77" t="s">
        <v>190</v>
      </c>
      <c r="R61" s="77" t="s">
        <v>190</v>
      </c>
      <c r="S61" s="77" t="s">
        <v>190</v>
      </c>
      <c r="T61" s="77" t="s">
        <v>190</v>
      </c>
      <c r="U61" s="77" t="s">
        <v>190</v>
      </c>
      <c r="V61" s="77" t="s">
        <v>190</v>
      </c>
      <c r="W61" s="77" t="s">
        <v>190</v>
      </c>
      <c r="X61" s="77" t="s">
        <v>190</v>
      </c>
      <c r="Y61" s="77" t="s">
        <v>190</v>
      </c>
      <c r="Z61" s="77" t="s">
        <v>190</v>
      </c>
    </row>
    <row r="62" spans="1:26">
      <c r="E62" s="10" t="s">
        <v>6</v>
      </c>
      <c r="F62" s="11" t="s">
        <v>27</v>
      </c>
      <c r="G62" s="78">
        <v>1.237204463280394</v>
      </c>
      <c r="H62" s="79">
        <v>0.94491991370282513</v>
      </c>
      <c r="I62" s="79">
        <v>1.2332005653409752</v>
      </c>
      <c r="J62" s="79">
        <v>1.4894500334637752</v>
      </c>
      <c r="K62" s="79">
        <v>0.46712142626552089</v>
      </c>
      <c r="L62" s="79">
        <v>0.88085754667212512</v>
      </c>
      <c r="M62" s="79">
        <v>0.72070162909537516</v>
      </c>
      <c r="N62" s="79">
        <v>0.70468603733770008</v>
      </c>
      <c r="O62" s="79">
        <v>0.52851452800327514</v>
      </c>
      <c r="P62" s="79">
        <v>0.30429624339582506</v>
      </c>
      <c r="Q62" s="79">
        <v>0.18017540727384376</v>
      </c>
      <c r="R62" s="79">
        <v>0.24023387636512503</v>
      </c>
      <c r="S62" s="79">
        <v>0.64062367030700007</v>
      </c>
      <c r="T62" s="79">
        <v>0.84882636315677507</v>
      </c>
      <c r="U62" s="79">
        <v>0.30029234545640632</v>
      </c>
      <c r="V62" s="79">
        <v>0.80077958788375014</v>
      </c>
      <c r="W62" s="79">
        <v>0.51650283418501886</v>
      </c>
      <c r="X62" s="79">
        <v>0.72070162909537505</v>
      </c>
      <c r="Y62" s="79">
        <v>0.59257689503397504</v>
      </c>
      <c r="Z62" s="79">
        <v>0.65663926206467504</v>
      </c>
    </row>
    <row r="63" spans="1:26">
      <c r="E63" s="12"/>
      <c r="F63" s="11" t="s">
        <v>28</v>
      </c>
      <c r="G63" s="78" t="s">
        <v>190</v>
      </c>
      <c r="H63" s="79" t="s">
        <v>190</v>
      </c>
      <c r="I63" s="79" t="s">
        <v>190</v>
      </c>
      <c r="J63" s="79" t="s">
        <v>190</v>
      </c>
      <c r="K63" s="79" t="s">
        <v>190</v>
      </c>
      <c r="L63" s="79" t="s">
        <v>190</v>
      </c>
      <c r="M63" s="79" t="s">
        <v>190</v>
      </c>
      <c r="N63" s="79" t="s">
        <v>190</v>
      </c>
      <c r="O63" s="79" t="s">
        <v>190</v>
      </c>
      <c r="P63" s="79" t="s">
        <v>190</v>
      </c>
      <c r="Q63" s="79" t="s">
        <v>190</v>
      </c>
      <c r="R63" s="79">
        <v>1.6015591757675002E-2</v>
      </c>
      <c r="S63" s="79" t="s">
        <v>190</v>
      </c>
      <c r="T63" s="79" t="s">
        <v>190</v>
      </c>
      <c r="U63" s="79" t="s">
        <v>190</v>
      </c>
      <c r="V63" s="79" t="s">
        <v>190</v>
      </c>
      <c r="W63" s="79" t="s">
        <v>190</v>
      </c>
      <c r="X63" s="79" t="s">
        <v>190</v>
      </c>
      <c r="Y63" s="79" t="s">
        <v>190</v>
      </c>
      <c r="Z63" s="79" t="s">
        <v>190</v>
      </c>
    </row>
    <row r="64" spans="1:26">
      <c r="A64" s="4"/>
      <c r="B64" s="4"/>
      <c r="C64" s="16" t="s">
        <v>73</v>
      </c>
      <c r="D64" s="4" t="s">
        <v>109</v>
      </c>
      <c r="E64" s="16"/>
      <c r="F64" s="54"/>
      <c r="G64" s="34" t="s">
        <v>190</v>
      </c>
      <c r="H64" s="77" t="s">
        <v>190</v>
      </c>
      <c r="I64" s="77" t="s">
        <v>190</v>
      </c>
      <c r="J64" s="77" t="s">
        <v>190</v>
      </c>
      <c r="K64" s="77" t="s">
        <v>190</v>
      </c>
      <c r="L64" s="77" t="s">
        <v>190</v>
      </c>
      <c r="M64" s="77" t="s">
        <v>190</v>
      </c>
      <c r="N64" s="77" t="s">
        <v>190</v>
      </c>
      <c r="O64" s="77" t="s">
        <v>190</v>
      </c>
      <c r="P64" s="77" t="s">
        <v>190</v>
      </c>
      <c r="Q64" s="77" t="s">
        <v>190</v>
      </c>
      <c r="R64" s="77" t="s">
        <v>190</v>
      </c>
      <c r="S64" s="77" t="s">
        <v>190</v>
      </c>
      <c r="T64" s="77" t="s">
        <v>190</v>
      </c>
      <c r="U64" s="77" t="s">
        <v>190</v>
      </c>
      <c r="V64" s="77" t="s">
        <v>190</v>
      </c>
      <c r="W64" s="77" t="s">
        <v>190</v>
      </c>
      <c r="X64" s="77" t="s">
        <v>190</v>
      </c>
      <c r="Y64" s="77" t="s">
        <v>190</v>
      </c>
      <c r="Z64" s="77" t="s">
        <v>190</v>
      </c>
    </row>
    <row r="65" spans="1:26">
      <c r="D65" s="10" t="s">
        <v>5</v>
      </c>
      <c r="E65" s="12" t="s">
        <v>110</v>
      </c>
      <c r="F65" s="11"/>
      <c r="G65" s="34" t="s">
        <v>190</v>
      </c>
      <c r="H65" s="77" t="s">
        <v>190</v>
      </c>
      <c r="I65" s="77" t="s">
        <v>190</v>
      </c>
      <c r="J65" s="77" t="s">
        <v>190</v>
      </c>
      <c r="K65" s="77" t="s">
        <v>190</v>
      </c>
      <c r="L65" s="77" t="s">
        <v>190</v>
      </c>
      <c r="M65" s="77" t="s">
        <v>190</v>
      </c>
      <c r="N65" s="77" t="s">
        <v>190</v>
      </c>
      <c r="O65" s="77" t="s">
        <v>190</v>
      </c>
      <c r="P65" s="77" t="s">
        <v>190</v>
      </c>
      <c r="Q65" s="77" t="s">
        <v>190</v>
      </c>
      <c r="R65" s="77" t="s">
        <v>190</v>
      </c>
      <c r="S65" s="77" t="s">
        <v>190</v>
      </c>
      <c r="T65" s="77" t="s">
        <v>190</v>
      </c>
      <c r="U65" s="77" t="s">
        <v>190</v>
      </c>
      <c r="V65" s="77" t="s">
        <v>190</v>
      </c>
      <c r="W65" s="77" t="s">
        <v>190</v>
      </c>
      <c r="X65" s="77" t="s">
        <v>190</v>
      </c>
      <c r="Y65" s="77" t="s">
        <v>190</v>
      </c>
      <c r="Z65" s="77" t="s">
        <v>190</v>
      </c>
    </row>
    <row r="66" spans="1:26">
      <c r="E66" s="10" t="s">
        <v>6</v>
      </c>
      <c r="F66" s="11" t="s">
        <v>111</v>
      </c>
      <c r="G66" s="34" t="s">
        <v>190</v>
      </c>
      <c r="H66" s="77" t="s">
        <v>190</v>
      </c>
      <c r="I66" s="77" t="s">
        <v>190</v>
      </c>
      <c r="J66" s="77" t="s">
        <v>190</v>
      </c>
      <c r="K66" s="77" t="s">
        <v>190</v>
      </c>
      <c r="L66" s="77" t="s">
        <v>190</v>
      </c>
      <c r="M66" s="77" t="s">
        <v>190</v>
      </c>
      <c r="N66" s="77" t="s">
        <v>190</v>
      </c>
      <c r="O66" s="77" t="s">
        <v>190</v>
      </c>
      <c r="P66" s="77" t="s">
        <v>190</v>
      </c>
      <c r="Q66" s="77" t="s">
        <v>190</v>
      </c>
      <c r="R66" s="77" t="s">
        <v>190</v>
      </c>
      <c r="S66" s="77" t="s">
        <v>190</v>
      </c>
      <c r="T66" s="77" t="s">
        <v>190</v>
      </c>
      <c r="U66" s="77" t="s">
        <v>190</v>
      </c>
      <c r="V66" s="77" t="s">
        <v>190</v>
      </c>
      <c r="W66" s="77" t="s">
        <v>190</v>
      </c>
      <c r="X66" s="77" t="s">
        <v>190</v>
      </c>
      <c r="Y66" s="77" t="s">
        <v>190</v>
      </c>
      <c r="Z66" s="77" t="s">
        <v>190</v>
      </c>
    </row>
    <row r="67" spans="1:26">
      <c r="E67" s="10"/>
      <c r="F67" s="11"/>
      <c r="G67" s="34" t="s">
        <v>190</v>
      </c>
      <c r="H67" s="77" t="s">
        <v>190</v>
      </c>
      <c r="I67" s="77" t="s">
        <v>190</v>
      </c>
      <c r="J67" s="77" t="s">
        <v>190</v>
      </c>
      <c r="K67" s="77" t="s">
        <v>190</v>
      </c>
      <c r="L67" s="77" t="s">
        <v>190</v>
      </c>
      <c r="M67" s="77" t="s">
        <v>190</v>
      </c>
      <c r="N67" s="77" t="s">
        <v>190</v>
      </c>
      <c r="O67" s="77" t="s">
        <v>190</v>
      </c>
      <c r="P67" s="77" t="s">
        <v>190</v>
      </c>
      <c r="Q67" s="77" t="s">
        <v>190</v>
      </c>
      <c r="R67" s="77" t="s">
        <v>190</v>
      </c>
      <c r="S67" s="77" t="s">
        <v>190</v>
      </c>
      <c r="T67" s="77" t="s">
        <v>190</v>
      </c>
      <c r="U67" s="77" t="s">
        <v>190</v>
      </c>
      <c r="V67" s="77" t="s">
        <v>190</v>
      </c>
      <c r="W67" s="77" t="s">
        <v>190</v>
      </c>
      <c r="X67" s="77" t="s">
        <v>190</v>
      </c>
      <c r="Y67" s="77" t="s">
        <v>190</v>
      </c>
      <c r="Z67" s="77" t="s">
        <v>190</v>
      </c>
    </row>
    <row r="68" spans="1:26">
      <c r="A68" s="16"/>
      <c r="B68" s="16" t="s">
        <v>72</v>
      </c>
      <c r="C68" s="4" t="s">
        <v>148</v>
      </c>
      <c r="D68" s="4"/>
      <c r="E68" s="4"/>
      <c r="F68" s="59"/>
      <c r="G68" s="34" t="s">
        <v>190</v>
      </c>
      <c r="H68" s="77" t="s">
        <v>190</v>
      </c>
      <c r="I68" s="77" t="s">
        <v>190</v>
      </c>
      <c r="J68" s="77" t="s">
        <v>190</v>
      </c>
      <c r="K68" s="77" t="s">
        <v>190</v>
      </c>
      <c r="L68" s="77" t="s">
        <v>190</v>
      </c>
      <c r="M68" s="77" t="s">
        <v>190</v>
      </c>
      <c r="N68" s="77" t="s">
        <v>190</v>
      </c>
      <c r="O68" s="77" t="s">
        <v>190</v>
      </c>
      <c r="P68" s="77" t="s">
        <v>190</v>
      </c>
      <c r="Q68" s="77" t="s">
        <v>190</v>
      </c>
      <c r="R68" s="77" t="s">
        <v>190</v>
      </c>
      <c r="S68" s="77" t="s">
        <v>190</v>
      </c>
      <c r="T68" s="77" t="s">
        <v>190</v>
      </c>
      <c r="U68" s="77" t="s">
        <v>190</v>
      </c>
      <c r="V68" s="77" t="s">
        <v>190</v>
      </c>
      <c r="W68" s="77" t="s">
        <v>190</v>
      </c>
      <c r="X68" s="77" t="s">
        <v>190</v>
      </c>
      <c r="Y68" s="77" t="s">
        <v>190</v>
      </c>
      <c r="Z68" s="77" t="s">
        <v>190</v>
      </c>
    </row>
    <row r="69" spans="1:26">
      <c r="A69" s="16"/>
      <c r="B69" s="16"/>
      <c r="C69" s="16" t="s">
        <v>73</v>
      </c>
      <c r="D69" s="4" t="s">
        <v>77</v>
      </c>
      <c r="E69" s="4"/>
      <c r="F69" s="59"/>
      <c r="G69" s="34" t="s">
        <v>190</v>
      </c>
      <c r="H69" s="77" t="s">
        <v>190</v>
      </c>
      <c r="I69" s="77" t="s">
        <v>190</v>
      </c>
      <c r="J69" s="77" t="s">
        <v>190</v>
      </c>
      <c r="K69" s="77" t="s">
        <v>190</v>
      </c>
      <c r="L69" s="77" t="s">
        <v>190</v>
      </c>
      <c r="M69" s="77" t="s">
        <v>190</v>
      </c>
      <c r="N69" s="77" t="s">
        <v>190</v>
      </c>
      <c r="O69" s="77" t="s">
        <v>190</v>
      </c>
      <c r="P69" s="77" t="s">
        <v>190</v>
      </c>
      <c r="Q69" s="77" t="s">
        <v>190</v>
      </c>
      <c r="R69" s="77" t="s">
        <v>190</v>
      </c>
      <c r="S69" s="77" t="s">
        <v>190</v>
      </c>
      <c r="T69" s="77" t="s">
        <v>190</v>
      </c>
      <c r="U69" s="77" t="s">
        <v>190</v>
      </c>
      <c r="V69" s="77" t="s">
        <v>190</v>
      </c>
      <c r="W69" s="77" t="s">
        <v>190</v>
      </c>
      <c r="X69" s="77" t="s">
        <v>190</v>
      </c>
      <c r="Y69" s="77" t="s">
        <v>190</v>
      </c>
      <c r="Z69" s="77" t="s">
        <v>190</v>
      </c>
    </row>
    <row r="70" spans="1:26">
      <c r="A70" s="61"/>
      <c r="B70" s="61"/>
      <c r="C70" s="61"/>
      <c r="D70" s="61" t="s">
        <v>5</v>
      </c>
      <c r="E70" s="60" t="s">
        <v>150</v>
      </c>
      <c r="F70" s="62"/>
      <c r="G70" s="34" t="s">
        <v>190</v>
      </c>
      <c r="H70" s="77" t="s">
        <v>190</v>
      </c>
      <c r="I70" s="77" t="s">
        <v>190</v>
      </c>
      <c r="J70" s="77" t="s">
        <v>190</v>
      </c>
      <c r="K70" s="77" t="s">
        <v>190</v>
      </c>
      <c r="L70" s="77" t="s">
        <v>190</v>
      </c>
      <c r="M70" s="77" t="s">
        <v>190</v>
      </c>
      <c r="N70" s="77" t="s">
        <v>190</v>
      </c>
      <c r="O70" s="77" t="s">
        <v>190</v>
      </c>
      <c r="P70" s="77" t="s">
        <v>190</v>
      </c>
      <c r="Q70" s="77" t="s">
        <v>190</v>
      </c>
      <c r="R70" s="77" t="s">
        <v>190</v>
      </c>
      <c r="S70" s="77" t="s">
        <v>190</v>
      </c>
      <c r="T70" s="77" t="s">
        <v>190</v>
      </c>
      <c r="U70" s="77" t="s">
        <v>190</v>
      </c>
      <c r="V70" s="77" t="s">
        <v>190</v>
      </c>
      <c r="W70" s="77" t="s">
        <v>190</v>
      </c>
      <c r="X70" s="77" t="s">
        <v>190</v>
      </c>
      <c r="Y70" s="77" t="s">
        <v>190</v>
      </c>
      <c r="Z70" s="77" t="s">
        <v>190</v>
      </c>
    </row>
    <row r="71" spans="1:26">
      <c r="E71" s="10" t="s">
        <v>6</v>
      </c>
      <c r="F71" s="52" t="s">
        <v>151</v>
      </c>
      <c r="G71" s="34" t="s">
        <v>190</v>
      </c>
      <c r="H71" s="77" t="s">
        <v>190</v>
      </c>
      <c r="I71" s="77" t="s">
        <v>190</v>
      </c>
      <c r="J71" s="77" t="s">
        <v>190</v>
      </c>
      <c r="K71" s="77" t="s">
        <v>190</v>
      </c>
      <c r="L71" s="77" t="s">
        <v>190</v>
      </c>
      <c r="M71" s="77" t="s">
        <v>190</v>
      </c>
      <c r="N71" s="77" t="s">
        <v>190</v>
      </c>
      <c r="O71" s="77" t="s">
        <v>190</v>
      </c>
      <c r="P71" s="77" t="s">
        <v>190</v>
      </c>
      <c r="Q71" s="77" t="s">
        <v>190</v>
      </c>
      <c r="R71" s="77" t="s">
        <v>190</v>
      </c>
      <c r="S71" s="77" t="s">
        <v>190</v>
      </c>
      <c r="T71" s="77" t="s">
        <v>190</v>
      </c>
      <c r="U71" s="77" t="s">
        <v>190</v>
      </c>
      <c r="V71" s="77" t="s">
        <v>190</v>
      </c>
      <c r="W71" s="77" t="s">
        <v>190</v>
      </c>
      <c r="X71" s="77" t="s">
        <v>190</v>
      </c>
      <c r="Y71" s="77" t="s">
        <v>190</v>
      </c>
      <c r="Z71" s="77" t="s">
        <v>190</v>
      </c>
    </row>
    <row r="72" spans="1:26">
      <c r="A72" s="16"/>
      <c r="B72" s="16"/>
      <c r="C72" s="16" t="s">
        <v>73</v>
      </c>
      <c r="D72" s="4" t="s">
        <v>77</v>
      </c>
      <c r="E72" s="4"/>
      <c r="F72" s="59"/>
      <c r="G72" s="34" t="s">
        <v>190</v>
      </c>
      <c r="H72" s="77" t="s">
        <v>190</v>
      </c>
      <c r="I72" s="77" t="s">
        <v>190</v>
      </c>
      <c r="J72" s="77" t="s">
        <v>190</v>
      </c>
      <c r="K72" s="77" t="s">
        <v>190</v>
      </c>
      <c r="L72" s="77" t="s">
        <v>190</v>
      </c>
      <c r="M72" s="77" t="s">
        <v>190</v>
      </c>
      <c r="N72" s="77" t="s">
        <v>190</v>
      </c>
      <c r="O72" s="77" t="s">
        <v>190</v>
      </c>
      <c r="P72" s="77" t="s">
        <v>190</v>
      </c>
      <c r="Q72" s="77" t="s">
        <v>190</v>
      </c>
      <c r="R72" s="77" t="s">
        <v>190</v>
      </c>
      <c r="S72" s="77" t="s">
        <v>190</v>
      </c>
      <c r="T72" s="77" t="s">
        <v>190</v>
      </c>
      <c r="U72" s="77" t="s">
        <v>190</v>
      </c>
      <c r="V72" s="77" t="s">
        <v>190</v>
      </c>
      <c r="W72" s="77" t="s">
        <v>190</v>
      </c>
      <c r="X72" s="77" t="s">
        <v>190</v>
      </c>
      <c r="Y72" s="77" t="s">
        <v>190</v>
      </c>
      <c r="Z72" s="77" t="s">
        <v>190</v>
      </c>
    </row>
    <row r="73" spans="1:26">
      <c r="A73" s="10"/>
      <c r="B73" s="10"/>
      <c r="C73" s="10"/>
      <c r="D73" s="10" t="s">
        <v>5</v>
      </c>
      <c r="E73" t="s">
        <v>102</v>
      </c>
      <c r="F73" s="9"/>
      <c r="G73" s="34" t="s">
        <v>190</v>
      </c>
      <c r="H73" s="77" t="s">
        <v>190</v>
      </c>
      <c r="I73" s="77" t="s">
        <v>190</v>
      </c>
      <c r="J73" s="77" t="s">
        <v>190</v>
      </c>
      <c r="K73" s="77" t="s">
        <v>190</v>
      </c>
      <c r="L73" s="77" t="s">
        <v>190</v>
      </c>
      <c r="M73" s="77" t="s">
        <v>190</v>
      </c>
      <c r="N73" s="77" t="s">
        <v>190</v>
      </c>
      <c r="O73" s="77" t="s">
        <v>190</v>
      </c>
      <c r="P73" s="77" t="s">
        <v>190</v>
      </c>
      <c r="Q73" s="77" t="s">
        <v>190</v>
      </c>
      <c r="R73" s="77" t="s">
        <v>190</v>
      </c>
      <c r="S73" s="77" t="s">
        <v>190</v>
      </c>
      <c r="T73" s="77" t="s">
        <v>190</v>
      </c>
      <c r="U73" s="77" t="s">
        <v>190</v>
      </c>
      <c r="V73" s="77" t="s">
        <v>190</v>
      </c>
      <c r="W73" s="77" t="s">
        <v>190</v>
      </c>
      <c r="X73" s="77" t="s">
        <v>190</v>
      </c>
      <c r="Y73" s="77" t="s">
        <v>190</v>
      </c>
      <c r="Z73" s="77" t="s">
        <v>190</v>
      </c>
    </row>
    <row r="74" spans="1:26">
      <c r="E74" s="10" t="s">
        <v>6</v>
      </c>
      <c r="F74" s="11" t="s">
        <v>15</v>
      </c>
      <c r="G74" s="34" t="s">
        <v>190</v>
      </c>
      <c r="H74" s="77" t="s">
        <v>190</v>
      </c>
      <c r="I74" s="77" t="s">
        <v>190</v>
      </c>
      <c r="J74" s="77" t="s">
        <v>190</v>
      </c>
      <c r="K74" s="77" t="s">
        <v>190</v>
      </c>
      <c r="L74" s="77" t="s">
        <v>190</v>
      </c>
      <c r="M74" s="77" t="s">
        <v>190</v>
      </c>
      <c r="N74" s="77" t="s">
        <v>190</v>
      </c>
      <c r="O74" s="77" t="s">
        <v>190</v>
      </c>
      <c r="P74" s="77" t="s">
        <v>190</v>
      </c>
      <c r="Q74" s="77" t="s">
        <v>190</v>
      </c>
      <c r="R74" s="77" t="s">
        <v>190</v>
      </c>
      <c r="S74" s="77" t="s">
        <v>190</v>
      </c>
      <c r="T74" s="77" t="s">
        <v>190</v>
      </c>
      <c r="U74" s="77" t="s">
        <v>190</v>
      </c>
      <c r="V74" s="77" t="s">
        <v>190</v>
      </c>
      <c r="W74" s="77" t="s">
        <v>190</v>
      </c>
      <c r="X74" s="77" t="s">
        <v>190</v>
      </c>
      <c r="Y74" s="77" t="s">
        <v>190</v>
      </c>
      <c r="Z74" s="77" t="s">
        <v>190</v>
      </c>
    </row>
    <row r="75" spans="1:26">
      <c r="D75" s="10" t="s">
        <v>5</v>
      </c>
      <c r="E75" s="5" t="s">
        <v>14</v>
      </c>
      <c r="F75" s="11"/>
      <c r="G75" s="34" t="s">
        <v>190</v>
      </c>
      <c r="H75" s="77" t="s">
        <v>190</v>
      </c>
      <c r="I75" s="77" t="s">
        <v>190</v>
      </c>
      <c r="J75" s="77" t="s">
        <v>190</v>
      </c>
      <c r="K75" s="77" t="s">
        <v>190</v>
      </c>
      <c r="L75" s="77" t="s">
        <v>190</v>
      </c>
      <c r="M75" s="77" t="s">
        <v>190</v>
      </c>
      <c r="N75" s="77" t="s">
        <v>190</v>
      </c>
      <c r="O75" s="77" t="s">
        <v>190</v>
      </c>
      <c r="P75" s="77" t="s">
        <v>190</v>
      </c>
      <c r="Q75" s="77" t="s">
        <v>190</v>
      </c>
      <c r="R75" s="77" t="s">
        <v>190</v>
      </c>
      <c r="S75" s="77" t="s">
        <v>190</v>
      </c>
      <c r="T75" s="77" t="s">
        <v>190</v>
      </c>
      <c r="U75" s="77" t="s">
        <v>190</v>
      </c>
      <c r="V75" s="77" t="s">
        <v>190</v>
      </c>
      <c r="W75" s="77" t="s">
        <v>190</v>
      </c>
      <c r="X75" s="77" t="s">
        <v>190</v>
      </c>
      <c r="Y75" s="77" t="s">
        <v>190</v>
      </c>
      <c r="Z75" s="77" t="s">
        <v>190</v>
      </c>
    </row>
    <row r="76" spans="1:26">
      <c r="E76" s="10" t="s">
        <v>6</v>
      </c>
      <c r="F76" s="11" t="s">
        <v>16</v>
      </c>
      <c r="G76" s="34" t="s">
        <v>190</v>
      </c>
      <c r="H76" s="79">
        <v>1.6015591757675002E-2</v>
      </c>
      <c r="I76" s="79" t="s">
        <v>190</v>
      </c>
      <c r="J76" s="79">
        <v>1.2011693818256253E-2</v>
      </c>
      <c r="K76" s="79">
        <v>2.6692652929458337E-2</v>
      </c>
      <c r="L76" s="79">
        <v>4.8046775273025012E-2</v>
      </c>
      <c r="M76" s="79">
        <v>2.4023387636512506E-2</v>
      </c>
      <c r="N76" s="79">
        <v>6.4062367030700007E-2</v>
      </c>
      <c r="O76" s="79" t="s">
        <v>190</v>
      </c>
      <c r="P76" s="79" t="s">
        <v>190</v>
      </c>
      <c r="Q76" s="79" t="s">
        <v>190</v>
      </c>
      <c r="R76" s="79" t="s">
        <v>190</v>
      </c>
      <c r="S76" s="79">
        <v>1.6015591757675002E-2</v>
      </c>
      <c r="T76" s="79">
        <v>1.6015591757675002E-2</v>
      </c>
      <c r="U76" s="79">
        <v>1.2011693818256253E-2</v>
      </c>
      <c r="V76" s="79" t="s">
        <v>190</v>
      </c>
      <c r="W76" s="79">
        <v>1.2011693818256253E-2</v>
      </c>
      <c r="X76" s="79">
        <v>4.0038979394187504E-2</v>
      </c>
      <c r="Y76" s="79" t="s">
        <v>190</v>
      </c>
      <c r="Z76" s="79">
        <v>1.6015591757675002E-2</v>
      </c>
    </row>
    <row r="77" spans="1:26">
      <c r="E77" s="10"/>
      <c r="F77" s="11" t="s">
        <v>101</v>
      </c>
      <c r="G77" s="34" t="s">
        <v>190</v>
      </c>
      <c r="H77" s="77" t="s">
        <v>190</v>
      </c>
      <c r="I77" s="77" t="s">
        <v>190</v>
      </c>
      <c r="J77" s="77" t="s">
        <v>190</v>
      </c>
      <c r="K77" s="77" t="s">
        <v>190</v>
      </c>
      <c r="L77" s="77" t="s">
        <v>190</v>
      </c>
      <c r="M77" s="77" t="s">
        <v>190</v>
      </c>
      <c r="N77" s="77" t="s">
        <v>190</v>
      </c>
      <c r="O77" s="77" t="s">
        <v>190</v>
      </c>
      <c r="P77" s="77" t="s">
        <v>190</v>
      </c>
      <c r="Q77" s="77" t="s">
        <v>190</v>
      </c>
      <c r="R77" s="77" t="s">
        <v>190</v>
      </c>
      <c r="S77" s="77" t="s">
        <v>190</v>
      </c>
      <c r="T77" s="77" t="s">
        <v>190</v>
      </c>
      <c r="U77" s="77" t="s">
        <v>190</v>
      </c>
      <c r="V77" s="77" t="s">
        <v>190</v>
      </c>
      <c r="W77" s="77" t="s">
        <v>190</v>
      </c>
      <c r="X77" s="77" t="s">
        <v>190</v>
      </c>
      <c r="Y77" s="77" t="s">
        <v>190</v>
      </c>
      <c r="Z77" s="77" t="s">
        <v>190</v>
      </c>
    </row>
    <row r="78" spans="1:26">
      <c r="A78" s="4"/>
      <c r="B78" s="4"/>
      <c r="C78" s="16" t="s">
        <v>73</v>
      </c>
      <c r="D78" s="4" t="s">
        <v>83</v>
      </c>
      <c r="E78" s="4"/>
      <c r="F78" s="54"/>
      <c r="G78" s="34" t="s">
        <v>190</v>
      </c>
      <c r="H78" s="77" t="s">
        <v>190</v>
      </c>
      <c r="I78" s="77" t="s">
        <v>190</v>
      </c>
      <c r="J78" s="77" t="s">
        <v>190</v>
      </c>
      <c r="K78" s="77" t="s">
        <v>190</v>
      </c>
      <c r="L78" s="77" t="s">
        <v>190</v>
      </c>
      <c r="M78" s="77" t="s">
        <v>190</v>
      </c>
      <c r="N78" s="77" t="s">
        <v>190</v>
      </c>
      <c r="O78" s="77" t="s">
        <v>190</v>
      </c>
      <c r="P78" s="77" t="s">
        <v>190</v>
      </c>
      <c r="Q78" s="77" t="s">
        <v>190</v>
      </c>
      <c r="R78" s="77" t="s">
        <v>190</v>
      </c>
      <c r="S78" s="77" t="s">
        <v>190</v>
      </c>
      <c r="T78" s="77" t="s">
        <v>190</v>
      </c>
      <c r="U78" s="77" t="s">
        <v>190</v>
      </c>
      <c r="V78" s="77" t="s">
        <v>190</v>
      </c>
      <c r="W78" s="77" t="s">
        <v>190</v>
      </c>
      <c r="X78" s="77" t="s">
        <v>190</v>
      </c>
      <c r="Y78" s="77" t="s">
        <v>190</v>
      </c>
      <c r="Z78" s="77" t="s">
        <v>190</v>
      </c>
    </row>
    <row r="79" spans="1:26">
      <c r="D79" s="10" t="s">
        <v>5</v>
      </c>
      <c r="E79" s="5" t="s">
        <v>20</v>
      </c>
      <c r="F79" s="11"/>
      <c r="G79" s="34" t="s">
        <v>190</v>
      </c>
      <c r="H79" s="77" t="s">
        <v>190</v>
      </c>
      <c r="I79" s="77" t="s">
        <v>190</v>
      </c>
      <c r="J79" s="77" t="s">
        <v>190</v>
      </c>
      <c r="K79" s="77" t="s">
        <v>190</v>
      </c>
      <c r="L79" s="77" t="s">
        <v>190</v>
      </c>
      <c r="M79" s="77" t="s">
        <v>190</v>
      </c>
      <c r="N79" s="77" t="s">
        <v>190</v>
      </c>
      <c r="O79" s="77" t="s">
        <v>190</v>
      </c>
      <c r="P79" s="77" t="s">
        <v>190</v>
      </c>
      <c r="Q79" s="77" t="s">
        <v>190</v>
      </c>
      <c r="R79" s="77" t="s">
        <v>190</v>
      </c>
      <c r="S79" s="77" t="s">
        <v>190</v>
      </c>
      <c r="T79" s="77" t="s">
        <v>190</v>
      </c>
      <c r="U79" s="77" t="s">
        <v>190</v>
      </c>
      <c r="V79" s="77" t="s">
        <v>190</v>
      </c>
      <c r="W79" s="77" t="s">
        <v>190</v>
      </c>
      <c r="X79" s="77" t="s">
        <v>190</v>
      </c>
      <c r="Y79" s="77" t="s">
        <v>190</v>
      </c>
      <c r="Z79" s="77" t="s">
        <v>190</v>
      </c>
    </row>
    <row r="80" spans="1:26">
      <c r="E80" s="10" t="s">
        <v>6</v>
      </c>
      <c r="F80" s="11" t="s">
        <v>79</v>
      </c>
      <c r="G80" s="34" t="s">
        <v>190</v>
      </c>
      <c r="H80" s="77" t="s">
        <v>190</v>
      </c>
      <c r="I80" s="77" t="s">
        <v>190</v>
      </c>
      <c r="J80" s="77" t="s">
        <v>190</v>
      </c>
      <c r="K80" s="77" t="s">
        <v>190</v>
      </c>
      <c r="L80" s="77" t="s">
        <v>190</v>
      </c>
      <c r="M80" s="77" t="s">
        <v>190</v>
      </c>
      <c r="N80" s="77" t="s">
        <v>190</v>
      </c>
      <c r="O80" s="77" t="s">
        <v>190</v>
      </c>
      <c r="P80" s="77" t="s">
        <v>190</v>
      </c>
      <c r="Q80" s="77" t="s">
        <v>190</v>
      </c>
      <c r="R80" s="77" t="s">
        <v>190</v>
      </c>
      <c r="S80" s="77" t="s">
        <v>190</v>
      </c>
      <c r="T80" s="77" t="s">
        <v>190</v>
      </c>
      <c r="U80" s="77" t="s">
        <v>190</v>
      </c>
      <c r="V80" s="77" t="s">
        <v>190</v>
      </c>
      <c r="W80" s="77" t="s">
        <v>190</v>
      </c>
      <c r="X80" s="77" t="s">
        <v>190</v>
      </c>
      <c r="Y80" s="77" t="s">
        <v>190</v>
      </c>
      <c r="Z80" s="77" t="s">
        <v>190</v>
      </c>
    </row>
    <row r="81" spans="1:26">
      <c r="D81" s="10" t="s">
        <v>5</v>
      </c>
      <c r="E81" s="12" t="s">
        <v>31</v>
      </c>
      <c r="F81" s="11"/>
      <c r="G81" s="34" t="s">
        <v>190</v>
      </c>
      <c r="H81" s="77" t="s">
        <v>190</v>
      </c>
      <c r="I81" s="77" t="s">
        <v>190</v>
      </c>
      <c r="J81" s="77" t="s">
        <v>190</v>
      </c>
      <c r="K81" s="77" t="s">
        <v>190</v>
      </c>
      <c r="L81" s="77" t="s">
        <v>190</v>
      </c>
      <c r="M81" s="77" t="s">
        <v>190</v>
      </c>
      <c r="N81" s="77" t="s">
        <v>190</v>
      </c>
      <c r="O81" s="77" t="s">
        <v>190</v>
      </c>
      <c r="P81" s="77" t="s">
        <v>190</v>
      </c>
      <c r="Q81" s="77" t="s">
        <v>190</v>
      </c>
      <c r="R81" s="77" t="s">
        <v>190</v>
      </c>
      <c r="S81" s="77" t="s">
        <v>190</v>
      </c>
      <c r="T81" s="77" t="s">
        <v>190</v>
      </c>
      <c r="U81" s="77" t="s">
        <v>190</v>
      </c>
      <c r="V81" s="77" t="s">
        <v>190</v>
      </c>
      <c r="W81" s="77" t="s">
        <v>190</v>
      </c>
      <c r="X81" s="77" t="s">
        <v>190</v>
      </c>
      <c r="Y81" s="77" t="s">
        <v>190</v>
      </c>
      <c r="Z81" s="77" t="s">
        <v>190</v>
      </c>
    </row>
    <row r="82" spans="1:26">
      <c r="E82" s="10" t="s">
        <v>6</v>
      </c>
      <c r="F82" s="11" t="s">
        <v>32</v>
      </c>
      <c r="G82" s="78">
        <v>6.0058469091281264E-2</v>
      </c>
      <c r="H82" s="79" t="s">
        <v>190</v>
      </c>
      <c r="I82" s="79">
        <v>3.2031183515350004E-2</v>
      </c>
      <c r="J82" s="79">
        <v>4.8046775273025012E-2</v>
      </c>
      <c r="K82" s="79" t="s">
        <v>190</v>
      </c>
      <c r="L82" s="79">
        <v>1.6015591757675002E-2</v>
      </c>
      <c r="M82" s="79">
        <v>1.2011693818256253E-2</v>
      </c>
      <c r="N82" s="79">
        <v>3.2031183515350004E-2</v>
      </c>
      <c r="O82" s="79">
        <v>1.2011693818256253E-2</v>
      </c>
      <c r="P82" s="79" t="s">
        <v>190</v>
      </c>
      <c r="Q82" s="79" t="s">
        <v>190</v>
      </c>
      <c r="R82" s="79">
        <v>4.8046775273025012E-2</v>
      </c>
      <c r="S82" s="79">
        <v>6.4062367030700007E-2</v>
      </c>
      <c r="T82" s="79">
        <v>1.6015591757675002E-2</v>
      </c>
      <c r="U82" s="79">
        <v>3.6035081454768754E-2</v>
      </c>
      <c r="V82" s="79">
        <v>8.0077958788375009E-2</v>
      </c>
      <c r="W82" s="79">
        <v>2.4023387636512506E-2</v>
      </c>
      <c r="X82" s="79">
        <v>4.0038979394187504E-2</v>
      </c>
      <c r="Y82" s="79">
        <v>1.6015591757675002E-2</v>
      </c>
      <c r="Z82" s="79">
        <v>4.8046775273025012E-2</v>
      </c>
    </row>
    <row r="83" spans="1:26">
      <c r="E83" s="10" t="s">
        <v>6</v>
      </c>
      <c r="F83" s="11" t="s">
        <v>113</v>
      </c>
      <c r="G83" s="78">
        <v>0.10810524436430627</v>
      </c>
      <c r="H83" s="79">
        <v>0.19218710109210005</v>
      </c>
      <c r="I83" s="79">
        <v>0.20820269284977502</v>
      </c>
      <c r="J83" s="79">
        <v>0.2282221825468688</v>
      </c>
      <c r="K83" s="79">
        <v>0.14680959111202085</v>
      </c>
      <c r="L83" s="79">
        <v>0.11210914230372501</v>
      </c>
      <c r="M83" s="79">
        <v>6.0058469091281264E-2</v>
      </c>
      <c r="N83" s="79">
        <v>0.12812473406140001</v>
      </c>
      <c r="O83" s="79">
        <v>0.13212863200081879</v>
      </c>
      <c r="P83" s="79">
        <v>3.2031183515350004E-2</v>
      </c>
      <c r="Q83" s="79">
        <v>6.0058469091281257E-2</v>
      </c>
      <c r="R83" s="79">
        <v>1.6015591757675002E-2</v>
      </c>
      <c r="S83" s="79">
        <v>6.4062367030700007E-2</v>
      </c>
      <c r="T83" s="79">
        <v>8.0077958788375009E-2</v>
      </c>
      <c r="U83" s="79">
        <v>0.14414032581907502</v>
      </c>
      <c r="V83" s="79">
        <v>0.11210914230372501</v>
      </c>
      <c r="W83" s="79">
        <v>0.10810524436430627</v>
      </c>
      <c r="X83" s="79">
        <v>0.14013642787965624</v>
      </c>
      <c r="Y83" s="79">
        <v>3.2031183515350004E-2</v>
      </c>
      <c r="Z83" s="79">
        <v>0.11210914230372501</v>
      </c>
    </row>
    <row r="84" spans="1:26">
      <c r="A84" s="4"/>
      <c r="B84" s="4"/>
      <c r="C84" s="16" t="s">
        <v>73</v>
      </c>
      <c r="D84" s="4" t="s">
        <v>103</v>
      </c>
      <c r="E84" s="28"/>
      <c r="F84" s="54"/>
      <c r="G84" s="34" t="s">
        <v>190</v>
      </c>
      <c r="H84" s="77" t="s">
        <v>190</v>
      </c>
      <c r="I84" s="77" t="s">
        <v>190</v>
      </c>
      <c r="J84" s="77" t="s">
        <v>190</v>
      </c>
      <c r="K84" s="77" t="s">
        <v>190</v>
      </c>
      <c r="L84" s="77" t="s">
        <v>190</v>
      </c>
      <c r="M84" s="77" t="s">
        <v>190</v>
      </c>
      <c r="N84" s="77" t="s">
        <v>190</v>
      </c>
      <c r="O84" s="77" t="s">
        <v>190</v>
      </c>
      <c r="P84" s="77" t="s">
        <v>190</v>
      </c>
      <c r="Q84" s="77" t="s">
        <v>190</v>
      </c>
      <c r="R84" s="77" t="s">
        <v>190</v>
      </c>
      <c r="S84" s="77" t="s">
        <v>190</v>
      </c>
      <c r="T84" s="77" t="s">
        <v>190</v>
      </c>
      <c r="U84" s="77" t="s">
        <v>190</v>
      </c>
      <c r="V84" s="77" t="s">
        <v>190</v>
      </c>
      <c r="W84" s="77" t="s">
        <v>190</v>
      </c>
      <c r="X84" s="77" t="s">
        <v>190</v>
      </c>
      <c r="Y84" s="77" t="s">
        <v>190</v>
      </c>
      <c r="Z84" s="77" t="s">
        <v>190</v>
      </c>
    </row>
    <row r="85" spans="1:26">
      <c r="D85" s="10" t="s">
        <v>5</v>
      </c>
      <c r="E85" s="12" t="s">
        <v>104</v>
      </c>
      <c r="F85" s="11"/>
      <c r="G85" s="34" t="s">
        <v>190</v>
      </c>
      <c r="H85" s="77" t="s">
        <v>190</v>
      </c>
      <c r="I85" s="77" t="s">
        <v>190</v>
      </c>
      <c r="J85" s="77" t="s">
        <v>190</v>
      </c>
      <c r="K85" s="77" t="s">
        <v>190</v>
      </c>
      <c r="L85" s="77" t="s">
        <v>190</v>
      </c>
      <c r="M85" s="77" t="s">
        <v>190</v>
      </c>
      <c r="N85" s="77" t="s">
        <v>190</v>
      </c>
      <c r="O85" s="77" t="s">
        <v>190</v>
      </c>
      <c r="P85" s="77" t="s">
        <v>190</v>
      </c>
      <c r="Q85" s="77" t="s">
        <v>190</v>
      </c>
      <c r="R85" s="77" t="s">
        <v>190</v>
      </c>
      <c r="S85" s="77" t="s">
        <v>190</v>
      </c>
      <c r="T85" s="77" t="s">
        <v>190</v>
      </c>
      <c r="U85" s="77" t="s">
        <v>190</v>
      </c>
      <c r="V85" s="77" t="s">
        <v>190</v>
      </c>
      <c r="W85" s="77" t="s">
        <v>190</v>
      </c>
      <c r="X85" s="77" t="s">
        <v>190</v>
      </c>
      <c r="Y85" s="77" t="s">
        <v>190</v>
      </c>
      <c r="Z85" s="77" t="s">
        <v>190</v>
      </c>
    </row>
    <row r="86" spans="1:26">
      <c r="E86" s="10" t="s">
        <v>6</v>
      </c>
      <c r="F86" s="11" t="s">
        <v>30</v>
      </c>
      <c r="G86" s="34" t="s">
        <v>190</v>
      </c>
      <c r="H86" s="77" t="s">
        <v>190</v>
      </c>
      <c r="I86" s="77" t="s">
        <v>190</v>
      </c>
      <c r="J86" s="77" t="s">
        <v>190</v>
      </c>
      <c r="K86" s="77" t="s">
        <v>190</v>
      </c>
      <c r="L86" s="77" t="s">
        <v>190</v>
      </c>
      <c r="M86" s="77" t="s">
        <v>190</v>
      </c>
      <c r="N86" s="77" t="s">
        <v>190</v>
      </c>
      <c r="O86" s="77" t="s">
        <v>190</v>
      </c>
      <c r="P86" s="77" t="s">
        <v>190</v>
      </c>
      <c r="Q86" s="77" t="s">
        <v>190</v>
      </c>
      <c r="R86" s="77" t="s">
        <v>190</v>
      </c>
      <c r="S86" s="77" t="s">
        <v>190</v>
      </c>
      <c r="T86" s="77" t="s">
        <v>190</v>
      </c>
      <c r="U86" s="77" t="s">
        <v>190</v>
      </c>
      <c r="V86" s="77" t="s">
        <v>190</v>
      </c>
      <c r="W86" s="77" t="s">
        <v>190</v>
      </c>
      <c r="X86" s="77" t="s">
        <v>190</v>
      </c>
      <c r="Y86" s="77" t="s">
        <v>190</v>
      </c>
      <c r="Z86" s="77" t="s">
        <v>190</v>
      </c>
    </row>
    <row r="87" spans="1:26">
      <c r="E87" s="10"/>
      <c r="F87" s="11" t="s">
        <v>105</v>
      </c>
      <c r="G87" s="34" t="s">
        <v>190</v>
      </c>
      <c r="H87" s="77" t="s">
        <v>190</v>
      </c>
      <c r="I87" s="77" t="s">
        <v>190</v>
      </c>
      <c r="J87" s="77" t="s">
        <v>190</v>
      </c>
      <c r="K87" s="77" t="s">
        <v>190</v>
      </c>
      <c r="L87" s="77" t="s">
        <v>190</v>
      </c>
      <c r="M87" s="77" t="s">
        <v>190</v>
      </c>
      <c r="N87" s="77" t="s">
        <v>190</v>
      </c>
      <c r="O87" s="77" t="s">
        <v>190</v>
      </c>
      <c r="P87" s="77" t="s">
        <v>190</v>
      </c>
      <c r="Q87" s="77" t="s">
        <v>190</v>
      </c>
      <c r="R87" s="77" t="s">
        <v>190</v>
      </c>
      <c r="S87" s="77" t="s">
        <v>190</v>
      </c>
      <c r="T87" s="77" t="s">
        <v>190</v>
      </c>
      <c r="U87" s="79">
        <v>1.2011693818256253E-2</v>
      </c>
      <c r="V87" s="77" t="s">
        <v>190</v>
      </c>
      <c r="W87" s="77" t="s">
        <v>190</v>
      </c>
      <c r="X87" s="77" t="s">
        <v>190</v>
      </c>
      <c r="Y87" s="77" t="s">
        <v>190</v>
      </c>
      <c r="Z87" s="77" t="s">
        <v>190</v>
      </c>
    </row>
    <row r="88" spans="1:26">
      <c r="A88" s="4"/>
      <c r="B88" s="4"/>
      <c r="C88" s="16" t="s">
        <v>73</v>
      </c>
      <c r="D88" s="4" t="s">
        <v>82</v>
      </c>
      <c r="E88" s="28"/>
      <c r="F88" s="54"/>
      <c r="G88" s="34" t="s">
        <v>190</v>
      </c>
      <c r="H88" s="77" t="s">
        <v>190</v>
      </c>
      <c r="I88" s="77" t="s">
        <v>190</v>
      </c>
      <c r="J88" s="77" t="s">
        <v>190</v>
      </c>
      <c r="K88" s="77" t="s">
        <v>190</v>
      </c>
      <c r="L88" s="77" t="s">
        <v>190</v>
      </c>
      <c r="M88" s="77" t="s">
        <v>190</v>
      </c>
      <c r="N88" s="77" t="s">
        <v>190</v>
      </c>
      <c r="O88" s="77" t="s">
        <v>190</v>
      </c>
      <c r="P88" s="77" t="s">
        <v>190</v>
      </c>
      <c r="Q88" s="77" t="s">
        <v>190</v>
      </c>
      <c r="R88" s="77" t="s">
        <v>190</v>
      </c>
      <c r="S88" s="77" t="s">
        <v>190</v>
      </c>
      <c r="T88" s="77" t="s">
        <v>190</v>
      </c>
      <c r="U88" s="77" t="s">
        <v>190</v>
      </c>
      <c r="V88" s="77" t="s">
        <v>190</v>
      </c>
      <c r="W88" s="77" t="s">
        <v>190</v>
      </c>
      <c r="X88" s="77" t="s">
        <v>190</v>
      </c>
      <c r="Y88" s="77" t="s">
        <v>190</v>
      </c>
      <c r="Z88" s="77" t="s">
        <v>190</v>
      </c>
    </row>
    <row r="89" spans="1:26">
      <c r="D89" s="10" t="s">
        <v>5</v>
      </c>
      <c r="E89" s="12" t="s">
        <v>29</v>
      </c>
      <c r="F89" s="11"/>
      <c r="G89" s="34" t="s">
        <v>190</v>
      </c>
      <c r="H89" s="77" t="s">
        <v>190</v>
      </c>
      <c r="I89" s="77" t="s">
        <v>190</v>
      </c>
      <c r="J89" s="77" t="s">
        <v>190</v>
      </c>
      <c r="K89" s="77" t="s">
        <v>190</v>
      </c>
      <c r="L89" s="77" t="s">
        <v>190</v>
      </c>
      <c r="M89" s="77" t="s">
        <v>190</v>
      </c>
      <c r="N89" s="77" t="s">
        <v>190</v>
      </c>
      <c r="O89" s="77" t="s">
        <v>190</v>
      </c>
      <c r="P89" s="77" t="s">
        <v>190</v>
      </c>
      <c r="Q89" s="77" t="s">
        <v>190</v>
      </c>
      <c r="R89" s="77" t="s">
        <v>190</v>
      </c>
      <c r="S89" s="77" t="s">
        <v>190</v>
      </c>
      <c r="T89" s="77" t="s">
        <v>190</v>
      </c>
      <c r="U89" s="77" t="s">
        <v>190</v>
      </c>
      <c r="V89" s="77" t="s">
        <v>190</v>
      </c>
      <c r="W89" s="77" t="s">
        <v>190</v>
      </c>
      <c r="X89" s="77" t="s">
        <v>190</v>
      </c>
      <c r="Y89" s="77" t="s">
        <v>190</v>
      </c>
      <c r="Z89" s="77" t="s">
        <v>190</v>
      </c>
    </row>
    <row r="90" spans="1:26">
      <c r="E90" s="10" t="s">
        <v>6</v>
      </c>
      <c r="F90" s="11" t="s">
        <v>112</v>
      </c>
      <c r="G90" s="34" t="s">
        <v>190</v>
      </c>
      <c r="H90" s="77" t="s">
        <v>190</v>
      </c>
      <c r="I90" s="77" t="s">
        <v>190</v>
      </c>
      <c r="J90" s="79">
        <v>1.2011693818256253E-2</v>
      </c>
      <c r="K90" s="77" t="s">
        <v>190</v>
      </c>
      <c r="L90" s="77" t="s">
        <v>190</v>
      </c>
      <c r="M90" s="77" t="s">
        <v>190</v>
      </c>
      <c r="N90" s="79">
        <v>3.2031183515350004E-2</v>
      </c>
      <c r="O90" s="77" t="s">
        <v>190</v>
      </c>
      <c r="P90" s="77" t="s">
        <v>190</v>
      </c>
      <c r="Q90" s="77" t="s">
        <v>190</v>
      </c>
      <c r="R90" s="77" t="s">
        <v>190</v>
      </c>
      <c r="S90" s="77" t="s">
        <v>190</v>
      </c>
      <c r="T90" s="79">
        <v>1.6015591757675002E-2</v>
      </c>
      <c r="U90" s="77" t="s">
        <v>190</v>
      </c>
      <c r="V90" s="79">
        <v>1.6015591757675002E-2</v>
      </c>
      <c r="W90" s="77" t="s">
        <v>190</v>
      </c>
      <c r="X90" s="79">
        <v>2.0019489697093752E-2</v>
      </c>
      <c r="Y90" s="79">
        <v>1.6015591757675002E-2</v>
      </c>
      <c r="Z90" s="77" t="s">
        <v>190</v>
      </c>
    </row>
    <row r="91" spans="1:26">
      <c r="E91" s="10"/>
      <c r="F91" s="11" t="s">
        <v>168</v>
      </c>
      <c r="G91" s="34" t="s">
        <v>190</v>
      </c>
      <c r="H91" s="77" t="s">
        <v>190</v>
      </c>
      <c r="I91" s="77" t="s">
        <v>190</v>
      </c>
      <c r="J91" s="77" t="s">
        <v>190</v>
      </c>
      <c r="K91" s="77" t="s">
        <v>190</v>
      </c>
      <c r="L91" s="77" t="s">
        <v>190</v>
      </c>
      <c r="M91" s="77" t="s">
        <v>190</v>
      </c>
      <c r="N91" s="77" t="s">
        <v>190</v>
      </c>
      <c r="O91" s="77" t="s">
        <v>190</v>
      </c>
      <c r="P91" s="77" t="s">
        <v>190</v>
      </c>
      <c r="Q91" s="77" t="s">
        <v>190</v>
      </c>
      <c r="R91" s="77" t="s">
        <v>190</v>
      </c>
      <c r="S91" s="77" t="s">
        <v>190</v>
      </c>
      <c r="T91" s="77" t="s">
        <v>190</v>
      </c>
      <c r="U91" s="77" t="s">
        <v>190</v>
      </c>
      <c r="V91" s="77" t="s">
        <v>190</v>
      </c>
      <c r="W91" s="77" t="s">
        <v>190</v>
      </c>
      <c r="X91" s="77" t="s">
        <v>190</v>
      </c>
      <c r="Y91" s="77" t="s">
        <v>190</v>
      </c>
      <c r="Z91" s="77" t="s">
        <v>190</v>
      </c>
    </row>
    <row r="92" spans="1:26">
      <c r="A92" s="4"/>
      <c r="B92" s="4"/>
      <c r="C92" s="16" t="s">
        <v>73</v>
      </c>
      <c r="D92" s="4" t="s">
        <v>84</v>
      </c>
      <c r="E92" s="16"/>
      <c r="F92" s="54"/>
      <c r="G92" s="34" t="s">
        <v>190</v>
      </c>
      <c r="H92" s="77" t="s">
        <v>190</v>
      </c>
      <c r="I92" s="77" t="s">
        <v>190</v>
      </c>
      <c r="J92" s="77" t="s">
        <v>190</v>
      </c>
      <c r="K92" s="77" t="s">
        <v>190</v>
      </c>
      <c r="L92" s="77" t="s">
        <v>190</v>
      </c>
      <c r="M92" s="77" t="s">
        <v>190</v>
      </c>
      <c r="N92" s="77" t="s">
        <v>190</v>
      </c>
      <c r="O92" s="77" t="s">
        <v>190</v>
      </c>
      <c r="P92" s="77" t="s">
        <v>190</v>
      </c>
      <c r="Q92" s="77" t="s">
        <v>190</v>
      </c>
      <c r="R92" s="77" t="s">
        <v>190</v>
      </c>
      <c r="S92" s="77" t="s">
        <v>190</v>
      </c>
      <c r="T92" s="77" t="s">
        <v>190</v>
      </c>
      <c r="U92" s="77" t="s">
        <v>190</v>
      </c>
      <c r="V92" s="77" t="s">
        <v>190</v>
      </c>
      <c r="W92" s="77" t="s">
        <v>190</v>
      </c>
      <c r="X92" s="77" t="s">
        <v>190</v>
      </c>
      <c r="Y92" s="77" t="s">
        <v>190</v>
      </c>
      <c r="Z92" s="77" t="s">
        <v>190</v>
      </c>
    </row>
    <row r="93" spans="1:26">
      <c r="D93" s="10" t="s">
        <v>5</v>
      </c>
      <c r="E93" s="12" t="s">
        <v>85</v>
      </c>
      <c r="F93" s="9"/>
      <c r="G93" s="34" t="s">
        <v>190</v>
      </c>
      <c r="H93" s="77" t="s">
        <v>190</v>
      </c>
      <c r="I93" s="77" t="s">
        <v>190</v>
      </c>
      <c r="J93" s="77" t="s">
        <v>190</v>
      </c>
      <c r="K93" s="77" t="s">
        <v>190</v>
      </c>
      <c r="L93" s="77" t="s">
        <v>190</v>
      </c>
      <c r="M93" s="77" t="s">
        <v>190</v>
      </c>
      <c r="N93" s="77" t="s">
        <v>190</v>
      </c>
      <c r="O93" s="77" t="s">
        <v>190</v>
      </c>
      <c r="P93" s="77" t="s">
        <v>190</v>
      </c>
      <c r="Q93" s="77" t="s">
        <v>190</v>
      </c>
      <c r="R93" s="77" t="s">
        <v>190</v>
      </c>
      <c r="S93" s="77" t="s">
        <v>190</v>
      </c>
      <c r="T93" s="77" t="s">
        <v>190</v>
      </c>
      <c r="U93" s="77" t="s">
        <v>190</v>
      </c>
      <c r="V93" s="77" t="s">
        <v>190</v>
      </c>
      <c r="W93" s="77" t="s">
        <v>190</v>
      </c>
      <c r="X93" s="77" t="s">
        <v>190</v>
      </c>
      <c r="Y93" s="77" t="s">
        <v>190</v>
      </c>
      <c r="Z93" s="77" t="s">
        <v>190</v>
      </c>
    </row>
    <row r="94" spans="1:26">
      <c r="E94" s="10" t="s">
        <v>6</v>
      </c>
      <c r="F94" s="11" t="s">
        <v>33</v>
      </c>
      <c r="G94" s="34" t="s">
        <v>190</v>
      </c>
      <c r="H94" s="77" t="s">
        <v>190</v>
      </c>
      <c r="I94" s="77" t="s">
        <v>190</v>
      </c>
      <c r="J94" s="77" t="s">
        <v>190</v>
      </c>
      <c r="K94" s="77" t="s">
        <v>190</v>
      </c>
      <c r="L94" s="77" t="s">
        <v>190</v>
      </c>
      <c r="M94" s="77" t="s">
        <v>190</v>
      </c>
      <c r="N94" s="77" t="s">
        <v>190</v>
      </c>
      <c r="O94" s="77" t="s">
        <v>190</v>
      </c>
      <c r="P94" s="77" t="s">
        <v>190</v>
      </c>
      <c r="Q94" s="77" t="s">
        <v>190</v>
      </c>
      <c r="R94" s="77" t="s">
        <v>190</v>
      </c>
      <c r="S94" s="77" t="s">
        <v>190</v>
      </c>
      <c r="T94" s="77" t="s">
        <v>190</v>
      </c>
      <c r="U94" s="77" t="s">
        <v>190</v>
      </c>
      <c r="V94" s="77" t="s">
        <v>190</v>
      </c>
      <c r="W94" s="77" t="s">
        <v>190</v>
      </c>
      <c r="X94" s="77" t="s">
        <v>190</v>
      </c>
      <c r="Y94" s="77" t="s">
        <v>190</v>
      </c>
      <c r="Z94" s="77" t="s">
        <v>190</v>
      </c>
    </row>
    <row r="95" spans="1:26">
      <c r="A95" s="4"/>
      <c r="B95" s="4"/>
      <c r="C95" s="4"/>
      <c r="D95" s="4"/>
      <c r="E95" s="4"/>
      <c r="F95" s="16"/>
      <c r="G95" s="34" t="s">
        <v>190</v>
      </c>
      <c r="H95" s="77" t="s">
        <v>190</v>
      </c>
      <c r="I95" s="77" t="s">
        <v>190</v>
      </c>
      <c r="J95" s="77" t="s">
        <v>190</v>
      </c>
      <c r="K95" s="77" t="s">
        <v>190</v>
      </c>
      <c r="L95" s="77" t="s">
        <v>190</v>
      </c>
      <c r="M95" s="77" t="s">
        <v>190</v>
      </c>
      <c r="N95" s="77" t="s">
        <v>190</v>
      </c>
      <c r="O95" s="77" t="s">
        <v>190</v>
      </c>
      <c r="P95" s="77" t="s">
        <v>190</v>
      </c>
      <c r="Q95" s="77" t="s">
        <v>190</v>
      </c>
      <c r="R95" s="77" t="s">
        <v>190</v>
      </c>
      <c r="S95" s="77" t="s">
        <v>190</v>
      </c>
      <c r="T95" s="77" t="s">
        <v>190</v>
      </c>
      <c r="U95" s="77" t="s">
        <v>190</v>
      </c>
      <c r="V95" s="77" t="s">
        <v>190</v>
      </c>
      <c r="W95" s="77" t="s">
        <v>190</v>
      </c>
      <c r="X95" s="77" t="s">
        <v>190</v>
      </c>
      <c r="Y95" s="77" t="s">
        <v>190</v>
      </c>
      <c r="Z95" s="77" t="s">
        <v>190</v>
      </c>
    </row>
    <row r="96" spans="1:26">
      <c r="A96" s="16" t="s">
        <v>4</v>
      </c>
      <c r="B96" s="4" t="s">
        <v>152</v>
      </c>
      <c r="C96" s="16"/>
      <c r="D96" s="4"/>
      <c r="E96" s="4"/>
      <c r="F96" s="59"/>
      <c r="G96" s="34" t="s">
        <v>190</v>
      </c>
      <c r="H96" s="77" t="s">
        <v>190</v>
      </c>
      <c r="I96" s="77" t="s">
        <v>190</v>
      </c>
      <c r="J96" s="77" t="s">
        <v>190</v>
      </c>
      <c r="K96" s="77" t="s">
        <v>190</v>
      </c>
      <c r="L96" s="77" t="s">
        <v>190</v>
      </c>
      <c r="M96" s="77" t="s">
        <v>190</v>
      </c>
      <c r="N96" s="77" t="s">
        <v>190</v>
      </c>
      <c r="O96" s="77" t="s">
        <v>190</v>
      </c>
      <c r="P96" s="77" t="s">
        <v>190</v>
      </c>
      <c r="Q96" s="77" t="s">
        <v>190</v>
      </c>
      <c r="R96" s="77" t="s">
        <v>190</v>
      </c>
      <c r="S96" s="77" t="s">
        <v>190</v>
      </c>
      <c r="T96" s="77" t="s">
        <v>190</v>
      </c>
      <c r="U96" s="77" t="s">
        <v>190</v>
      </c>
      <c r="V96" s="77" t="s">
        <v>190</v>
      </c>
      <c r="W96" s="77" t="s">
        <v>190</v>
      </c>
      <c r="X96" s="77" t="s">
        <v>190</v>
      </c>
      <c r="Y96" s="77" t="s">
        <v>190</v>
      </c>
      <c r="Z96" s="77" t="s">
        <v>190</v>
      </c>
    </row>
    <row r="97" spans="1:26">
      <c r="A97" s="10"/>
      <c r="B97" s="16" t="s">
        <v>72</v>
      </c>
      <c r="C97" s="53" t="s">
        <v>92</v>
      </c>
      <c r="D97" s="4"/>
      <c r="F97" s="9"/>
      <c r="G97" s="34" t="s">
        <v>190</v>
      </c>
      <c r="H97" s="77" t="s">
        <v>190</v>
      </c>
      <c r="I97" s="77" t="s">
        <v>190</v>
      </c>
      <c r="J97" s="77" t="s">
        <v>190</v>
      </c>
      <c r="K97" s="77" t="s">
        <v>190</v>
      </c>
      <c r="L97" s="77" t="s">
        <v>190</v>
      </c>
      <c r="M97" s="77" t="s">
        <v>190</v>
      </c>
      <c r="N97" s="77" t="s">
        <v>190</v>
      </c>
      <c r="O97" s="77" t="s">
        <v>190</v>
      </c>
      <c r="P97" s="77" t="s">
        <v>190</v>
      </c>
      <c r="Q97" s="77" t="s">
        <v>190</v>
      </c>
      <c r="R97" s="77" t="s">
        <v>190</v>
      </c>
      <c r="S97" s="77" t="s">
        <v>190</v>
      </c>
      <c r="T97" s="77" t="s">
        <v>190</v>
      </c>
      <c r="U97" s="77" t="s">
        <v>190</v>
      </c>
      <c r="V97" s="77" t="s">
        <v>190</v>
      </c>
      <c r="W97" s="77" t="s">
        <v>190</v>
      </c>
      <c r="X97" s="77" t="s">
        <v>190</v>
      </c>
      <c r="Y97" s="77" t="s">
        <v>190</v>
      </c>
      <c r="Z97" s="77" t="s">
        <v>190</v>
      </c>
    </row>
    <row r="98" spans="1:26">
      <c r="A98" s="10"/>
      <c r="B98" s="10"/>
      <c r="C98" s="16" t="s">
        <v>73</v>
      </c>
      <c r="D98" s="51" t="s">
        <v>97</v>
      </c>
      <c r="F98" s="9"/>
      <c r="G98" s="34" t="s">
        <v>190</v>
      </c>
      <c r="H98" s="77" t="s">
        <v>190</v>
      </c>
      <c r="I98" s="77" t="s">
        <v>190</v>
      </c>
      <c r="J98" s="77" t="s">
        <v>190</v>
      </c>
      <c r="K98" s="77" t="s">
        <v>190</v>
      </c>
      <c r="L98" s="77" t="s">
        <v>190</v>
      </c>
      <c r="M98" s="77" t="s">
        <v>190</v>
      </c>
      <c r="N98" s="77" t="s">
        <v>190</v>
      </c>
      <c r="O98" s="77" t="s">
        <v>190</v>
      </c>
      <c r="P98" s="77" t="s">
        <v>190</v>
      </c>
      <c r="Q98" s="77" t="s">
        <v>190</v>
      </c>
      <c r="R98" s="77" t="s">
        <v>190</v>
      </c>
      <c r="S98" s="77" t="s">
        <v>190</v>
      </c>
      <c r="T98" s="77" t="s">
        <v>190</v>
      </c>
      <c r="U98" s="77" t="s">
        <v>190</v>
      </c>
      <c r="V98" s="77" t="s">
        <v>190</v>
      </c>
      <c r="W98" s="77" t="s">
        <v>190</v>
      </c>
      <c r="X98" s="77" t="s">
        <v>190</v>
      </c>
      <c r="Y98" s="77" t="s">
        <v>190</v>
      </c>
      <c r="Z98" s="77" t="s">
        <v>190</v>
      </c>
    </row>
    <row r="99" spans="1:26">
      <c r="A99" s="10"/>
      <c r="B99" s="10"/>
      <c r="C99" s="10"/>
      <c r="D99" s="10" t="s">
        <v>5</v>
      </c>
      <c r="E99" s="49" t="s">
        <v>153</v>
      </c>
      <c r="F99" s="9"/>
      <c r="G99" s="34" t="s">
        <v>190</v>
      </c>
      <c r="H99" s="77" t="s">
        <v>190</v>
      </c>
      <c r="I99" s="77" t="s">
        <v>190</v>
      </c>
      <c r="J99" s="77" t="s">
        <v>190</v>
      </c>
      <c r="K99" s="77" t="s">
        <v>190</v>
      </c>
      <c r="L99" s="77" t="s">
        <v>190</v>
      </c>
      <c r="M99" s="77" t="s">
        <v>190</v>
      </c>
      <c r="N99" s="77" t="s">
        <v>190</v>
      </c>
      <c r="O99" s="77" t="s">
        <v>190</v>
      </c>
      <c r="P99" s="77" t="s">
        <v>190</v>
      </c>
      <c r="Q99" s="77" t="s">
        <v>190</v>
      </c>
      <c r="R99" s="77" t="s">
        <v>190</v>
      </c>
      <c r="S99" s="77" t="s">
        <v>190</v>
      </c>
      <c r="T99" s="77" t="s">
        <v>190</v>
      </c>
      <c r="U99" s="77" t="s">
        <v>190</v>
      </c>
      <c r="V99" s="77" t="s">
        <v>190</v>
      </c>
      <c r="W99" s="77" t="s">
        <v>190</v>
      </c>
      <c r="X99" s="77" t="s">
        <v>190</v>
      </c>
      <c r="Y99" s="77" t="s">
        <v>190</v>
      </c>
      <c r="Z99" s="77" t="s">
        <v>190</v>
      </c>
    </row>
    <row r="100" spans="1:26">
      <c r="E100" s="10" t="s">
        <v>6</v>
      </c>
      <c r="F100" s="52" t="s">
        <v>154</v>
      </c>
      <c r="G100" s="34" t="s">
        <v>190</v>
      </c>
      <c r="H100" s="77" t="s">
        <v>190</v>
      </c>
      <c r="I100" s="77" t="s">
        <v>190</v>
      </c>
      <c r="J100" s="77" t="s">
        <v>190</v>
      </c>
      <c r="K100" s="77" t="s">
        <v>190</v>
      </c>
      <c r="L100" s="77" t="s">
        <v>190</v>
      </c>
      <c r="M100" s="77" t="s">
        <v>190</v>
      </c>
      <c r="N100" s="77" t="s">
        <v>190</v>
      </c>
      <c r="O100" s="77" t="s">
        <v>190</v>
      </c>
      <c r="P100" s="77" t="s">
        <v>190</v>
      </c>
      <c r="Q100" s="77" t="s">
        <v>190</v>
      </c>
      <c r="R100" s="77" t="s">
        <v>190</v>
      </c>
      <c r="S100" s="77" t="s">
        <v>190</v>
      </c>
      <c r="T100" s="77" t="s">
        <v>190</v>
      </c>
      <c r="U100" s="77" t="s">
        <v>190</v>
      </c>
      <c r="V100" s="77" t="s">
        <v>190</v>
      </c>
      <c r="W100" s="77" t="s">
        <v>190</v>
      </c>
      <c r="X100" s="77" t="s">
        <v>190</v>
      </c>
      <c r="Y100" s="77" t="s">
        <v>190</v>
      </c>
      <c r="Z100" s="77" t="s">
        <v>190</v>
      </c>
    </row>
    <row r="101" spans="1:26">
      <c r="E101" s="10"/>
      <c r="F101" s="11" t="s">
        <v>50</v>
      </c>
      <c r="G101" s="34" t="s">
        <v>190</v>
      </c>
      <c r="H101" s="77" t="s">
        <v>190</v>
      </c>
      <c r="I101" s="77" t="s">
        <v>190</v>
      </c>
      <c r="J101" s="77" t="s">
        <v>190</v>
      </c>
      <c r="K101" s="79">
        <v>1.3346326464729169E-2</v>
      </c>
      <c r="L101" s="79">
        <v>3.2031183515350004E-2</v>
      </c>
      <c r="M101" s="79">
        <v>2.4023387636512506E-2</v>
      </c>
      <c r="N101" s="79">
        <v>1.6015591757675002E-2</v>
      </c>
      <c r="O101" s="79">
        <v>2.4023387636512506E-2</v>
      </c>
      <c r="P101" s="79" t="s">
        <v>190</v>
      </c>
      <c r="Q101" s="79" t="s">
        <v>190</v>
      </c>
      <c r="R101" s="79">
        <v>1.6015591757675002E-2</v>
      </c>
      <c r="S101" s="79">
        <v>1.6015591757675002E-2</v>
      </c>
      <c r="T101" s="79">
        <v>4.8046775273025012E-2</v>
      </c>
      <c r="U101" s="79" t="s">
        <v>190</v>
      </c>
      <c r="V101" s="79">
        <v>4.8046775273025012E-2</v>
      </c>
      <c r="W101" s="79">
        <v>2.4023387636512506E-2</v>
      </c>
      <c r="X101" s="79">
        <v>8.0077958788375009E-2</v>
      </c>
      <c r="Y101" s="79" t="s">
        <v>190</v>
      </c>
      <c r="Z101" s="79">
        <v>3.2031183515350004E-2</v>
      </c>
    </row>
    <row r="102" spans="1:26">
      <c r="A102" s="10"/>
      <c r="B102" s="4"/>
      <c r="C102" s="10" t="s">
        <v>73</v>
      </c>
      <c r="D102" s="4" t="s">
        <v>93</v>
      </c>
      <c r="F102" s="11"/>
      <c r="G102" s="34" t="s">
        <v>190</v>
      </c>
      <c r="H102" s="77" t="s">
        <v>190</v>
      </c>
      <c r="I102" s="77" t="s">
        <v>190</v>
      </c>
      <c r="J102" s="77" t="s">
        <v>190</v>
      </c>
      <c r="K102" s="77" t="s">
        <v>190</v>
      </c>
      <c r="L102" s="77" t="s">
        <v>190</v>
      </c>
      <c r="M102" s="77" t="s">
        <v>190</v>
      </c>
      <c r="N102" s="77" t="s">
        <v>190</v>
      </c>
      <c r="O102" s="77" t="s">
        <v>190</v>
      </c>
      <c r="P102" s="77" t="s">
        <v>190</v>
      </c>
      <c r="Q102" s="77" t="s">
        <v>190</v>
      </c>
      <c r="R102" s="77" t="s">
        <v>190</v>
      </c>
      <c r="S102" s="77" t="s">
        <v>190</v>
      </c>
      <c r="T102" s="77" t="s">
        <v>190</v>
      </c>
      <c r="U102" s="77" t="s">
        <v>190</v>
      </c>
      <c r="V102" s="77" t="s">
        <v>190</v>
      </c>
      <c r="W102" s="77" t="s">
        <v>190</v>
      </c>
      <c r="X102" s="77" t="s">
        <v>190</v>
      </c>
      <c r="Y102" s="77" t="s">
        <v>190</v>
      </c>
      <c r="Z102" s="77" t="s">
        <v>190</v>
      </c>
    </row>
    <row r="103" spans="1:26">
      <c r="D103" s="10" t="s">
        <v>5</v>
      </c>
      <c r="E103" s="12" t="s">
        <v>40</v>
      </c>
      <c r="F103" s="11"/>
      <c r="G103" s="34" t="s">
        <v>190</v>
      </c>
      <c r="H103" s="77" t="s">
        <v>190</v>
      </c>
      <c r="I103" s="77" t="s">
        <v>190</v>
      </c>
      <c r="J103" s="77" t="s">
        <v>190</v>
      </c>
      <c r="K103" s="77" t="s">
        <v>190</v>
      </c>
      <c r="L103" s="77" t="s">
        <v>190</v>
      </c>
      <c r="M103" s="77" t="s">
        <v>190</v>
      </c>
      <c r="N103" s="77" t="s">
        <v>190</v>
      </c>
      <c r="O103" s="77" t="s">
        <v>190</v>
      </c>
      <c r="P103" s="77" t="s">
        <v>190</v>
      </c>
      <c r="Q103" s="77" t="s">
        <v>190</v>
      </c>
      <c r="R103" s="77" t="s">
        <v>190</v>
      </c>
      <c r="S103" s="77" t="s">
        <v>190</v>
      </c>
      <c r="T103" s="77" t="s">
        <v>190</v>
      </c>
      <c r="U103" s="77" t="s">
        <v>190</v>
      </c>
      <c r="V103" s="77" t="s">
        <v>190</v>
      </c>
      <c r="W103" s="77" t="s">
        <v>190</v>
      </c>
      <c r="X103" s="77" t="s">
        <v>190</v>
      </c>
      <c r="Y103" s="77" t="s">
        <v>190</v>
      </c>
      <c r="Z103" s="77" t="s">
        <v>190</v>
      </c>
    </row>
    <row r="104" spans="1:26">
      <c r="E104" s="10" t="s">
        <v>6</v>
      </c>
      <c r="F104" s="11" t="s">
        <v>41</v>
      </c>
      <c r="G104" s="34" t="s">
        <v>190</v>
      </c>
      <c r="H104" s="77" t="s">
        <v>190</v>
      </c>
      <c r="I104" s="77" t="s">
        <v>190</v>
      </c>
      <c r="J104" s="77" t="s">
        <v>190</v>
      </c>
      <c r="K104" s="77" t="s">
        <v>190</v>
      </c>
      <c r="L104" s="77" t="s">
        <v>190</v>
      </c>
      <c r="M104" s="77" t="s">
        <v>190</v>
      </c>
      <c r="N104" s="77" t="s">
        <v>190</v>
      </c>
      <c r="O104" s="77" t="s">
        <v>190</v>
      </c>
      <c r="P104" s="77" t="s">
        <v>190</v>
      </c>
      <c r="Q104" s="77" t="s">
        <v>190</v>
      </c>
      <c r="R104" s="77" t="s">
        <v>190</v>
      </c>
      <c r="S104" s="77" t="s">
        <v>190</v>
      </c>
      <c r="T104" s="77" t="s">
        <v>190</v>
      </c>
      <c r="U104" s="77" t="s">
        <v>190</v>
      </c>
      <c r="V104" s="77" t="s">
        <v>190</v>
      </c>
      <c r="W104" s="77" t="s">
        <v>190</v>
      </c>
      <c r="X104" s="77" t="s">
        <v>190</v>
      </c>
      <c r="Y104" s="77" t="s">
        <v>190</v>
      </c>
      <c r="Z104" s="77" t="s">
        <v>190</v>
      </c>
    </row>
    <row r="105" spans="1:26">
      <c r="C105" s="16" t="s">
        <v>73</v>
      </c>
      <c r="D105" s="4" t="s">
        <v>94</v>
      </c>
      <c r="E105" s="10"/>
      <c r="F105" s="11"/>
      <c r="G105" s="34" t="s">
        <v>190</v>
      </c>
      <c r="H105" s="77" t="s">
        <v>190</v>
      </c>
      <c r="I105" s="77" t="s">
        <v>190</v>
      </c>
      <c r="J105" s="77" t="s">
        <v>190</v>
      </c>
      <c r="K105" s="77" t="s">
        <v>190</v>
      </c>
      <c r="L105" s="77" t="s">
        <v>190</v>
      </c>
      <c r="M105" s="77" t="s">
        <v>190</v>
      </c>
      <c r="N105" s="77" t="s">
        <v>190</v>
      </c>
      <c r="O105" s="77" t="s">
        <v>190</v>
      </c>
      <c r="P105" s="77" t="s">
        <v>190</v>
      </c>
      <c r="Q105" s="77" t="s">
        <v>190</v>
      </c>
      <c r="R105" s="77" t="s">
        <v>190</v>
      </c>
      <c r="S105" s="77" t="s">
        <v>190</v>
      </c>
      <c r="T105" s="77" t="s">
        <v>190</v>
      </c>
      <c r="U105" s="77" t="s">
        <v>190</v>
      </c>
      <c r="V105" s="77" t="s">
        <v>190</v>
      </c>
      <c r="W105" s="77" t="s">
        <v>190</v>
      </c>
      <c r="X105" s="77" t="s">
        <v>190</v>
      </c>
      <c r="Y105" s="77" t="s">
        <v>190</v>
      </c>
      <c r="Z105" s="77" t="s">
        <v>190</v>
      </c>
    </row>
    <row r="106" spans="1:26">
      <c r="D106" s="10" t="s">
        <v>5</v>
      </c>
      <c r="E106" s="12" t="s">
        <v>95</v>
      </c>
      <c r="F106" s="11"/>
      <c r="G106" s="34" t="s">
        <v>190</v>
      </c>
      <c r="H106" s="77" t="s">
        <v>190</v>
      </c>
      <c r="I106" s="77" t="s">
        <v>190</v>
      </c>
      <c r="J106" s="77" t="s">
        <v>190</v>
      </c>
      <c r="K106" s="77" t="s">
        <v>190</v>
      </c>
      <c r="L106" s="77" t="s">
        <v>190</v>
      </c>
      <c r="M106" s="77" t="s">
        <v>190</v>
      </c>
      <c r="N106" s="77" t="s">
        <v>190</v>
      </c>
      <c r="O106" s="77" t="s">
        <v>190</v>
      </c>
      <c r="P106" s="77" t="s">
        <v>190</v>
      </c>
      <c r="Q106" s="77" t="s">
        <v>190</v>
      </c>
      <c r="R106" s="77" t="s">
        <v>190</v>
      </c>
      <c r="S106" s="77" t="s">
        <v>190</v>
      </c>
      <c r="T106" s="77" t="s">
        <v>190</v>
      </c>
      <c r="U106" s="77" t="s">
        <v>190</v>
      </c>
      <c r="V106" s="77" t="s">
        <v>190</v>
      </c>
      <c r="W106" s="77" t="s">
        <v>190</v>
      </c>
      <c r="X106" s="77" t="s">
        <v>190</v>
      </c>
      <c r="Y106" s="77" t="s">
        <v>190</v>
      </c>
      <c r="Z106" s="77" t="s">
        <v>190</v>
      </c>
    </row>
    <row r="107" spans="1:26">
      <c r="E107" s="10" t="s">
        <v>6</v>
      </c>
      <c r="F107" s="11" t="s">
        <v>42</v>
      </c>
      <c r="G107" s="34" t="s">
        <v>190</v>
      </c>
      <c r="H107" s="77" t="s">
        <v>190</v>
      </c>
      <c r="I107" s="77" t="s">
        <v>190</v>
      </c>
      <c r="J107" s="77" t="s">
        <v>190</v>
      </c>
      <c r="K107" s="79">
        <v>2.6692652929458337E-2</v>
      </c>
      <c r="L107" s="79">
        <v>1.6015591757675002E-2</v>
      </c>
      <c r="M107" s="79">
        <v>2.4023387636512506E-2</v>
      </c>
      <c r="N107" s="79">
        <v>1.6015591757675002E-2</v>
      </c>
      <c r="O107" s="79">
        <v>1.2011693818256253E-2</v>
      </c>
      <c r="P107" s="79" t="s">
        <v>190</v>
      </c>
      <c r="Q107" s="79" t="s">
        <v>190</v>
      </c>
      <c r="R107" s="79" t="s">
        <v>190</v>
      </c>
      <c r="S107" s="79" t="s">
        <v>190</v>
      </c>
      <c r="T107" s="79" t="s">
        <v>190</v>
      </c>
      <c r="U107" s="79" t="s">
        <v>190</v>
      </c>
      <c r="V107" s="79" t="s">
        <v>190</v>
      </c>
      <c r="W107" s="79" t="s">
        <v>190</v>
      </c>
      <c r="X107" s="79">
        <v>2.0019489697093752E-2</v>
      </c>
      <c r="Y107" s="79" t="s">
        <v>190</v>
      </c>
      <c r="Z107" s="79">
        <v>3.2031183515350004E-2</v>
      </c>
    </row>
    <row r="108" spans="1:26">
      <c r="C108" s="16" t="s">
        <v>73</v>
      </c>
      <c r="D108" s="51" t="s">
        <v>162</v>
      </c>
      <c r="E108" s="10"/>
      <c r="F108" s="11"/>
      <c r="G108" s="34" t="s">
        <v>190</v>
      </c>
      <c r="H108" s="77" t="s">
        <v>190</v>
      </c>
      <c r="I108" s="77" t="s">
        <v>190</v>
      </c>
      <c r="J108" s="77" t="s">
        <v>190</v>
      </c>
      <c r="K108" s="77" t="s">
        <v>190</v>
      </c>
      <c r="L108" s="77" t="s">
        <v>190</v>
      </c>
      <c r="M108" s="77" t="s">
        <v>190</v>
      </c>
      <c r="N108" s="77" t="s">
        <v>190</v>
      </c>
      <c r="O108" s="77" t="s">
        <v>190</v>
      </c>
      <c r="P108" s="77" t="s">
        <v>190</v>
      </c>
      <c r="Q108" s="77" t="s">
        <v>190</v>
      </c>
      <c r="R108" s="77" t="s">
        <v>190</v>
      </c>
      <c r="S108" s="77" t="s">
        <v>190</v>
      </c>
      <c r="T108" s="77" t="s">
        <v>190</v>
      </c>
      <c r="U108" s="77" t="s">
        <v>190</v>
      </c>
      <c r="V108" s="77" t="s">
        <v>190</v>
      </c>
      <c r="W108" s="77" t="s">
        <v>190</v>
      </c>
      <c r="X108" s="77" t="s">
        <v>190</v>
      </c>
      <c r="Y108" s="77" t="s">
        <v>190</v>
      </c>
      <c r="Z108" s="77" t="s">
        <v>190</v>
      </c>
    </row>
    <row r="109" spans="1:26">
      <c r="D109" s="10" t="s">
        <v>5</v>
      </c>
      <c r="E109" s="55" t="s">
        <v>163</v>
      </c>
      <c r="F109" s="11"/>
      <c r="G109" s="34" t="s">
        <v>190</v>
      </c>
      <c r="H109" s="77" t="s">
        <v>190</v>
      </c>
      <c r="I109" s="77" t="s">
        <v>190</v>
      </c>
      <c r="J109" s="77" t="s">
        <v>190</v>
      </c>
      <c r="K109" s="77" t="s">
        <v>190</v>
      </c>
      <c r="L109" s="77" t="s">
        <v>190</v>
      </c>
      <c r="M109" s="77" t="s">
        <v>190</v>
      </c>
      <c r="N109" s="77" t="s">
        <v>190</v>
      </c>
      <c r="O109" s="77" t="s">
        <v>190</v>
      </c>
      <c r="P109" s="77" t="s">
        <v>190</v>
      </c>
      <c r="Q109" s="77" t="s">
        <v>190</v>
      </c>
      <c r="R109" s="77" t="s">
        <v>190</v>
      </c>
      <c r="S109" s="77" t="s">
        <v>190</v>
      </c>
      <c r="T109" s="77" t="s">
        <v>190</v>
      </c>
      <c r="U109" s="77" t="s">
        <v>190</v>
      </c>
      <c r="V109" s="77" t="s">
        <v>190</v>
      </c>
      <c r="W109" s="77" t="s">
        <v>190</v>
      </c>
      <c r="X109" s="77" t="s">
        <v>190</v>
      </c>
      <c r="Y109" s="77" t="s">
        <v>190</v>
      </c>
      <c r="Z109" s="77" t="s">
        <v>190</v>
      </c>
    </row>
    <row r="110" spans="1:26">
      <c r="E110" s="10" t="s">
        <v>6</v>
      </c>
      <c r="F110" s="9" t="s">
        <v>43</v>
      </c>
      <c r="G110" s="34" t="s">
        <v>190</v>
      </c>
      <c r="H110" s="77" t="s">
        <v>190</v>
      </c>
      <c r="I110" s="77" t="s">
        <v>190</v>
      </c>
      <c r="J110" s="77" t="s">
        <v>190</v>
      </c>
      <c r="K110" s="77" t="s">
        <v>190</v>
      </c>
      <c r="L110" s="77" t="s">
        <v>190</v>
      </c>
      <c r="M110" s="77" t="s">
        <v>190</v>
      </c>
      <c r="N110" s="77" t="s">
        <v>190</v>
      </c>
      <c r="O110" s="77" t="s">
        <v>190</v>
      </c>
      <c r="P110" s="77" t="s">
        <v>190</v>
      </c>
      <c r="Q110" s="77" t="s">
        <v>190</v>
      </c>
      <c r="R110" s="77" t="s">
        <v>190</v>
      </c>
      <c r="S110" s="77" t="s">
        <v>190</v>
      </c>
      <c r="T110" s="77" t="s">
        <v>190</v>
      </c>
      <c r="U110" s="77" t="s">
        <v>190</v>
      </c>
      <c r="V110" s="77" t="s">
        <v>190</v>
      </c>
      <c r="W110" s="77" t="s">
        <v>190</v>
      </c>
      <c r="X110" s="77" t="s">
        <v>190</v>
      </c>
      <c r="Y110" s="77" t="s">
        <v>190</v>
      </c>
      <c r="Z110" s="77" t="s">
        <v>190</v>
      </c>
    </row>
    <row r="111" spans="1:26">
      <c r="D111" s="10" t="s">
        <v>5</v>
      </c>
      <c r="E111" s="64" t="s">
        <v>172</v>
      </c>
      <c r="F111" s="11"/>
      <c r="G111" s="34" t="s">
        <v>190</v>
      </c>
      <c r="H111" s="77" t="s">
        <v>190</v>
      </c>
      <c r="I111" s="77" t="s">
        <v>190</v>
      </c>
      <c r="J111" s="77" t="s">
        <v>190</v>
      </c>
      <c r="K111" s="77" t="s">
        <v>190</v>
      </c>
      <c r="L111" s="77" t="s">
        <v>190</v>
      </c>
      <c r="M111" s="77" t="s">
        <v>190</v>
      </c>
      <c r="N111" s="77" t="s">
        <v>190</v>
      </c>
      <c r="O111" s="77" t="s">
        <v>190</v>
      </c>
      <c r="P111" s="77" t="s">
        <v>190</v>
      </c>
      <c r="Q111" s="77" t="s">
        <v>190</v>
      </c>
      <c r="R111" s="77" t="s">
        <v>190</v>
      </c>
      <c r="S111" s="77" t="s">
        <v>190</v>
      </c>
      <c r="T111" s="77" t="s">
        <v>190</v>
      </c>
      <c r="U111" s="77" t="s">
        <v>190</v>
      </c>
      <c r="V111" s="77" t="s">
        <v>190</v>
      </c>
      <c r="W111" s="77" t="s">
        <v>190</v>
      </c>
      <c r="X111" s="77" t="s">
        <v>190</v>
      </c>
      <c r="Y111" s="77" t="s">
        <v>190</v>
      </c>
      <c r="Z111" s="77" t="s">
        <v>190</v>
      </c>
    </row>
    <row r="112" spans="1:26">
      <c r="E112" s="10" t="s">
        <v>6</v>
      </c>
      <c r="F112" s="65" t="s">
        <v>173</v>
      </c>
      <c r="G112" s="34" t="s">
        <v>190</v>
      </c>
      <c r="H112" s="77" t="s">
        <v>190</v>
      </c>
      <c r="I112" s="77" t="s">
        <v>190</v>
      </c>
      <c r="J112" s="77" t="s">
        <v>190</v>
      </c>
      <c r="K112" s="77" t="s">
        <v>190</v>
      </c>
      <c r="L112" s="77" t="s">
        <v>190</v>
      </c>
      <c r="M112" s="77" t="s">
        <v>190</v>
      </c>
      <c r="N112" s="77" t="s">
        <v>190</v>
      </c>
      <c r="O112" s="77" t="s">
        <v>190</v>
      </c>
      <c r="P112" s="77" t="s">
        <v>190</v>
      </c>
      <c r="Q112" s="77" t="s">
        <v>190</v>
      </c>
      <c r="R112" s="77" t="s">
        <v>190</v>
      </c>
      <c r="S112" s="77" t="s">
        <v>190</v>
      </c>
      <c r="T112" s="77" t="s">
        <v>190</v>
      </c>
      <c r="U112" s="77" t="s">
        <v>190</v>
      </c>
      <c r="V112" s="77" t="s">
        <v>190</v>
      </c>
      <c r="W112" s="77" t="s">
        <v>190</v>
      </c>
      <c r="X112" s="77" t="s">
        <v>190</v>
      </c>
      <c r="Y112" s="77" t="s">
        <v>190</v>
      </c>
      <c r="Z112" s="77" t="s">
        <v>190</v>
      </c>
    </row>
    <row r="113" spans="1:26">
      <c r="C113" s="16" t="s">
        <v>73</v>
      </c>
      <c r="D113" s="4" t="s">
        <v>96</v>
      </c>
      <c r="E113" s="10"/>
      <c r="F113" s="9"/>
      <c r="G113" s="34" t="s">
        <v>190</v>
      </c>
      <c r="H113" s="77" t="s">
        <v>190</v>
      </c>
      <c r="I113" s="77" t="s">
        <v>190</v>
      </c>
      <c r="J113" s="77" t="s">
        <v>190</v>
      </c>
      <c r="K113" s="77" t="s">
        <v>190</v>
      </c>
      <c r="L113" s="77" t="s">
        <v>190</v>
      </c>
      <c r="M113" s="77" t="s">
        <v>190</v>
      </c>
      <c r="N113" s="77" t="s">
        <v>190</v>
      </c>
      <c r="O113" s="77" t="s">
        <v>190</v>
      </c>
      <c r="P113" s="77" t="s">
        <v>190</v>
      </c>
      <c r="Q113" s="77" t="s">
        <v>190</v>
      </c>
      <c r="R113" s="77" t="s">
        <v>190</v>
      </c>
      <c r="S113" s="77" t="s">
        <v>190</v>
      </c>
      <c r="T113" s="77" t="s">
        <v>190</v>
      </c>
      <c r="U113" s="77" t="s">
        <v>190</v>
      </c>
      <c r="V113" s="77" t="s">
        <v>190</v>
      </c>
      <c r="W113" s="77" t="s">
        <v>190</v>
      </c>
      <c r="X113" s="77" t="s">
        <v>190</v>
      </c>
      <c r="Y113" s="77" t="s">
        <v>190</v>
      </c>
      <c r="Z113" s="77" t="s">
        <v>190</v>
      </c>
    </row>
    <row r="114" spans="1:26">
      <c r="D114" s="10" t="s">
        <v>5</v>
      </c>
      <c r="E114" s="12" t="s">
        <v>46</v>
      </c>
      <c r="F114" s="9"/>
      <c r="G114" s="34" t="s">
        <v>190</v>
      </c>
      <c r="H114" s="77" t="s">
        <v>190</v>
      </c>
      <c r="I114" s="77" t="s">
        <v>190</v>
      </c>
      <c r="J114" s="77" t="s">
        <v>190</v>
      </c>
      <c r="K114" s="77" t="s">
        <v>190</v>
      </c>
      <c r="L114" s="77" t="s">
        <v>190</v>
      </c>
      <c r="M114" s="77" t="s">
        <v>190</v>
      </c>
      <c r="N114" s="77" t="s">
        <v>190</v>
      </c>
      <c r="O114" s="77" t="s">
        <v>190</v>
      </c>
      <c r="P114" s="77" t="s">
        <v>190</v>
      </c>
      <c r="Q114" s="77" t="s">
        <v>190</v>
      </c>
      <c r="R114" s="77" t="s">
        <v>190</v>
      </c>
      <c r="S114" s="77" t="s">
        <v>190</v>
      </c>
      <c r="T114" s="77" t="s">
        <v>190</v>
      </c>
      <c r="U114" s="77" t="s">
        <v>190</v>
      </c>
      <c r="V114" s="77" t="s">
        <v>190</v>
      </c>
      <c r="W114" s="77" t="s">
        <v>190</v>
      </c>
      <c r="X114" s="77" t="s">
        <v>190</v>
      </c>
      <c r="Y114" s="77" t="s">
        <v>190</v>
      </c>
      <c r="Z114" s="77" t="s">
        <v>190</v>
      </c>
    </row>
    <row r="115" spans="1:26">
      <c r="E115" s="10" t="s">
        <v>6</v>
      </c>
      <c r="F115" s="11" t="s">
        <v>47</v>
      </c>
      <c r="G115" s="78">
        <v>0.20419879491035628</v>
      </c>
      <c r="H115" s="79">
        <v>0.11210914230372501</v>
      </c>
      <c r="I115" s="79" t="s">
        <v>190</v>
      </c>
      <c r="J115" s="79" t="s">
        <v>190</v>
      </c>
      <c r="K115" s="79">
        <v>9.3424285253104172E-2</v>
      </c>
      <c r="L115" s="79">
        <v>0.19218710109210005</v>
      </c>
      <c r="M115" s="79">
        <v>0.20419879491035628</v>
      </c>
      <c r="N115" s="79">
        <v>0.17617150933442502</v>
      </c>
      <c r="O115" s="79">
        <v>0.18017540727384379</v>
      </c>
      <c r="P115" s="79" t="s">
        <v>190</v>
      </c>
      <c r="Q115" s="79">
        <v>0.10009744848546877</v>
      </c>
      <c r="R115" s="79" t="s">
        <v>190</v>
      </c>
      <c r="S115" s="79">
        <v>0.20820269284977502</v>
      </c>
      <c r="T115" s="79">
        <v>0.20820269284977502</v>
      </c>
      <c r="U115" s="79">
        <v>0.10810524436430627</v>
      </c>
      <c r="V115" s="79">
        <v>0.43242097745722502</v>
      </c>
      <c r="W115" s="79">
        <v>2.4023387636512506E-2</v>
      </c>
      <c r="X115" s="79">
        <v>0.12011693818256251</v>
      </c>
      <c r="Y115" s="79">
        <v>1.6015591757675002E-2</v>
      </c>
      <c r="Z115" s="79">
        <v>8.0077958788375009E-2</v>
      </c>
    </row>
    <row r="116" spans="1:26">
      <c r="D116" s="10" t="s">
        <v>5</v>
      </c>
      <c r="E116" s="12" t="s">
        <v>48</v>
      </c>
      <c r="F116" s="11"/>
      <c r="G116" s="34" t="s">
        <v>190</v>
      </c>
      <c r="H116" s="77" t="s">
        <v>190</v>
      </c>
      <c r="I116" s="77" t="s">
        <v>190</v>
      </c>
      <c r="J116" s="77" t="s">
        <v>190</v>
      </c>
      <c r="K116" s="77" t="s">
        <v>190</v>
      </c>
      <c r="L116" s="77" t="s">
        <v>190</v>
      </c>
      <c r="M116" s="77" t="s">
        <v>190</v>
      </c>
      <c r="N116" s="77" t="s">
        <v>190</v>
      </c>
      <c r="O116" s="77" t="s">
        <v>190</v>
      </c>
      <c r="P116" s="77" t="s">
        <v>190</v>
      </c>
      <c r="Q116" s="77" t="s">
        <v>190</v>
      </c>
      <c r="R116" s="77" t="s">
        <v>190</v>
      </c>
      <c r="S116" s="77" t="s">
        <v>190</v>
      </c>
      <c r="T116" s="77" t="s">
        <v>190</v>
      </c>
      <c r="U116" s="77" t="s">
        <v>190</v>
      </c>
      <c r="V116" s="77" t="s">
        <v>190</v>
      </c>
      <c r="W116" s="77" t="s">
        <v>190</v>
      </c>
      <c r="X116" s="77" t="s">
        <v>190</v>
      </c>
      <c r="Y116" s="77" t="s">
        <v>190</v>
      </c>
      <c r="Z116" s="77" t="s">
        <v>190</v>
      </c>
    </row>
    <row r="117" spans="1:26">
      <c r="E117" s="10" t="s">
        <v>6</v>
      </c>
      <c r="F117" s="11" t="s">
        <v>49</v>
      </c>
      <c r="G117" s="34" t="s">
        <v>190</v>
      </c>
      <c r="H117" s="77" t="s">
        <v>190</v>
      </c>
      <c r="I117" s="77" t="s">
        <v>190</v>
      </c>
      <c r="J117" s="77" t="s">
        <v>190</v>
      </c>
      <c r="K117" s="77" t="s">
        <v>190</v>
      </c>
      <c r="L117" s="77" t="s">
        <v>190</v>
      </c>
      <c r="M117" s="77" t="s">
        <v>190</v>
      </c>
      <c r="N117" s="77" t="s">
        <v>190</v>
      </c>
      <c r="O117" s="77" t="s">
        <v>190</v>
      </c>
      <c r="P117" s="77" t="s">
        <v>190</v>
      </c>
      <c r="Q117" s="77" t="s">
        <v>190</v>
      </c>
      <c r="R117" s="77" t="s">
        <v>190</v>
      </c>
      <c r="S117" s="77" t="s">
        <v>190</v>
      </c>
      <c r="T117" s="77" t="s">
        <v>190</v>
      </c>
      <c r="U117" s="77" t="s">
        <v>190</v>
      </c>
      <c r="V117" s="77" t="s">
        <v>190</v>
      </c>
      <c r="W117" s="77" t="s">
        <v>190</v>
      </c>
      <c r="X117" s="77" t="s">
        <v>190</v>
      </c>
      <c r="Y117" s="77" t="s">
        <v>190</v>
      </c>
      <c r="Z117" s="77" t="s">
        <v>190</v>
      </c>
    </row>
    <row r="118" spans="1:26">
      <c r="D118" s="10" t="s">
        <v>5</v>
      </c>
      <c r="E118" s="64" t="s">
        <v>174</v>
      </c>
      <c r="F118" s="11"/>
      <c r="G118" s="34" t="s">
        <v>190</v>
      </c>
      <c r="H118" s="77" t="s">
        <v>190</v>
      </c>
      <c r="I118" s="77" t="s">
        <v>190</v>
      </c>
      <c r="J118" s="77" t="s">
        <v>190</v>
      </c>
      <c r="K118" s="77" t="s">
        <v>190</v>
      </c>
      <c r="L118" s="77" t="s">
        <v>190</v>
      </c>
      <c r="M118" s="77" t="s">
        <v>190</v>
      </c>
      <c r="N118" s="77" t="s">
        <v>190</v>
      </c>
      <c r="O118" s="77" t="s">
        <v>190</v>
      </c>
      <c r="P118" s="77" t="s">
        <v>190</v>
      </c>
      <c r="Q118" s="77" t="s">
        <v>190</v>
      </c>
      <c r="R118" s="77" t="s">
        <v>190</v>
      </c>
      <c r="S118" s="77" t="s">
        <v>190</v>
      </c>
      <c r="T118" s="77" t="s">
        <v>190</v>
      </c>
      <c r="U118" s="77" t="s">
        <v>190</v>
      </c>
      <c r="V118" s="77" t="s">
        <v>190</v>
      </c>
      <c r="W118" s="77" t="s">
        <v>190</v>
      </c>
      <c r="X118" s="77" t="s">
        <v>190</v>
      </c>
      <c r="Y118" s="77" t="s">
        <v>190</v>
      </c>
      <c r="Z118" s="77" t="s">
        <v>190</v>
      </c>
    </row>
    <row r="119" spans="1:26">
      <c r="E119" s="10" t="s">
        <v>6</v>
      </c>
      <c r="F119" s="11" t="s">
        <v>175</v>
      </c>
      <c r="G119" s="34" t="s">
        <v>190</v>
      </c>
      <c r="H119" s="77" t="s">
        <v>190</v>
      </c>
      <c r="I119" s="77" t="s">
        <v>190</v>
      </c>
      <c r="J119" s="77" t="s">
        <v>190</v>
      </c>
      <c r="K119" s="77" t="s">
        <v>190</v>
      </c>
      <c r="L119" s="77" t="s">
        <v>190</v>
      </c>
      <c r="M119" s="77" t="s">
        <v>190</v>
      </c>
      <c r="N119" s="77" t="s">
        <v>190</v>
      </c>
      <c r="O119" s="77" t="s">
        <v>190</v>
      </c>
      <c r="P119" s="77" t="s">
        <v>190</v>
      </c>
      <c r="Q119" s="77" t="s">
        <v>190</v>
      </c>
      <c r="R119" s="77" t="s">
        <v>190</v>
      </c>
      <c r="S119" s="77" t="s">
        <v>190</v>
      </c>
      <c r="T119" s="77" t="s">
        <v>190</v>
      </c>
      <c r="U119" s="77" t="s">
        <v>190</v>
      </c>
      <c r="V119" s="77" t="s">
        <v>190</v>
      </c>
      <c r="W119" s="77" t="s">
        <v>190</v>
      </c>
      <c r="X119" s="77" t="s">
        <v>190</v>
      </c>
      <c r="Y119" s="77" t="s">
        <v>190</v>
      </c>
      <c r="Z119" s="77" t="s">
        <v>190</v>
      </c>
    </row>
    <row r="120" spans="1:26">
      <c r="E120" s="10"/>
      <c r="F120" s="11"/>
      <c r="G120" s="34" t="s">
        <v>190</v>
      </c>
      <c r="H120" s="77" t="s">
        <v>190</v>
      </c>
      <c r="I120" s="77" t="s">
        <v>190</v>
      </c>
      <c r="J120" s="77" t="s">
        <v>190</v>
      </c>
      <c r="K120" s="77" t="s">
        <v>190</v>
      </c>
      <c r="L120" s="77" t="s">
        <v>190</v>
      </c>
      <c r="M120" s="77" t="s">
        <v>190</v>
      </c>
      <c r="N120" s="77" t="s">
        <v>190</v>
      </c>
      <c r="O120" s="77" t="s">
        <v>190</v>
      </c>
      <c r="P120" s="77" t="s">
        <v>190</v>
      </c>
      <c r="Q120" s="77" t="s">
        <v>190</v>
      </c>
      <c r="R120" s="77" t="s">
        <v>190</v>
      </c>
      <c r="S120" s="77" t="s">
        <v>190</v>
      </c>
      <c r="T120" s="77" t="s">
        <v>190</v>
      </c>
      <c r="U120" s="77" t="s">
        <v>190</v>
      </c>
      <c r="V120" s="77" t="s">
        <v>190</v>
      </c>
      <c r="W120" s="77" t="s">
        <v>190</v>
      </c>
      <c r="X120" s="77" t="s">
        <v>190</v>
      </c>
      <c r="Y120" s="77" t="s">
        <v>190</v>
      </c>
      <c r="Z120" s="77" t="s">
        <v>190</v>
      </c>
    </row>
    <row r="121" spans="1:26">
      <c r="A121" s="4"/>
      <c r="B121" s="16" t="s">
        <v>72</v>
      </c>
      <c r="C121" s="4" t="s">
        <v>187</v>
      </c>
      <c r="D121" s="4"/>
      <c r="E121" s="16"/>
      <c r="F121" s="59"/>
      <c r="G121" s="34" t="s">
        <v>190</v>
      </c>
      <c r="H121" s="77" t="s">
        <v>190</v>
      </c>
      <c r="I121" s="77" t="s">
        <v>190</v>
      </c>
      <c r="J121" s="77" t="s">
        <v>190</v>
      </c>
      <c r="K121" s="77" t="s">
        <v>190</v>
      </c>
      <c r="L121" s="77" t="s">
        <v>190</v>
      </c>
      <c r="M121" s="77" t="s">
        <v>190</v>
      </c>
      <c r="N121" s="77" t="s">
        <v>190</v>
      </c>
      <c r="O121" s="77" t="s">
        <v>190</v>
      </c>
      <c r="P121" s="77" t="s">
        <v>190</v>
      </c>
      <c r="Q121" s="77" t="s">
        <v>190</v>
      </c>
      <c r="R121" s="77" t="s">
        <v>190</v>
      </c>
      <c r="S121" s="77" t="s">
        <v>190</v>
      </c>
      <c r="T121" s="77" t="s">
        <v>190</v>
      </c>
      <c r="U121" s="77" t="s">
        <v>190</v>
      </c>
      <c r="V121" s="77" t="s">
        <v>190</v>
      </c>
      <c r="W121" s="77" t="s">
        <v>190</v>
      </c>
      <c r="X121" s="77" t="s">
        <v>190</v>
      </c>
      <c r="Y121" s="77" t="s">
        <v>190</v>
      </c>
      <c r="Z121" s="77" t="s">
        <v>190</v>
      </c>
    </row>
    <row r="122" spans="1:26">
      <c r="A122" s="4"/>
      <c r="B122" s="4"/>
      <c r="C122" s="16" t="s">
        <v>73</v>
      </c>
      <c r="D122" s="4" t="s">
        <v>98</v>
      </c>
      <c r="E122" s="16"/>
      <c r="F122" s="59"/>
      <c r="G122" s="34" t="s">
        <v>190</v>
      </c>
      <c r="H122" s="77" t="s">
        <v>190</v>
      </c>
      <c r="I122" s="77" t="s">
        <v>190</v>
      </c>
      <c r="J122" s="77" t="s">
        <v>190</v>
      </c>
      <c r="K122" s="77" t="s">
        <v>190</v>
      </c>
      <c r="L122" s="77" t="s">
        <v>190</v>
      </c>
      <c r="M122" s="77" t="s">
        <v>190</v>
      </c>
      <c r="N122" s="77" t="s">
        <v>190</v>
      </c>
      <c r="O122" s="77" t="s">
        <v>190</v>
      </c>
      <c r="P122" s="77" t="s">
        <v>190</v>
      </c>
      <c r="Q122" s="77" t="s">
        <v>190</v>
      </c>
      <c r="R122" s="77" t="s">
        <v>190</v>
      </c>
      <c r="S122" s="77" t="s">
        <v>190</v>
      </c>
      <c r="T122" s="77" t="s">
        <v>190</v>
      </c>
      <c r="U122" s="77" t="s">
        <v>190</v>
      </c>
      <c r="V122" s="77" t="s">
        <v>190</v>
      </c>
      <c r="W122" s="77" t="s">
        <v>190</v>
      </c>
      <c r="X122" s="77" t="s">
        <v>190</v>
      </c>
      <c r="Y122" s="77" t="s">
        <v>190</v>
      </c>
      <c r="Z122" s="77" t="s">
        <v>190</v>
      </c>
    </row>
    <row r="123" spans="1:26">
      <c r="D123" s="10" t="s">
        <v>5</v>
      </c>
      <c r="E123" s="12" t="s">
        <v>44</v>
      </c>
      <c r="F123" s="11"/>
      <c r="G123" s="34" t="s">
        <v>190</v>
      </c>
      <c r="H123" s="77" t="s">
        <v>190</v>
      </c>
      <c r="I123" s="77" t="s">
        <v>190</v>
      </c>
      <c r="J123" s="77" t="s">
        <v>190</v>
      </c>
      <c r="K123" s="77" t="s">
        <v>190</v>
      </c>
      <c r="L123" s="77" t="s">
        <v>190</v>
      </c>
      <c r="M123" s="77" t="s">
        <v>190</v>
      </c>
      <c r="N123" s="77" t="s">
        <v>190</v>
      </c>
      <c r="O123" s="77" t="s">
        <v>190</v>
      </c>
      <c r="P123" s="77" t="s">
        <v>190</v>
      </c>
      <c r="Q123" s="77" t="s">
        <v>190</v>
      </c>
      <c r="R123" s="77" t="s">
        <v>190</v>
      </c>
      <c r="S123" s="77" t="s">
        <v>190</v>
      </c>
      <c r="T123" s="77" t="s">
        <v>190</v>
      </c>
      <c r="U123" s="77" t="s">
        <v>190</v>
      </c>
      <c r="V123" s="77" t="s">
        <v>190</v>
      </c>
      <c r="W123" s="77" t="s">
        <v>190</v>
      </c>
      <c r="X123" s="77" t="s">
        <v>190</v>
      </c>
      <c r="Y123" s="77" t="s">
        <v>190</v>
      </c>
      <c r="Z123" s="77" t="s">
        <v>190</v>
      </c>
    </row>
    <row r="124" spans="1:26">
      <c r="E124" s="10" t="s">
        <v>6</v>
      </c>
      <c r="F124" s="11" t="s">
        <v>45</v>
      </c>
      <c r="G124" s="34" t="s">
        <v>190</v>
      </c>
      <c r="H124" s="77" t="s">
        <v>190</v>
      </c>
      <c r="I124" s="77" t="s">
        <v>190</v>
      </c>
      <c r="J124" s="77" t="s">
        <v>190</v>
      </c>
      <c r="K124" s="77" t="s">
        <v>190</v>
      </c>
      <c r="L124" s="77" t="s">
        <v>190</v>
      </c>
      <c r="M124" s="77" t="s">
        <v>190</v>
      </c>
      <c r="N124" s="77" t="s">
        <v>190</v>
      </c>
      <c r="O124" s="77" t="s">
        <v>190</v>
      </c>
      <c r="P124" s="77" t="s">
        <v>190</v>
      </c>
      <c r="Q124" s="77" t="s">
        <v>190</v>
      </c>
      <c r="R124" s="77" t="s">
        <v>190</v>
      </c>
      <c r="S124" s="77" t="s">
        <v>190</v>
      </c>
      <c r="T124" s="77" t="s">
        <v>190</v>
      </c>
      <c r="U124" s="77" t="s">
        <v>190</v>
      </c>
      <c r="V124" s="77" t="s">
        <v>190</v>
      </c>
      <c r="W124" s="77" t="s">
        <v>190</v>
      </c>
      <c r="X124" s="77" t="s">
        <v>190</v>
      </c>
      <c r="Y124" s="77" t="s">
        <v>190</v>
      </c>
      <c r="Z124" s="77" t="s">
        <v>190</v>
      </c>
    </row>
    <row r="125" spans="1:26">
      <c r="A125" s="4"/>
      <c r="B125" s="4"/>
      <c r="C125" s="4"/>
      <c r="D125" s="4"/>
      <c r="E125" s="4"/>
      <c r="F125" s="6"/>
      <c r="G125" s="34" t="s">
        <v>190</v>
      </c>
      <c r="H125" s="77" t="s">
        <v>190</v>
      </c>
      <c r="I125" s="77" t="s">
        <v>190</v>
      </c>
      <c r="J125" s="77" t="s">
        <v>190</v>
      </c>
      <c r="K125" s="77" t="s">
        <v>190</v>
      </c>
      <c r="L125" s="77" t="s">
        <v>190</v>
      </c>
      <c r="M125" s="77" t="s">
        <v>190</v>
      </c>
      <c r="N125" s="77" t="s">
        <v>190</v>
      </c>
      <c r="O125" s="77" t="s">
        <v>190</v>
      </c>
      <c r="P125" s="77" t="s">
        <v>190</v>
      </c>
      <c r="Q125" s="77" t="s">
        <v>190</v>
      </c>
      <c r="R125" s="77" t="s">
        <v>190</v>
      </c>
      <c r="S125" s="77" t="s">
        <v>190</v>
      </c>
      <c r="T125" s="77" t="s">
        <v>190</v>
      </c>
      <c r="U125" s="77" t="s">
        <v>190</v>
      </c>
      <c r="V125" s="77" t="s">
        <v>190</v>
      </c>
      <c r="W125" s="77" t="s">
        <v>190</v>
      </c>
      <c r="X125" s="77" t="s">
        <v>190</v>
      </c>
      <c r="Y125" s="77" t="s">
        <v>190</v>
      </c>
      <c r="Z125" s="77" t="s">
        <v>190</v>
      </c>
    </row>
    <row r="126" spans="1:26">
      <c r="A126" s="16" t="s">
        <v>4</v>
      </c>
      <c r="B126" s="4" t="s">
        <v>155</v>
      </c>
      <c r="C126" s="16"/>
      <c r="D126" s="4"/>
      <c r="E126" s="4"/>
      <c r="F126" s="59"/>
      <c r="G126" s="34" t="s">
        <v>190</v>
      </c>
      <c r="H126" s="77" t="s">
        <v>190</v>
      </c>
      <c r="I126" s="77" t="s">
        <v>190</v>
      </c>
      <c r="J126" s="77" t="s">
        <v>190</v>
      </c>
      <c r="K126" s="77" t="s">
        <v>190</v>
      </c>
      <c r="L126" s="77" t="s">
        <v>190</v>
      </c>
      <c r="M126" s="77" t="s">
        <v>190</v>
      </c>
      <c r="N126" s="77" t="s">
        <v>190</v>
      </c>
      <c r="O126" s="77" t="s">
        <v>190</v>
      </c>
      <c r="P126" s="77" t="s">
        <v>190</v>
      </c>
      <c r="Q126" s="77" t="s">
        <v>190</v>
      </c>
      <c r="R126" s="77" t="s">
        <v>190</v>
      </c>
      <c r="S126" s="77" t="s">
        <v>190</v>
      </c>
      <c r="T126" s="77" t="s">
        <v>190</v>
      </c>
      <c r="U126" s="77" t="s">
        <v>190</v>
      </c>
      <c r="V126" s="77" t="s">
        <v>190</v>
      </c>
      <c r="W126" s="77" t="s">
        <v>190</v>
      </c>
      <c r="X126" s="77" t="s">
        <v>190</v>
      </c>
      <c r="Y126" s="77" t="s">
        <v>190</v>
      </c>
      <c r="Z126" s="77" t="s">
        <v>190</v>
      </c>
    </row>
    <row r="127" spans="1:26">
      <c r="A127" s="16"/>
      <c r="B127" s="16" t="s">
        <v>72</v>
      </c>
      <c r="C127" s="28" t="s">
        <v>10</v>
      </c>
      <c r="D127" s="4"/>
      <c r="E127" s="4"/>
      <c r="F127" s="59"/>
      <c r="G127" s="34" t="s">
        <v>190</v>
      </c>
      <c r="H127" s="77" t="s">
        <v>190</v>
      </c>
      <c r="I127" s="77" t="s">
        <v>190</v>
      </c>
      <c r="J127" s="77" t="s">
        <v>190</v>
      </c>
      <c r="K127" s="77" t="s">
        <v>190</v>
      </c>
      <c r="L127" s="77" t="s">
        <v>190</v>
      </c>
      <c r="M127" s="77" t="s">
        <v>190</v>
      </c>
      <c r="N127" s="77" t="s">
        <v>190</v>
      </c>
      <c r="O127" s="77" t="s">
        <v>190</v>
      </c>
      <c r="P127" s="77" t="s">
        <v>190</v>
      </c>
      <c r="Q127" s="77" t="s">
        <v>190</v>
      </c>
      <c r="R127" s="77" t="s">
        <v>190</v>
      </c>
      <c r="S127" s="77" t="s">
        <v>190</v>
      </c>
      <c r="T127" s="77" t="s">
        <v>190</v>
      </c>
      <c r="U127" s="77" t="s">
        <v>190</v>
      </c>
      <c r="V127" s="77" t="s">
        <v>190</v>
      </c>
      <c r="W127" s="77" t="s">
        <v>190</v>
      </c>
      <c r="X127" s="77" t="s">
        <v>190</v>
      </c>
      <c r="Y127" s="77" t="s">
        <v>190</v>
      </c>
      <c r="Z127" s="77" t="s">
        <v>190</v>
      </c>
    </row>
    <row r="128" spans="1:26">
      <c r="A128" s="16"/>
      <c r="B128" s="16"/>
      <c r="C128" s="16" t="s">
        <v>73</v>
      </c>
      <c r="D128" s="4" t="s">
        <v>74</v>
      </c>
      <c r="E128" s="4"/>
      <c r="F128" s="59"/>
      <c r="G128" s="34" t="s">
        <v>190</v>
      </c>
      <c r="H128" s="77" t="s">
        <v>190</v>
      </c>
      <c r="I128" s="77" t="s">
        <v>190</v>
      </c>
      <c r="J128" s="77" t="s">
        <v>190</v>
      </c>
      <c r="K128" s="77" t="s">
        <v>190</v>
      </c>
      <c r="L128" s="77" t="s">
        <v>190</v>
      </c>
      <c r="M128" s="77" t="s">
        <v>190</v>
      </c>
      <c r="N128" s="77" t="s">
        <v>190</v>
      </c>
      <c r="O128" s="77" t="s">
        <v>190</v>
      </c>
      <c r="P128" s="77" t="s">
        <v>190</v>
      </c>
      <c r="Q128" s="77" t="s">
        <v>190</v>
      </c>
      <c r="R128" s="77" t="s">
        <v>190</v>
      </c>
      <c r="S128" s="77" t="s">
        <v>190</v>
      </c>
      <c r="T128" s="77" t="s">
        <v>190</v>
      </c>
      <c r="U128" s="77" t="s">
        <v>190</v>
      </c>
      <c r="V128" s="77" t="s">
        <v>190</v>
      </c>
      <c r="W128" s="77" t="s">
        <v>190</v>
      </c>
      <c r="X128" s="77" t="s">
        <v>190</v>
      </c>
      <c r="Y128" s="77" t="s">
        <v>190</v>
      </c>
      <c r="Z128" s="77" t="s">
        <v>190</v>
      </c>
    </row>
    <row r="129" spans="1:26">
      <c r="A129" s="10"/>
      <c r="B129" s="10"/>
      <c r="C129" s="10"/>
      <c r="D129" s="10" t="s">
        <v>5</v>
      </c>
      <c r="E129" s="5" t="s">
        <v>75</v>
      </c>
      <c r="F129" s="9"/>
      <c r="G129" s="34" t="s">
        <v>190</v>
      </c>
      <c r="H129" s="77" t="s">
        <v>190</v>
      </c>
      <c r="I129" s="77" t="s">
        <v>190</v>
      </c>
      <c r="J129" s="77" t="s">
        <v>190</v>
      </c>
      <c r="K129" s="77" t="s">
        <v>190</v>
      </c>
      <c r="L129" s="77" t="s">
        <v>190</v>
      </c>
      <c r="M129" s="77" t="s">
        <v>190</v>
      </c>
      <c r="N129" s="77" t="s">
        <v>190</v>
      </c>
      <c r="O129" s="77" t="s">
        <v>190</v>
      </c>
      <c r="P129" s="77" t="s">
        <v>190</v>
      </c>
      <c r="Q129" s="77" t="s">
        <v>190</v>
      </c>
      <c r="R129" s="77" t="s">
        <v>190</v>
      </c>
      <c r="S129" s="77" t="s">
        <v>190</v>
      </c>
      <c r="T129" s="77" t="s">
        <v>190</v>
      </c>
      <c r="U129" s="77" t="s">
        <v>190</v>
      </c>
      <c r="V129" s="77" t="s">
        <v>190</v>
      </c>
      <c r="W129" s="77" t="s">
        <v>190</v>
      </c>
      <c r="X129" s="77" t="s">
        <v>190</v>
      </c>
      <c r="Y129" s="77" t="s">
        <v>190</v>
      </c>
      <c r="Z129" s="77" t="s">
        <v>190</v>
      </c>
    </row>
    <row r="130" spans="1:26">
      <c r="E130" s="10" t="s">
        <v>6</v>
      </c>
      <c r="F130" s="11" t="s">
        <v>11</v>
      </c>
      <c r="G130" s="34" t="s">
        <v>190</v>
      </c>
      <c r="H130" s="77" t="s">
        <v>190</v>
      </c>
      <c r="I130" s="77" t="s">
        <v>190</v>
      </c>
      <c r="J130" s="77" t="s">
        <v>190</v>
      </c>
      <c r="K130" s="79">
        <v>0.2135412234356667</v>
      </c>
      <c r="L130" s="79">
        <v>0.41640538569955005</v>
      </c>
      <c r="M130" s="79">
        <v>0.40839758982071256</v>
      </c>
      <c r="N130" s="79">
        <v>0.3843742021842001</v>
      </c>
      <c r="O130" s="79">
        <v>0.74472501673188762</v>
      </c>
      <c r="P130" s="79">
        <v>0.3843742021842001</v>
      </c>
      <c r="Q130" s="79">
        <v>0.24023387636512503</v>
      </c>
      <c r="R130" s="79">
        <v>0.52851452800327503</v>
      </c>
      <c r="S130" s="79">
        <v>1.3613252994023752</v>
      </c>
      <c r="T130" s="79">
        <v>0.65663926206467504</v>
      </c>
      <c r="U130" s="79">
        <v>0.24023387636512505</v>
      </c>
      <c r="V130" s="79">
        <v>1.7296839098289001</v>
      </c>
      <c r="W130" s="79" t="s">
        <v>190</v>
      </c>
      <c r="X130" s="79">
        <v>6.0058469091281257E-2</v>
      </c>
      <c r="Y130" s="79">
        <v>1.6015591757675002E-2</v>
      </c>
      <c r="Z130" s="79">
        <v>8.0077958788375009E-2</v>
      </c>
    </row>
    <row r="131" spans="1:26">
      <c r="A131" s="10"/>
      <c r="B131" s="10"/>
      <c r="C131" s="10"/>
      <c r="D131" s="10" t="s">
        <v>5</v>
      </c>
      <c r="E131" s="5" t="s">
        <v>156</v>
      </c>
      <c r="F131" s="9"/>
      <c r="G131" s="34" t="s">
        <v>190</v>
      </c>
      <c r="H131" s="77" t="s">
        <v>190</v>
      </c>
      <c r="I131" s="77" t="s">
        <v>190</v>
      </c>
      <c r="J131" s="77" t="s">
        <v>190</v>
      </c>
      <c r="K131" s="77" t="s">
        <v>190</v>
      </c>
      <c r="L131" s="77" t="s">
        <v>190</v>
      </c>
      <c r="M131" s="77" t="s">
        <v>190</v>
      </c>
      <c r="N131" s="77" t="s">
        <v>190</v>
      </c>
      <c r="O131" s="77" t="s">
        <v>190</v>
      </c>
      <c r="P131" s="77" t="s">
        <v>190</v>
      </c>
      <c r="Q131" s="77" t="s">
        <v>190</v>
      </c>
      <c r="R131" s="77" t="s">
        <v>190</v>
      </c>
      <c r="S131" s="77" t="s">
        <v>190</v>
      </c>
      <c r="T131" s="77" t="s">
        <v>190</v>
      </c>
      <c r="U131" s="77" t="s">
        <v>190</v>
      </c>
      <c r="V131" s="77" t="s">
        <v>190</v>
      </c>
      <c r="W131" s="77" t="s">
        <v>190</v>
      </c>
      <c r="X131" s="77" t="s">
        <v>190</v>
      </c>
      <c r="Y131" s="77" t="s">
        <v>190</v>
      </c>
      <c r="Z131" s="77" t="s">
        <v>190</v>
      </c>
    </row>
    <row r="132" spans="1:26">
      <c r="E132" s="10" t="s">
        <v>6</v>
      </c>
      <c r="F132" s="11" t="s">
        <v>115</v>
      </c>
      <c r="G132" s="34" t="s">
        <v>190</v>
      </c>
      <c r="H132" s="77" t="s">
        <v>190</v>
      </c>
      <c r="I132" s="77" t="s">
        <v>190</v>
      </c>
      <c r="J132" s="77" t="s">
        <v>190</v>
      </c>
      <c r="K132" s="77" t="s">
        <v>190</v>
      </c>
      <c r="L132" s="77" t="s">
        <v>190</v>
      </c>
      <c r="M132" s="77" t="s">
        <v>190</v>
      </c>
      <c r="N132" s="77" t="s">
        <v>190</v>
      </c>
      <c r="O132" s="77" t="s">
        <v>190</v>
      </c>
      <c r="P132" s="77" t="s">
        <v>190</v>
      </c>
      <c r="Q132" s="77" t="s">
        <v>190</v>
      </c>
      <c r="R132" s="77" t="s">
        <v>190</v>
      </c>
      <c r="S132" s="77" t="s">
        <v>190</v>
      </c>
      <c r="T132" s="77" t="s">
        <v>190</v>
      </c>
      <c r="U132" s="77" t="s">
        <v>190</v>
      </c>
      <c r="V132" s="77" t="s">
        <v>190</v>
      </c>
      <c r="W132" s="77" t="s">
        <v>190</v>
      </c>
      <c r="X132" s="77" t="s">
        <v>190</v>
      </c>
      <c r="Y132" s="77" t="s">
        <v>190</v>
      </c>
      <c r="Z132" s="77" t="s">
        <v>190</v>
      </c>
    </row>
    <row r="133" spans="1:26">
      <c r="F133" s="9" t="s">
        <v>12</v>
      </c>
      <c r="G133" s="34" t="s">
        <v>190</v>
      </c>
      <c r="H133" s="77" t="s">
        <v>190</v>
      </c>
      <c r="I133" s="77" t="s">
        <v>190</v>
      </c>
      <c r="J133" s="77" t="s">
        <v>190</v>
      </c>
      <c r="K133" s="77" t="s">
        <v>190</v>
      </c>
      <c r="L133" s="77" t="s">
        <v>190</v>
      </c>
      <c r="M133" s="77" t="s">
        <v>190</v>
      </c>
      <c r="N133" s="77" t="s">
        <v>190</v>
      </c>
      <c r="O133" s="77" t="s">
        <v>190</v>
      </c>
      <c r="P133" s="77" t="s">
        <v>190</v>
      </c>
      <c r="Q133" s="77" t="s">
        <v>190</v>
      </c>
      <c r="R133" s="77" t="s">
        <v>190</v>
      </c>
      <c r="S133" s="77" t="s">
        <v>190</v>
      </c>
      <c r="T133" s="77" t="s">
        <v>190</v>
      </c>
      <c r="U133" s="77" t="s">
        <v>190</v>
      </c>
      <c r="V133" s="77" t="s">
        <v>190</v>
      </c>
      <c r="W133" s="77" t="s">
        <v>190</v>
      </c>
      <c r="X133" s="77" t="s">
        <v>190</v>
      </c>
      <c r="Y133" s="77" t="s">
        <v>190</v>
      </c>
      <c r="Z133" s="77" t="s">
        <v>190</v>
      </c>
    </row>
    <row r="134" spans="1:26">
      <c r="E134" s="10"/>
      <c r="F134" s="11"/>
      <c r="G134" s="34" t="s">
        <v>190</v>
      </c>
      <c r="H134" s="77" t="s">
        <v>190</v>
      </c>
      <c r="I134" s="77" t="s">
        <v>190</v>
      </c>
      <c r="J134" s="77" t="s">
        <v>190</v>
      </c>
      <c r="K134" s="77" t="s">
        <v>190</v>
      </c>
      <c r="L134" s="77" t="s">
        <v>190</v>
      </c>
      <c r="M134" s="77" t="s">
        <v>190</v>
      </c>
      <c r="N134" s="77" t="s">
        <v>190</v>
      </c>
      <c r="O134" s="77" t="s">
        <v>190</v>
      </c>
      <c r="P134" s="77" t="s">
        <v>190</v>
      </c>
      <c r="Q134" s="77" t="s">
        <v>190</v>
      </c>
      <c r="R134" s="77" t="s">
        <v>190</v>
      </c>
      <c r="S134" s="77" t="s">
        <v>190</v>
      </c>
      <c r="T134" s="77" t="s">
        <v>190</v>
      </c>
      <c r="U134" s="77" t="s">
        <v>190</v>
      </c>
      <c r="V134" s="77" t="s">
        <v>190</v>
      </c>
      <c r="W134" s="77" t="s">
        <v>190</v>
      </c>
      <c r="X134" s="77" t="s">
        <v>190</v>
      </c>
      <c r="Y134" s="77" t="s">
        <v>190</v>
      </c>
      <c r="Z134" s="77" t="s">
        <v>190</v>
      </c>
    </row>
    <row r="135" spans="1:26">
      <c r="F135" s="9"/>
      <c r="G135" s="34" t="s">
        <v>190</v>
      </c>
      <c r="H135" s="77" t="s">
        <v>190</v>
      </c>
      <c r="I135" s="77" t="s">
        <v>190</v>
      </c>
      <c r="J135" s="77" t="s">
        <v>190</v>
      </c>
      <c r="K135" s="77" t="s">
        <v>190</v>
      </c>
      <c r="L135" s="77" t="s">
        <v>190</v>
      </c>
      <c r="M135" s="77" t="s">
        <v>190</v>
      </c>
      <c r="N135" s="77" t="s">
        <v>190</v>
      </c>
      <c r="O135" s="77" t="s">
        <v>190</v>
      </c>
      <c r="P135" s="77" t="s">
        <v>190</v>
      </c>
      <c r="Q135" s="77" t="s">
        <v>190</v>
      </c>
      <c r="R135" s="77" t="s">
        <v>190</v>
      </c>
      <c r="S135" s="77" t="s">
        <v>190</v>
      </c>
      <c r="T135" s="77" t="s">
        <v>190</v>
      </c>
      <c r="U135" s="77" t="s">
        <v>190</v>
      </c>
      <c r="V135" s="77" t="s">
        <v>190</v>
      </c>
      <c r="W135" s="77" t="s">
        <v>190</v>
      </c>
      <c r="X135" s="77" t="s">
        <v>190</v>
      </c>
      <c r="Y135" s="77" t="s">
        <v>190</v>
      </c>
      <c r="Z135" s="77" t="s">
        <v>190</v>
      </c>
    </row>
    <row r="136" spans="1:26" ht="16.2" thickBot="1">
      <c r="F136" s="9"/>
      <c r="G136" s="34" t="s">
        <v>190</v>
      </c>
      <c r="H136" s="77" t="s">
        <v>190</v>
      </c>
      <c r="I136" s="77" t="s">
        <v>190</v>
      </c>
      <c r="J136" s="77" t="s">
        <v>190</v>
      </c>
      <c r="K136" s="77" t="s">
        <v>190</v>
      </c>
      <c r="L136" s="77" t="s">
        <v>190</v>
      </c>
      <c r="M136" s="77" t="s">
        <v>190</v>
      </c>
      <c r="N136" s="77" t="s">
        <v>190</v>
      </c>
      <c r="O136" s="77" t="s">
        <v>190</v>
      </c>
      <c r="P136" s="77" t="s">
        <v>190</v>
      </c>
      <c r="Q136" s="77" t="s">
        <v>190</v>
      </c>
      <c r="R136" s="77" t="s">
        <v>190</v>
      </c>
      <c r="S136" s="77" t="s">
        <v>190</v>
      </c>
      <c r="T136" s="77" t="s">
        <v>190</v>
      </c>
      <c r="U136" s="77" t="s">
        <v>190</v>
      </c>
      <c r="V136" s="77" t="s">
        <v>190</v>
      </c>
      <c r="W136" s="77" t="s">
        <v>190</v>
      </c>
      <c r="X136" s="77" t="s">
        <v>190</v>
      </c>
      <c r="Y136" s="77" t="s">
        <v>190</v>
      </c>
      <c r="Z136" s="77" t="s">
        <v>190</v>
      </c>
    </row>
    <row r="137" spans="1:26" ht="16.2" thickBot="1">
      <c r="A137" s="13"/>
      <c r="B137" s="13"/>
      <c r="C137" s="13"/>
      <c r="D137" s="13"/>
      <c r="E137" s="13"/>
      <c r="F137" s="14" t="s">
        <v>7</v>
      </c>
      <c r="G137" s="83">
        <v>8</v>
      </c>
      <c r="H137" s="82">
        <v>6</v>
      </c>
      <c r="I137" s="82">
        <v>5</v>
      </c>
      <c r="J137" s="82">
        <v>7</v>
      </c>
      <c r="K137" s="82">
        <v>8</v>
      </c>
      <c r="L137" s="82">
        <v>10</v>
      </c>
      <c r="M137" s="82">
        <v>10</v>
      </c>
      <c r="N137" s="82">
        <v>11</v>
      </c>
      <c r="O137" s="82">
        <v>8</v>
      </c>
      <c r="P137" s="82">
        <v>3</v>
      </c>
      <c r="Q137" s="82">
        <v>5</v>
      </c>
      <c r="R137" s="82">
        <v>8</v>
      </c>
      <c r="S137" s="82">
        <v>8</v>
      </c>
      <c r="T137" s="82">
        <v>9</v>
      </c>
      <c r="U137" s="82">
        <v>9</v>
      </c>
      <c r="V137" s="82">
        <v>10</v>
      </c>
      <c r="W137" s="82">
        <v>8</v>
      </c>
      <c r="X137" s="82">
        <v>9</v>
      </c>
      <c r="Y137" s="82">
        <v>6</v>
      </c>
      <c r="Z137" s="82">
        <v>8</v>
      </c>
    </row>
    <row r="138" spans="1:26">
      <c r="F138" s="6" t="s">
        <v>60</v>
      </c>
      <c r="G138" s="78">
        <v>2.0900347243765878</v>
      </c>
      <c r="H138" s="79">
        <v>1.5535124004944754</v>
      </c>
      <c r="I138" s="79">
        <v>1.6816371345558754</v>
      </c>
      <c r="J138" s="79">
        <v>2.0299762552853067</v>
      </c>
      <c r="K138" s="79">
        <v>1.0009744848546878</v>
      </c>
      <c r="L138" s="79">
        <v>2.2421828460745004</v>
      </c>
      <c r="M138" s="79">
        <v>1.6335903592828502</v>
      </c>
      <c r="N138" s="79">
        <v>1.76171509334425</v>
      </c>
      <c r="O138" s="79">
        <v>1.6936488283741316</v>
      </c>
      <c r="P138" s="79">
        <v>0.72070162909537516</v>
      </c>
      <c r="Q138" s="79">
        <v>0.60058469091281252</v>
      </c>
      <c r="R138" s="79">
        <v>0.91288873018747507</v>
      </c>
      <c r="S138" s="79">
        <v>2.7066350070470753</v>
      </c>
      <c r="T138" s="79">
        <v>2.2101516625591504</v>
      </c>
      <c r="U138" s="79">
        <v>0.92490042400573147</v>
      </c>
      <c r="V138" s="79">
        <v>3.4433522279001254</v>
      </c>
      <c r="W138" s="79">
        <v>0.73271332291363123</v>
      </c>
      <c r="X138" s="79">
        <v>1.2412083612198128</v>
      </c>
      <c r="Y138" s="79">
        <v>0.68867044558002499</v>
      </c>
      <c r="Z138" s="79">
        <v>1.0570290560065501</v>
      </c>
    </row>
    <row r="139" spans="1:26">
      <c r="F139" s="6" t="s">
        <v>53</v>
      </c>
      <c r="G139" s="78">
        <v>1.3330307191885284</v>
      </c>
      <c r="H139" s="79">
        <v>1.1939733505258765</v>
      </c>
      <c r="I139" s="79">
        <v>0.85374574741171838</v>
      </c>
      <c r="J139" s="79">
        <v>0.9513771476209808</v>
      </c>
      <c r="K139" s="79">
        <v>1.4965626538779766</v>
      </c>
      <c r="L139" s="79">
        <v>1.6263583787957108</v>
      </c>
      <c r="M139" s="79">
        <v>1.5946561379032069</v>
      </c>
      <c r="N139" s="79">
        <v>1.7743810504869955</v>
      </c>
      <c r="O139" s="79">
        <v>1.4110452754433824</v>
      </c>
      <c r="P139" s="79">
        <v>0.83768633657847635</v>
      </c>
      <c r="Q139" s="79">
        <v>1.3699664676069283</v>
      </c>
      <c r="R139" s="79">
        <v>1.2239699735880374</v>
      </c>
      <c r="S139" s="79">
        <v>1.3810809475006749</v>
      </c>
      <c r="T139" s="79">
        <v>1.5411381800891344</v>
      </c>
      <c r="U139" s="79">
        <v>1.7292149216661299</v>
      </c>
      <c r="V139" s="79">
        <v>1.4564752213813992</v>
      </c>
      <c r="W139" s="79">
        <v>1.0671769911534945</v>
      </c>
      <c r="X139" s="79">
        <v>1.4659696644660729</v>
      </c>
      <c r="Y139" s="79">
        <v>0.62189181036899954</v>
      </c>
      <c r="Z139" s="79">
        <v>1.3405542800438661</v>
      </c>
    </row>
    <row r="140" spans="1:26">
      <c r="F140" s="6" t="s">
        <v>54</v>
      </c>
      <c r="G140" s="78">
        <v>0.64105226930864612</v>
      </c>
      <c r="H140" s="79">
        <v>0.66636921474748889</v>
      </c>
      <c r="I140" s="79">
        <v>0.53046205809860691</v>
      </c>
      <c r="J140" s="79">
        <v>0.48891113913088363</v>
      </c>
      <c r="K140" s="79">
        <v>0.71969450637646104</v>
      </c>
      <c r="L140" s="79">
        <v>0.70631846950809574</v>
      </c>
      <c r="M140" s="79">
        <v>0.69255036122451363</v>
      </c>
      <c r="N140" s="79">
        <v>0.73997437278245803</v>
      </c>
      <c r="O140" s="79">
        <v>0.67856934045065642</v>
      </c>
      <c r="P140" s="79">
        <v>0.76249496316306087</v>
      </c>
      <c r="Q140" s="79">
        <v>0.85120802549941343</v>
      </c>
      <c r="R140" s="79">
        <v>0.58860513703081907</v>
      </c>
      <c r="S140" s="79">
        <v>0.66415954467515159</v>
      </c>
      <c r="T140" s="79">
        <v>0.70140221258471258</v>
      </c>
      <c r="U140" s="79">
        <v>0.78699962648448252</v>
      </c>
      <c r="V140" s="79">
        <v>0.63253915167475872</v>
      </c>
      <c r="W140" s="79">
        <v>0.51320365096265064</v>
      </c>
      <c r="X140" s="79">
        <v>0.66719154682100124</v>
      </c>
      <c r="Y140" s="79">
        <v>0.34708442793213179</v>
      </c>
      <c r="Z140" s="79">
        <v>0.64467033728725354</v>
      </c>
    </row>
    <row r="141" spans="1:26"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7:26"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7:26"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7:26"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7:26"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7:26"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7:26"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7:26"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7:26"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7:26"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7:26"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7:26"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7:26"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7:26"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7:26"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7:26"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7:26"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7:26"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7:26"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7:26"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7:26"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7:26"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7:26"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7:26"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7:26"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7:26"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7:26"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7:26"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7:26"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7:26"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7:26"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7:26"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7:26"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7:26"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7:26"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7:26"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7:26"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7:26"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7:26"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7:26"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7:26"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7:26"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7:26"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7:26"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7:26"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7:26"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7:26"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7:26"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7:26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7:26"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7:26"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7:26"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7:26"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7:26"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7:26"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7:26"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7:26"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7:26"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7:26"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7:26"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7:26"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7:26"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7:26"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7:26"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7:26"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7:26"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7:26"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7:26"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7:26"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7:26"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7:26"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7:26"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7:26"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7:26"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7:26"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7:26"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7:26"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7:26"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7:26"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7:26"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7:26"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7:26"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7:26"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7:26"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7:26"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7:26"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7:26"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7:26"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7:26"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7:26"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7:26"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7:26"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7:26"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7:26"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7:26"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7:26"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7:26"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7:26"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7:26"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7:26"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7:26"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7:26"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7:26"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7:26"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7:26"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7:26"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7:26"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7:26"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7:26"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7:26"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7:26"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7:26"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7:26"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7:26"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7:26"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7:26"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7:26"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7:26"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7:26"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7:26"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7:26"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7:26"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7:26"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7:26"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7:26"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7:26"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7:26"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7:26"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7:26"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7:26"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7:26"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7:26"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7:26"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7:26"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7:26"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7:26"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7:26"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7:26"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7:26"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7:26"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7:26"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7:26"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7:26"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7:26"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7:26"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7:26"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7:26"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7:26"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7:26"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7:26"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7:26"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7:26"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7:26"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7:26"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7:26"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7:26"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7:26"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7:26"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7:26"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7:26"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7:26"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7:26"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7:26"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7:26"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7:26"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7:26"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7:26"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7:26"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7:26"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7:26"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7:26"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7:26"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7:26"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7:26"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7:26"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7:26"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7:26"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7:26"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7:26"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7:26"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7:26"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7:26"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7:26"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7:26"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7:26"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7:26"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7:26"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7:26"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7:26"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7:26"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7:26"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7:26"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7:26"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7:26"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7:26"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7:26"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7:26"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7:26"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7:26"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7:26"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7:26"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7:26"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7:26"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7:26"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7:26"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7:26"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7:26"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7:26"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7:26"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7:26"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7:26"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7:26"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7:26"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7:26"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7:26"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7:26"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7:26"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7:26"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7:26"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7:26"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7:26"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7:26"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7:26"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7:26"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7:26"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7:26"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7:26"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7:26"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7:26"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7:26"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7:26"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7:26"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7:26"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7:26"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7:26"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7:26"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7:26"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7:26"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7:26"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7:26"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7:26"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7:26"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7:26"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7:26"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7:26"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7:26"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7:26"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7:26"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7:26"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7:26"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7:26"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7:26"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7:26"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7:26"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7:26"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7:26"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7:26"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7:26"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7:26"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7:26"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7:26"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7:26"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7:26"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7:26"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7:26"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7:26"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7:26"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7:26"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7:26"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7:26"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7:26"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7:26"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7:26"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7:26"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7:26"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7:26"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7:26"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7:26"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7:26"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7:26"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7:26"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7:26"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7:26"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7:26"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7:26"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7:26"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7:26"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7:26"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7:26"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7:26"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7:26"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7:26"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7:26"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7:26"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7:26"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7:26"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7:26"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7:26"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7:26"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7:26"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7:26"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7:26"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7:26"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7:26"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7:26"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7:26"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7:26"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7:26"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7:26"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7:26"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7:26"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7:26"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7:26"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7:26"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7:26"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7:26"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7:26"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7:26"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7:26"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Sample Info</vt:lpstr>
      <vt:lpstr>Sample List</vt:lpstr>
      <vt:lpstr>Phytopl Count</vt:lpstr>
      <vt:lpstr>Phytopl Analysis</vt:lpstr>
      <vt:lpstr>Ln Data</vt:lpstr>
      <vt:lpstr>PivotTable</vt:lpstr>
      <vt:lpstr>TaxaGroup</vt:lpstr>
      <vt:lpstr>Sheet1</vt:lpstr>
      <vt:lpstr>'Phytopl Analysis'!Print_Area</vt:lpstr>
      <vt:lpstr>'Sample Info'!Print_Area</vt:lpstr>
      <vt:lpstr>'Sample List'!Print_Area</vt:lpstr>
      <vt:lpstr>'Phytopl Analysis'!Print_Titles</vt:lpstr>
    </vt:vector>
  </TitlesOfParts>
  <Company>Dept Mar Sci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Hock Chark Liew</dc:creator>
  <cp:lastModifiedBy>alchemylab01@hotmail.com</cp:lastModifiedBy>
  <cp:lastPrinted>2025-11-19T03:22:48Z</cp:lastPrinted>
  <dcterms:created xsi:type="dcterms:W3CDTF">2014-03-16T04:57:16Z</dcterms:created>
  <dcterms:modified xsi:type="dcterms:W3CDTF">2025-11-19T08:58:34Z</dcterms:modified>
</cp:coreProperties>
</file>